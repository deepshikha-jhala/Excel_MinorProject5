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User\Desktop\Session_Flow\DA_DS\Minor_projects\Week_6\"/>
    </mc:Choice>
  </mc:AlternateContent>
  <xr:revisionPtr revIDLastSave="0" documentId="8_{183F2830-CC2B-4F75-8710-CAA850FDBE38}" xr6:coauthVersionLast="47" xr6:coauthVersionMax="47" xr10:uidLastSave="{00000000-0000-0000-0000-000000000000}"/>
  <bookViews>
    <workbookView xWindow="-96" yWindow="-96" windowWidth="23232" windowHeight="12432" firstSheet="6" activeTab="10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externalReferences>
    <externalReference r:id="rId12"/>
  </externalReference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8"/>
  <pivotCaches>
    <pivotCache cacheId="349" r:id="rId13"/>
    <pivotCache cacheId="350" r:id="rId14"/>
    <pivotCache cacheId="351" r:id="rId15"/>
    <pivotCache cacheId="35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9" l="1" a="1"/>
  <c r="D10" i="9"/>
  <c r="D7" i="9" a="1"/>
  <c r="D7" i="9"/>
  <c r="D10" i="7"/>
  <c r="D6" i="10"/>
  <c r="D8" i="11" a="1"/>
  <c r="D8" i="11"/>
  <c r="D7" i="11" a="1"/>
  <c r="D7" i="11"/>
  <c r="D6" i="11" a="1"/>
  <c r="D6" i="11"/>
  <c r="D5" i="11"/>
  <c r="D4" i="11" a="1"/>
  <c r="D4" i="11"/>
  <c r="D8" i="10"/>
  <c r="D7" i="10"/>
  <c r="D5" i="10"/>
  <c r="D9" i="9" a="1"/>
  <c r="D9" i="9"/>
  <c r="D8" i="9" a="1"/>
  <c r="D8" i="9"/>
  <c r="D6" i="9"/>
  <c r="D5" i="9"/>
  <c r="D10" i="8"/>
  <c r="D9" i="8" a="1"/>
  <c r="D9" i="8"/>
  <c r="D8" i="8" a="1"/>
  <c r="D8" i="8"/>
  <c r="D7" i="8" a="1"/>
  <c r="D7" i="8"/>
  <c r="D6" i="8" a="1"/>
  <c r="D6" i="8"/>
  <c r="D5" i="8" a="1"/>
  <c r="D5" i="8"/>
  <c r="D12" i="7"/>
  <c r="D11" i="7"/>
  <c r="D9" i="7"/>
  <c r="D8" i="7"/>
  <c r="D7" i="7"/>
  <c r="D6" i="7"/>
  <c r="D5" i="7"/>
  <c r="Q13" i="2"/>
  <c r="Q3" i="2"/>
  <c r="Q4" i="2"/>
  <c r="Q5" i="2"/>
  <c r="Q6" i="2"/>
  <c r="Q7" i="2"/>
  <c r="Q8" i="2"/>
  <c r="Q9" i="2"/>
  <c r="Q10" i="2"/>
  <c r="Q11" i="2"/>
  <c r="Q12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" i="2"/>
  <c r="M13" i="2"/>
  <c r="M3" i="2"/>
  <c r="M4" i="2"/>
  <c r="M5" i="2"/>
  <c r="M6" i="2"/>
  <c r="M7" i="2"/>
  <c r="M8" i="2"/>
  <c r="M9" i="2"/>
  <c r="M10" i="2"/>
  <c r="M11" i="2"/>
  <c r="M12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<sst xmlns="http://schemas.openxmlformats.org/spreadsheetml/2006/main" count="13889" uniqueCount="3007">
  <si>
    <t>THE UNLOX ACADEMY - DA/DS TRACK</t>
  </si>
  <si>
    <t>Excel Minor Project - Sales Operations Analytics</t>
  </si>
  <si>
    <t>Interview-Grade Data Analytics Assessment · 100 Marks</t>
  </si>
  <si>
    <t>THE SCENARIO</t>
  </si>
  <si>
    <t>You have just joined the analytics team at a fast-growing multi-category retailer operating across 6 Indian cities.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</si>
  <si>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</si>
  <si>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</si>
  <si>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</si>
  <si>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</si>
  <si>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</si>
  <si>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</si>
  <si>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</si>
  <si>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</si>
  <si>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</si>
  <si>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</si>
  <si>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</si>
  <si>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</si>
  <si>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</si>
  <si>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</si>
  <si>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</si>
  <si>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</si>
  <si>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</si>
  <si>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</si>
  <si>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</si>
  <si>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</si>
  <si>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</si>
  <si>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</si>
  <si>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</si>
  <si>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</si>
  <si>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</si>
  <si>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</si>
  <si>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</si>
  <si>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</si>
  <si>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</si>
  <si>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</si>
  <si>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</si>
  <si>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</si>
  <si>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</si>
  <si>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</si>
  <si>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</si>
  <si>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</si>
  <si>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</si>
  <si>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</si>
  <si>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</si>
  <si>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</si>
  <si>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</si>
  <si>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</si>
  <si>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</si>
  <si>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</si>
  <si>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</si>
  <si>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</si>
  <si>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</si>
  <si>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</si>
  <si>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</si>
  <si>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</si>
  <si>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</si>
  <si>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</si>
  <si>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</si>
  <si>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</si>
  <si>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</si>
  <si>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</si>
  <si>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</si>
  <si>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</si>
  <si>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</si>
  <si>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</si>
  <si>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</si>
  <si>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</si>
  <si>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</si>
  <si>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</si>
  <si>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</si>
  <si>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</si>
  <si>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</si>
  <si>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</si>
  <si>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</si>
  <si>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</si>
  <si>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</si>
  <si>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</si>
  <si>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</si>
  <si>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</si>
  <si>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</si>
  <si>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</si>
  <si>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</si>
  <si>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</si>
  <si>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</si>
  <si>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</si>
  <si>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</si>
  <si>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</si>
  <si>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</si>
  <si>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</si>
  <si>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</si>
  <si>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</si>
  <si>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</si>
  <si>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</si>
  <si>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</si>
  <si>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category</t>
  </si>
  <si>
    <t>sales_region</t>
  </si>
  <si>
    <t>order_month</t>
  </si>
  <si>
    <t>order_quarters</t>
  </si>
  <si>
    <t>unit_cost</t>
  </si>
  <si>
    <t>profit_margin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</si>
  <si>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</si>
  <si>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</si>
  <si>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</si>
  <si>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</si>
  <si>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</si>
  <si>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</si>
  <si>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</si>
  <si>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</si>
  <si>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</si>
  <si>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</si>
  <si>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</si>
  <si>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</si>
  <si>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</si>
  <si>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</si>
  <si>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</si>
  <si>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</si>
  <si>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</si>
  <si>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</si>
  <si>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</si>
  <si>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</si>
  <si>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</si>
  <si>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</si>
  <si>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</si>
  <si>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</si>
  <si>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</si>
  <si>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</si>
  <si>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</si>
  <si>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</si>
  <si>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</si>
  <si>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</si>
  <si>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</si>
  <si>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</si>
  <si>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</si>
  <si>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</si>
  <si>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</si>
  <si>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</si>
  <si>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</si>
  <si>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</si>
  <si>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</si>
  <si>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</si>
  <si>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</si>
  <si>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</si>
  <si>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</si>
  <si>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</si>
  <si>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</si>
  <si>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</si>
  <si>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</si>
  <si>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</si>
  <si>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</si>
  <si>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</si>
  <si>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</si>
  <si>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</si>
  <si>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</si>
  <si>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</si>
  <si>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</si>
  <si>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</si>
  <si>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</si>
  <si>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</si>
  <si>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</si>
  <si>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</si>
  <si>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</si>
  <si>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</si>
  <si>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</si>
  <si>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</si>
  <si>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</si>
  <si>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</si>
  <si>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</si>
  <si>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</si>
  <si>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</si>
  <si>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</si>
  <si>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</si>
  <si>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</si>
  <si>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</si>
  <si>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</si>
  <si>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</si>
  <si>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</si>
  <si>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</si>
  <si>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</si>
  <si>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</si>
  <si>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</si>
  <si>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</si>
  <si>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</si>
  <si>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</si>
  <si>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</si>
  <si>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</si>
  <si>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</si>
  <si>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</si>
  <si>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</si>
  <si>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</si>
  <si>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</si>
  <si>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</si>
  <si>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</si>
  <si>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</si>
  <si>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</si>
  <si>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</si>
  <si>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</si>
  <si>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</si>
  <si>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</si>
  <si>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</si>
  <si>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</si>
  <si>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</si>
  <si>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</si>
  <si>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</si>
  <si>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</si>
  <si>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</si>
  <si>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</si>
  <si>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</si>
  <si>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</si>
  <si>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</si>
  <si>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</si>
  <si>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</si>
  <si>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</si>
  <si>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</si>
  <si>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</si>
  <si>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</si>
  <si>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</si>
  <si>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</si>
  <si>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</si>
  <si>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</si>
  <si>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</si>
  <si>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</si>
  <si>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</si>
  <si>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</si>
  <si>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</si>
  <si>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</si>
  <si>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</si>
  <si>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</si>
  <si>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</si>
  <si>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</si>
  <si>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</si>
  <si>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</si>
  <si>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</si>
  <si>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</si>
  <si>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</si>
  <si>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</si>
  <si>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</si>
  <si>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</si>
  <si>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</si>
  <si>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</si>
  <si>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</si>
  <si>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</si>
  <si>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</si>
  <si>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</si>
  <si>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</si>
  <si>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</si>
  <si>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</si>
  <si>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</si>
  <si>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</si>
  <si>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</si>
  <si>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</si>
  <si>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</si>
  <si>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</si>
  <si>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</si>
  <si>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</si>
  <si>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</si>
  <si>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</si>
  <si>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</si>
  <si>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</si>
  <si>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</si>
  <si>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</si>
  <si>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</si>
  <si>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</si>
  <si>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</si>
  <si>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</si>
  <si>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</si>
  <si>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</si>
  <si>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</si>
  <si>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</si>
  <si>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</si>
  <si>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</si>
  <si>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</si>
  <si>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</si>
  <si>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</si>
  <si>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</si>
  <si>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</si>
  <si>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</si>
  <si>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</si>
  <si>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</si>
  <si>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</si>
  <si>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</si>
  <si>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</si>
  <si>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</si>
  <si>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</si>
  <si>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</si>
  <si>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</si>
  <si>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</si>
  <si>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</si>
  <si>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</si>
  <si>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</si>
  <si>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</si>
  <si>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</si>
  <si>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</si>
  <si>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</si>
  <si>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</si>
  <si>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</si>
  <si>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</si>
  <si>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</si>
  <si>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</si>
  <si>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</si>
  <si>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</si>
  <si>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</si>
  <si>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</si>
  <si>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</si>
  <si>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</si>
  <si>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</si>
  <si>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</si>
  <si>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</si>
  <si>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</si>
  <si>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</si>
  <si>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</si>
  <si>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</si>
  <si>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</si>
  <si>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</si>
  <si>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</si>
  <si>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</si>
  <si>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</si>
  <si>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</si>
  <si>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</si>
  <si>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</si>
  <si>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</si>
  <si>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</si>
  <si>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</si>
  <si>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</si>
  <si>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</si>
  <si>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</si>
  <si>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</si>
  <si>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</si>
  <si>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</si>
  <si>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</si>
  <si>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</si>
  <si>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</si>
  <si>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</si>
  <si>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</si>
  <si>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</si>
  <si>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</si>
  <si>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</si>
  <si>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</si>
  <si>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</si>
  <si>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</si>
  <si>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</si>
  <si>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</si>
  <si>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</si>
  <si>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</si>
  <si>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</si>
  <si>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</si>
  <si>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</si>
  <si>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</si>
  <si>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</si>
  <si>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</si>
  <si>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</si>
  <si>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</si>
  <si>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</si>
  <si>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</si>
  <si>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</si>
  <si>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</si>
  <si>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</si>
  <si>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</si>
  <si>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</si>
  <si>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</si>
  <si>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</si>
  <si>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</si>
  <si>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</si>
  <si>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</si>
  <si>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</si>
  <si>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</si>
  <si>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</si>
  <si>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</si>
  <si>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</si>
  <si>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</si>
  <si>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</si>
  <si>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</si>
  <si>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</si>
  <si>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</si>
  <si>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</si>
  <si>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</si>
  <si>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</si>
  <si>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</si>
  <si>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</si>
  <si>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</si>
  <si>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</si>
  <si>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</si>
  <si>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</si>
  <si>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</si>
  <si>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</si>
  <si>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</si>
  <si>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</si>
  <si>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</si>
  <si>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</si>
  <si>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</si>
  <si>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</si>
  <si>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</si>
  <si>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</si>
  <si>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</si>
  <si>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</si>
  <si>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</si>
  <si>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</si>
  <si>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</si>
  <si>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</si>
  <si>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</si>
  <si>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</si>
  <si>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</si>
  <si>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</si>
  <si>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</si>
  <si>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</si>
  <si>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</si>
  <si>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</si>
  <si>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</si>
  <si>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</si>
  <si>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</si>
  <si>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</si>
  <si>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</si>
  <si>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</si>
  <si>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</si>
  <si>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</si>
  <si>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</si>
  <si>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</si>
  <si>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</si>
  <si>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</si>
  <si>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</si>
  <si>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</si>
  <si>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</si>
  <si>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</si>
  <si>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</si>
  <si>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</si>
  <si>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</si>
  <si>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</si>
  <si>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</si>
  <si>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</si>
  <si>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</si>
  <si>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</si>
  <si>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</si>
  <si>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</si>
  <si>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</si>
  <si>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</si>
  <si>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</si>
  <si>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</si>
  <si>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</si>
  <si>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</si>
  <si>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</si>
  <si>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</si>
  <si>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</si>
  <si>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</si>
  <si>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</si>
  <si>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</si>
  <si>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</si>
  <si>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</si>
  <si>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</si>
  <si>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</si>
  <si>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</si>
  <si>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</si>
  <si>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</si>
  <si>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</si>
  <si>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</si>
  <si>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</si>
  <si>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</si>
  <si>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</si>
  <si>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</si>
  <si>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</si>
  <si>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</si>
  <si>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</si>
  <si>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</si>
  <si>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</si>
  <si>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</si>
  <si>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</si>
  <si>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</si>
  <si>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</si>
  <si>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</si>
  <si>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</si>
  <si>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</si>
  <si>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</si>
  <si>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</si>
  <si>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</si>
  <si>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</si>
  <si>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</si>
  <si>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</si>
  <si>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</si>
  <si>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</si>
  <si>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</si>
  <si>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</si>
  <si>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</si>
  <si>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</si>
  <si>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</si>
  <si>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</si>
  <si>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</si>
  <si>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</si>
  <si>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</si>
  <si>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</si>
  <si>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</si>
  <si>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</si>
  <si>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</si>
  <si>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</si>
  <si>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</si>
  <si>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</si>
  <si>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</si>
  <si>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</si>
  <si>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</si>
  <si>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</si>
  <si>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</si>
  <si>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</si>
  <si>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</si>
  <si>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</si>
  <si>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</si>
  <si>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</si>
  <si>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</si>
  <si>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</si>
  <si>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</si>
  <si>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</si>
  <si>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</si>
  <si>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</si>
  <si>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</si>
  <si>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</si>
  <si>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</si>
  <si>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</si>
  <si>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</si>
  <si>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</si>
  <si>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</si>
  <si>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</si>
  <si>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</si>
  <si>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</si>
  <si>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</si>
  <si>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</si>
  <si>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</si>
  <si>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</si>
  <si>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</si>
  <si>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</si>
  <si>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</si>
  <si>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</si>
  <si>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</si>
  <si>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</si>
  <si>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</si>
  <si>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</si>
  <si>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</si>
  <si>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</si>
  <si>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</si>
  <si>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</si>
  <si>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</si>
  <si>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</si>
  <si>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</si>
  <si>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</si>
  <si>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</si>
  <si>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</si>
  <si>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</si>
  <si>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</si>
  <si>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</si>
  <si>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</si>
  <si>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</si>
  <si>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</si>
  <si>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</si>
  <si>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</si>
  <si>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</si>
  <si>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</si>
  <si>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</si>
  <si>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</si>
  <si>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</si>
  <si>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</si>
  <si>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</si>
  <si>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</si>
  <si>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</si>
  <si>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</si>
  <si>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</si>
  <si>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</si>
  <si>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</si>
  <si>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</si>
  <si>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</si>
  <si>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</si>
  <si>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</si>
  <si>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</si>
  <si>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</si>
  <si>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</si>
  <si>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</si>
  <si>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</si>
  <si>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</si>
  <si>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</si>
  <si>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</si>
  <si>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</si>
  <si>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</si>
  <si>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</si>
  <si>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</si>
  <si>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</si>
  <si>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</si>
  <si>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</si>
  <si>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</si>
  <si>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</si>
  <si>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</si>
  <si>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</si>
  <si>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</si>
  <si>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</si>
  <si>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</si>
  <si>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</si>
  <si>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</si>
  <si>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</si>
  <si>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</si>
  <si>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</si>
  <si>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</si>
  <si>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</si>
  <si>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</si>
  <si>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</si>
  <si>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</si>
  <si>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</si>
  <si>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</si>
  <si>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</si>
  <si>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</si>
  <si>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</si>
  <si>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</si>
  <si>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</si>
  <si>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</si>
  <si>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</si>
  <si>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</si>
  <si>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</si>
  <si>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</si>
  <si>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</si>
  <si>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</si>
  <si>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</si>
  <si>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</si>
  <si>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</si>
  <si>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</si>
  <si>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</si>
  <si>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</si>
  <si>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</si>
  <si>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</si>
  <si>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</si>
  <si>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</si>
  <si>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</si>
  <si>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</si>
  <si>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</si>
  <si>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</si>
  <si>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</si>
  <si>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</si>
  <si>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</si>
  <si>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</si>
  <si>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</si>
  <si>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</si>
  <si>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</si>
  <si>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</si>
  <si>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</si>
  <si>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</si>
  <si>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</si>
  <si>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</si>
  <si>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</si>
  <si>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</si>
  <si>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</si>
  <si>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</si>
  <si>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</si>
  <si>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</si>
  <si>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</si>
  <si>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</si>
  <si>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</si>
  <si>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</si>
  <si>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</si>
  <si>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</si>
  <si>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</si>
  <si>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</si>
  <si>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</si>
  <si>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</si>
  <si>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</si>
  <si>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</si>
  <si>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</si>
  <si>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</si>
  <si>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</si>
  <si>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</si>
  <si>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</si>
  <si>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</si>
  <si>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</si>
  <si>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</si>
  <si>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</si>
  <si>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</si>
  <si>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</si>
  <si>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</si>
  <si>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</si>
  <si>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</si>
  <si>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</si>
  <si>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</si>
  <si>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</si>
  <si>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</si>
  <si>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</si>
  <si>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</si>
  <si>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</si>
  <si>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</si>
  <si>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</si>
  <si>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</si>
  <si>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</si>
  <si>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</si>
  <si>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</si>
  <si>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</si>
  <si>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</si>
  <si>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</si>
  <si>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</si>
  <si>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</si>
  <si>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</si>
  <si>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</si>
  <si>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</si>
  <si>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</si>
  <si>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</si>
  <si>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</si>
  <si>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</si>
  <si>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</si>
  <si>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</si>
  <si>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</si>
  <si>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</si>
  <si>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</si>
  <si>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</si>
  <si>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</si>
  <si>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</si>
  <si>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</si>
  <si>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</si>
  <si>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</si>
  <si>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</si>
  <si>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</si>
  <si>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</si>
  <si>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</si>
  <si>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</si>
  <si>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</si>
  <si>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</si>
  <si>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</si>
  <si>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</si>
  <si>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</si>
  <si>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</si>
  <si>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</si>
  <si>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</si>
  <si>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</si>
  <si>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</si>
  <si>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</si>
  <si>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</si>
  <si>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</si>
  <si>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</si>
  <si>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</si>
  <si>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</si>
  <si>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</si>
  <si>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</si>
  <si>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</si>
  <si>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</si>
  <si>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</si>
  <si>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</si>
  <si>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</si>
  <si>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</si>
  <si>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</si>
  <si>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</si>
  <si>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</si>
  <si>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</si>
  <si>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</si>
  <si>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</si>
  <si>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</si>
  <si>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</si>
  <si>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</si>
  <si>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</si>
  <si>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</si>
  <si>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</si>
  <si>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</si>
  <si>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</si>
  <si>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</si>
  <si>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</si>
  <si>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</si>
  <si>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</si>
  <si>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</si>
  <si>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</si>
  <si>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</si>
  <si>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</si>
  <si>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</si>
  <si>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</si>
  <si>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</si>
  <si>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</si>
  <si>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</si>
  <si>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</si>
  <si>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</si>
  <si>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</si>
  <si>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</si>
  <si>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</si>
  <si>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</si>
  <si>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</si>
  <si>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</si>
  <si>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</si>
  <si>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</si>
  <si>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</si>
  <si>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</si>
  <si>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</si>
  <si>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</si>
  <si>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</si>
  <si>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</si>
  <si>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</si>
  <si>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</si>
  <si>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</si>
  <si>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</si>
  <si>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</si>
  <si>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</si>
  <si>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</si>
  <si>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</si>
  <si>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</si>
  <si>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</si>
  <si>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</si>
  <si>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</si>
  <si>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</si>
  <si>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</si>
  <si>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</si>
  <si>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</si>
  <si>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</si>
  <si>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</si>
  <si>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</si>
  <si>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</si>
  <si>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</si>
  <si>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</si>
  <si>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</si>
  <si>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</si>
  <si>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</si>
  <si>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</si>
  <si>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</si>
  <si>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</si>
  <si>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</si>
  <si>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</si>
  <si>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</si>
  <si>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</si>
  <si>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</si>
  <si>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</si>
  <si>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</si>
  <si>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</si>
  <si>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</si>
  <si>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</si>
  <si>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</si>
  <si>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</si>
  <si>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</si>
  <si>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</si>
  <si>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</si>
  <si>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</si>
  <si>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</si>
  <si>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</si>
  <si>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</si>
  <si>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</si>
  <si>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</si>
  <si>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</si>
  <si>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</si>
  <si>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</si>
  <si>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</si>
  <si>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</si>
  <si>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</si>
  <si>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</si>
  <si>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</si>
  <si>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</si>
  <si>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</si>
  <si>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</si>
  <si>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</si>
  <si>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</si>
  <si>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</si>
  <si>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</si>
  <si>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</si>
  <si>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</si>
  <si>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</si>
  <si>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</si>
  <si>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</si>
  <si>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</si>
  <si>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</si>
  <si>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</si>
  <si>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</si>
  <si>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</si>
  <si>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</si>
  <si>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</si>
  <si>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</si>
  <si>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</si>
  <si>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</si>
  <si>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</si>
  <si>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</si>
  <si>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</si>
  <si>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</si>
  <si>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</si>
  <si>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</si>
  <si>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</si>
  <si>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</si>
  <si>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</si>
  <si>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</si>
  <si>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</si>
  <si>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</si>
  <si>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</si>
  <si>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</si>
  <si>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</si>
  <si>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</si>
  <si>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</si>
  <si>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</si>
  <si>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</si>
  <si>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</si>
  <si>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</si>
  <si>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</si>
  <si>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</si>
  <si>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</si>
  <si>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</si>
  <si>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</si>
  <si>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</si>
  <si>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</si>
  <si>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</si>
  <si>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</si>
  <si>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</si>
  <si>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</si>
  <si>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</si>
  <si>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</si>
  <si>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</si>
  <si>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</si>
  <si>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</si>
  <si>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</si>
  <si>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</si>
  <si>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</si>
  <si>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</si>
  <si>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</si>
  <si>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</si>
  <si>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</si>
  <si>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</si>
  <si>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</si>
  <si>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</si>
  <si>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</si>
  <si>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</si>
  <si>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</si>
  <si>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</si>
  <si>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</si>
  <si>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</si>
  <si>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</si>
  <si>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</si>
  <si>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</si>
  <si>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</si>
  <si>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</si>
  <si>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</si>
  <si>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</si>
  <si>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</si>
  <si>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</si>
  <si>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</si>
  <si>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</si>
  <si>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</si>
  <si>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</si>
  <si>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</si>
  <si>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</si>
  <si>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</si>
  <si>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</si>
  <si>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</si>
  <si>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</si>
  <si>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</si>
  <si>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</si>
  <si>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</si>
  <si>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</si>
  <si>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</si>
  <si>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</si>
  <si>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</si>
  <si>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</si>
  <si>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</si>
  <si>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</si>
  <si>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</si>
  <si>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</si>
  <si>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</si>
  <si>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</si>
  <si>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</si>
  <si>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</si>
  <si>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</si>
  <si>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</si>
  <si>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</si>
  <si>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</si>
  <si>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</si>
  <si>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</si>
  <si>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</si>
  <si>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</si>
  <si>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</si>
  <si>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</si>
  <si>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</si>
  <si>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</si>
  <si>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</si>
  <si>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</si>
  <si>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</si>
  <si>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</si>
  <si>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</si>
  <si>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</si>
  <si>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</si>
  <si>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</si>
  <si>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</si>
  <si>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</si>
  <si>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</si>
  <si>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</si>
  <si>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</si>
  <si>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</si>
  <si>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</si>
  <si>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</si>
  <si>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</si>
  <si>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</si>
  <si>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</si>
  <si>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</si>
  <si>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</si>
  <si>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</si>
  <si>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</si>
  <si>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</si>
  <si>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</si>
  <si>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</si>
  <si>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</si>
  <si>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</si>
  <si>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</si>
  <si>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</si>
  <si>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</si>
  <si>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</si>
  <si>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</si>
  <si>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</si>
  <si>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</si>
  <si>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</si>
  <si>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</si>
  <si>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</si>
  <si>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</si>
  <si>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</si>
  <si>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</si>
  <si>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</si>
  <si>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</si>
  <si>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</si>
  <si>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</si>
  <si>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</si>
  <si>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</si>
  <si>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</si>
  <si>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</si>
  <si>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</si>
  <si>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</si>
  <si>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</si>
  <si>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</si>
  <si>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</si>
  <si>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</si>
  <si>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</si>
  <si>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</si>
  <si>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</si>
  <si>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</si>
  <si>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</si>
  <si>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</si>
  <si>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</si>
  <si>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</si>
  <si>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</si>
  <si>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</si>
  <si>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</si>
  <si>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</si>
  <si>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</si>
  <si>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</si>
  <si>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</si>
  <si>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</si>
  <si>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</si>
  <si>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</si>
  <si>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</si>
  <si>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</si>
  <si>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</si>
  <si>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</si>
  <si>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</si>
  <si>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</si>
  <si>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</si>
  <si>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</si>
  <si>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</si>
  <si>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</si>
  <si>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</si>
  <si>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</si>
  <si>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</si>
  <si>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</si>
  <si>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</si>
  <si>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</si>
  <si>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</si>
  <si>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</si>
  <si>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</si>
  <si>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</si>
  <si>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</si>
  <si>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</si>
  <si>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</si>
  <si>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</si>
  <si>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</si>
  <si>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</si>
  <si>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</si>
  <si>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</si>
  <si>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</si>
  <si>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</si>
  <si>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</si>
  <si>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</si>
  <si>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</si>
  <si>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</si>
  <si>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</si>
  <si>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</si>
  <si>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</si>
  <si>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</si>
  <si>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</si>
  <si>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</si>
  <si>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</si>
  <si>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</si>
  <si>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</si>
  <si>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</si>
  <si>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</si>
  <si>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</si>
  <si>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</si>
  <si>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</si>
  <si>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</si>
  <si>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</si>
  <si>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</si>
  <si>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</si>
  <si>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</si>
  <si>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</si>
  <si>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</si>
  <si>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</si>
  <si>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</si>
  <si>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</si>
  <si>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</si>
  <si>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</si>
  <si>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</si>
  <si>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</si>
  <si>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</si>
  <si>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</si>
  <si>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</si>
  <si>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</si>
  <si>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</si>
  <si>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</si>
  <si>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</si>
  <si>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</si>
  <si>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</si>
  <si>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</si>
  <si>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</si>
  <si>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</si>
  <si>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</si>
  <si>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</si>
  <si>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</si>
  <si>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</si>
  <si>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</si>
  <si>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</si>
  <si>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</si>
  <si>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</si>
  <si>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</si>
  <si>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</si>
  <si>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</si>
  <si>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</si>
  <si>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</si>
  <si>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</si>
  <si>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</si>
  <si>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</si>
  <si>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</si>
  <si>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</si>
  <si>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</si>
  <si>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</si>
  <si>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</si>
  <si>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</si>
  <si>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</si>
  <si>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</si>
  <si>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</si>
  <si>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</si>
  <si>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</si>
  <si>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</si>
  <si>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</si>
  <si>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</si>
  <si>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</si>
  <si>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</si>
  <si>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</si>
  <si>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</si>
  <si>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</si>
  <si>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</si>
  <si>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</si>
  <si>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</si>
  <si>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</si>
  <si>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</si>
  <si>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</si>
  <si>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</si>
  <si>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</si>
  <si>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</si>
  <si>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</si>
  <si>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</si>
  <si>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</si>
  <si>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</si>
  <si>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</si>
  <si>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</si>
  <si>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</si>
  <si>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</si>
  <si>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</si>
  <si>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</si>
  <si>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</si>
  <si>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</si>
  <si>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</si>
  <si>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</si>
  <si>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</si>
  <si>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</si>
  <si>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</si>
  <si>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</si>
  <si>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</si>
  <si>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</si>
  <si>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</si>
  <si>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</si>
  <si>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</si>
  <si>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</si>
  <si>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</si>
  <si>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</si>
  <si>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</si>
  <si>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</si>
  <si>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</si>
  <si>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</si>
  <si>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</si>
  <si>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</si>
  <si>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</si>
  <si>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</si>
  <si>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</si>
  <si>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</si>
  <si>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</si>
  <si>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</si>
  <si>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</si>
  <si>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</si>
  <si>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</si>
  <si>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</si>
  <si>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</si>
  <si>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</si>
  <si>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</si>
  <si>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</si>
  <si>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</si>
  <si>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</si>
  <si>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</si>
  <si>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</si>
  <si>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</si>
  <si>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</si>
  <si>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</si>
  <si>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</si>
  <si>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</si>
  <si>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</si>
  <si>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</si>
  <si>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</si>
  <si>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</si>
  <si>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</si>
  <si>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</si>
  <si>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</si>
  <si>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</si>
  <si>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</si>
  <si>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</si>
  <si>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</si>
  <si>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</si>
  <si>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</si>
  <si>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</si>
  <si>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</si>
  <si>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</si>
  <si>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</si>
  <si>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</si>
  <si>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</si>
  <si>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</si>
  <si>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</si>
  <si>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</si>
  <si>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</si>
  <si>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</si>
  <si>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</si>
  <si>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</si>
  <si>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</si>
  <si>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</si>
  <si>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</si>
  <si>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</si>
  <si>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</si>
  <si>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</si>
  <si>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</si>
  <si>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</si>
  <si>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</si>
  <si>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</si>
  <si>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</si>
  <si>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</si>
  <si>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</si>
  <si>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</si>
  <si>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</si>
  <si>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</si>
  <si>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</si>
  <si>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</si>
  <si>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</si>
  <si>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</si>
  <si>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</si>
  <si>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</si>
  <si>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</si>
  <si>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</si>
  <si>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</si>
  <si>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</si>
  <si>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</si>
  <si>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</si>
  <si>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</si>
  <si>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</si>
  <si>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</si>
  <si>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</si>
  <si>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</si>
  <si>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</si>
  <si>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</si>
  <si>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</si>
  <si>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</si>
  <si>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</si>
  <si>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</si>
  <si>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</si>
  <si>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</si>
  <si>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</si>
  <si>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</si>
  <si>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</si>
  <si>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</si>
  <si>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</si>
  <si>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</si>
  <si>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</si>
  <si>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</si>
  <si>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</si>
  <si>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</si>
  <si>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</si>
  <si>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</si>
  <si>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</si>
  <si>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</si>
  <si>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</si>
  <si>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</si>
  <si>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</si>
  <si>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</si>
  <si>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</si>
  <si>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</si>
  <si>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</si>
  <si>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</si>
  <si>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</si>
  <si>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</si>
  <si>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</si>
  <si>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</si>
  <si>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</si>
  <si>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</si>
  <si>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</si>
  <si>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</si>
  <si>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</si>
  <si>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</si>
  <si>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</si>
  <si>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</si>
  <si>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</si>
  <si>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</si>
  <si>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</si>
  <si>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</si>
  <si>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</si>
  <si>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</si>
  <si>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</si>
  <si>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</si>
  <si>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</si>
  <si>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</si>
  <si>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</si>
  <si>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</si>
  <si>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</si>
  <si>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</si>
  <si>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</si>
  <si>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</si>
  <si>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</si>
  <si>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</si>
  <si>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</si>
  <si>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</si>
  <si>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</si>
  <si>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</si>
  <si>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</si>
  <si>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</si>
  <si>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</si>
  <si>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</si>
  <si>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</si>
  <si>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</si>
  <si>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</si>
  <si>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</si>
  <si>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</si>
  <si>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</si>
  <si>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</si>
  <si>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</si>
  <si>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</si>
  <si>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</si>
  <si>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</si>
  <si>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</si>
  <si>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</si>
  <si>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</si>
  <si>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</si>
  <si>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</si>
  <si>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</si>
  <si>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</si>
  <si>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</si>
  <si>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</si>
  <si>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</si>
  <si>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</si>
  <si>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</si>
  <si>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</si>
  <si>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</si>
  <si>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</si>
  <si>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</si>
  <si>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</si>
  <si>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</si>
  <si>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</si>
  <si>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</si>
  <si>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</si>
  <si>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</si>
  <si>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</si>
  <si>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</si>
  <si>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</si>
  <si>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</si>
  <si>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</si>
  <si>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</si>
  <si>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</si>
  <si>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</si>
  <si>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</si>
  <si>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</si>
  <si>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</si>
  <si>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</si>
  <si>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</si>
  <si>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</si>
  <si>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</si>
  <si>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</si>
  <si>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</si>
  <si>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</si>
  <si>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</si>
  <si>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</si>
  <si>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</si>
  <si>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</si>
  <si>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</si>
  <si>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</si>
  <si>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</si>
  <si>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</si>
  <si>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</si>
  <si>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</si>
  <si>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</si>
  <si>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</si>
  <si>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</si>
  <si>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</si>
  <si>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</si>
  <si>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</si>
  <si>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</si>
  <si>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</si>
  <si>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</si>
  <si>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</si>
  <si>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</si>
  <si>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</si>
  <si>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</si>
  <si>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</si>
  <si>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</si>
  <si>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</si>
  <si>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</si>
  <si>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</si>
  <si>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</si>
  <si>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</si>
  <si>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</si>
  <si>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</si>
  <si>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</si>
  <si>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</si>
  <si>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</si>
  <si>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</si>
  <si>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</si>
  <si>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</si>
  <si>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</si>
  <si>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</si>
  <si>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</si>
  <si>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</si>
  <si>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</si>
  <si>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</si>
  <si>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</si>
  <si>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</si>
  <si>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</si>
  <si>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</si>
  <si>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</si>
  <si>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</si>
  <si>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</si>
  <si>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</si>
  <si>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</si>
  <si>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</si>
  <si>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</si>
  <si>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</si>
  <si>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</si>
  <si>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</si>
  <si>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</si>
  <si>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</si>
  <si>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</si>
  <si>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</si>
  <si>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</si>
  <si>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</si>
  <si>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</si>
  <si>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</si>
  <si>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</si>
  <si>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</si>
  <si>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</si>
  <si>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</si>
  <si>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</si>
  <si>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</si>
  <si>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</si>
  <si>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</si>
  <si>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</si>
  <si>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</si>
  <si>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</si>
  <si>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</si>
  <si>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</si>
  <si>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</si>
  <si>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</si>
  <si>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</si>
  <si>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</si>
  <si>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</si>
  <si>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</si>
  <si>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</si>
  <si>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</si>
  <si>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</si>
  <si>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</si>
  <si>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</si>
  <si>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</si>
  <si>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</si>
  <si>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</si>
  <si>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</si>
  <si>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</si>
  <si>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</si>
  <si>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</si>
  <si>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</si>
  <si>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</si>
  <si>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</si>
  <si>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</si>
  <si>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</si>
  <si>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</si>
  <si>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</si>
  <si>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</si>
  <si>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</si>
  <si>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</si>
  <si>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</si>
  <si>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</si>
  <si>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</si>
  <si>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</si>
  <si>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</si>
  <si>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</si>
  <si>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</si>
  <si>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</si>
  <si>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</si>
  <si>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</si>
  <si>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</si>
  <si>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</si>
  <si>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</si>
  <si>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</si>
  <si>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</si>
  <si>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</si>
  <si>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</si>
  <si>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</si>
  <si>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</si>
  <si>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</si>
  <si>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</si>
  <si>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</si>
  <si>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</si>
  <si>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</si>
  <si>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</si>
  <si>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</si>
  <si>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</si>
  <si>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</si>
  <si>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</si>
  <si>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</si>
  <si>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</si>
  <si>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</si>
  <si>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</si>
  <si>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</si>
  <si>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</si>
  <si>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</si>
  <si>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</si>
  <si>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</si>
  <si>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</si>
  <si>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</si>
  <si>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</si>
  <si>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</si>
  <si>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</si>
  <si>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</si>
  <si>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</si>
  <si>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</si>
  <si>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</si>
  <si>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</si>
  <si>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</si>
  <si>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</si>
  <si>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</si>
  <si>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</si>
  <si>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</si>
  <si>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</si>
  <si>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</si>
  <si>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</si>
  <si>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</si>
  <si>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</si>
  <si>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</si>
  <si>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</si>
  <si>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</si>
  <si>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</si>
  <si>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</si>
  <si>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</si>
  <si>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</si>
  <si>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</si>
  <si>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</si>
  <si>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</si>
  <si>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</si>
  <si>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</si>
  <si>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</si>
  <si>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</si>
  <si>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</si>
  <si>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</si>
  <si>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</si>
  <si>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</si>
  <si>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</si>
  <si>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</si>
  <si>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</si>
  <si>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</si>
  <si>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</si>
  <si>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</si>
  <si>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</si>
  <si>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</si>
  <si>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</si>
  <si>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</si>
  <si>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</si>
  <si>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</si>
  <si>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</si>
  <si>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</si>
  <si>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</si>
  <si>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</si>
  <si>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</si>
  <si>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</si>
  <si>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</si>
  <si>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</si>
  <si>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</si>
  <si>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</si>
  <si>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</si>
  <si>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</si>
  <si>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</si>
  <si>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</si>
  <si>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</si>
  <si>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</si>
  <si>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</si>
  <si>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</si>
  <si>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</si>
  <si>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</si>
  <si>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</si>
  <si>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</si>
  <si>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</si>
  <si>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</si>
  <si>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</si>
  <si>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</si>
  <si>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</si>
  <si>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</si>
  <si>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</si>
  <si>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</si>
  <si>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</si>
  <si>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</si>
  <si>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</si>
  <si>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</si>
  <si>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</si>
  <si>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</si>
  <si>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</si>
  <si>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</si>
  <si>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</si>
  <si>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</si>
  <si>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</si>
  <si>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</si>
  <si>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</si>
  <si>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</si>
  <si>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</si>
  <si>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</si>
  <si>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</si>
  <si>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</si>
  <si>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</si>
  <si>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</si>
  <si>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</si>
  <si>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</si>
  <si>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</si>
  <si>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</si>
  <si>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</si>
  <si>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</si>
  <si>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</si>
  <si>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</si>
  <si>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</si>
  <si>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</si>
  <si>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</si>
  <si>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</si>
  <si>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</si>
  <si>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</si>
  <si>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</si>
  <si>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</si>
  <si>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</si>
  <si>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</si>
  <si>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</si>
  <si>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</si>
  <si>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</si>
  <si>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</si>
  <si>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</si>
  <si>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</si>
  <si>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</si>
  <si>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</si>
  <si>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</si>
  <si>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</si>
  <si>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</si>
  <si>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</si>
  <si>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</si>
  <si>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</si>
  <si>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</si>
  <si>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</si>
  <si>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</si>
  <si>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</si>
  <si>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</si>
  <si>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</si>
  <si>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</si>
  <si>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</si>
  <si>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</si>
  <si>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</si>
  <si>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</si>
  <si>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</si>
  <si>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</si>
  <si>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</si>
  <si>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</si>
  <si>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</si>
  <si>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</si>
  <si>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</si>
  <si>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</si>
  <si>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</si>
  <si>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</si>
  <si>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</si>
  <si>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</si>
  <si>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</si>
  <si>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</si>
  <si>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</si>
  <si>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</si>
  <si>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</si>
  <si>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</si>
  <si>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</si>
  <si>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</si>
  <si>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</si>
  <si>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</si>
  <si>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</si>
  <si>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</si>
  <si>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</si>
  <si>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</si>
  <si>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</si>
  <si>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</si>
  <si>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</si>
  <si>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</si>
  <si>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</si>
  <si>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</si>
  <si>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</si>
  <si>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</si>
  <si>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</si>
  <si>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</si>
  <si>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</si>
  <si>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</si>
  <si>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</si>
  <si>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</si>
  <si>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</si>
  <si>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</si>
  <si>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</si>
  <si>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</si>
  <si>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</si>
  <si>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</si>
  <si>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</si>
  <si>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</si>
  <si>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</si>
  <si>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</si>
  <si>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</si>
  <si>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</si>
  <si>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</si>
  <si>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</si>
  <si>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</si>
  <si>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</si>
  <si>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</si>
  <si>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</si>
  <si>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</si>
  <si>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</si>
  <si>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</si>
  <si>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</si>
  <si>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</si>
  <si>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</si>
  <si>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</si>
  <si>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</si>
  <si>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</si>
  <si>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</si>
  <si>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</si>
  <si>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</si>
  <si>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</si>
  <si>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</si>
  <si>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</si>
  <si>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</si>
  <si>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</si>
  <si>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</si>
  <si>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</si>
  <si>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</si>
  <si>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</si>
  <si>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</si>
  <si>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</si>
  <si>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</si>
  <si>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</si>
  <si>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</si>
  <si>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</si>
  <si>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</si>
  <si>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</si>
  <si>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</si>
  <si>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</si>
  <si>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</si>
  <si>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</si>
  <si>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</si>
  <si>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</si>
  <si>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</si>
  <si>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</si>
  <si>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</si>
  <si>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</si>
  <si>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</si>
  <si>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</si>
  <si>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</si>
  <si>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</si>
  <si>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</si>
  <si>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</si>
  <si>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</si>
  <si>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</si>
  <si>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</si>
  <si>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</si>
  <si>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</si>
  <si>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</si>
  <si>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</si>
  <si>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</si>
  <si>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</si>
  <si>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</si>
  <si>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</si>
  <si>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</si>
  <si>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</si>
  <si>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</si>
  <si>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</si>
  <si>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</si>
  <si>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</si>
  <si>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</si>
  <si>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</si>
  <si>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</si>
  <si>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</si>
  <si>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</si>
  <si>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</si>
  <si>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</si>
  <si>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</si>
  <si>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</si>
  <si>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</si>
  <si>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</si>
  <si>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</si>
  <si>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</si>
  <si>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</si>
  <si>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</si>
  <si>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</si>
  <si>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</si>
  <si>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</si>
  <si>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</si>
  <si>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</si>
  <si>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</si>
  <si>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</si>
  <si>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</si>
  <si>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</si>
  <si>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</si>
  <si>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</si>
  <si>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</si>
  <si>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</si>
  <si>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</si>
  <si>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</si>
  <si>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</si>
  <si>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</si>
  <si>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</si>
  <si>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</si>
  <si>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</si>
  <si>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</si>
  <si>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</si>
  <si>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</si>
  <si>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</si>
  <si>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</si>
  <si>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</si>
  <si>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</si>
  <si>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</si>
  <si>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</si>
  <si>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</si>
  <si>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</si>
  <si>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</si>
  <si>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</si>
  <si>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</si>
  <si>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</si>
  <si>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</si>
  <si>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</si>
  <si>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</si>
  <si>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</si>
  <si>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</si>
  <si>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</si>
  <si>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</si>
  <si>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</si>
  <si>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</si>
  <si>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</si>
  <si>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</si>
  <si>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</si>
  <si>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</si>
  <si>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</si>
  <si>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</si>
  <si>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</si>
  <si>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</si>
  <si>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</si>
  <si>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</si>
  <si>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</si>
  <si>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</si>
  <si>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</si>
  <si>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</si>
  <si>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</si>
  <si>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</si>
  <si>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</si>
  <si>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</si>
  <si>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</si>
  <si>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</si>
  <si>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</si>
  <si>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</si>
  <si>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</si>
  <si>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</si>
  <si>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</si>
  <si>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</si>
  <si>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</si>
  <si>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</si>
  <si>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</si>
  <si>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</si>
  <si>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</si>
  <si>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</si>
  <si>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</si>
  <si>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</si>
  <si>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</si>
  <si>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</si>
  <si>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</si>
  <si>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</si>
  <si>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</si>
  <si>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</si>
  <si>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</si>
  <si>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</si>
  <si>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</si>
  <si>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</si>
  <si>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</si>
  <si>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</si>
  <si>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</si>
  <si>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</si>
  <si>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</si>
  <si>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</si>
  <si>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</si>
  <si>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</si>
  <si>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</si>
  <si>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</si>
  <si>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</si>
  <si>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</si>
  <si>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</si>
  <si>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</si>
  <si>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</si>
  <si>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</si>
  <si>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</si>
  <si>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</si>
  <si>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</si>
  <si>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</si>
  <si>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</si>
  <si>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</si>
  <si>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</si>
  <si>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</si>
  <si>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</si>
  <si>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</si>
  <si>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</si>
  <si>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</si>
  <si>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</si>
  <si>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</si>
  <si>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</si>
  <si>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</si>
  <si>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</si>
  <si>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</si>
  <si>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</si>
  <si>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</si>
  <si>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</si>
  <si>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</si>
  <si>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</si>
  <si>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</si>
  <si>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</si>
  <si>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</si>
  <si>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</si>
  <si>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</si>
  <si>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</si>
  <si>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</si>
  <si>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</si>
  <si>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</si>
  <si>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</si>
  <si>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</si>
  <si>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</si>
  <si>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</si>
  <si>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</si>
  <si>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</si>
  <si>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</si>
  <si>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</si>
  <si>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</si>
  <si>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</si>
  <si>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</si>
  <si>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</si>
  <si>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</si>
  <si>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</si>
  <si>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</si>
  <si>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</si>
  <si>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</si>
  <si>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</si>
  <si>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</si>
  <si>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</si>
  <si>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</si>
  <si>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</si>
  <si>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</si>
  <si>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</si>
  <si>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</si>
  <si>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</si>
  <si>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</si>
  <si>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</si>
  <si>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</si>
  <si>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</si>
  <si>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</si>
  <si>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</si>
  <si>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</si>
  <si>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</si>
  <si>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</si>
  <si>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</si>
  <si>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</si>
  <si>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</si>
  <si>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</si>
  <si>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</si>
  <si>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</si>
  <si>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</si>
  <si>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</si>
  <si>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</si>
  <si>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</si>
  <si>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</si>
  <si>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</si>
  <si>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</si>
  <si>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</si>
  <si>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</si>
  <si>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</si>
  <si>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</si>
  <si>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</si>
  <si>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</si>
  <si>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</si>
  <si>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</si>
  <si>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</si>
  <si>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</si>
  <si>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</si>
  <si>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</si>
  <si>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</si>
  <si>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</si>
  <si>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</si>
  <si>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</si>
  <si>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</si>
  <si>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</si>
  <si>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</si>
  <si>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</si>
  <si>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</si>
  <si>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</si>
  <si>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</si>
  <si>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</si>
  <si>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</si>
  <si>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</si>
  <si>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</si>
  <si>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</si>
  <si>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</si>
  <si>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</si>
  <si>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</si>
  <si>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</si>
  <si>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</si>
  <si>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</si>
  <si>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</si>
  <si>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</si>
  <si>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</si>
  <si>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</si>
  <si>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</si>
  <si>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</si>
  <si>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</si>
  <si>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</si>
  <si>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</si>
  <si>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</si>
  <si>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</si>
  <si>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</si>
  <si>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</si>
  <si>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</si>
  <si>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</si>
  <si>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</si>
  <si>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</si>
  <si>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</si>
  <si>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</si>
  <si>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</si>
  <si>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</si>
  <si>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</si>
  <si>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</si>
  <si>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</si>
  <si>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</si>
  <si>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</si>
  <si>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</si>
  <si>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</si>
  <si>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</si>
  <si>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</si>
  <si>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</si>
  <si>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</si>
  <si>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</si>
  <si>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</si>
  <si>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</si>
  <si>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</si>
  <si>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</si>
  <si>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</si>
  <si>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</si>
  <si>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</si>
  <si>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</si>
  <si>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</si>
  <si>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</si>
  <si>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</si>
  <si>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</si>
  <si>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</si>
  <si>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</si>
  <si>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</si>
  <si>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</si>
  <si>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</si>
  <si>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</si>
  <si>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</si>
  <si>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</si>
  <si>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</si>
  <si>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</si>
  <si>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</si>
  <si>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</si>
  <si>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</si>
  <si>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</si>
  <si>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</si>
  <si>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</si>
  <si>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</si>
  <si>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</si>
  <si>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</si>
  <si>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</si>
  <si>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</si>
  <si>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</si>
  <si>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</si>
  <si>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</si>
  <si>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</si>
  <si>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</si>
  <si>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</si>
  <si>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</si>
  <si>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</si>
  <si>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</si>
  <si>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</si>
  <si>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</si>
  <si>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</si>
  <si>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</si>
  <si>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</si>
  <si>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</si>
  <si>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</si>
  <si>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</si>
  <si>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</si>
  <si>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</si>
  <si>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</si>
  <si>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</si>
  <si>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</si>
  <si>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</si>
  <si>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</si>
  <si>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</si>
  <si>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</si>
  <si>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</si>
  <si>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</si>
  <si>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</si>
  <si>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</si>
  <si>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</si>
  <si>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</si>
  <si>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</si>
  <si>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</si>
  <si>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</si>
  <si>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</si>
  <si>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</si>
  <si>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</si>
  <si>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</si>
  <si>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</si>
  <si>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</si>
  <si>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</si>
  <si>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</si>
  <si>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</si>
  <si>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</si>
  <si>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</si>
  <si>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</si>
  <si>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</si>
  <si>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</si>
  <si>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</si>
  <si>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</si>
  <si>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</si>
  <si>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</si>
  <si>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</si>
  <si>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</si>
  <si>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</si>
  <si>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</si>
  <si>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</si>
  <si>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</si>
  <si>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</si>
  <si>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</si>
  <si>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</si>
  <si>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</si>
  <si>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</si>
  <si>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</si>
  <si>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</si>
  <si>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</si>
  <si>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</si>
  <si>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</si>
  <si>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</si>
  <si>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</si>
  <si>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</si>
  <si>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</si>
  <si>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</si>
  <si>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</si>
  <si>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</si>
  <si>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</si>
  <si>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</si>
  <si>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</si>
  <si>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</si>
  <si>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</si>
  <si>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</si>
  <si>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</si>
  <si>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</si>
  <si>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</si>
  <si>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</si>
  <si>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</si>
  <si>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</si>
  <si>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</si>
  <si>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</si>
  <si>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</si>
  <si>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</si>
  <si>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</si>
  <si>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</si>
  <si>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</si>
  <si>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</si>
  <si>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</si>
  <si>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</si>
  <si>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</si>
  <si>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</si>
  <si>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</si>
  <si>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</si>
  <si>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</si>
  <si>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</si>
  <si>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</si>
  <si>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</si>
  <si>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</si>
  <si>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</si>
  <si>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</si>
  <si>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</si>
  <si>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</si>
  <si>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</si>
  <si>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</si>
  <si>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</si>
  <si>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</si>
  <si>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</si>
  <si>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</si>
  <si>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</si>
  <si>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</si>
  <si>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</si>
  <si>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</si>
  <si>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</si>
  <si>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</si>
  <si>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</si>
  <si>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</si>
  <si>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</si>
  <si>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</si>
  <si>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</si>
  <si>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</si>
  <si>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</si>
  <si>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</si>
  <si>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</si>
  <si>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</si>
  <si>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</si>
  <si>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</si>
  <si>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</si>
  <si>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</si>
  <si>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</si>
  <si>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</si>
  <si>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</si>
  <si>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</si>
  <si>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</si>
  <si>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</si>
  <si>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</si>
  <si>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</si>
  <si>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</si>
  <si>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</si>
  <si>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</si>
  <si>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</si>
  <si>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</si>
  <si>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</si>
  <si>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</si>
  <si>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</si>
  <si>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</si>
  <si>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</si>
  <si>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</si>
  <si>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</si>
  <si>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</si>
  <si>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</si>
  <si>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</si>
  <si>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</si>
  <si>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</si>
  <si>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</si>
  <si>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</si>
  <si>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</si>
  <si>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</si>
  <si>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</si>
  <si>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</si>
  <si>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</si>
  <si>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</si>
  <si>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</si>
  <si>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</si>
  <si>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</si>
  <si>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</si>
  <si>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</si>
  <si>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</si>
  <si>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</si>
  <si>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</si>
  <si>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</si>
  <si>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</si>
  <si>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</si>
  <si>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</si>
  <si>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</si>
  <si>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</si>
  <si>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</si>
  <si>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</si>
  <si>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</si>
  <si>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</si>
  <si>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</si>
  <si>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</si>
  <si>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</si>
  <si>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</si>
  <si>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</si>
  <si>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</si>
  <si>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</si>
  <si>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</si>
  <si>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</si>
  <si>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</si>
  <si>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</si>
  <si>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</si>
  <si>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</si>
  <si>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</si>
  <si>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</si>
  <si>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</si>
  <si>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</si>
  <si>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</si>
  <si>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</si>
  <si>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</si>
  <si>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</si>
  <si>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</si>
  <si>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</si>
  <si>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</si>
  <si>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</si>
  <si>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</si>
  <si>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</si>
  <si>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</si>
  <si>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</si>
  <si>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</si>
  <si>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</si>
  <si>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</si>
  <si>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</si>
  <si>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</si>
  <si>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</si>
  <si>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</si>
  <si>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</si>
  <si>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</si>
  <si>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</si>
  <si>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</si>
  <si>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</si>
  <si>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</si>
  <si>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</si>
  <si>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</si>
  <si>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</si>
  <si>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</si>
  <si>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</si>
  <si>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</si>
  <si>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</si>
  <si>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</si>
  <si>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</si>
  <si>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</si>
  <si>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</si>
  <si>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</si>
  <si>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</si>
  <si>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</si>
  <si>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</si>
  <si>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</si>
  <si>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</si>
  <si>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</si>
  <si>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</si>
  <si>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</si>
  <si>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</si>
  <si>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</si>
  <si>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</si>
  <si>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</si>
  <si>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</si>
  <si>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</si>
  <si>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</si>
  <si>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</si>
  <si>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</si>
  <si>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</si>
  <si>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</si>
  <si>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</si>
  <si>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</si>
  <si>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</si>
  <si>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</si>
  <si>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</si>
  <si>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</si>
  <si>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</si>
  <si>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</si>
  <si>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</si>
  <si>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</si>
  <si>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</si>
  <si>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</si>
  <si>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</si>
  <si>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</si>
  <si>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</si>
  <si>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</si>
  <si>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</si>
  <si>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</si>
  <si>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</si>
  <si>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</si>
  <si>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</si>
  <si>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</si>
  <si>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</si>
  <si>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</si>
  <si>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</si>
  <si>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</si>
  <si>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</si>
  <si>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</si>
  <si>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</si>
  <si>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</si>
  <si>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</si>
  <si>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</si>
  <si>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</si>
  <si>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</si>
  <si>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</si>
  <si>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</si>
  <si>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</si>
  <si>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</si>
  <si>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</si>
  <si>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</si>
  <si>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</si>
  <si>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</si>
  <si>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</si>
  <si>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</si>
  <si>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</si>
  <si>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</si>
  <si>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</si>
  <si>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</si>
  <si>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</si>
  <si>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</si>
  <si>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</si>
  <si>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</si>
  <si>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</si>
  <si>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</si>
  <si>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</si>
  <si>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</si>
  <si>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</si>
  <si>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</si>
  <si>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</si>
  <si>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</si>
  <si>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</si>
  <si>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</si>
  <si>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</si>
  <si>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</si>
  <si>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</si>
  <si>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</si>
  <si>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</si>
  <si>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</si>
  <si>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</si>
  <si>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</si>
  <si>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</si>
  <si>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</si>
  <si>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</si>
  <si>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</si>
  <si>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</si>
  <si>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</si>
  <si>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</si>
  <si>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</si>
  <si>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</si>
  <si>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</si>
  <si>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</si>
  <si>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</si>
  <si>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</si>
  <si>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</si>
  <si>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</si>
  <si>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</si>
  <si>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</si>
  <si>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</si>
  <si>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</si>
  <si>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</si>
  <si>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</si>
  <si>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</si>
  <si>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</si>
  <si>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</si>
  <si>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</si>
  <si>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</si>
  <si>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</si>
  <si>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</si>
  <si>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</si>
  <si>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</si>
  <si>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</si>
  <si>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</si>
  <si>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</si>
  <si>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</si>
  <si>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</si>
  <si>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</si>
  <si>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</si>
  <si>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</si>
  <si>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</si>
  <si>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</si>
  <si>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</si>
  <si>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</si>
  <si>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</si>
  <si>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</si>
  <si>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</si>
  <si>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</si>
  <si>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</si>
  <si>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</si>
  <si>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</si>
  <si>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</si>
  <si>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</si>
  <si>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</si>
  <si>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</si>
  <si>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</si>
  <si>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</si>
  <si>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</si>
  <si>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</si>
  <si>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</si>
  <si>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</si>
  <si>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</si>
  <si>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</si>
  <si>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</si>
  <si>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</si>
  <si>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</si>
  <si>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</si>
  <si>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</si>
  <si>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</si>
  <si>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</si>
  <si>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</si>
  <si>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</si>
  <si>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</si>
  <si>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</si>
  <si>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</si>
  <si>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</si>
  <si>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</si>
  <si>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</si>
  <si>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</si>
  <si>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</si>
  <si>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</si>
  <si>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</si>
  <si>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</si>
  <si>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</si>
  <si>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</si>
  <si>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</si>
  <si>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</si>
  <si>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</si>
  <si>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</si>
  <si>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</si>
  <si>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</si>
  <si>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</si>
  <si>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</si>
  <si>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</si>
  <si>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</si>
  <si>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</si>
  <si>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</si>
  <si>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</si>
  <si>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</si>
  <si>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</si>
  <si>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</si>
  <si>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</si>
  <si>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</si>
  <si>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</si>
  <si>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</si>
  <si>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</si>
  <si>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</si>
  <si>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</si>
  <si>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</si>
  <si>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</si>
  <si>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</si>
  <si>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</si>
  <si>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</si>
  <si>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</si>
  <si>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</si>
  <si>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</si>
  <si>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</si>
  <si>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</si>
  <si>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</si>
  <si>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</si>
  <si>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</si>
  <si>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</si>
  <si>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</si>
  <si>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</si>
  <si>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</si>
  <si>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</si>
  <si>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</si>
  <si>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</si>
  <si>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</si>
  <si>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</si>
  <si>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</si>
  <si>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</si>
  <si>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</si>
  <si>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</si>
  <si>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</si>
  <si>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</si>
  <si>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</si>
  <si>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</si>
  <si>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</si>
  <si>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</si>
  <si>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</si>
  <si>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</si>
  <si>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</si>
  <si>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</si>
  <si>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</si>
  <si>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</si>
  <si>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</si>
  <si>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</si>
  <si>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</si>
  <si>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</si>
  <si>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</si>
  <si>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</si>
  <si>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</si>
  <si>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</si>
  <si>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</si>
  <si>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</si>
  <si>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</si>
  <si>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</si>
  <si>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</si>
  <si>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</si>
  <si>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</si>
  <si>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</si>
  <si>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</si>
  <si>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</si>
  <si>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</si>
  <si>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</si>
  <si>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</si>
  <si>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</si>
  <si>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</si>
  <si>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</si>
  <si>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</si>
  <si>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</si>
  <si>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</si>
  <si>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</si>
  <si>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</si>
  <si>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</si>
  <si>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</si>
  <si>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</si>
  <si>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</si>
  <si>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</si>
  <si>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</si>
  <si>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</si>
  <si>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</si>
  <si>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</si>
  <si>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</si>
  <si>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</si>
  <si>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</si>
  <si>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</si>
  <si>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</si>
  <si>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</si>
  <si>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</si>
  <si>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</si>
  <si>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</si>
  <si>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</si>
  <si>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</si>
  <si>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</si>
  <si>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</si>
  <si>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</si>
  <si>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</si>
  <si>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</si>
  <si>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</si>
  <si>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</si>
  <si>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</si>
  <si>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</si>
  <si>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</si>
  <si>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</si>
  <si>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</si>
  <si>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</si>
  <si>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</si>
  <si>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</si>
  <si>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</si>
  <si>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</si>
  <si>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</si>
  <si>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</si>
  <si>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</si>
  <si>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</si>
  <si>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</si>
  <si>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</si>
  <si>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</si>
  <si>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</si>
  <si>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</si>
  <si>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</si>
  <si>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</si>
  <si>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</si>
  <si>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</si>
  <si>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</si>
  <si>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</si>
  <si>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</si>
  <si>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</si>
  <si>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</si>
  <si>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</si>
  <si>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</si>
  <si>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</si>
  <si>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</si>
  <si>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</si>
  <si>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</si>
  <si>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</si>
  <si>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</si>
  <si>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</si>
  <si>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</si>
  <si>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</si>
  <si>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</si>
  <si>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</si>
  <si>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</si>
  <si>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</si>
  <si>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</si>
  <si>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</si>
  <si>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</si>
  <si>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</si>
  <si>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</si>
  <si>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</si>
  <si>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</si>
  <si>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</si>
  <si>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</si>
  <si>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</si>
  <si>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</si>
  <si>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</si>
  <si>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</si>
  <si>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</si>
  <si>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</si>
  <si>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</si>
  <si>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</si>
  <si>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</si>
  <si>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</si>
  <si>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</si>
  <si>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</si>
  <si>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</si>
  <si>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</si>
  <si>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</si>
  <si>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</si>
  <si>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</si>
  <si>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</si>
  <si>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</si>
  <si>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</si>
  <si>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</si>
  <si>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</si>
  <si>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</si>
  <si>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</si>
  <si>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</si>
  <si>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</si>
  <si>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</si>
  <si>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</si>
  <si>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</si>
  <si>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</si>
  <si>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</si>
  <si>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</si>
  <si>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</si>
  <si>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</si>
  <si>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</si>
  <si>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</si>
  <si>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</si>
  <si>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</si>
  <si>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</si>
  <si>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</si>
  <si>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</si>
  <si>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</si>
  <si>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</si>
  <si>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</si>
  <si>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</si>
  <si>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</si>
  <si>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</si>
  <si>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</si>
  <si>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</si>
  <si>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</si>
  <si>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</si>
  <si>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</si>
  <si>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</si>
  <si>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</si>
  <si>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</si>
  <si>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</si>
  <si>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</si>
  <si>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</si>
  <si>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</si>
  <si>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</si>
  <si>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</si>
  <si>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</si>
  <si>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</si>
  <si>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</si>
  <si>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</si>
  <si>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</si>
  <si>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</si>
  <si>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</si>
  <si>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</si>
  <si>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</si>
  <si>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</si>
  <si>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</si>
  <si>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</si>
  <si>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</si>
  <si>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</si>
  <si>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</si>
  <si>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</si>
  <si>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</si>
  <si>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</si>
  <si>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</si>
  <si>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</si>
  <si>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</si>
  <si>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</si>
  <si>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</si>
  <si>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</si>
  <si>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</si>
  <si>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</si>
  <si>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</si>
  <si>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</si>
  <si>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</si>
  <si>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</si>
  <si>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</si>
  <si>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</si>
  <si>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</si>
  <si>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</si>
  <si>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</si>
  <si>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</si>
  <si>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</si>
  <si>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</si>
  <si>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</si>
  <si>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</si>
  <si>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</si>
  <si>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</si>
  <si>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</si>
  <si>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</si>
  <si>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</si>
  <si>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</si>
  <si>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</si>
  <si>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</si>
  <si>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</si>
  <si>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</si>
  <si>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</si>
  <si>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</si>
  <si>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</si>
  <si>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</si>
  <si>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</si>
  <si>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</si>
  <si>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</si>
  <si>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</si>
  <si>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</si>
  <si>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</si>
  <si>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</si>
  <si>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</si>
  <si>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</si>
  <si>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</si>
  <si>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</si>
  <si>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</si>
  <si>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</si>
  <si>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</si>
  <si>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</si>
  <si>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</si>
  <si>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</si>
  <si>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</si>
  <si>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</si>
  <si>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</si>
  <si>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</si>
  <si>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</si>
  <si>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</si>
  <si>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</si>
  <si>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</si>
  <si>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</si>
  <si>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</si>
  <si>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</si>
  <si>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</si>
  <si>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</si>
  <si>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</si>
  <si>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</si>
  <si>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</si>
  <si>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</si>
  <si>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</si>
  <si>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</si>
  <si>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</si>
  <si>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</si>
  <si>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</si>
  <si>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</si>
  <si>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</si>
  <si>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</si>
  <si>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</si>
  <si>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</si>
  <si>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</si>
  <si>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</si>
  <si>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</si>
  <si>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</si>
  <si>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</si>
  <si>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</si>
  <si>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</si>
  <si>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</si>
  <si>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</si>
  <si>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</si>
  <si>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</si>
  <si>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</si>
  <si>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</si>
  <si>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</si>
  <si>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</si>
  <si>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</si>
  <si>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</si>
  <si>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</si>
  <si>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</si>
  <si>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</si>
  <si>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</si>
  <si>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</si>
  <si>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</si>
  <si>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</si>
  <si>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</si>
  <si>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</si>
  <si>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</si>
  <si>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</si>
  <si>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</si>
  <si>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</si>
  <si>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</si>
  <si>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</si>
  <si>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</si>
  <si>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</si>
  <si>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</si>
  <si>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</si>
  <si>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</si>
  <si>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</si>
  <si>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</si>
  <si>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</si>
  <si>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</si>
  <si>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</si>
  <si>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</si>
  <si>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</si>
  <si>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</si>
  <si>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</si>
  <si>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</si>
  <si>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</si>
  <si>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</si>
  <si>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</si>
  <si>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</si>
  <si>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</si>
  <si>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</si>
  <si>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</si>
  <si>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</si>
  <si>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</si>
  <si>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</si>
  <si>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</si>
  <si>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</si>
  <si>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</si>
  <si>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</si>
  <si>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</si>
  <si>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</si>
  <si>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</si>
  <si>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</si>
  <si>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</si>
  <si>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</si>
  <si>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</si>
  <si>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</si>
  <si>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</si>
  <si>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</si>
  <si>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</si>
  <si>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</si>
  <si>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</si>
  <si>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</si>
  <si>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</si>
  <si>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</si>
  <si>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</si>
  <si>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</si>
  <si>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</si>
  <si>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</si>
  <si>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</si>
  <si>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</si>
  <si>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</si>
  <si>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</si>
  <si>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</si>
  <si>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</si>
  <si>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Your Answer</t>
  </si>
  <si>
    <t>Format</t>
  </si>
  <si>
    <t>Q1.1</t>
  </si>
  <si>
    <t>For order ORD-00234, what is the customer_id?</t>
  </si>
  <si>
    <t>CUST-####</t>
  </si>
  <si>
    <t>Q1.2</t>
  </si>
  <si>
    <t>For order ORD-00456, what is the product_name? (You will need to look up the product_id first, then find its name in Products.)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</si>
  <si>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</si>
  <si>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</si>
  <si>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</si>
  <si>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</si>
  <si>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</si>
  <si>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Whole number</t>
  </si>
  <si>
    <t>Q1.5</t>
  </si>
  <si>
    <t>For order ORD-01500, what is the CATEGORY of the product ordered? (Chain: order → product_id → category)</t>
  </si>
  <si>
    <t>Q1.6</t>
  </si>
  <si>
    <t>For order ORD-00789, which DISCOUNT SLAB does it fall in? Use the slab table below (rows 20-24). Slab breakpoints are the LOWER bound of each range.</t>
  </si>
  <si>
    <t>Q1.7</t>
  </si>
  <si>
    <t>For order ORD-01234, in one cell produce the string:  "&lt;rep_name&gt; (&lt;sales_region&gt;)"  - e.g. "Amit Singh (South)".</t>
  </si>
  <si>
    <t>Q1.8</t>
  </si>
  <si>
    <t>What is the rep_name of the TEAM LEAD for rep R017? (The Sales_Reps sheet has team_lead_id - you need to self-join to find that person's name.)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</si>
  <si>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</si>
  <si>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</si>
  <si>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</si>
  <si>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</si>
  <si>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</si>
  <si>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</si>
  <si>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</si>
  <si>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</si>
  <si>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</si>
  <si>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</si>
  <si>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</si>
  <si>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</si>
  <si>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</si>
  <si>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Q2.3</t>
  </si>
  <si>
    <t>The Customers sheet has some cities in inconsistent case (e.g., "mumbai", "MUMBAI", "Mumbai"). How many DISTINCT cities exist AFTER standardizing case?</t>
  </si>
  <si>
    <t>Q2.4</t>
  </si>
  <si>
    <t>How many orders reference a customer_id that DOES NOT EXIST in the Customers sheet? (Broken foreign key)</t>
  </si>
  <si>
    <t>Q2.5</t>
  </si>
  <si>
    <t>How many orders reference a product that is currently DISCONTINUED (is_active = FALSE in the Products sheet)?</t>
  </si>
  <si>
    <t>Q2.6</t>
  </si>
  <si>
    <t>Find the "suspicious pattern": how many orders have payment_status = "Cancelled" AND a discount_pct &gt; 20%? (This pattern often indicates promo abuse - a real-world diagnostic query.)</t>
  </si>
  <si>
    <t>Q3 - CONDITIONAL AGGREGATION  (25 marks total)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</si>
  <si>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</si>
  <si>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</si>
  <si>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</si>
  <si>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Currency</t>
  </si>
  <si>
    <t>Q3.2</t>
  </si>
  <si>
    <t>How many orders have discount_pct &gt; 15% AND payment_status = "Completed"?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</si>
  <si>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</si>
  <si>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</si>
  <si>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Q3.4</t>
  </si>
  <si>
    <t>What is the COMBINED REVENUE of the TOP 3 reps by total revenue? (Sum of the 3 highest rep totals.)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</si>
  <si>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</si>
  <si>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</si>
  <si>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Q3.6</t>
  </si>
  <si>
    <t>What is the TOTAL revenue from Corporate segment customers aged between 30 and 40 (both inclusive)?</t>
  </si>
  <si>
    <t>Q4 - PIVOT TABLES  (20 marks total)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</si>
  <si>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</si>
  <si>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</si>
  <si>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</si>
  <si>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Q4.2</t>
  </si>
  <si>
    <t>Build a pivot: rows = order month (Jan-24 through Dec-24), columns = sales_rep_id, values = SUM of final_amount. What is the HIGHEST single value in the entire pivot? (One number.)</t>
  </si>
  <si>
    <t>Q4.3</t>
  </si>
  <si>
    <t>For the North sales_region only: what PERCENTAGE of total revenue comes from the Apparel category? Configure the pivot with Show Values As → % of Row Total.</t>
  </si>
  <si>
    <t>Percentage</t>
  </si>
  <si>
    <t>Q4.4</t>
  </si>
  <si>
    <t>Group order dates by QUARTER in a pivot. What is the total revenue for Q4 2024 (Oct-Dec)?</t>
  </si>
  <si>
    <t>Q4.5</t>
  </si>
  <si>
    <t>Create a CALCULATED FIELD in the pivot: profit_margin = (unit_price - unit_cost) / unit_price. What is the AVERAGE profit_margin for orders shipped to Delhi? Give as a percentage.</t>
  </si>
  <si>
    <t>Sum of final_amount</t>
  </si>
  <si>
    <t>(blank)</t>
  </si>
  <si>
    <t>Grand Total</t>
  </si>
  <si>
    <t>Average of profit_margin</t>
  </si>
  <si>
    <t>Q1 2024</t>
  </si>
  <si>
    <t>Q2 2024</t>
  </si>
  <si>
    <t>Q3 2024</t>
  </si>
  <si>
    <t>Q4 2024</t>
  </si>
  <si>
    <t>Q5 - ADVANCED  (10 marks total)</t>
  </si>
  <si>
    <t>RANK · Running Totals · TEXTJOIN · LARGE + INDEX/MATCH · Multi-condition top-N</t>
  </si>
  <si>
    <t>Q5.1</t>
  </si>
  <si>
    <t>Rank all sales reps by total revenue (highest = rank 1). Who (name) is at RANK #7?</t>
  </si>
  <si>
    <t>Q5.2</t>
  </si>
  <si>
    <t>What is the CUMULATIVE revenue from Jan 2024 through the end of Aug 2024? (Sum of final_amount where order_date &lt;= 31-Aug-2024.)</t>
  </si>
  <si>
    <t>Q5.3</t>
  </si>
  <si>
    <t>Among orders where the sales rep is in the WEST region: which product (by name) has the 2nd highest total revenue?</t>
  </si>
  <si>
    <t>Q5.4</t>
  </si>
  <si>
    <t>Concatenate the names of the top 5 reps by revenue into a single cell, separated by " | " (space-pipe-space).</t>
  </si>
  <si>
    <t>Q5.5</t>
  </si>
  <si>
    <t>What is the HIGHEST single order value (final_amount) where ship_city = "Bengaluru" AND the product's category = "Grocery"?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</si>
</sst>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6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/>
    <xf numFmtId="0" fontId="4" fillId="0" borderId="0" xfId="0" applyFont="1"/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5" fillId="5" borderId="0" xfId="0" applyFont="1" applyFill="1"/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9" fillId="2" borderId="2" xfId="0" applyFont="1" applyFill="1" applyBorder="1" applyAlignment="1">
      <alignment horizontal="center" vertical="center"/>
    </xf>
    <xf numFmtId="0" fontId="5" fillId="0" borderId="0" xfId="0" applyFont="1" applyAlignment="1"/>
    <xf numFmtId="0" fontId="0" fillId="0" borderId="0" xfId="0" applyAlignment="1"/>
    <xf numFmtId="0" fontId="4" fillId="0" borderId="0" xfId="0" applyFont="1" applyAlignment="1"/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14" formatCode="0.00%"/>
    </dxf>
    <dxf>
      <numFmt numFmtId="165" formatCode="0.0%"/>
    </dxf>
    <dxf>
      <numFmt numFmtId="165" formatCode="0.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Sheet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1.742667824074" createdVersion="8" refreshedVersion="8" minRefreshableVersion="3" recordCount="2001" xr:uid="{CA5047F1-B3E4-471B-9B3C-96313E1CF17F}">
  <cacheSource type="worksheet">
    <worksheetSource ref="A1:M2601" sheet="Orders"/>
  </cacheSource>
  <cacheFields count="13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4-12-31T00:00:00" count="366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  <m/>
      </sharedItems>
    </cacheField>
    <cacheField name="customer_id" numFmtId="0">
      <sharedItems containsBlank="1"/>
    </cacheField>
    <cacheField name="product_id" numFmtId="0">
      <sharedItems containsBlank="1"/>
    </cacheField>
    <cacheField name="sales_rep_id" numFmtId="0">
      <sharedItems containsBlank="1" count="31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  <m/>
      </sharedItems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containsInteger="1" minValue="190" maxValue="6940"/>
    </cacheField>
    <cacheField name="discount_pct" numFmtId="0">
      <sharedItems containsString="0" containsBlank="1" containsNumber="1" minValue="0.1" maxValue="30"/>
    </cacheField>
    <cacheField name="final_amount" numFmtId="0">
      <sharedItems containsString="0" containsBlank="1" containsNumber="1" minValue="150.66999999999999" maxValue="68081.399999999994"/>
    </cacheField>
    <cacheField name="payment_status" numFmtId="0">
      <sharedItems containsBlank="1"/>
    </cacheField>
    <cacheField name="ship_city" numFmtId="0">
      <sharedItems containsBlank="1"/>
    </cacheField>
    <cacheField name="category" numFmtId="0">
      <sharedItems containsBlank="1" count="7">
        <s v="Apparel"/>
        <s v="Sports"/>
        <s v="Grocery"/>
        <s v="Home"/>
        <s v="Electronics"/>
        <s v="Beauty"/>
        <m/>
      </sharedItems>
    </cacheField>
    <cacheField name="sales_region" numFmtId="0">
      <sharedItems containsBlank="1" count="5">
        <s v="North"/>
        <s v="South"/>
        <s v="West"/>
        <s v="Ea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1.758364004629" createdVersion="8" refreshedVersion="8" minRefreshableVersion="3" recordCount="2001" xr:uid="{720AF25D-A1A2-45F6-8E7E-7141D54F7643}">
  <cacheSource type="worksheet">
    <worksheetSource ref="A1:N2601" sheet="Orders"/>
  </cacheSource>
  <cacheFields count="14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4-12-31T00:00:00" count="366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  <m/>
      </sharedItems>
    </cacheField>
    <cacheField name="customer_id" numFmtId="0">
      <sharedItems containsBlank="1"/>
    </cacheField>
    <cacheField name="product_id" numFmtId="0">
      <sharedItems containsBlank="1"/>
    </cacheField>
    <cacheField name="sales_rep_id" numFmtId="0">
      <sharedItems containsBlank="1" count="31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  <m/>
      </sharedItems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containsInteger="1" minValue="190" maxValue="6940"/>
    </cacheField>
    <cacheField name="discount_pct" numFmtId="0">
      <sharedItems containsString="0" containsBlank="1" containsNumber="1" minValue="0.1" maxValue="30"/>
    </cacheField>
    <cacheField name="final_amount" numFmtId="0">
      <sharedItems containsString="0" containsBlank="1" containsNumber="1" minValue="150.66999999999999" maxValue="68081.399999999994"/>
    </cacheField>
    <cacheField name="payment_status" numFmtId="0">
      <sharedItems containsBlank="1"/>
    </cacheField>
    <cacheField name="ship_city" numFmtId="0">
      <sharedItems containsBlank="1"/>
    </cacheField>
    <cacheField name="category" numFmtId="0">
      <sharedItems containsBlank="1" count="7">
        <s v="Apparel"/>
        <s v="Sports"/>
        <s v="Grocery"/>
        <s v="Home"/>
        <s v="Electronics"/>
        <s v="Beauty"/>
        <m/>
      </sharedItems>
    </cacheField>
    <cacheField name="sales_region" numFmtId="0">
      <sharedItems containsBlank="1" count="5">
        <s v="North"/>
        <s v="South"/>
        <s v="West"/>
        <s v="East"/>
        <m/>
      </sharedItems>
    </cacheField>
    <cacheField name="order_month" numFmtId="0">
      <sharedItems containsBlank="1" count="13">
        <s v="Sep-24"/>
        <s v="Feb-24"/>
        <s v="Mar-24"/>
        <s v="May-24"/>
        <s v="Nov-24"/>
        <s v="Apr-24"/>
        <s v="Jun-24"/>
        <s v="Aug-24"/>
        <s v="Dec-24"/>
        <s v="Oct-24"/>
        <s v="Jul-24"/>
        <s v="Jan-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1.774263310188" createdVersion="8" refreshedVersion="8" minRefreshableVersion="3" recordCount="2001" xr:uid="{EB8687F2-A5A4-42B5-BD1B-B97CFB5B8E66}">
  <cacheSource type="worksheet">
    <worksheetSource ref="A1:O2601" sheet="Orders"/>
  </cacheSource>
  <cacheFields count="15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4-12-31T00:00:00"/>
    </cacheField>
    <cacheField name="customer_id" numFmtId="0">
      <sharedItems containsBlank="1"/>
    </cacheField>
    <cacheField name="product_id" numFmtId="0">
      <sharedItems containsBlank="1"/>
    </cacheField>
    <cacheField name="sales_rep_id" numFmtId="0">
      <sharedItems containsBlank="1"/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containsInteger="1" minValue="190" maxValue="6940"/>
    </cacheField>
    <cacheField name="discount_pct" numFmtId="0">
      <sharedItems containsString="0" containsBlank="1" containsNumber="1" minValue="0.1" maxValue="30"/>
    </cacheField>
    <cacheField name="final_amount" numFmtId="0">
      <sharedItems containsString="0" containsBlank="1" containsNumber="1" minValue="150.66999999999999" maxValue="68081.399999999994"/>
    </cacheField>
    <cacheField name="payment_status" numFmtId="0">
      <sharedItems containsBlank="1"/>
    </cacheField>
    <cacheField name="ship_city" numFmtId="0">
      <sharedItems containsBlank="1"/>
    </cacheField>
    <cacheField name="category" numFmtId="0">
      <sharedItems containsBlank="1"/>
    </cacheField>
    <cacheField name="sales_region" numFmtId="0">
      <sharedItems containsBlank="1"/>
    </cacheField>
    <cacheField name="order_month" numFmtId="0">
      <sharedItems containsBlank="1"/>
    </cacheField>
    <cacheField name="order_quarters" numFmtId="0">
      <sharedItems containsBlank="1" count="5">
        <s v="Q3 2024"/>
        <s v="Q1 2024"/>
        <s v="Q2 2024"/>
        <s v="Q4 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1.784371296293" createdVersion="8" refreshedVersion="8" minRefreshableVersion="3" recordCount="2001" xr:uid="{5CA76A34-F4A2-4072-9655-90D2D2B4CA44}">
  <cacheSource type="worksheet">
    <worksheetSource ref="A1:Q2601" sheet="Orders"/>
  </cacheSource>
  <cacheFields count="17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4-12-31T00:00:00"/>
    </cacheField>
    <cacheField name="customer_id" numFmtId="0">
      <sharedItems containsBlank="1"/>
    </cacheField>
    <cacheField name="product_id" numFmtId="0">
      <sharedItems containsBlank="1"/>
    </cacheField>
    <cacheField name="sales_rep_id" numFmtId="0">
      <sharedItems containsBlank="1"/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containsInteger="1" minValue="190" maxValue="6940"/>
    </cacheField>
    <cacheField name="discount_pct" numFmtId="0">
      <sharedItems containsString="0" containsBlank="1" containsNumber="1" minValue="0.1" maxValue="30"/>
    </cacheField>
    <cacheField name="final_amount" numFmtId="0">
      <sharedItems containsString="0" containsBlank="1" containsNumber="1" minValue="150.66999999999999" maxValue="68081.399999999994"/>
    </cacheField>
    <cacheField name="payment_status" numFmtId="0">
      <sharedItems containsBlank="1"/>
    </cacheField>
    <cacheField name="ship_city" numFmtId="0">
      <sharedItems containsBlank="1" count="9">
        <s v="Pune"/>
        <s v="Chennai"/>
        <s v="Delhi"/>
        <s v="Mumbai"/>
        <s v="Bengaluru"/>
        <s v="Hyderabad"/>
        <s v=" Delhi "/>
        <s v=" Chennai "/>
        <m/>
      </sharedItems>
    </cacheField>
    <cacheField name="category" numFmtId="0">
      <sharedItems containsBlank="1"/>
    </cacheField>
    <cacheField name="sales_region" numFmtId="0">
      <sharedItems containsBlank="1"/>
    </cacheField>
    <cacheField name="order_month" numFmtId="0">
      <sharedItems containsBlank="1"/>
    </cacheField>
    <cacheField name="order_quarters" numFmtId="0">
      <sharedItems containsBlank="1"/>
    </cacheField>
    <cacheField name="unit_cost" numFmtId="0">
      <sharedItems containsString="0" containsBlank="1" containsNumber="1" containsInteger="1" minValue="128" maxValue="2911"/>
    </cacheField>
    <cacheField name="profit_margin" numFmtId="10">
      <sharedItems containsString="0" containsBlank="1" containsNumber="1" minValue="0.22162162162162163" maxValue="0.598698481561822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ORD-00001"/>
    <x v="0"/>
    <s v="CUST-0243"/>
    <s v="PROD-014"/>
    <x v="0"/>
    <n v="8"/>
    <n v="3620"/>
    <n v="15.4"/>
    <n v="24500.16"/>
    <s v="Completed"/>
    <s v="Pune"/>
    <x v="0"/>
    <x v="0"/>
  </r>
  <r>
    <s v="ORD-00002"/>
    <x v="1"/>
    <s v="CUST-0202"/>
    <s v="PROD-020"/>
    <x v="1"/>
    <n v="2"/>
    <n v="820"/>
    <n v="10.8"/>
    <n v="1462.88"/>
    <s v="Pending"/>
    <s v="Chennai"/>
    <x v="0"/>
    <x v="0"/>
  </r>
  <r>
    <s v="ORD-00003"/>
    <x v="2"/>
    <s v="CUST-0098"/>
    <s v="PROD-053"/>
    <x v="2"/>
    <n v="8"/>
    <n v="470"/>
    <n v="3.3"/>
    <n v="3635.92"/>
    <s v="Pending"/>
    <s v="Delhi"/>
    <x v="1"/>
    <x v="1"/>
  </r>
  <r>
    <s v="ORD-00004"/>
    <x v="3"/>
    <s v="CUST-0071"/>
    <s v="PROD-028"/>
    <x v="3"/>
    <n v="1"/>
    <n v="3660"/>
    <n v="15.7"/>
    <n v="3085.38"/>
    <s v="Completed"/>
    <s v="Delhi"/>
    <x v="2"/>
    <x v="0"/>
  </r>
  <r>
    <s v="ORD-00005"/>
    <x v="4"/>
    <s v="CUST-0180"/>
    <s v="PROD-012"/>
    <x v="4"/>
    <n v="1"/>
    <n v="3160"/>
    <n v="26"/>
    <n v="2338.4"/>
    <s v="Completed"/>
    <s v="Chennai"/>
    <x v="0"/>
    <x v="0"/>
  </r>
  <r>
    <s v="ORD-00006"/>
    <x v="5"/>
    <s v="CUST-0275"/>
    <s v="PROD-032"/>
    <x v="5"/>
    <n v="4"/>
    <n v="370"/>
    <n v="29"/>
    <n v="1050.8"/>
    <s v="Completed"/>
    <s v="Mumbai"/>
    <x v="3"/>
    <x v="2"/>
  </r>
  <r>
    <s v="ORD-00007"/>
    <x v="6"/>
    <s v="CUST-0293"/>
    <s v="PROD-057"/>
    <x v="6"/>
    <n v="3"/>
    <n v="960"/>
    <n v="5.8"/>
    <n v="2712.96"/>
    <s v="Completed"/>
    <s v="Bengaluru"/>
    <x v="1"/>
    <x v="2"/>
  </r>
  <r>
    <s v="ORD-00008"/>
    <x v="7"/>
    <s v="CUST-0281"/>
    <s v="PROD-007"/>
    <x v="7"/>
    <n v="8"/>
    <n v="1430"/>
    <n v="2.4"/>
    <n v="11165.44"/>
    <s v="Completed"/>
    <s v="Bengaluru"/>
    <x v="4"/>
    <x v="3"/>
  </r>
  <r>
    <s v="ORD-00009"/>
    <x v="0"/>
    <s v="CUST-0260"/>
    <s v="PROD-038"/>
    <x v="4"/>
    <n v="3"/>
    <n v="5490"/>
    <n v="14.2"/>
    <n v="14131.26"/>
    <s v="Completed"/>
    <s v="Bengaluru"/>
    <x v="3"/>
    <x v="0"/>
  </r>
  <r>
    <s v="ORD-00010"/>
    <x v="8"/>
    <s v="CUST-0147"/>
    <s v="PROD-030"/>
    <x v="8"/>
    <n v="3"/>
    <n v="970"/>
    <n v="1.2"/>
    <n v="2875.08"/>
    <s v="Completed"/>
    <s v="Pune"/>
    <x v="2"/>
    <x v="2"/>
  </r>
  <r>
    <s v="ORD-00011"/>
    <x v="9"/>
    <s v="CUST-0204"/>
    <s v="PROD-024"/>
    <x v="9"/>
    <n v="7"/>
    <n v="2270"/>
    <n v="7.1"/>
    <n v="14761.81"/>
    <s v="Pending"/>
    <s v="Hyderabad"/>
    <x v="2"/>
    <x v="1"/>
  </r>
  <r>
    <s v="ORD-00012"/>
    <x v="10"/>
    <s v="CUST-0147"/>
    <s v="PROD-010"/>
    <x v="6"/>
    <n v="9"/>
    <n v="2640"/>
    <n v="21.7"/>
    <n v="18604.080000000002"/>
    <s v="Completed"/>
    <s v="Pune"/>
    <x v="4"/>
    <x v="2"/>
  </r>
  <r>
    <s v="ORD-00013"/>
    <x v="11"/>
    <s v="CUST-0280"/>
    <s v="PROD-002"/>
    <x v="10"/>
    <n v="3"/>
    <n v="2600"/>
    <n v="4.3"/>
    <n v="7464.6"/>
    <s v="Cancelled"/>
    <s v="Delhi"/>
    <x v="4"/>
    <x v="0"/>
  </r>
  <r>
    <s v="ORD-00014"/>
    <x v="12"/>
    <s v="CUST-0008"/>
    <s v="PROD-036"/>
    <x v="5"/>
    <n v="3"/>
    <n v="3250"/>
    <n v="14.1"/>
    <n v="8375.25"/>
    <s v="Refunded"/>
    <s v="Pune"/>
    <x v="3"/>
    <x v="2"/>
  </r>
  <r>
    <s v="ORD-00015"/>
    <x v="13"/>
    <s v="CUST-0052"/>
    <s v="PROD-060"/>
    <x v="11"/>
    <n v="1"/>
    <n v="190"/>
    <n v="20.7"/>
    <n v="150.66999999999999"/>
    <s v="Completed"/>
    <s v="Pune"/>
    <x v="1"/>
    <x v="0"/>
  </r>
  <r>
    <s v="ORD-00016"/>
    <x v="14"/>
    <s v="CUST-0184"/>
    <s v="PROD-058"/>
    <x v="2"/>
    <n v="7"/>
    <n v="2400"/>
    <n v="10.199999999999999"/>
    <n v="15086.4"/>
    <s v="Pending"/>
    <s v="Pune"/>
    <x v="1"/>
    <x v="1"/>
  </r>
  <r>
    <s v="ORD-00017"/>
    <x v="15"/>
    <s v="CUST-0056"/>
    <s v="PROD-028"/>
    <x v="12"/>
    <n v="4"/>
    <n v="3660"/>
    <n v="2.6"/>
    <n v="14259.36"/>
    <s v="Completed"/>
    <s v="Bengaluru"/>
    <x v="2"/>
    <x v="3"/>
  </r>
  <r>
    <s v="ORD-00018"/>
    <x v="16"/>
    <s v="CUST-0273"/>
    <s v="PROD-047"/>
    <x v="13"/>
    <n v="8"/>
    <n v="3450"/>
    <n v="18.5"/>
    <n v="22494"/>
    <s v="Completed"/>
    <s v="Hyderabad"/>
    <x v="5"/>
    <x v="3"/>
  </r>
  <r>
    <s v="ORD-00019"/>
    <x v="17"/>
    <s v="CUST-0182"/>
    <s v="PROD-051"/>
    <x v="12"/>
    <n v="5"/>
    <n v="3450"/>
    <n v="7.3"/>
    <n v="15990.75"/>
    <s v="Completed"/>
    <s v="Mumbai"/>
    <x v="1"/>
    <x v="3"/>
  </r>
  <r>
    <s v="ORD-00020"/>
    <x v="18"/>
    <s v="CUST-0265"/>
    <s v="PROD-040"/>
    <x v="12"/>
    <n v="8"/>
    <n v="1080"/>
    <n v="2.2000000000000002"/>
    <n v="8449.92"/>
    <s v="Completed"/>
    <s v="Chennai"/>
    <x v="3"/>
    <x v="3"/>
  </r>
  <r>
    <s v="ORD-00021"/>
    <x v="19"/>
    <s v="CUST-0159"/>
    <s v="PROD-019"/>
    <x v="3"/>
    <n v="7"/>
    <n v="2480"/>
    <n v="28.7"/>
    <n v="12377.68"/>
    <s v="Completed"/>
    <s v="Hyderabad"/>
    <x v="0"/>
    <x v="0"/>
  </r>
  <r>
    <s v="ORD-00022"/>
    <x v="20"/>
    <s v="CUST-0259"/>
    <s v="PROD-036"/>
    <x v="14"/>
    <n v="4"/>
    <n v="3250"/>
    <n v="24.6"/>
    <n v="9802"/>
    <s v="Completed"/>
    <s v="Mumbai"/>
    <x v="3"/>
    <x v="2"/>
  </r>
  <r>
    <s v="ORD-00023"/>
    <x v="21"/>
    <s v="CUST-0107"/>
    <s v="PROD-015"/>
    <x v="14"/>
    <n v="9"/>
    <n v="2720"/>
    <n v="26.2"/>
    <n v="18066.240000000002"/>
    <s v="Completed"/>
    <s v="Pune"/>
    <x v="0"/>
    <x v="2"/>
  </r>
  <r>
    <s v="ORD-00024"/>
    <x v="22"/>
    <s v="CUST-0101"/>
    <s v="PROD-044"/>
    <x v="11"/>
    <n v="2"/>
    <n v="1650"/>
    <n v="9.4"/>
    <n v="2989.8"/>
    <s v="Completed"/>
    <s v="Hyderabad"/>
    <x v="5"/>
    <x v="0"/>
  </r>
  <r>
    <s v="ORD-00025"/>
    <x v="18"/>
    <s v="CUST-0142"/>
    <s v="PROD-043"/>
    <x v="12"/>
    <n v="6"/>
    <n v="3350"/>
    <n v="6.1"/>
    <n v="18873.900000000001"/>
    <s v="Pending"/>
    <s v="Chennai"/>
    <x v="5"/>
    <x v="3"/>
  </r>
  <r>
    <s v="ORD-00026"/>
    <x v="23"/>
    <s v="CUST-0250"/>
    <s v="PROD-054"/>
    <x v="7"/>
    <n v="2"/>
    <n v="1010"/>
    <n v="16.5"/>
    <n v="1686.7"/>
    <s v="Cancelled"/>
    <s v="Delhi"/>
    <x v="1"/>
    <x v="3"/>
  </r>
  <r>
    <s v="ORD-00027"/>
    <x v="24"/>
    <s v="CUST-0098"/>
    <s v="PROD-046"/>
    <x v="3"/>
    <n v="5"/>
    <n v="4880"/>
    <n v="23.6"/>
    <n v="18641.599999999999"/>
    <s v="Completed"/>
    <s v="Delhi"/>
    <x v="5"/>
    <x v="0"/>
  </r>
  <r>
    <s v="ORD-00028"/>
    <x v="25"/>
    <s v="CUST-0143"/>
    <s v="PROD-003"/>
    <x v="15"/>
    <n v="7"/>
    <n v="3570"/>
    <n v="5.8"/>
    <n v="23540.58"/>
    <s v="Cancelled"/>
    <s v="Chennai"/>
    <x v="4"/>
    <x v="1"/>
  </r>
  <r>
    <s v="ORD-00029"/>
    <x v="26"/>
    <s v="CUST-0086"/>
    <s v="PROD-048"/>
    <x v="16"/>
    <n v="9"/>
    <n v="5100"/>
    <n v="16.7"/>
    <n v="38234.699999999997"/>
    <s v="Completed"/>
    <s v="Hyderabad"/>
    <x v="5"/>
    <x v="3"/>
  </r>
  <r>
    <s v="ORD-00030"/>
    <x v="27"/>
    <s v="CUST-0006"/>
    <s v="PROD-055"/>
    <x v="1"/>
    <n v="3"/>
    <n v="2860"/>
    <n v="25.8"/>
    <n v="6366.36"/>
    <s v="Completed"/>
    <s v="Pune"/>
    <x v="1"/>
    <x v="0"/>
  </r>
  <r>
    <s v="ORD-00031"/>
    <x v="28"/>
    <s v="CUST-0241"/>
    <s v="PROD-030"/>
    <x v="3"/>
    <n v="7"/>
    <n v="970"/>
    <n v="29.8"/>
    <n v="4766.58"/>
    <s v="Completed"/>
    <s v="Pune"/>
    <x v="2"/>
    <x v="0"/>
  </r>
  <r>
    <s v="ORD-00032"/>
    <x v="29"/>
    <s v="CUST-0035"/>
    <s v="PROD-021"/>
    <x v="17"/>
    <n v="4"/>
    <n v="2760"/>
    <n v="5.9"/>
    <n v="10388.64"/>
    <s v="Completed"/>
    <s v="Hyderabad"/>
    <x v="2"/>
    <x v="2"/>
  </r>
  <r>
    <s v="ORD-00033"/>
    <x v="30"/>
    <s v="CUST-0273"/>
    <s v="PROD-037"/>
    <x v="18"/>
    <n v="10"/>
    <n v="660"/>
    <n v="18.3"/>
    <n v="5392.2"/>
    <s v="Pending"/>
    <s v="Hyderabad"/>
    <x v="3"/>
    <x v="1"/>
  </r>
  <r>
    <s v="ORD-00034"/>
    <x v="31"/>
    <s v="CUST-0064"/>
    <s v="PROD-036"/>
    <x v="7"/>
    <n v="1"/>
    <n v="3250"/>
    <n v="10.7"/>
    <n v="2902.25"/>
    <s v="Completed"/>
    <s v="Hyderabad"/>
    <x v="3"/>
    <x v="3"/>
  </r>
  <r>
    <s v="ORD-00035"/>
    <x v="32"/>
    <s v="CUST-0118"/>
    <s v="PROD-048"/>
    <x v="7"/>
    <n v="8"/>
    <n v="5100"/>
    <n v="26.4"/>
    <n v="30028.799999999999"/>
    <s v="Cancelled"/>
    <s v="Hyderabad"/>
    <x v="5"/>
    <x v="3"/>
  </r>
  <r>
    <s v="ORD-00036"/>
    <x v="33"/>
    <s v="CUST-0013"/>
    <s v="PROD-040"/>
    <x v="13"/>
    <n v="1"/>
    <n v="1080"/>
    <n v="5.0999999999999996"/>
    <n v="1024.92"/>
    <s v="Completed"/>
    <s v="Delhi"/>
    <x v="3"/>
    <x v="3"/>
  </r>
  <r>
    <s v="ORD-00037"/>
    <x v="34"/>
    <s v="CUST-0177"/>
    <s v="PROD-038"/>
    <x v="18"/>
    <n v="2"/>
    <n v="5490"/>
    <n v="21.1"/>
    <n v="8663.2199999999993"/>
    <s v="Cancelled"/>
    <s v="Mumbai"/>
    <x v="3"/>
    <x v="1"/>
  </r>
  <r>
    <s v="ORD-00038"/>
    <x v="35"/>
    <s v="CUST-0186"/>
    <s v="PROD-060"/>
    <x v="19"/>
    <n v="7"/>
    <n v="190"/>
    <n v="28.7"/>
    <n v="948.29"/>
    <s v="Completed"/>
    <s v="Bengaluru"/>
    <x v="1"/>
    <x v="0"/>
  </r>
  <r>
    <s v="ORD-00039"/>
    <x v="36"/>
    <s v="CUST-0069"/>
    <s v="PROD-058"/>
    <x v="15"/>
    <n v="6"/>
    <n v="2400"/>
    <n v="2.7"/>
    <n v="14011.2"/>
    <s v="Completed"/>
    <s v="Chennai"/>
    <x v="1"/>
    <x v="1"/>
  </r>
  <r>
    <s v="ORD-00040"/>
    <x v="37"/>
    <s v="CUST-0283"/>
    <s v="PROD-044"/>
    <x v="12"/>
    <n v="9"/>
    <n v="1650"/>
    <n v="11.6"/>
    <n v="13127.4"/>
    <s v="Completed"/>
    <s v="Delhi"/>
    <x v="5"/>
    <x v="3"/>
  </r>
  <r>
    <s v="ORD-00041"/>
    <x v="38"/>
    <s v="CUST-9507"/>
    <s v="PROD-038"/>
    <x v="3"/>
    <n v="4"/>
    <n v="5490"/>
    <n v="12.8"/>
    <n v="19149.12"/>
    <s v="Cancelled"/>
    <s v="Chennai"/>
    <x v="3"/>
    <x v="0"/>
  </r>
  <r>
    <s v="ORD-00042"/>
    <x v="39"/>
    <s v="CUST-0053"/>
    <s v="PROD-046"/>
    <x v="2"/>
    <n v="10"/>
    <n v="4880"/>
    <n v="12.7"/>
    <n v="42602.400000000001"/>
    <s v="Completed"/>
    <s v="Delhi"/>
    <x v="5"/>
    <x v="1"/>
  </r>
  <r>
    <s v="ORD-00043"/>
    <x v="40"/>
    <s v="CUST-0222"/>
    <s v="PROD-031"/>
    <x v="7"/>
    <n v="2"/>
    <n v="3730"/>
    <n v="25.8"/>
    <n v="5535.32"/>
    <s v="Completed"/>
    <s v="Chennai"/>
    <x v="3"/>
    <x v="3"/>
  </r>
  <r>
    <s v="ORD-00044"/>
    <x v="8"/>
    <s v="CUST-0095"/>
    <s v="PROD-047"/>
    <x v="20"/>
    <n v="4"/>
    <n v="3450"/>
    <n v="20.7"/>
    <n v="10943.4"/>
    <s v="Completed"/>
    <s v="Mumbai"/>
    <x v="5"/>
    <x v="2"/>
  </r>
  <r>
    <s v="ORD-00045"/>
    <x v="41"/>
    <s v="CUST-0152"/>
    <s v="PROD-019"/>
    <x v="7"/>
    <n v="2"/>
    <n v="2480"/>
    <n v="17.3"/>
    <n v="4101.92"/>
    <s v="Completed"/>
    <s v="Bengaluru"/>
    <x v="0"/>
    <x v="3"/>
  </r>
  <r>
    <s v="ORD-00046"/>
    <x v="42"/>
    <s v="CUST-0291"/>
    <s v="PROD-027"/>
    <x v="15"/>
    <n v="9"/>
    <n v="3780"/>
    <n v="8.6999999999999993"/>
    <n v="31060.26"/>
    <s v="Pending"/>
    <s v="Pune"/>
    <x v="2"/>
    <x v="1"/>
  </r>
  <r>
    <s v="ORD-00047"/>
    <x v="1"/>
    <s v="CUST-0112"/>
    <s v="PROD-013"/>
    <x v="21"/>
    <n v="4"/>
    <n v="3640"/>
    <n v="20.7"/>
    <n v="11546.08"/>
    <s v="Completed"/>
    <s v="Hyderabad"/>
    <x v="0"/>
    <x v="3"/>
  </r>
  <r>
    <s v="ORD-00048"/>
    <x v="43"/>
    <s v="CUST-9800"/>
    <s v="PROD-050"/>
    <x v="11"/>
    <n v="8"/>
    <n v="6080"/>
    <n v="24.4"/>
    <n v="36771.839999999997"/>
    <s v="Completed"/>
    <s v="Pune"/>
    <x v="5"/>
    <x v="0"/>
  </r>
  <r>
    <s v="ORD-00049"/>
    <x v="44"/>
    <s v="CUST-0143"/>
    <s v="PROD-030"/>
    <x v="0"/>
    <n v="10"/>
    <n v="970"/>
    <n v="0.6"/>
    <n v="9641.7999999999993"/>
    <s v="Cancelled"/>
    <s v="Chennai"/>
    <x v="2"/>
    <x v="0"/>
  </r>
  <r>
    <s v="ORD-00050"/>
    <x v="45"/>
    <s v="CUST-0226"/>
    <s v="PROD-022"/>
    <x v="8"/>
    <n v="1"/>
    <n v="2270"/>
    <n v="11.5"/>
    <n v="2008.95"/>
    <s v="Pending"/>
    <s v="Chennai"/>
    <x v="2"/>
    <x v="2"/>
  </r>
  <r>
    <s v="ORD-00051"/>
    <x v="46"/>
    <s v="CUST-0234"/>
    <s v="PROD-004"/>
    <x v="12"/>
    <n v="7"/>
    <n v="3870"/>
    <n v="0.3"/>
    <n v="27008.73"/>
    <s v="Cancelled"/>
    <s v="Bengaluru"/>
    <x v="4"/>
    <x v="3"/>
  </r>
  <r>
    <s v="ORD-00052"/>
    <x v="47"/>
    <s v="CUST-0176"/>
    <s v="PROD-046"/>
    <x v="18"/>
    <n v="1"/>
    <n v="4880"/>
    <n v="23.9"/>
    <n v="3713.68"/>
    <s v="Pending"/>
    <s v="Bengaluru"/>
    <x v="5"/>
    <x v="1"/>
  </r>
  <r>
    <s v="ORD-00053"/>
    <x v="48"/>
    <s v="CUST-0180"/>
    <s v="PROD-027"/>
    <x v="22"/>
    <n v="5"/>
    <n v="3780"/>
    <n v="18.5"/>
    <n v="15403.5"/>
    <s v="Completed"/>
    <s v="Chennai"/>
    <x v="2"/>
    <x v="1"/>
  </r>
  <r>
    <s v="ORD-00054"/>
    <x v="49"/>
    <s v="CUST-0088"/>
    <s v="PROD-036"/>
    <x v="16"/>
    <n v="10"/>
    <n v="3250"/>
    <n v="25.5"/>
    <n v="24212.5"/>
    <s v="Completed"/>
    <s v="Chennai"/>
    <x v="3"/>
    <x v="3"/>
  </r>
  <r>
    <s v="ORD-00055"/>
    <x v="50"/>
    <s v="CUST-0267"/>
    <s v="PROD-013"/>
    <x v="0"/>
    <n v="4"/>
    <n v="3640"/>
    <n v="9.9"/>
    <n v="13118.56"/>
    <s v="Refunded"/>
    <s v="Hyderabad"/>
    <x v="0"/>
    <x v="0"/>
  </r>
  <r>
    <s v="ORD-00056"/>
    <x v="51"/>
    <s v="CUST-0194"/>
    <s v="PROD-041"/>
    <x v="12"/>
    <n v="4"/>
    <n v="1540"/>
    <n v="28.8"/>
    <n v="4385.92"/>
    <s v="Completed"/>
    <s v="Delhi"/>
    <x v="5"/>
    <x v="3"/>
  </r>
  <r>
    <s v="ORD-00057"/>
    <x v="48"/>
    <s v="CUST-0261"/>
    <s v="PROD-040"/>
    <x v="21"/>
    <n v="1"/>
    <n v="1080"/>
    <n v="23"/>
    <n v="831.6"/>
    <s v="Cancelled"/>
    <s v="Delhi"/>
    <x v="3"/>
    <x v="3"/>
  </r>
  <r>
    <s v="ORD-00058"/>
    <x v="52"/>
    <s v="CUST-0031"/>
    <s v="PROD-026"/>
    <x v="0"/>
    <n v="1"/>
    <n v="4070"/>
    <n v="6.7"/>
    <n v="3797.31"/>
    <s v="Completed"/>
    <s v="Hyderabad"/>
    <x v="2"/>
    <x v="0"/>
  </r>
  <r>
    <s v="ORD-00059"/>
    <x v="53"/>
    <s v="CUST-0175"/>
    <s v="PROD-009"/>
    <x v="14"/>
    <n v="2"/>
    <n v="1220"/>
    <n v="11.7"/>
    <n v="2154.52"/>
    <s v="Cancelled"/>
    <s v="Delhi"/>
    <x v="4"/>
    <x v="2"/>
  </r>
  <r>
    <s v="ORD-00060"/>
    <x v="54"/>
    <s v="CUST-0263"/>
    <s v="PROD-039"/>
    <x v="20"/>
    <n v="4"/>
    <n v="4610"/>
    <n v="26.9"/>
    <n v="13479.64"/>
    <s v="Pending"/>
    <s v="Mumbai"/>
    <x v="3"/>
    <x v="2"/>
  </r>
  <r>
    <s v="ORD-00061"/>
    <x v="55"/>
    <s v="CUST-0203"/>
    <s v="PROD-040"/>
    <x v="23"/>
    <n v="8"/>
    <n v="1080"/>
    <n v="28.4"/>
    <n v="6186.24"/>
    <s v="Completed"/>
    <s v="Chennai"/>
    <x v="3"/>
    <x v="1"/>
  </r>
  <r>
    <s v="ORD-00062"/>
    <x v="56"/>
    <s v="CUST-0258"/>
    <s v="PROD-045"/>
    <x v="3"/>
    <n v="10"/>
    <n v="3020"/>
    <n v="25.4"/>
    <n v="22529.200000000001"/>
    <s v="Completed"/>
    <s v="Pune"/>
    <x v="5"/>
    <x v="0"/>
  </r>
  <r>
    <s v="ORD-00063"/>
    <x v="57"/>
    <s v="CUST-0282"/>
    <s v="PROD-008"/>
    <x v="21"/>
    <n v="7"/>
    <n v="2660"/>
    <n v="5.3"/>
    <n v="17633.14"/>
    <s v="Completed"/>
    <s v="Hyderabad"/>
    <x v="4"/>
    <x v="3"/>
  </r>
  <r>
    <s v="ORD-00064"/>
    <x v="37"/>
    <s v="CUST-0168"/>
    <s v="PROD-005"/>
    <x v="11"/>
    <n v="9"/>
    <n v="300"/>
    <n v="25.3"/>
    <n v="2016.9"/>
    <s v="Completed"/>
    <s v="Pune"/>
    <x v="4"/>
    <x v="0"/>
  </r>
  <r>
    <s v="ORD-00065"/>
    <x v="58"/>
    <s v="CUST-0040"/>
    <s v="PROD-010"/>
    <x v="24"/>
    <n v="10"/>
    <n v="2640"/>
    <n v="18.7"/>
    <n v="21463.200000000001"/>
    <s v="Cancelled"/>
    <s v="Chennai"/>
    <x v="4"/>
    <x v="3"/>
  </r>
  <r>
    <s v="ORD-00066"/>
    <x v="32"/>
    <s v="CUST-0283"/>
    <s v="PROD-020"/>
    <x v="16"/>
    <n v="8"/>
    <n v="820"/>
    <n v="24"/>
    <n v="4985.6000000000004"/>
    <s v="Completed"/>
    <s v="Delhi"/>
    <x v="0"/>
    <x v="3"/>
  </r>
  <r>
    <s v="ORD-00067"/>
    <x v="59"/>
    <s v="CUST-0202"/>
    <s v="PROD-021"/>
    <x v="8"/>
    <n v="1"/>
    <n v="2760"/>
    <n v="4.8"/>
    <n v="2627.52"/>
    <s v="Completed"/>
    <s v="Chennai"/>
    <x v="2"/>
    <x v="2"/>
  </r>
  <r>
    <s v="ORD-00068"/>
    <x v="60"/>
    <s v="CUST-0161"/>
    <s v="PROD-014"/>
    <x v="21"/>
    <n v="2"/>
    <n v="3620"/>
    <n v="19.100000000000001"/>
    <n v="5857.16"/>
    <s v="Completed"/>
    <s v="Chennai"/>
    <x v="0"/>
    <x v="3"/>
  </r>
  <r>
    <s v="ORD-00069"/>
    <x v="61"/>
    <s v="CUST-0033"/>
    <s v="PROD-016"/>
    <x v="5"/>
    <n v="1"/>
    <n v="620"/>
    <n v="1"/>
    <n v="613.79999999999995"/>
    <s v="Completed"/>
    <s v="Delhi"/>
    <x v="0"/>
    <x v="2"/>
  </r>
  <r>
    <s v="ORD-00070"/>
    <x v="62"/>
    <s v="CUST-0191"/>
    <s v="PROD-033"/>
    <x v="14"/>
    <n v="1"/>
    <n v="2030"/>
    <n v="3.3"/>
    <n v="1963.01"/>
    <s v="Completed"/>
    <s v="Hyderabad"/>
    <x v="3"/>
    <x v="2"/>
  </r>
  <r>
    <s v="ORD-00071"/>
    <x v="19"/>
    <s v="CUST-0180"/>
    <s v="PROD-012"/>
    <x v="25"/>
    <n v="10"/>
    <n v="3160"/>
    <n v="15.8"/>
    <n v="26607.200000000001"/>
    <s v="Completed"/>
    <s v="Chennai"/>
    <x v="0"/>
    <x v="0"/>
  </r>
  <r>
    <s v="ORD-00072"/>
    <x v="63"/>
    <s v="CUST-0129"/>
    <s v="PROD-030"/>
    <x v="19"/>
    <n v="5"/>
    <n v="970"/>
    <n v="12.2"/>
    <n v="4258.3"/>
    <s v="Completed"/>
    <s v="Hyderabad"/>
    <x v="2"/>
    <x v="0"/>
  </r>
  <r>
    <s v="ORD-00073"/>
    <x v="64"/>
    <s v="CUST-0189"/>
    <s v="PROD-043"/>
    <x v="11"/>
    <n v="9"/>
    <n v="3350"/>
    <n v="25.8"/>
    <n v="22371.3"/>
    <s v="Pending"/>
    <s v="Chennai"/>
    <x v="5"/>
    <x v="0"/>
  </r>
  <r>
    <s v="ORD-00074"/>
    <x v="65"/>
    <s v="CUST-0194"/>
    <s v="PROD-032"/>
    <x v="26"/>
    <n v="1"/>
    <n v="370"/>
    <n v="28.9"/>
    <n v="263.07"/>
    <s v="Completed"/>
    <s v="Delhi"/>
    <x v="3"/>
    <x v="3"/>
  </r>
  <r>
    <s v="ORD-00075"/>
    <x v="66"/>
    <s v="CUST-0200"/>
    <s v="PROD-030"/>
    <x v="9"/>
    <n v="3"/>
    <n v="970"/>
    <n v="4.3"/>
    <n v="2784.87"/>
    <s v="Cancelled"/>
    <s v="Hyderabad"/>
    <x v="2"/>
    <x v="1"/>
  </r>
  <r>
    <s v="ORD-00076"/>
    <x v="67"/>
    <s v="CUST-0008"/>
    <s v="PROD-021"/>
    <x v="24"/>
    <n v="6"/>
    <n v="2760"/>
    <n v="19.899999999999999"/>
    <n v="13264.56"/>
    <s v="Pending"/>
    <s v="Pune"/>
    <x v="2"/>
    <x v="3"/>
  </r>
  <r>
    <s v="ORD-00077"/>
    <x v="68"/>
    <s v="CUST-0051"/>
    <s v="PROD-021"/>
    <x v="7"/>
    <n v="7"/>
    <n v="2760"/>
    <n v="25.2"/>
    <n v="14451.36"/>
    <s v="Completed"/>
    <s v="Pune"/>
    <x v="2"/>
    <x v="3"/>
  </r>
  <r>
    <s v="ORD-00078"/>
    <x v="69"/>
    <s v="CUST-0193"/>
    <s v="PROD-009"/>
    <x v="24"/>
    <n v="4"/>
    <n v="1220"/>
    <n v="8.4"/>
    <n v="4470.08"/>
    <s v="Completed"/>
    <s v="Bengaluru"/>
    <x v="4"/>
    <x v="3"/>
  </r>
  <r>
    <s v="ORD-00079"/>
    <x v="70"/>
    <s v="CUST-0020"/>
    <s v="PROD-002"/>
    <x v="8"/>
    <n v="2"/>
    <n v="2600"/>
    <n v="1.9"/>
    <n v="5101.2"/>
    <s v="Pending"/>
    <s v="Hyderabad"/>
    <x v="4"/>
    <x v="2"/>
  </r>
  <r>
    <s v="ORD-00080"/>
    <x v="71"/>
    <s v="CUST-0230"/>
    <s v="PROD-026"/>
    <x v="14"/>
    <n v="9"/>
    <n v="4070"/>
    <n v="28.8"/>
    <n v="26080.560000000001"/>
    <s v="Completed"/>
    <s v="Pune"/>
    <x v="2"/>
    <x v="2"/>
  </r>
  <r>
    <s v="ORD-00081"/>
    <x v="50"/>
    <s v="CUST-0094"/>
    <s v="PROD-024"/>
    <x v="1"/>
    <n v="2"/>
    <n v="2270"/>
    <n v="18"/>
    <n v="3722.8"/>
    <s v="Refunded"/>
    <s v="Pune"/>
    <x v="2"/>
    <x v="0"/>
  </r>
  <r>
    <s v="ORD-00082"/>
    <x v="72"/>
    <s v="CUST-0248"/>
    <s v="PROD-012"/>
    <x v="21"/>
    <n v="2"/>
    <n v="3160"/>
    <n v="18.3"/>
    <n v="5163.4399999999996"/>
    <s v="Completed"/>
    <s v="Chennai"/>
    <x v="0"/>
    <x v="3"/>
  </r>
  <r>
    <s v="ORD-00083"/>
    <x v="73"/>
    <s v="CUST-0082"/>
    <s v="PROD-019"/>
    <x v="0"/>
    <n v="4"/>
    <n v="2480"/>
    <n v="1.1000000000000001"/>
    <n v="9810.8799999999992"/>
    <s v="Pending"/>
    <s v="Hyderabad"/>
    <x v="0"/>
    <x v="0"/>
  </r>
  <r>
    <s v="ORD-00084"/>
    <x v="74"/>
    <s v="CUST-0078"/>
    <s v="PROD-008"/>
    <x v="17"/>
    <n v="1"/>
    <n v="2660"/>
    <n v="21"/>
    <n v="2101.4"/>
    <s v="Completed"/>
    <s v="Delhi"/>
    <x v="4"/>
    <x v="2"/>
  </r>
  <r>
    <s v="ORD-00085"/>
    <x v="75"/>
    <s v="CUST-0032"/>
    <s v="PROD-045"/>
    <x v="27"/>
    <n v="5"/>
    <n v="3020"/>
    <n v="22.2"/>
    <n v="11747.8"/>
    <s v="Completed"/>
    <s v="Hyderabad"/>
    <x v="5"/>
    <x v="1"/>
  </r>
  <r>
    <s v="ORD-00086"/>
    <x v="76"/>
    <s v="CUST-0006"/>
    <s v="PROD-016"/>
    <x v="14"/>
    <n v="9"/>
    <n v="620"/>
    <n v="23.3"/>
    <n v="4279.8599999999997"/>
    <s v="Completed"/>
    <s v="Pune"/>
    <x v="0"/>
    <x v="2"/>
  </r>
  <r>
    <s v="ORD-00087"/>
    <x v="77"/>
    <s v="CUST-0084"/>
    <s v="PROD-053"/>
    <x v="17"/>
    <n v="2"/>
    <n v="470"/>
    <n v="5.4"/>
    <n v="889.24"/>
    <s v="Completed"/>
    <s v="Chennai"/>
    <x v="1"/>
    <x v="2"/>
  </r>
  <r>
    <s v="ORD-00088"/>
    <x v="78"/>
    <s v="CUST-0107"/>
    <s v="PROD-007"/>
    <x v="9"/>
    <n v="3"/>
    <n v="1430"/>
    <n v="6.5"/>
    <n v="4011.15"/>
    <s v="Completed"/>
    <s v="Pune"/>
    <x v="4"/>
    <x v="1"/>
  </r>
  <r>
    <s v="ORD-00089"/>
    <x v="79"/>
    <s v="CUST-0108"/>
    <s v="PROD-016"/>
    <x v="10"/>
    <n v="6"/>
    <n v="620"/>
    <n v="2.6"/>
    <n v="3623.28"/>
    <s v="Completed"/>
    <s v="Bengaluru"/>
    <x v="0"/>
    <x v="0"/>
  </r>
  <r>
    <s v="ORD-00090"/>
    <x v="80"/>
    <s v="CUST-0139"/>
    <s v="PROD-003"/>
    <x v="27"/>
    <n v="4"/>
    <n v="3570"/>
    <n v="4.5"/>
    <n v="13637.4"/>
    <s v="Pending"/>
    <s v="Hyderabad"/>
    <x v="4"/>
    <x v="1"/>
  </r>
  <r>
    <s v="ORD-00091"/>
    <x v="81"/>
    <s v="CUST-0200"/>
    <s v="PROD-022"/>
    <x v="9"/>
    <n v="6"/>
    <n v="2270"/>
    <n v="2"/>
    <n v="13347.6"/>
    <s v="Completed"/>
    <s v="Hyderabad"/>
    <x v="2"/>
    <x v="1"/>
  </r>
  <r>
    <s v="ORD-00092"/>
    <x v="60"/>
    <s v="CUST-0208"/>
    <s v="PROD-015"/>
    <x v="2"/>
    <n v="7"/>
    <n v="2720"/>
    <n v="15.4"/>
    <n v="16107.84"/>
    <s v="Completed"/>
    <s v="Mumbai"/>
    <x v="0"/>
    <x v="1"/>
  </r>
  <r>
    <s v="ORD-00093"/>
    <x v="82"/>
    <s v="CUST-0161"/>
    <s v="PROD-029"/>
    <x v="19"/>
    <n v="9"/>
    <n v="2210"/>
    <n v="12.4"/>
    <n v="17423.64"/>
    <s v="Completed"/>
    <s v="Chennai"/>
    <x v="2"/>
    <x v="0"/>
  </r>
  <r>
    <s v="ORD-00094"/>
    <x v="83"/>
    <s v="CUST-0042"/>
    <s v="PROD-060"/>
    <x v="17"/>
    <n v="6"/>
    <n v="190"/>
    <n v="19.2"/>
    <n v="921.12"/>
    <s v="Completed"/>
    <s v="Pune"/>
    <x v="1"/>
    <x v="2"/>
  </r>
  <r>
    <s v="ORD-00095"/>
    <x v="84"/>
    <s v="CUST-0133"/>
    <s v="PROD-048"/>
    <x v="28"/>
    <n v="10"/>
    <n v="5100"/>
    <n v="25.4"/>
    <n v="38046"/>
    <s v="Refunded"/>
    <s v="Chennai"/>
    <x v="5"/>
    <x v="2"/>
  </r>
  <r>
    <s v="ORD-00096"/>
    <x v="85"/>
    <s v="CUST-0219"/>
    <s v="PROD-054"/>
    <x v="29"/>
    <n v="5"/>
    <n v="1010"/>
    <n v="1.6"/>
    <n v="4969.2"/>
    <s v="Completed"/>
    <s v="Chennai"/>
    <x v="1"/>
    <x v="1"/>
  </r>
  <r>
    <s v="ORD-00097"/>
    <x v="60"/>
    <s v="CUST-0031"/>
    <s v="PROD-031"/>
    <x v="5"/>
    <n v="1"/>
    <n v="3730"/>
    <n v="22.7"/>
    <n v="2883.29"/>
    <s v="Completed"/>
    <s v="Hyderabad"/>
    <x v="3"/>
    <x v="2"/>
  </r>
  <r>
    <s v="ORD-00098"/>
    <x v="41"/>
    <s v="CUST-0189"/>
    <s v="PROD-002"/>
    <x v="8"/>
    <n v="10"/>
    <n v="2600"/>
    <n v="20.7"/>
    <n v="20618"/>
    <s v="Completed"/>
    <s v="Chennai"/>
    <x v="4"/>
    <x v="2"/>
  </r>
  <r>
    <s v="ORD-00099"/>
    <x v="86"/>
    <s v="CUST-0170"/>
    <s v="PROD-025"/>
    <x v="3"/>
    <n v="4"/>
    <n v="4060"/>
    <n v="13.9"/>
    <n v="13982.64"/>
    <s v="Completed"/>
    <s v="Mumbai"/>
    <x v="2"/>
    <x v="0"/>
  </r>
  <r>
    <s v="ORD-00100"/>
    <x v="87"/>
    <s v="CUST-0164"/>
    <s v="PROD-050"/>
    <x v="28"/>
    <n v="6"/>
    <n v="6080"/>
    <n v="16.5"/>
    <n v="30460.799999999999"/>
    <s v="Completed"/>
    <s v="Chennai"/>
    <x v="5"/>
    <x v="2"/>
  </r>
  <r>
    <s v="ORD-00101"/>
    <x v="88"/>
    <s v="CUST-0006"/>
    <s v="PROD-017"/>
    <x v="8"/>
    <n v="6"/>
    <n v="2510"/>
    <n v="11.7"/>
    <n v="13297.98"/>
    <s v="Completed"/>
    <s v="Pune"/>
    <x v="0"/>
    <x v="2"/>
  </r>
  <r>
    <s v="ORD-00102"/>
    <x v="89"/>
    <s v="CUST-0181"/>
    <s v="PROD-036"/>
    <x v="17"/>
    <n v="5"/>
    <n v="3250"/>
    <n v="18.399999999999999"/>
    <n v="13260"/>
    <s v="Completed"/>
    <s v="Delhi"/>
    <x v="3"/>
    <x v="2"/>
  </r>
  <r>
    <s v="ORD-00103"/>
    <x v="90"/>
    <s v="CUST-0131"/>
    <s v="PROD-052"/>
    <x v="1"/>
    <n v="4"/>
    <n v="5410"/>
    <n v="9.8000000000000007"/>
    <n v="19519.28"/>
    <s v="Cancelled"/>
    <s v="Delhi"/>
    <x v="1"/>
    <x v="0"/>
  </r>
  <r>
    <s v="ORD-00104"/>
    <x v="91"/>
    <s v="CUST-0255"/>
    <s v="PROD-003"/>
    <x v="26"/>
    <n v="8"/>
    <n v="3570"/>
    <n v="11.1"/>
    <n v="25389.84"/>
    <s v="Completed"/>
    <s v="Chennai"/>
    <x v="4"/>
    <x v="3"/>
  </r>
  <r>
    <s v="ORD-00105"/>
    <x v="92"/>
    <s v="CUST-0170"/>
    <s v="PROD-001"/>
    <x v="11"/>
    <n v="10"/>
    <n v="5330"/>
    <n v="21.2"/>
    <n v="42000.4"/>
    <s v="Completed"/>
    <s v="Mumbai"/>
    <x v="4"/>
    <x v="0"/>
  </r>
  <r>
    <s v="ORD-00106"/>
    <x v="93"/>
    <s v="CUST-0081"/>
    <s v="PROD-023"/>
    <x v="21"/>
    <n v="4"/>
    <n v="2380"/>
    <n v="26.2"/>
    <n v="7025.76"/>
    <s v="Completed"/>
    <s v="Mumbai"/>
    <x v="2"/>
    <x v="3"/>
  </r>
  <r>
    <s v="ORD-00107"/>
    <x v="94"/>
    <s v="CUST-0102"/>
    <s v="PROD-054"/>
    <x v="28"/>
    <n v="1"/>
    <n v="1010"/>
    <n v="19.5"/>
    <n v="813.05"/>
    <s v="Cancelled"/>
    <s v="Chennai"/>
    <x v="1"/>
    <x v="2"/>
  </r>
  <r>
    <s v="ORD-00108"/>
    <x v="85"/>
    <s v="CUST-0070"/>
    <s v="PROD-028"/>
    <x v="5"/>
    <n v="1"/>
    <n v="3660"/>
    <n v="1.3"/>
    <n v="3612.42"/>
    <s v="Completed"/>
    <s v="Mumbai"/>
    <x v="2"/>
    <x v="2"/>
  </r>
  <r>
    <s v="ORD-00109"/>
    <x v="95"/>
    <s v="CUST-0012"/>
    <s v="PROD-026"/>
    <x v="22"/>
    <n v="2"/>
    <n v="4070"/>
    <n v="29"/>
    <n v="5779.4"/>
    <s v="Cancelled"/>
    <s v="Pune"/>
    <x v="2"/>
    <x v="1"/>
  </r>
  <r>
    <s v="ORD-00110"/>
    <x v="96"/>
    <s v="CUST-0086"/>
    <s v="PROD-037"/>
    <x v="20"/>
    <n v="6"/>
    <n v="660"/>
    <n v="20.2"/>
    <n v="3160.08"/>
    <s v="Pending"/>
    <s v="Hyderabad"/>
    <x v="3"/>
    <x v="2"/>
  </r>
  <r>
    <s v="ORD-00111"/>
    <x v="97"/>
    <s v="CUST-0145"/>
    <s v="PROD-040"/>
    <x v="6"/>
    <n v="3"/>
    <n v="1080"/>
    <n v="29.7"/>
    <n v="2277.7199999999998"/>
    <s v="Completed"/>
    <s v="Bengaluru"/>
    <x v="3"/>
    <x v="2"/>
  </r>
  <r>
    <s v="ORD-00112"/>
    <x v="98"/>
    <s v="CUST-0287"/>
    <s v="PROD-020"/>
    <x v="3"/>
    <n v="7"/>
    <n v="820"/>
    <n v="13.5"/>
    <n v="4965.1000000000004"/>
    <s v="Cancelled"/>
    <s v="Chennai"/>
    <x v="0"/>
    <x v="0"/>
  </r>
  <r>
    <s v="ORD-00113"/>
    <x v="18"/>
    <s v="CUST-0280"/>
    <s v="PROD-049"/>
    <x v="28"/>
    <n v="4"/>
    <n v="960"/>
    <n v="26"/>
    <n v="2841.6"/>
    <s v="Completed"/>
    <s v="Delhi"/>
    <x v="5"/>
    <x v="2"/>
  </r>
  <r>
    <s v="ORD-00114"/>
    <x v="99"/>
    <s v="CUST-0096"/>
    <s v="PROD-002"/>
    <x v="2"/>
    <n v="3"/>
    <n v="2600"/>
    <n v="18.2"/>
    <n v="6380.4"/>
    <s v="Completed"/>
    <s v="Delhi"/>
    <x v="4"/>
    <x v="1"/>
  </r>
  <r>
    <s v="ORD-00115"/>
    <x v="43"/>
    <s v="CUST-0184"/>
    <s v="PROD-033"/>
    <x v="20"/>
    <n v="9"/>
    <n v="2030"/>
    <n v="26.1"/>
    <n v="13501.53"/>
    <s v="Completed"/>
    <s v="Pune"/>
    <x v="3"/>
    <x v="2"/>
  </r>
  <r>
    <s v="ORD-00116"/>
    <x v="100"/>
    <s v="CUST-0025"/>
    <s v="PROD-042"/>
    <x v="8"/>
    <n v="8"/>
    <n v="2290"/>
    <n v="20.8"/>
    <n v="14509.44"/>
    <s v="Completed"/>
    <s v="Bengaluru"/>
    <x v="5"/>
    <x v="2"/>
  </r>
  <r>
    <s v="ORD-00117"/>
    <x v="101"/>
    <s v="CUST-0149"/>
    <s v="PROD-031"/>
    <x v="20"/>
    <n v="3"/>
    <n v="3730"/>
    <n v="7.9"/>
    <n v="10305.99"/>
    <s v="Completed"/>
    <s v="Hyderabad"/>
    <x v="3"/>
    <x v="2"/>
  </r>
  <r>
    <s v="ORD-00118"/>
    <x v="102"/>
    <s v="CUST-0018"/>
    <s v="PROD-005"/>
    <x v="2"/>
    <n v="1"/>
    <n v="300"/>
    <n v="16.899999999999999"/>
    <n v="249.3"/>
    <s v="Pending"/>
    <s v="Pune"/>
    <x v="4"/>
    <x v="1"/>
  </r>
  <r>
    <s v="ORD-00119"/>
    <x v="103"/>
    <s v="CUST-0216"/>
    <s v="PROD-005"/>
    <x v="27"/>
    <n v="3"/>
    <n v="300"/>
    <n v="0.6"/>
    <n v="894.6"/>
    <s v="Completed"/>
    <s v="Mumbai"/>
    <x v="4"/>
    <x v="1"/>
  </r>
  <r>
    <s v="ORD-00120"/>
    <x v="90"/>
    <s v="CUST-0092"/>
    <s v="PROD-043"/>
    <x v="0"/>
    <n v="6"/>
    <n v="3350"/>
    <n v="2.2999999999999998"/>
    <n v="19637.7"/>
    <s v="Cancelled"/>
    <s v="Bengaluru"/>
    <x v="5"/>
    <x v="0"/>
  </r>
  <r>
    <s v="ORD-00121"/>
    <x v="104"/>
    <s v="CUST-0056"/>
    <s v="PROD-001"/>
    <x v="11"/>
    <n v="4"/>
    <n v="5330"/>
    <n v="29.3"/>
    <n v="15073.24"/>
    <s v="Completed"/>
    <s v="Bengaluru"/>
    <x v="4"/>
    <x v="0"/>
  </r>
  <r>
    <s v="ORD-00122"/>
    <x v="105"/>
    <s v="CUST-0113"/>
    <s v="PROD-014"/>
    <x v="25"/>
    <n v="6"/>
    <n v="3620"/>
    <n v="10.8"/>
    <n v="19374.240000000002"/>
    <s v="Completed"/>
    <s v="Delhi"/>
    <x v="0"/>
    <x v="0"/>
  </r>
  <r>
    <s v="ORD-00123"/>
    <x v="106"/>
    <s v="CUST-0253"/>
    <s v="PROD-014"/>
    <x v="1"/>
    <n v="6"/>
    <n v="3620"/>
    <n v="21.7"/>
    <n v="17006.759999999998"/>
    <s v="Completed"/>
    <s v="Delhi"/>
    <x v="0"/>
    <x v="0"/>
  </r>
  <r>
    <s v="ORD-00124"/>
    <x v="107"/>
    <s v="CUST-0187"/>
    <s v="PROD-057"/>
    <x v="4"/>
    <n v="8"/>
    <n v="960"/>
    <n v="27.9"/>
    <n v="5537.28"/>
    <s v="Completed"/>
    <s v="Chennai"/>
    <x v="1"/>
    <x v="0"/>
  </r>
  <r>
    <s v="ORD-00125"/>
    <x v="108"/>
    <s v="CUST-0028"/>
    <s v="PROD-044"/>
    <x v="5"/>
    <n v="5"/>
    <n v="1650"/>
    <n v="4.9000000000000004"/>
    <n v="7845.75"/>
    <s v="Completed"/>
    <s v="Bengaluru"/>
    <x v="5"/>
    <x v="2"/>
  </r>
  <r>
    <s v="ORD-00126"/>
    <x v="95"/>
    <s v="CUST-0224"/>
    <s v="PROD-049"/>
    <x v="9"/>
    <n v="9"/>
    <n v="960"/>
    <n v="25.1"/>
    <n v="6471.36"/>
    <s v="Refunded"/>
    <s v="Chennai"/>
    <x v="5"/>
    <x v="1"/>
  </r>
  <r>
    <s v="ORD-00127"/>
    <x v="99"/>
    <s v="CUST-0150"/>
    <s v="PROD-006"/>
    <x v="11"/>
    <n v="7"/>
    <n v="3970"/>
    <n v="13.8"/>
    <n v="23954.98"/>
    <s v="Pending"/>
    <s v="Pune"/>
    <x v="4"/>
    <x v="0"/>
  </r>
  <r>
    <s v="ORD-00128"/>
    <x v="109"/>
    <s v="CUST-0129"/>
    <s v="PROD-030"/>
    <x v="1"/>
    <n v="7"/>
    <n v="970"/>
    <n v="21.6"/>
    <n v="5323.36"/>
    <s v="Pending"/>
    <s v="Hyderabad"/>
    <x v="2"/>
    <x v="0"/>
  </r>
  <r>
    <s v="ORD-00129"/>
    <x v="110"/>
    <s v="CUST-0239"/>
    <s v="PROD-033"/>
    <x v="19"/>
    <n v="10"/>
    <n v="2030"/>
    <n v="1.2"/>
    <n v="20056.400000000001"/>
    <s v="Completed"/>
    <s v="Mumbai"/>
    <x v="3"/>
    <x v="0"/>
  </r>
  <r>
    <s v="ORD-00130"/>
    <x v="93"/>
    <s v="CUST-0106"/>
    <s v="PROD-024"/>
    <x v="13"/>
    <n v="9"/>
    <n v="2270"/>
    <n v="13.2"/>
    <n v="17733.240000000002"/>
    <s v="Pending"/>
    <s v="Pune"/>
    <x v="2"/>
    <x v="3"/>
  </r>
  <r>
    <s v="ORD-00131"/>
    <x v="111"/>
    <s v="CUST-0273"/>
    <s v="PROD-046"/>
    <x v="11"/>
    <n v="8"/>
    <n v="4880"/>
    <n v="13.4"/>
    <n v="33808.639999999999"/>
    <s v="Completed"/>
    <s v="Hyderabad"/>
    <x v="5"/>
    <x v="0"/>
  </r>
  <r>
    <s v="ORD-00132"/>
    <x v="112"/>
    <s v="CUST-0114"/>
    <s v="PROD-004"/>
    <x v="23"/>
    <n v="10"/>
    <n v="3870"/>
    <n v="23.9"/>
    <n v="29450.7"/>
    <s v="Completed"/>
    <s v="Bengaluru"/>
    <x v="4"/>
    <x v="1"/>
  </r>
  <r>
    <s v="ORD-00133"/>
    <x v="113"/>
    <s v="CUST-0146"/>
    <s v="PROD-042"/>
    <x v="25"/>
    <n v="4"/>
    <n v="2290"/>
    <n v="15.2"/>
    <n v="7767.68"/>
    <s v="Completed"/>
    <s v="Hyderabad"/>
    <x v="5"/>
    <x v="0"/>
  </r>
  <r>
    <s v="ORD-00134"/>
    <x v="68"/>
    <s v="CUST-0298"/>
    <s v="PROD-023"/>
    <x v="16"/>
    <n v="8"/>
    <n v="2380"/>
    <n v="4.2"/>
    <n v="18240.32"/>
    <s v="Completed"/>
    <s v="Delhi"/>
    <x v="2"/>
    <x v="3"/>
  </r>
  <r>
    <s v="ORD-00135"/>
    <x v="114"/>
    <s v="CUST-0111"/>
    <s v="PROD-029"/>
    <x v="22"/>
    <n v="8"/>
    <n v="2210"/>
    <n v="11.5"/>
    <n v="15646.8"/>
    <s v="Completed"/>
    <s v="Chennai"/>
    <x v="2"/>
    <x v="1"/>
  </r>
  <r>
    <s v="ORD-01445"/>
    <x v="107"/>
    <s v="CUST-0291"/>
    <s v="PROD-001"/>
    <x v="24"/>
    <n v="4"/>
    <n v="5330"/>
    <n v="22.6"/>
    <n v="16501.68"/>
    <s v="Pending"/>
    <s v="Pune"/>
    <x v="4"/>
    <x v="3"/>
  </r>
  <r>
    <s v="ORD-00137"/>
    <x v="115"/>
    <s v="CUST-0024"/>
    <s v="PROD-006"/>
    <x v="24"/>
    <n v="8"/>
    <n v="3970"/>
    <n v="21.8"/>
    <n v="24836.32"/>
    <s v="Completed"/>
    <s v="Chennai"/>
    <x v="4"/>
    <x v="3"/>
  </r>
  <r>
    <s v="ORD-00138"/>
    <x v="14"/>
    <s v="CUST-0210"/>
    <s v="PROD-012"/>
    <x v="16"/>
    <n v="10"/>
    <n v="3160"/>
    <n v="16.100000000000001"/>
    <n v="26512.400000000001"/>
    <s v="Cancelled"/>
    <s v="Pune"/>
    <x v="0"/>
    <x v="3"/>
  </r>
  <r>
    <s v="ORD-00139"/>
    <x v="54"/>
    <s v="CUST-0192"/>
    <s v="PROD-060"/>
    <x v="18"/>
    <n v="5"/>
    <n v="190"/>
    <n v="14.8"/>
    <n v="809.4"/>
    <s v="Completed"/>
    <s v="Bengaluru"/>
    <x v="1"/>
    <x v="1"/>
  </r>
  <r>
    <s v="ORD-00140"/>
    <x v="116"/>
    <s v="CUST-0078"/>
    <s v="PROD-021"/>
    <x v="0"/>
    <n v="6"/>
    <n v="2760"/>
    <n v="19.8"/>
    <n v="13281.12"/>
    <s v="Completed"/>
    <s v="Delhi"/>
    <x v="2"/>
    <x v="0"/>
  </r>
  <r>
    <s v="ORD-00141"/>
    <x v="117"/>
    <s v="CUST-0070"/>
    <s v="PROD-022"/>
    <x v="7"/>
    <n v="9"/>
    <n v="2270"/>
    <n v="20.8"/>
    <n v="16180.56"/>
    <s v="Cancelled"/>
    <s v="Mumbai"/>
    <x v="2"/>
    <x v="3"/>
  </r>
  <r>
    <s v="ORD-00142"/>
    <x v="60"/>
    <s v="CUST-0159"/>
    <s v="PROD-052"/>
    <x v="19"/>
    <n v="8"/>
    <n v="5410"/>
    <n v="12.9"/>
    <n v="37696.879999999997"/>
    <s v="Completed"/>
    <s v="Hyderabad"/>
    <x v="1"/>
    <x v="0"/>
  </r>
  <r>
    <s v="ORD-00143"/>
    <x v="118"/>
    <s v="CUST-0294"/>
    <s v="PROD-024"/>
    <x v="18"/>
    <n v="9"/>
    <n v="2270"/>
    <n v="6.8"/>
    <n v="19040.759999999998"/>
    <s v="Completed"/>
    <s v="Delhi"/>
    <x v="2"/>
    <x v="1"/>
  </r>
  <r>
    <s v="ORD-00144"/>
    <x v="119"/>
    <s v="CUST-0280"/>
    <s v="PROD-012"/>
    <x v="19"/>
    <n v="3"/>
    <n v="3160"/>
    <n v="12.8"/>
    <n v="8266.56"/>
    <s v="Completed"/>
    <s v="Delhi"/>
    <x v="0"/>
    <x v="0"/>
  </r>
  <r>
    <s v="ORD-00145"/>
    <x v="120"/>
    <s v="CUST-0291"/>
    <s v="PROD-025"/>
    <x v="8"/>
    <n v="8"/>
    <n v="4060"/>
    <n v="20.9"/>
    <n v="25691.68"/>
    <s v="Completed"/>
    <s v="Pune"/>
    <x v="2"/>
    <x v="2"/>
  </r>
  <r>
    <s v="ORD-00146"/>
    <x v="121"/>
    <s v="CUST-9657"/>
    <s v="PROD-020"/>
    <x v="26"/>
    <n v="5"/>
    <n v="820"/>
    <n v="9.1"/>
    <n v="3726.9"/>
    <s v="Refunded"/>
    <s v="Pune"/>
    <x v="0"/>
    <x v="3"/>
  </r>
  <r>
    <s v="ORD-00147"/>
    <x v="122"/>
    <s v="CUST-0080"/>
    <s v="PROD-032"/>
    <x v="0"/>
    <n v="5"/>
    <n v="370"/>
    <n v="11.5"/>
    <n v="1637.25"/>
    <s v="Completed"/>
    <s v="Pune"/>
    <x v="3"/>
    <x v="0"/>
  </r>
  <r>
    <s v="ORD-00148"/>
    <x v="123"/>
    <s v="CUST-0172"/>
    <s v="PROD-034"/>
    <x v="25"/>
    <n v="9"/>
    <n v="5080"/>
    <n v="27.5"/>
    <n v="33147"/>
    <s v="Completed"/>
    <s v="Pune"/>
    <x v="3"/>
    <x v="0"/>
  </r>
  <r>
    <s v="ORD-00149"/>
    <x v="124"/>
    <s v="CUST-0051"/>
    <s v="PROD-026"/>
    <x v="27"/>
    <n v="6"/>
    <n v="4070"/>
    <n v="12.5"/>
    <n v="21367.5"/>
    <s v="Completed"/>
    <s v="Pune"/>
    <x v="2"/>
    <x v="1"/>
  </r>
  <r>
    <s v="ORD-00150"/>
    <x v="63"/>
    <s v="CUST-0080"/>
    <s v="PROD-005"/>
    <x v="6"/>
    <n v="5"/>
    <n v="300"/>
    <n v="25.8"/>
    <n v="1113"/>
    <s v="Completed"/>
    <s v="Pune"/>
    <x v="4"/>
    <x v="2"/>
  </r>
  <r>
    <s v="ORD-00151"/>
    <x v="125"/>
    <s v="CUST-0137"/>
    <s v="PROD-048"/>
    <x v="23"/>
    <n v="7"/>
    <n v="5100"/>
    <n v="28.8"/>
    <n v="25418.400000000001"/>
    <s v="Completed"/>
    <s v="Mumbai"/>
    <x v="5"/>
    <x v="1"/>
  </r>
  <r>
    <s v="ORD-00152"/>
    <x v="126"/>
    <s v="CUST-0222"/>
    <s v="PROD-038"/>
    <x v="27"/>
    <n v="2"/>
    <n v="5490"/>
    <n v="5.5"/>
    <n v="10376.1"/>
    <s v="Completed"/>
    <s v="Chennai"/>
    <x v="3"/>
    <x v="1"/>
  </r>
  <r>
    <s v="ORD-00153"/>
    <x v="127"/>
    <s v="CUST-0117"/>
    <s v="PROD-011"/>
    <x v="15"/>
    <n v="2"/>
    <n v="3450"/>
    <n v="1.2"/>
    <n v="6817.2"/>
    <s v="Completed"/>
    <s v="Delhi"/>
    <x v="0"/>
    <x v="1"/>
  </r>
  <r>
    <s v="ORD-00154"/>
    <x v="21"/>
    <s v="CUST-0104"/>
    <s v="PROD-029"/>
    <x v="25"/>
    <n v="10"/>
    <n v="2210"/>
    <n v="18.8"/>
    <n v="17945.2"/>
    <s v="Completed"/>
    <s v="Hyderabad"/>
    <x v="2"/>
    <x v="0"/>
  </r>
  <r>
    <s v="ORD-00155"/>
    <x v="128"/>
    <s v="CUST-0082"/>
    <s v="PROD-036"/>
    <x v="22"/>
    <n v="2"/>
    <n v="3250"/>
    <n v="26.2"/>
    <n v="4797"/>
    <s v="Completed"/>
    <s v="Hyderabad"/>
    <x v="3"/>
    <x v="1"/>
  </r>
  <r>
    <s v="ORD-00156"/>
    <x v="129"/>
    <s v="CUST-0165"/>
    <s v="PROD-012"/>
    <x v="19"/>
    <n v="5"/>
    <n v="3160"/>
    <n v="0.9"/>
    <n v="15657.8"/>
    <s v="Completed"/>
    <s v="Pune"/>
    <x v="0"/>
    <x v="0"/>
  </r>
  <r>
    <s v="ORD-00157"/>
    <x v="130"/>
    <s v="CUST-0150"/>
    <s v="PROD-004"/>
    <x v="14"/>
    <n v="4"/>
    <n v="3870"/>
    <n v="29.6"/>
    <n v="10897.92"/>
    <s v="Cancelled"/>
    <s v="Pune"/>
    <x v="4"/>
    <x v="2"/>
  </r>
  <r>
    <s v="ORD-00158"/>
    <x v="131"/>
    <s v="CUST-0228"/>
    <s v="PROD-059"/>
    <x v="24"/>
    <n v="4"/>
    <n v="3780"/>
    <n v="3.5"/>
    <n v="14590.8"/>
    <s v="Cancelled"/>
    <s v="Pune"/>
    <x v="1"/>
    <x v="3"/>
  </r>
  <r>
    <s v="ORD-00159"/>
    <x v="49"/>
    <s v="CUST-0197"/>
    <s v="PROD-045"/>
    <x v="13"/>
    <n v="4"/>
    <n v="3020"/>
    <n v="18.899999999999999"/>
    <n v="9796.8799999999992"/>
    <s v="Completed"/>
    <s v="Bengaluru"/>
    <x v="5"/>
    <x v="3"/>
  </r>
  <r>
    <s v="ORD-00160"/>
    <x v="132"/>
    <s v="CUST-0009"/>
    <s v="PROD-031"/>
    <x v="15"/>
    <n v="1"/>
    <n v="3730"/>
    <n v="10.8"/>
    <n v="3327.16"/>
    <s v="Refunded"/>
    <s v="Mumbai"/>
    <x v="3"/>
    <x v="1"/>
  </r>
  <r>
    <s v="ORD-00161"/>
    <x v="18"/>
    <s v="CUST-0139"/>
    <s v="PROD-046"/>
    <x v="26"/>
    <n v="8"/>
    <n v="4880"/>
    <n v="20.3"/>
    <n v="31114.880000000001"/>
    <s v="Completed"/>
    <s v="Hyderabad"/>
    <x v="5"/>
    <x v="3"/>
  </r>
  <r>
    <s v="ORD-00162"/>
    <x v="133"/>
    <s v="CUST-0184"/>
    <s v="PROD-030"/>
    <x v="17"/>
    <n v="9"/>
    <n v="970"/>
    <n v="18.2"/>
    <n v="7141.14"/>
    <s v="Completed"/>
    <s v="Pune"/>
    <x v="2"/>
    <x v="2"/>
  </r>
  <r>
    <s v="ORD-00163"/>
    <x v="33"/>
    <s v="CUST-0119"/>
    <s v="PROD-008"/>
    <x v="21"/>
    <n v="8"/>
    <n v="2660"/>
    <n v="17.600000000000001"/>
    <n v="17534.72"/>
    <s v="Completed"/>
    <s v="Bengaluru"/>
    <x v="4"/>
    <x v="3"/>
  </r>
  <r>
    <s v="ORD-00164"/>
    <x v="85"/>
    <s v="CUST-0280"/>
    <s v="PROD-020"/>
    <x v="15"/>
    <n v="2"/>
    <n v="820"/>
    <n v="18.100000000000001"/>
    <n v="1343.16"/>
    <s v="Cancelled"/>
    <s v="Delhi"/>
    <x v="0"/>
    <x v="1"/>
  </r>
  <r>
    <s v="ORD-00165"/>
    <x v="134"/>
    <s v="CUST-0240"/>
    <s v="PROD-033"/>
    <x v="18"/>
    <n v="7"/>
    <n v="2030"/>
    <n v="23.7"/>
    <n v="10842.23"/>
    <s v="Pending"/>
    <s v="Chennai"/>
    <x v="3"/>
    <x v="1"/>
  </r>
  <r>
    <s v="ORD-00166"/>
    <x v="80"/>
    <s v="CUST-0067"/>
    <s v="PROD-016"/>
    <x v="18"/>
    <n v="5"/>
    <n v="620"/>
    <n v="13.8"/>
    <n v="2672.2"/>
    <s v="Completed"/>
    <s v="Delhi"/>
    <x v="0"/>
    <x v="1"/>
  </r>
  <r>
    <s v="ORD-00167"/>
    <x v="135"/>
    <s v="CUST-0117"/>
    <s v="PROD-022"/>
    <x v="24"/>
    <n v="7"/>
    <n v="2270"/>
    <n v="5.5"/>
    <n v="15016.05"/>
    <s v="Completed"/>
    <s v="Delhi"/>
    <x v="2"/>
    <x v="3"/>
  </r>
  <r>
    <s v="ORD-00168"/>
    <x v="136"/>
    <s v="CUST-0101"/>
    <s v="PROD-053"/>
    <x v="29"/>
    <n v="1"/>
    <n v="470"/>
    <n v="13.7"/>
    <n v="405.61"/>
    <s v="Pending"/>
    <s v="Hyderabad"/>
    <x v="1"/>
    <x v="1"/>
  </r>
  <r>
    <s v="ORD-00169"/>
    <x v="131"/>
    <s v="CUST-0184"/>
    <s v="PROD-001"/>
    <x v="0"/>
    <n v="6"/>
    <n v="5330"/>
    <n v="17.899999999999999"/>
    <n v="26255.58"/>
    <s v="Completed"/>
    <s v="Pune"/>
    <x v="4"/>
    <x v="0"/>
  </r>
  <r>
    <s v="ORD-00170"/>
    <x v="137"/>
    <s v="CUST-0087"/>
    <s v="PROD-050"/>
    <x v="25"/>
    <n v="1"/>
    <n v="6080"/>
    <n v="25.5"/>
    <n v="4529.6000000000004"/>
    <s v="Completed"/>
    <s v="Pune"/>
    <x v="5"/>
    <x v="0"/>
  </r>
  <r>
    <s v="ORD-00171"/>
    <x v="138"/>
    <s v="CUST-0261"/>
    <s v="PROD-027"/>
    <x v="24"/>
    <n v="5"/>
    <n v="3780"/>
    <n v="28.6"/>
    <n v="13494.6"/>
    <s v="Completed"/>
    <s v="Delhi"/>
    <x v="2"/>
    <x v="3"/>
  </r>
  <r>
    <s v="ORD-00172"/>
    <x v="139"/>
    <s v="CUST-0027"/>
    <s v="PROD-016"/>
    <x v="9"/>
    <n v="5"/>
    <n v="620"/>
    <n v="6.9"/>
    <n v="2886.1"/>
    <s v="Cancelled"/>
    <s v="Hyderabad"/>
    <x v="0"/>
    <x v="1"/>
  </r>
  <r>
    <s v="ORD-00173"/>
    <x v="140"/>
    <s v="CUST-0210"/>
    <s v="PROD-017"/>
    <x v="28"/>
    <n v="8"/>
    <n v="2510"/>
    <n v="0.7"/>
    <n v="19939.439999999999"/>
    <s v="Completed"/>
    <s v="Pune"/>
    <x v="0"/>
    <x v="2"/>
  </r>
  <r>
    <s v="ORD-00174"/>
    <x v="141"/>
    <s v="CUST-0163"/>
    <s v="PROD-015"/>
    <x v="16"/>
    <n v="1"/>
    <n v="2720"/>
    <n v="13.7"/>
    <n v="2347.36"/>
    <s v="Completed"/>
    <s v="Pune"/>
    <x v="0"/>
    <x v="3"/>
  </r>
  <r>
    <s v="ORD-00175"/>
    <x v="14"/>
    <s v="CUST-0059"/>
    <s v="PROD-053"/>
    <x v="26"/>
    <n v="9"/>
    <n v="470"/>
    <n v="23.6"/>
    <n v="3231.72"/>
    <s v="Completed"/>
    <s v="Pune"/>
    <x v="1"/>
    <x v="3"/>
  </r>
  <r>
    <s v="ORD-00176"/>
    <x v="142"/>
    <s v="CUST-0020"/>
    <s v="PROD-036"/>
    <x v="26"/>
    <n v="10"/>
    <n v="3250"/>
    <n v="21"/>
    <n v="25675"/>
    <s v="Cancelled"/>
    <s v="Hyderabad"/>
    <x v="3"/>
    <x v="3"/>
  </r>
  <r>
    <s v="ORD-00177"/>
    <x v="51"/>
    <s v="CUST-0048"/>
    <s v="PROD-034"/>
    <x v="8"/>
    <n v="6"/>
    <n v="5080"/>
    <n v="16.8"/>
    <n v="25359.360000000001"/>
    <s v="Pending"/>
    <s v="Delhi"/>
    <x v="3"/>
    <x v="2"/>
  </r>
  <r>
    <s v="ORD-00178"/>
    <x v="42"/>
    <s v="CUST-0172"/>
    <s v="PROD-003"/>
    <x v="27"/>
    <n v="2"/>
    <n v="3570"/>
    <n v="6.7"/>
    <n v="6661.62"/>
    <s v="Cancelled"/>
    <s v="Pune"/>
    <x v="4"/>
    <x v="1"/>
  </r>
  <r>
    <s v="ORD-00179"/>
    <x v="143"/>
    <s v="CUST-0124"/>
    <s v="PROD-013"/>
    <x v="27"/>
    <n v="4"/>
    <n v="3640"/>
    <n v="18.399999999999999"/>
    <n v="11880.96"/>
    <s v="Completed"/>
    <s v="Pune"/>
    <x v="0"/>
    <x v="1"/>
  </r>
  <r>
    <s v="ORD-00180"/>
    <x v="111"/>
    <s v="CUST-0184"/>
    <s v="PROD-026"/>
    <x v="19"/>
    <n v="8"/>
    <n v="4070"/>
    <n v="6.6"/>
    <n v="30411.040000000001"/>
    <s v="Completed"/>
    <s v="Pune"/>
    <x v="2"/>
    <x v="0"/>
  </r>
  <r>
    <s v="ORD-00181"/>
    <x v="40"/>
    <s v="CUST-0259"/>
    <s v="PROD-011"/>
    <x v="27"/>
    <n v="6"/>
    <n v="3450"/>
    <n v="14.4"/>
    <n v="17719.2"/>
    <s v="Pending"/>
    <s v="Mumbai"/>
    <x v="0"/>
    <x v="1"/>
  </r>
  <r>
    <s v="ORD-00182"/>
    <x v="68"/>
    <s v="CUST-0204"/>
    <s v="PROD-034"/>
    <x v="20"/>
    <n v="7"/>
    <n v="5080"/>
    <n v="25.4"/>
    <n v="26527.759999999998"/>
    <s v="Pending"/>
    <s v="Hyderabad"/>
    <x v="3"/>
    <x v="2"/>
  </r>
  <r>
    <s v="ORD-00183"/>
    <x v="144"/>
    <s v="CUST-0032"/>
    <s v="PROD-021"/>
    <x v="8"/>
    <n v="10"/>
    <n v="2760"/>
    <n v="20.100000000000001"/>
    <n v="22052.400000000001"/>
    <s v="Completed"/>
    <s v="Hyderabad"/>
    <x v="2"/>
    <x v="2"/>
  </r>
  <r>
    <s v="ORD-00184"/>
    <x v="145"/>
    <s v="CUST-0239"/>
    <s v="PROD-044"/>
    <x v="29"/>
    <n v="6"/>
    <n v="1650"/>
    <n v="11.3"/>
    <n v="8781.2999999999993"/>
    <s v="Pending"/>
    <s v="Mumbai"/>
    <x v="5"/>
    <x v="1"/>
  </r>
  <r>
    <s v="ORD-00185"/>
    <x v="146"/>
    <s v="CUST-0191"/>
    <s v="PROD-004"/>
    <x v="0"/>
    <n v="9"/>
    <n v="3870"/>
    <n v="27.5"/>
    <n v="25251.75"/>
    <s v="Completed"/>
    <s v="Hyderabad"/>
    <x v="4"/>
    <x v="0"/>
  </r>
  <r>
    <s v="ORD-00186"/>
    <x v="147"/>
    <s v="CUST-0284"/>
    <s v="PROD-035"/>
    <x v="24"/>
    <n v="2"/>
    <n v="1090"/>
    <n v="18.7"/>
    <n v="1772.34"/>
    <s v="Refunded"/>
    <s v="Hyderabad"/>
    <x v="3"/>
    <x v="3"/>
  </r>
  <r>
    <s v="ORD-00187"/>
    <x v="148"/>
    <s v="CUST-0274"/>
    <s v="PROD-049"/>
    <x v="5"/>
    <n v="4"/>
    <n v="960"/>
    <n v="23.4"/>
    <n v="2941.44"/>
    <s v="Completed"/>
    <s v="Bengaluru"/>
    <x v="5"/>
    <x v="2"/>
  </r>
  <r>
    <s v="ORD-00188"/>
    <x v="149"/>
    <s v="CUST-0234"/>
    <s v="PROD-043"/>
    <x v="13"/>
    <n v="3"/>
    <n v="3350"/>
    <n v="17.899999999999999"/>
    <n v="8251.0499999999993"/>
    <s v="Completed"/>
    <s v="Bengaluru"/>
    <x v="5"/>
    <x v="3"/>
  </r>
  <r>
    <s v="ORD-00189"/>
    <x v="150"/>
    <s v="CUST-0264"/>
    <s v="PROD-022"/>
    <x v="1"/>
    <n v="4"/>
    <n v="2270"/>
    <n v="29"/>
    <n v="6446.8"/>
    <s v="Completed"/>
    <s v="Pune"/>
    <x v="2"/>
    <x v="0"/>
  </r>
  <r>
    <s v="ORD-00190"/>
    <x v="151"/>
    <s v="CUST-0192"/>
    <s v="PROD-039"/>
    <x v="12"/>
    <n v="9"/>
    <n v="4610"/>
    <n v="28.3"/>
    <n v="29748.33"/>
    <s v="Pending"/>
    <s v="Bengaluru"/>
    <x v="3"/>
    <x v="3"/>
  </r>
  <r>
    <s v="ORD-00191"/>
    <x v="152"/>
    <s v="CUST-0041"/>
    <s v="PROD-012"/>
    <x v="18"/>
    <n v="3"/>
    <n v="3160"/>
    <n v="7.3"/>
    <n v="8787.9599999999991"/>
    <s v="Completed"/>
    <s v="Bengaluru"/>
    <x v="0"/>
    <x v="1"/>
  </r>
  <r>
    <s v="ORD-00192"/>
    <x v="52"/>
    <s v="CUST-0043"/>
    <s v="PROD-022"/>
    <x v="10"/>
    <n v="8"/>
    <n v="2270"/>
    <n v="15.6"/>
    <n v="15327.04"/>
    <s v="Completed"/>
    <s v="Hyderabad"/>
    <x v="2"/>
    <x v="0"/>
  </r>
  <r>
    <s v="ORD-00193"/>
    <x v="64"/>
    <s v="CUST-0147"/>
    <s v="PROD-045"/>
    <x v="8"/>
    <n v="8"/>
    <n v="3020"/>
    <n v="16.3"/>
    <n v="20221.919999999998"/>
    <s v="Cancelled"/>
    <s v="Pune"/>
    <x v="5"/>
    <x v="2"/>
  </r>
  <r>
    <s v="ORD-00194"/>
    <x v="7"/>
    <s v="CUST-0056"/>
    <s v="PROD-056"/>
    <x v="14"/>
    <n v="7"/>
    <n v="6940"/>
    <n v="8.5"/>
    <n v="44450.7"/>
    <s v="Completed"/>
    <s v="Bengaluru"/>
    <x v="1"/>
    <x v="2"/>
  </r>
  <r>
    <s v="ORD-00195"/>
    <x v="14"/>
    <s v="CUST-0059"/>
    <s v="PROD-041"/>
    <x v="27"/>
    <n v="8"/>
    <n v="1540"/>
    <n v="21"/>
    <n v="9732.7999999999993"/>
    <s v="Completed"/>
    <s v="Pune"/>
    <x v="5"/>
    <x v="1"/>
  </r>
  <r>
    <s v="ORD-00196"/>
    <x v="82"/>
    <s v="CUST-0047"/>
    <s v="PROD-019"/>
    <x v="20"/>
    <n v="6"/>
    <n v="2480"/>
    <n v="27.9"/>
    <n v="10728.48"/>
    <s v="Completed"/>
    <s v="Pune"/>
    <x v="0"/>
    <x v="2"/>
  </r>
  <r>
    <s v="ORD-00197"/>
    <x v="153"/>
    <s v="CUST-0162"/>
    <s v="PROD-060"/>
    <x v="24"/>
    <n v="4"/>
    <n v="190"/>
    <n v="21.5"/>
    <n v="596.6"/>
    <s v="Completed"/>
    <s v="Mumbai"/>
    <x v="1"/>
    <x v="3"/>
  </r>
  <r>
    <s v="ORD-00198"/>
    <x v="36"/>
    <s v="CUST-0121"/>
    <s v="PROD-055"/>
    <x v="2"/>
    <n v="1"/>
    <n v="2860"/>
    <n v="15.3"/>
    <n v="2422.42"/>
    <s v="Completed"/>
    <s v="Delhi"/>
    <x v="1"/>
    <x v="1"/>
  </r>
  <r>
    <s v="ORD-00199"/>
    <x v="154"/>
    <s v="CUST-0075"/>
    <s v="PROD-017"/>
    <x v="15"/>
    <n v="4"/>
    <n v="2510"/>
    <n v="10.1"/>
    <n v="9025.9599999999991"/>
    <s v="Refunded"/>
    <s v="Mumbai"/>
    <x v="0"/>
    <x v="1"/>
  </r>
  <r>
    <s v="ORD-00200"/>
    <x v="78"/>
    <s v="CUST-0025"/>
    <s v="PROD-003"/>
    <x v="11"/>
    <n v="2"/>
    <n v="3570"/>
    <n v="11.6"/>
    <n v="6311.76"/>
    <s v="Pending"/>
    <s v="Bengaluru"/>
    <x v="4"/>
    <x v="0"/>
  </r>
  <r>
    <s v="ORD-00201"/>
    <x v="112"/>
    <s v="CUST-0048"/>
    <s v="PROD-031"/>
    <x v="29"/>
    <n v="7"/>
    <n v="3730"/>
    <n v="2.5"/>
    <n v="25457.25"/>
    <s v="Cancelled"/>
    <s v="Delhi"/>
    <x v="3"/>
    <x v="1"/>
  </r>
  <r>
    <s v="ORD-00202"/>
    <x v="155"/>
    <s v="CUST-0251"/>
    <s v="PROD-032"/>
    <x v="14"/>
    <n v="6"/>
    <n v="370"/>
    <n v="9.9"/>
    <n v="2000.22"/>
    <s v="Completed"/>
    <s v="Mumbai"/>
    <x v="3"/>
    <x v="2"/>
  </r>
  <r>
    <s v="ORD-00203"/>
    <x v="156"/>
    <s v="CUST-0125"/>
    <s v="PROD-008"/>
    <x v="2"/>
    <n v="4"/>
    <n v="2660"/>
    <n v="29.7"/>
    <n v="7479.92"/>
    <s v="Completed"/>
    <s v="Delhi"/>
    <x v="4"/>
    <x v="1"/>
  </r>
  <r>
    <s v="ORD-00204"/>
    <x v="152"/>
    <s v="CUST-0025"/>
    <s v="PROD-021"/>
    <x v="15"/>
    <n v="6"/>
    <n v="2760"/>
    <n v="0.9"/>
    <n v="16410.96"/>
    <s v="Completed"/>
    <s v="Bengaluru"/>
    <x v="2"/>
    <x v="1"/>
  </r>
  <r>
    <s v="ORD-00205"/>
    <x v="157"/>
    <s v="CUST-0068"/>
    <s v="PROD-043"/>
    <x v="18"/>
    <n v="6"/>
    <n v="3350"/>
    <n v="17.899999999999999"/>
    <n v="16502.099999999999"/>
    <s v="Completed"/>
    <s v="Delhi"/>
    <x v="5"/>
    <x v="1"/>
  </r>
  <r>
    <s v="ORD-00206"/>
    <x v="158"/>
    <s v="CUST-0080"/>
    <s v="PROD-005"/>
    <x v="21"/>
    <n v="8"/>
    <n v="300"/>
    <n v="20.6"/>
    <n v="1905.6"/>
    <s v="Refunded"/>
    <s v="Pune"/>
    <x v="4"/>
    <x v="3"/>
  </r>
  <r>
    <s v="ORD-00207"/>
    <x v="159"/>
    <s v="CUST-0251"/>
    <s v="PROD-015"/>
    <x v="25"/>
    <n v="5"/>
    <n v="2720"/>
    <n v="17.100000000000001"/>
    <n v="11274.4"/>
    <s v="Pending"/>
    <s v="Mumbai"/>
    <x v="0"/>
    <x v="0"/>
  </r>
  <r>
    <s v="ORD-00208"/>
    <x v="160"/>
    <s v="CUST-0077"/>
    <s v="PROD-004"/>
    <x v="15"/>
    <n v="1"/>
    <n v="3870"/>
    <n v="23.5"/>
    <n v="2960.55"/>
    <s v="Pending"/>
    <s v="Hyderabad"/>
    <x v="4"/>
    <x v="1"/>
  </r>
  <r>
    <s v="ORD-00209"/>
    <x v="161"/>
    <s v="CUST-0232"/>
    <s v="PROD-031"/>
    <x v="27"/>
    <n v="3"/>
    <n v="3730"/>
    <n v="0.7"/>
    <n v="11111.67"/>
    <s v="Pending"/>
    <s v="Hyderabad"/>
    <x v="3"/>
    <x v="1"/>
  </r>
  <r>
    <s v="ORD-00210"/>
    <x v="162"/>
    <s v="CUST-0277"/>
    <s v="PROD-019"/>
    <x v="27"/>
    <n v="8"/>
    <n v="2480"/>
    <n v="18.2"/>
    <n v="16229.12"/>
    <s v="Cancelled"/>
    <s v="Chennai"/>
    <x v="0"/>
    <x v="1"/>
  </r>
  <r>
    <s v="ORD-00211"/>
    <x v="163"/>
    <s v="CUST-0149"/>
    <s v="PROD-057"/>
    <x v="7"/>
    <n v="2"/>
    <n v="960"/>
    <n v="2.2000000000000002"/>
    <n v="1877.76"/>
    <s v="Completed"/>
    <s v="Hyderabad"/>
    <x v="1"/>
    <x v="3"/>
  </r>
  <r>
    <s v="ORD-00212"/>
    <x v="164"/>
    <s v="CUST-0178"/>
    <s v="PROD-046"/>
    <x v="26"/>
    <n v="8"/>
    <n v="4880"/>
    <n v="11.9"/>
    <n v="34394.239999999998"/>
    <s v="Completed"/>
    <s v="Hyderabad"/>
    <x v="5"/>
    <x v="3"/>
  </r>
  <r>
    <s v="ORD-00213"/>
    <x v="165"/>
    <s v="CUST-0246"/>
    <s v="PROD-014"/>
    <x v="14"/>
    <n v="2"/>
    <n v="3620"/>
    <n v="1.1000000000000001"/>
    <n v="7160.36"/>
    <s v="Pending"/>
    <s v="Delhi"/>
    <x v="0"/>
    <x v="2"/>
  </r>
  <r>
    <s v="ORD-00214"/>
    <x v="52"/>
    <s v="CUST-0033"/>
    <s v="PROD-006"/>
    <x v="4"/>
    <n v="8"/>
    <n v="3970"/>
    <n v="18.100000000000001"/>
    <n v="26011.439999999999"/>
    <s v="Completed"/>
    <s v="Delhi"/>
    <x v="4"/>
    <x v="0"/>
  </r>
  <r>
    <s v="ORD-00215"/>
    <x v="166"/>
    <s v="CUST-0159"/>
    <s v="PROD-022"/>
    <x v="17"/>
    <n v="8"/>
    <n v="2270"/>
    <n v="19.600000000000001"/>
    <n v="14600.64"/>
    <s v="Completed"/>
    <s v="Hyderabad"/>
    <x v="2"/>
    <x v="2"/>
  </r>
  <r>
    <s v="ORD-00216"/>
    <x v="167"/>
    <s v="CUST-0175"/>
    <s v="PROD-027"/>
    <x v="22"/>
    <n v="1"/>
    <n v="3780"/>
    <n v="22.6"/>
    <n v="2925.72"/>
    <s v="Completed"/>
    <s v="Delhi"/>
    <x v="2"/>
    <x v="1"/>
  </r>
  <r>
    <s v="ORD-00217"/>
    <x v="168"/>
    <s v="CUST-0079"/>
    <s v="PROD-026"/>
    <x v="24"/>
    <n v="9"/>
    <n v="4070"/>
    <n v="28.2"/>
    <n v="26300.34"/>
    <s v="Completed"/>
    <s v="Mumbai"/>
    <x v="2"/>
    <x v="3"/>
  </r>
  <r>
    <s v="ORD-00218"/>
    <x v="75"/>
    <s v="CUST-0173"/>
    <s v="PROD-008"/>
    <x v="3"/>
    <n v="9"/>
    <n v="2660"/>
    <n v="13.1"/>
    <n v="20803.86"/>
    <s v="Pending"/>
    <s v="Mumbai"/>
    <x v="4"/>
    <x v="0"/>
  </r>
  <r>
    <s v="ORD-00219"/>
    <x v="169"/>
    <s v="CUST-0050"/>
    <s v="PROD-003"/>
    <x v="10"/>
    <n v="4"/>
    <n v="3570"/>
    <n v="1.5"/>
    <n v="14065.8"/>
    <s v="Cancelled"/>
    <s v="Mumbai"/>
    <x v="4"/>
    <x v="0"/>
  </r>
  <r>
    <s v="ORD-00220"/>
    <x v="101"/>
    <s v="CUST-0097"/>
    <s v="PROD-049"/>
    <x v="19"/>
    <n v="2"/>
    <n v="960"/>
    <n v="18.600000000000001"/>
    <n v="1562.88"/>
    <s v="Completed"/>
    <s v="Mumbai"/>
    <x v="5"/>
    <x v="0"/>
  </r>
  <r>
    <s v="ORD-00221"/>
    <x v="14"/>
    <s v="CUST-0026"/>
    <s v="PROD-047"/>
    <x v="26"/>
    <n v="2"/>
    <n v="3450"/>
    <n v="3.7"/>
    <n v="6644.7"/>
    <s v="Completed"/>
    <s v="Pune"/>
    <x v="5"/>
    <x v="3"/>
  </r>
  <r>
    <s v="ORD-00222"/>
    <x v="170"/>
    <s v="CUST-0185"/>
    <s v="PROD-048"/>
    <x v="0"/>
    <n v="6"/>
    <n v="5100"/>
    <n v="1.2"/>
    <n v="30232.799999999999"/>
    <s v="Completed"/>
    <s v="Hyderabad"/>
    <x v="5"/>
    <x v="0"/>
  </r>
  <r>
    <s v="ORD-00223"/>
    <x v="105"/>
    <s v="CUST-0135"/>
    <s v="PROD-005"/>
    <x v="1"/>
    <n v="9"/>
    <n v="300"/>
    <n v="25.4"/>
    <n v="2014.2"/>
    <s v="Cancelled"/>
    <s v="Pune"/>
    <x v="4"/>
    <x v="0"/>
  </r>
  <r>
    <s v="ORD-00224"/>
    <x v="171"/>
    <s v="CUST-0010"/>
    <s v="PROD-046"/>
    <x v="16"/>
    <n v="7"/>
    <n v="4880"/>
    <n v="16.899999999999999"/>
    <n v="28386.959999999999"/>
    <s v="Pending"/>
    <s v="Mumbai"/>
    <x v="5"/>
    <x v="3"/>
  </r>
  <r>
    <s v="ORD-00225"/>
    <x v="172"/>
    <s v="CUST-0271"/>
    <s v="PROD-036"/>
    <x v="12"/>
    <n v="9"/>
    <n v="3250"/>
    <n v="10.8"/>
    <n v="26091"/>
    <s v="Cancelled"/>
    <s v="Bengaluru"/>
    <x v="3"/>
    <x v="3"/>
  </r>
  <r>
    <s v="ORD-00226"/>
    <x v="129"/>
    <s v="CUST-0172"/>
    <s v="PROD-047"/>
    <x v="3"/>
    <n v="3"/>
    <n v="3450"/>
    <n v="5.4"/>
    <n v="9791.1"/>
    <s v="Pending"/>
    <s v="Pune"/>
    <x v="5"/>
    <x v="0"/>
  </r>
  <r>
    <s v="ORD-00227"/>
    <x v="63"/>
    <s v="CUST-0296"/>
    <s v="PROD-050"/>
    <x v="13"/>
    <n v="5"/>
    <n v="6080"/>
    <n v="18"/>
    <n v="24928"/>
    <s v="Completed"/>
    <s v="Delhi"/>
    <x v="5"/>
    <x v="3"/>
  </r>
  <r>
    <s v="ORD-00228"/>
    <x v="173"/>
    <s v="CUST-0080"/>
    <s v="PROD-050"/>
    <x v="24"/>
    <n v="7"/>
    <n v="6080"/>
    <n v="9.1999999999999993"/>
    <n v="38644.480000000003"/>
    <s v="Completed"/>
    <s v="Pune"/>
    <x v="5"/>
    <x v="3"/>
  </r>
  <r>
    <s v="ORD-00229"/>
    <x v="65"/>
    <s v="CUST-0232"/>
    <s v="PROD-024"/>
    <x v="2"/>
    <n v="5"/>
    <n v="2270"/>
    <n v="0.4"/>
    <n v="11304.6"/>
    <s v="Cancelled"/>
    <s v="Hyderabad"/>
    <x v="2"/>
    <x v="1"/>
  </r>
  <r>
    <s v="ORD-00230"/>
    <x v="41"/>
    <s v="CUST-0070"/>
    <s v="PROD-046"/>
    <x v="29"/>
    <n v="10"/>
    <n v="4880"/>
    <n v="24.5"/>
    <n v="36844"/>
    <s v="Refunded"/>
    <s v="Mumbai"/>
    <x v="5"/>
    <x v="1"/>
  </r>
  <r>
    <s v="ORD-00231"/>
    <x v="174"/>
    <s v="CUST-0142"/>
    <s v="PROD-023"/>
    <x v="25"/>
    <n v="2"/>
    <n v="2380"/>
    <n v="2.2999999999999998"/>
    <n v="4650.5200000000004"/>
    <s v="Completed"/>
    <s v="Chennai"/>
    <x v="2"/>
    <x v="0"/>
  </r>
  <r>
    <s v="ORD-00232"/>
    <x v="71"/>
    <s v="CUST-0161"/>
    <s v="PROD-054"/>
    <x v="5"/>
    <n v="1"/>
    <n v="1010"/>
    <n v="29.9"/>
    <n v="708.01"/>
    <s v="Completed"/>
    <s v="Chennai"/>
    <x v="1"/>
    <x v="2"/>
  </r>
  <r>
    <s v="ORD-00233"/>
    <x v="175"/>
    <s v="CUST-0020"/>
    <s v="PROD-056"/>
    <x v="20"/>
    <n v="7"/>
    <n v="6940"/>
    <n v="25.8"/>
    <n v="36046.36"/>
    <s v="Completed"/>
    <s v="Hyderabad"/>
    <x v="1"/>
    <x v="2"/>
  </r>
  <r>
    <s v="ORD-00234"/>
    <x v="176"/>
    <s v="CUST-0173"/>
    <s v="PROD-042"/>
    <x v="6"/>
    <n v="6"/>
    <n v="2290"/>
    <n v="25.9"/>
    <n v="10181.34"/>
    <s v="Pending"/>
    <s v="Mumbai"/>
    <x v="5"/>
    <x v="2"/>
  </r>
  <r>
    <s v="ORD-00235"/>
    <x v="118"/>
    <s v="CUST-0280"/>
    <s v="PROD-032"/>
    <x v="2"/>
    <n v="2"/>
    <n v="370"/>
    <n v="3.9"/>
    <n v="711.14"/>
    <s v="Completed"/>
    <s v="Delhi"/>
    <x v="3"/>
    <x v="1"/>
  </r>
  <r>
    <s v="ORD-00236"/>
    <x v="177"/>
    <s v="CUST-0073"/>
    <s v="PROD-022"/>
    <x v="16"/>
    <n v="1"/>
    <n v="2270"/>
    <n v="25.3"/>
    <n v="1695.69"/>
    <s v="Completed"/>
    <s v="Pune"/>
    <x v="2"/>
    <x v="3"/>
  </r>
  <r>
    <s v="ORD-00237"/>
    <x v="112"/>
    <s v="CUST-0242"/>
    <s v="PROD-050"/>
    <x v="25"/>
    <n v="4"/>
    <n v="6080"/>
    <n v="28.8"/>
    <n v="17315.84"/>
    <s v="Pending"/>
    <s v="Chennai"/>
    <x v="5"/>
    <x v="0"/>
  </r>
  <r>
    <s v="ORD-00238"/>
    <x v="44"/>
    <s v="CUST-0234"/>
    <s v="PROD-001"/>
    <x v="26"/>
    <n v="2"/>
    <n v="5330"/>
    <n v="23.8"/>
    <n v="8122.92"/>
    <s v="Pending"/>
    <s v="Bengaluru"/>
    <x v="4"/>
    <x v="3"/>
  </r>
  <r>
    <s v="ORD-00239"/>
    <x v="112"/>
    <s v="CUST-0085"/>
    <s v="PROD-026"/>
    <x v="6"/>
    <n v="2"/>
    <n v="4070"/>
    <n v="4.3"/>
    <n v="7789.98"/>
    <s v="Completed"/>
    <s v="Chennai"/>
    <x v="2"/>
    <x v="2"/>
  </r>
  <r>
    <s v="ORD-00240"/>
    <x v="178"/>
    <s v="CUST-0228"/>
    <s v="PROD-005"/>
    <x v="10"/>
    <n v="6"/>
    <n v="300"/>
    <n v="17.399999999999999"/>
    <n v="1486.8"/>
    <s v="Cancelled"/>
    <s v="Pune"/>
    <x v="4"/>
    <x v="0"/>
  </r>
  <r>
    <s v="ORD-00241"/>
    <x v="56"/>
    <s v="CUST-0147"/>
    <s v="PROD-046"/>
    <x v="2"/>
    <n v="1"/>
    <n v="4880"/>
    <n v="17.5"/>
    <n v="4026"/>
    <s v="Completed"/>
    <s v="Pune"/>
    <x v="5"/>
    <x v="1"/>
  </r>
  <r>
    <s v="ORD-00242"/>
    <x v="179"/>
    <s v="CUST-0171"/>
    <s v="PROD-055"/>
    <x v="28"/>
    <n v="3"/>
    <n v="2860"/>
    <n v="20.100000000000001"/>
    <n v="6855.42"/>
    <s v="Completed"/>
    <s v="Chennai"/>
    <x v="1"/>
    <x v="2"/>
  </r>
  <r>
    <s v="ORD-00243"/>
    <x v="180"/>
    <s v="CUST-0051"/>
    <s v="PROD-041"/>
    <x v="25"/>
    <n v="3"/>
    <n v="1540"/>
    <n v="20.9"/>
    <n v="3654.42"/>
    <s v="Completed"/>
    <s v="Pune"/>
    <x v="5"/>
    <x v="0"/>
  </r>
  <r>
    <s v="ORD-00244"/>
    <x v="31"/>
    <s v="CUST-0285"/>
    <s v="PROD-010"/>
    <x v="9"/>
    <n v="10"/>
    <n v="2640"/>
    <n v="11.2"/>
    <n v="23443.200000000001"/>
    <s v="Pending"/>
    <s v="Hyderabad"/>
    <x v="4"/>
    <x v="1"/>
  </r>
  <r>
    <s v="ORD-00245"/>
    <x v="58"/>
    <s v="CUST-0114"/>
    <s v="PROD-012"/>
    <x v="22"/>
    <n v="1"/>
    <n v="3160"/>
    <n v="11.5"/>
    <n v="2796.6"/>
    <s v="Completed"/>
    <s v="Bengaluru"/>
    <x v="0"/>
    <x v="1"/>
  </r>
  <r>
    <s v="ORD-00246"/>
    <x v="181"/>
    <s v="CUST-0295"/>
    <s v="PROD-040"/>
    <x v="0"/>
    <n v="4"/>
    <n v="1080"/>
    <n v="20.7"/>
    <n v="3425.76"/>
    <s v="Pending"/>
    <s v="Delhi"/>
    <x v="3"/>
    <x v="0"/>
  </r>
  <r>
    <s v="ORD-00247"/>
    <x v="65"/>
    <s v="CUST-0218"/>
    <s v="PROD-054"/>
    <x v="22"/>
    <n v="4"/>
    <n v="1010"/>
    <n v="29.5"/>
    <n v="2848.2"/>
    <s v="Pending"/>
    <s v="Mumbai"/>
    <x v="1"/>
    <x v="1"/>
  </r>
  <r>
    <s v="ORD-00248"/>
    <x v="182"/>
    <s v="CUST-0090"/>
    <s v="PROD-002"/>
    <x v="28"/>
    <n v="7"/>
    <n v="2600"/>
    <n v="6.6"/>
    <n v="16998.8"/>
    <s v="Completed"/>
    <s v="Bengaluru"/>
    <x v="4"/>
    <x v="2"/>
  </r>
  <r>
    <s v="ORD-00249"/>
    <x v="183"/>
    <s v="CUST-0194"/>
    <s v="PROD-017"/>
    <x v="18"/>
    <n v="4"/>
    <n v="2510"/>
    <n v="1"/>
    <n v="9939.6"/>
    <s v="Completed"/>
    <s v="Delhi"/>
    <x v="0"/>
    <x v="1"/>
  </r>
  <r>
    <s v="ORD-00250"/>
    <x v="184"/>
    <s v="CUST-0231"/>
    <s v="PROD-026"/>
    <x v="24"/>
    <n v="9"/>
    <n v="4070"/>
    <n v="6.7"/>
    <n v="34175.79"/>
    <s v="Cancelled"/>
    <s v="Chennai"/>
    <x v="2"/>
    <x v="3"/>
  </r>
  <r>
    <s v="ORD-00251"/>
    <x v="109"/>
    <s v="CUST-0055"/>
    <s v="PROD-020"/>
    <x v="9"/>
    <n v="6"/>
    <n v="820"/>
    <n v="14"/>
    <n v="4231.2"/>
    <s v="Completed"/>
    <s v="Bengaluru"/>
    <x v="0"/>
    <x v="1"/>
  </r>
  <r>
    <s v="ORD-00252"/>
    <x v="185"/>
    <s v="CUST-0262"/>
    <s v="PROD-030"/>
    <x v="1"/>
    <n v="2"/>
    <n v="970"/>
    <n v="23.8"/>
    <n v="1478.28"/>
    <s v="Completed"/>
    <s v="Mumbai"/>
    <x v="2"/>
    <x v="0"/>
  </r>
  <r>
    <s v="ORD-00253"/>
    <x v="186"/>
    <s v="CUST-0155"/>
    <s v="PROD-026"/>
    <x v="27"/>
    <n v="4"/>
    <n v="4070"/>
    <n v="19"/>
    <n v="13186.8"/>
    <s v="Pending"/>
    <s v="Pune"/>
    <x v="2"/>
    <x v="1"/>
  </r>
  <r>
    <s v="ORD-00254"/>
    <x v="144"/>
    <s v="CUST-0169"/>
    <s v="PROD-047"/>
    <x v="21"/>
    <n v="3"/>
    <n v="3450"/>
    <n v="4.4000000000000004"/>
    <n v="9894.6"/>
    <s v="Cancelled"/>
    <s v="Bengaluru"/>
    <x v="5"/>
    <x v="3"/>
  </r>
  <r>
    <s v="ORD-00255"/>
    <x v="187"/>
    <s v="CUST-0208"/>
    <s v="PROD-027"/>
    <x v="9"/>
    <n v="5"/>
    <n v="3780"/>
    <n v="13.5"/>
    <n v="16348.5"/>
    <s v="Completed"/>
    <s v="Mumbai"/>
    <x v="2"/>
    <x v="1"/>
  </r>
  <r>
    <s v="ORD-00256"/>
    <x v="127"/>
    <s v="CUST-0249"/>
    <s v="PROD-057"/>
    <x v="10"/>
    <n v="1"/>
    <n v="960"/>
    <n v="29.2"/>
    <n v="679.68"/>
    <s v="Completed"/>
    <s v="Mumbai"/>
    <x v="1"/>
    <x v="0"/>
  </r>
  <r>
    <s v="ORD-00257"/>
    <x v="188"/>
    <s v="CUST-0151"/>
    <s v="PROD-003"/>
    <x v="24"/>
    <n v="10"/>
    <n v="3570"/>
    <n v="10.7"/>
    <n v="31880.1"/>
    <s v="Completed"/>
    <s v="Mumbai"/>
    <x v="4"/>
    <x v="3"/>
  </r>
  <r>
    <s v="ORD-00258"/>
    <x v="187"/>
    <s v="CUST-0115"/>
    <s v="PROD-003"/>
    <x v="6"/>
    <n v="7"/>
    <n v="3570"/>
    <n v="12.2"/>
    <n v="21941.22"/>
    <s v="Completed"/>
    <s v="Mumbai"/>
    <x v="4"/>
    <x v="2"/>
  </r>
  <r>
    <s v="ORD-00259"/>
    <x v="189"/>
    <s v="CUST-0041"/>
    <s v="PROD-040"/>
    <x v="2"/>
    <n v="6"/>
    <n v="1080"/>
    <n v="19.8"/>
    <n v="5196.96"/>
    <s v="Completed"/>
    <s v="Bengaluru"/>
    <x v="3"/>
    <x v="1"/>
  </r>
  <r>
    <s v="ORD-00260"/>
    <x v="51"/>
    <s v="CUST-0101"/>
    <s v="PROD-011"/>
    <x v="9"/>
    <n v="8"/>
    <n v="3450"/>
    <n v="19"/>
    <n v="22356"/>
    <s v="Completed"/>
    <s v="Hyderabad"/>
    <x v="0"/>
    <x v="1"/>
  </r>
  <r>
    <s v="ORD-00261"/>
    <x v="2"/>
    <s v="CUST-0198"/>
    <s v="PROD-008"/>
    <x v="12"/>
    <n v="4"/>
    <n v="2660"/>
    <n v="18.8"/>
    <n v="8639.68"/>
    <s v="Pending"/>
    <s v="Chennai"/>
    <x v="4"/>
    <x v="3"/>
  </r>
  <r>
    <s v="ORD-00262"/>
    <x v="190"/>
    <s v="CUST-0200"/>
    <s v="PROD-058"/>
    <x v="18"/>
    <n v="4"/>
    <n v="2400"/>
    <n v="5.6"/>
    <n v="9062.4"/>
    <s v="Completed"/>
    <s v="Hyderabad"/>
    <x v="1"/>
    <x v="1"/>
  </r>
  <r>
    <s v="ORD-00263"/>
    <x v="191"/>
    <s v="CUST-0110"/>
    <s v="PROD-002"/>
    <x v="11"/>
    <n v="10"/>
    <n v="2600"/>
    <n v="24.7"/>
    <n v="19578"/>
    <s v="Completed"/>
    <s v="Pune"/>
    <x v="4"/>
    <x v="0"/>
  </r>
  <r>
    <s v="ORD-00264"/>
    <x v="191"/>
    <s v="CUST-0134"/>
    <s v="PROD-025"/>
    <x v="10"/>
    <n v="3"/>
    <n v="4060"/>
    <n v="6.9"/>
    <n v="11339.58"/>
    <s v="Completed"/>
    <s v="Delhi"/>
    <x v="2"/>
    <x v="0"/>
  </r>
  <r>
    <s v="ORD-00265"/>
    <x v="57"/>
    <s v="CUST-0141"/>
    <s v="PROD-038"/>
    <x v="12"/>
    <n v="6"/>
    <n v="5490"/>
    <n v="8.4"/>
    <n v="30173.040000000001"/>
    <s v="Completed"/>
    <s v="Hyderabad"/>
    <x v="3"/>
    <x v="3"/>
  </r>
  <r>
    <s v="ORD-00266"/>
    <x v="192"/>
    <s v="CUST-0163"/>
    <s v="PROD-032"/>
    <x v="26"/>
    <n v="6"/>
    <n v="370"/>
    <n v="15.1"/>
    <n v="1884.78"/>
    <s v="Completed"/>
    <s v="Pune"/>
    <x v="3"/>
    <x v="3"/>
  </r>
  <r>
    <s v="ORD-00267"/>
    <x v="171"/>
    <s v="CUST-0181"/>
    <s v="PROD-016"/>
    <x v="12"/>
    <n v="5"/>
    <n v="620"/>
    <n v="13.1"/>
    <n v="2693.9"/>
    <s v="Cancelled"/>
    <s v="Delhi"/>
    <x v="0"/>
    <x v="3"/>
  </r>
  <r>
    <s v="ORD-00268"/>
    <x v="10"/>
    <s v="CUST-0133"/>
    <s v="PROD-036"/>
    <x v="20"/>
    <n v="9"/>
    <n v="3250"/>
    <n v="16.5"/>
    <n v="24423.75"/>
    <s v="Completed"/>
    <s v="Chennai"/>
    <x v="3"/>
    <x v="2"/>
  </r>
  <r>
    <s v="ORD-00269"/>
    <x v="193"/>
    <s v="CUST-0095"/>
    <s v="PROD-050"/>
    <x v="23"/>
    <n v="1"/>
    <n v="6080"/>
    <n v="0.1"/>
    <n v="6073.92"/>
    <s v="Completed"/>
    <s v="Mumbai"/>
    <x v="5"/>
    <x v="1"/>
  </r>
  <r>
    <s v="ORD-00270"/>
    <x v="194"/>
    <s v="CUST-0171"/>
    <s v="PROD-013"/>
    <x v="2"/>
    <n v="8"/>
    <n v="3640"/>
    <n v="13.5"/>
    <n v="25188.799999999999"/>
    <s v="Completed"/>
    <s v="Chennai"/>
    <x v="0"/>
    <x v="1"/>
  </r>
  <r>
    <s v="ORD-00271"/>
    <x v="22"/>
    <s v="CUST-0238"/>
    <s v="PROD-012"/>
    <x v="1"/>
    <n v="9"/>
    <n v="3160"/>
    <n v="29.7"/>
    <n v="19993.32"/>
    <s v="Completed"/>
    <s v="Delhi"/>
    <x v="0"/>
    <x v="0"/>
  </r>
  <r>
    <s v="ORD-00272"/>
    <x v="49"/>
    <s v="CUST-0185"/>
    <s v="PROD-004"/>
    <x v="0"/>
    <n v="2"/>
    <n v="3870"/>
    <n v="18.100000000000001"/>
    <n v="6339.06"/>
    <s v="Cancelled"/>
    <s v="Hyderabad"/>
    <x v="4"/>
    <x v="0"/>
  </r>
  <r>
    <s v="ORD-00273"/>
    <x v="195"/>
    <s v="CUST-0167"/>
    <s v="PROD-037"/>
    <x v="14"/>
    <n v="3"/>
    <n v="660"/>
    <n v="9.1999999999999993"/>
    <n v="1797.84"/>
    <s v="Completed"/>
    <s v="Delhi"/>
    <x v="3"/>
    <x v="2"/>
  </r>
  <r>
    <s v="ORD-00274"/>
    <x v="196"/>
    <s v="CUST-0224"/>
    <s v="PROD-025"/>
    <x v="22"/>
    <n v="4"/>
    <n v="4060"/>
    <n v="28"/>
    <n v="11692.8"/>
    <s v="Completed"/>
    <s v="Chennai"/>
    <x v="2"/>
    <x v="1"/>
  </r>
  <r>
    <s v="ORD-00275"/>
    <x v="107"/>
    <s v="CUST-0181"/>
    <s v="PROD-034"/>
    <x v="29"/>
    <n v="2"/>
    <n v="5080"/>
    <n v="7.7"/>
    <n v="9377.68"/>
    <s v="Refunded"/>
    <s v="Delhi"/>
    <x v="3"/>
    <x v="1"/>
  </r>
  <r>
    <s v="ORD-00276"/>
    <x v="197"/>
    <s v="CUST-0020"/>
    <s v="PROD-003"/>
    <x v="1"/>
    <n v="3"/>
    <n v="3570"/>
    <n v="9.5"/>
    <n v="9692.5499999999993"/>
    <s v="Completed"/>
    <s v="Hyderabad"/>
    <x v="4"/>
    <x v="0"/>
  </r>
  <r>
    <s v="ORD-00277"/>
    <x v="151"/>
    <s v="CUST-0183"/>
    <s v="PROD-016"/>
    <x v="16"/>
    <n v="2"/>
    <n v="620"/>
    <n v="29.5"/>
    <n v="874.2"/>
    <s v="Completed"/>
    <s v="Mumbai"/>
    <x v="0"/>
    <x v="3"/>
  </r>
  <r>
    <s v="ORD-00278"/>
    <x v="198"/>
    <s v="CUST-0028"/>
    <s v="PROD-011"/>
    <x v="22"/>
    <n v="3"/>
    <n v="3450"/>
    <n v="3"/>
    <n v="10039.5"/>
    <s v="Completed"/>
    <s v="Bengaluru"/>
    <x v="0"/>
    <x v="1"/>
  </r>
  <r>
    <s v="ORD-00279"/>
    <x v="199"/>
    <s v="CUST-0121"/>
    <s v="PROD-048"/>
    <x v="3"/>
    <n v="7"/>
    <n v="5100"/>
    <n v="4.3"/>
    <n v="34164.9"/>
    <s v="Completed"/>
    <s v="Delhi"/>
    <x v="5"/>
    <x v="0"/>
  </r>
  <r>
    <s v="ORD-00280"/>
    <x v="110"/>
    <s v="CUST-0192"/>
    <s v="PROD-004"/>
    <x v="11"/>
    <n v="9"/>
    <n v="3870"/>
    <n v="4.8"/>
    <n v="33158.160000000003"/>
    <s v="Completed"/>
    <s v="Bengaluru"/>
    <x v="4"/>
    <x v="0"/>
  </r>
  <r>
    <s v="ORD-00281"/>
    <x v="142"/>
    <s v="CUST-0155"/>
    <s v="PROD-009"/>
    <x v="20"/>
    <n v="5"/>
    <n v="1220"/>
    <n v="4"/>
    <n v="5856"/>
    <s v="Cancelled"/>
    <s v="Pune"/>
    <x v="4"/>
    <x v="2"/>
  </r>
  <r>
    <s v="ORD-00282"/>
    <x v="200"/>
    <s v="CUST-0159"/>
    <s v="PROD-038"/>
    <x v="12"/>
    <n v="5"/>
    <n v="5490"/>
    <n v="19.8"/>
    <n v="22014.9"/>
    <s v="Completed"/>
    <s v="Hyderabad"/>
    <x v="3"/>
    <x v="3"/>
  </r>
  <r>
    <s v="ORD-00283"/>
    <x v="201"/>
    <s v="CUST-0025"/>
    <s v="PROD-044"/>
    <x v="19"/>
    <n v="1"/>
    <n v="1650"/>
    <n v="26.2"/>
    <n v="1217.7"/>
    <s v="Completed"/>
    <s v="Bengaluru"/>
    <x v="5"/>
    <x v="0"/>
  </r>
  <r>
    <s v="ORD-00284"/>
    <x v="151"/>
    <s v="CUST-0297"/>
    <s v="PROD-008"/>
    <x v="11"/>
    <n v="1"/>
    <n v="2660"/>
    <n v="21"/>
    <n v="2101.4"/>
    <s v="Completed"/>
    <s v="Hyderabad"/>
    <x v="4"/>
    <x v="0"/>
  </r>
  <r>
    <s v="ORD-00285"/>
    <x v="67"/>
    <s v="CUST-0108"/>
    <s v="PROD-029"/>
    <x v="11"/>
    <n v="6"/>
    <n v="2210"/>
    <n v="9.8000000000000007"/>
    <n v="11960.52"/>
    <s v="Pending"/>
    <s v="Bengaluru"/>
    <x v="2"/>
    <x v="0"/>
  </r>
  <r>
    <s v="ORD-00286"/>
    <x v="202"/>
    <s v="CUST-0121"/>
    <s v="PROD-002"/>
    <x v="19"/>
    <n v="9"/>
    <n v="2600"/>
    <n v="15.7"/>
    <n v="19726.2"/>
    <s v="Completed"/>
    <s v="Delhi"/>
    <x v="4"/>
    <x v="0"/>
  </r>
  <r>
    <s v="ORD-00287"/>
    <x v="203"/>
    <s v="CUST-0160"/>
    <s v="PROD-045"/>
    <x v="5"/>
    <n v="3"/>
    <n v="3020"/>
    <n v="22.6"/>
    <n v="7012.44"/>
    <s v="Completed"/>
    <s v="Hyderabad"/>
    <x v="5"/>
    <x v="2"/>
  </r>
  <r>
    <s v="ORD-00288"/>
    <x v="61"/>
    <s v="CUST-0230"/>
    <s v="PROD-032"/>
    <x v="1"/>
    <n v="6"/>
    <n v="370"/>
    <n v="12.4"/>
    <n v="1944.72"/>
    <s v="Completed"/>
    <s v="Pune"/>
    <x v="3"/>
    <x v="0"/>
  </r>
  <r>
    <s v="ORD-00289"/>
    <x v="42"/>
    <s v="CUST-0151"/>
    <s v="PROD-001"/>
    <x v="3"/>
    <n v="8"/>
    <n v="5330"/>
    <n v="16.2"/>
    <n v="35732.32"/>
    <s v="Completed"/>
    <s v="Mumbai"/>
    <x v="4"/>
    <x v="0"/>
  </r>
  <r>
    <s v="ORD-00290"/>
    <x v="66"/>
    <s v="CUST-0222"/>
    <s v="PROD-018"/>
    <x v="14"/>
    <n v="4"/>
    <n v="3560"/>
    <n v="10.5"/>
    <n v="12744.8"/>
    <s v="Completed"/>
    <s v="Chennai"/>
    <x v="0"/>
    <x v="2"/>
  </r>
  <r>
    <s v="ORD-00291"/>
    <x v="44"/>
    <s v="CUST-0055"/>
    <s v="PROD-054"/>
    <x v="14"/>
    <n v="10"/>
    <n v="1010"/>
    <n v="10.8"/>
    <n v="9009.2000000000007"/>
    <s v="Completed"/>
    <s v="Bengaluru"/>
    <x v="1"/>
    <x v="2"/>
  </r>
  <r>
    <s v="ORD-00292"/>
    <x v="204"/>
    <s v="CUST-0011"/>
    <s v="PROD-056"/>
    <x v="3"/>
    <n v="8"/>
    <n v="6940"/>
    <n v="3.2"/>
    <n v="53743.360000000001"/>
    <s v="Cancelled"/>
    <s v="Chennai"/>
    <x v="1"/>
    <x v="0"/>
  </r>
  <r>
    <s v="ORD-00335"/>
    <x v="7"/>
    <s v="CUST-0020"/>
    <s v="PROD-012"/>
    <x v="15"/>
    <n v="7"/>
    <n v="3160"/>
    <n v="3.6"/>
    <n v="21323.68"/>
    <s v="Completed"/>
    <s v="Hyderabad"/>
    <x v="0"/>
    <x v="1"/>
  </r>
  <r>
    <s v="ORD-00294"/>
    <x v="93"/>
    <s v="CUST-0163"/>
    <s v="PROD-028"/>
    <x v="4"/>
    <n v="2"/>
    <n v="3660"/>
    <n v="30"/>
    <n v="5124"/>
    <s v="Pending"/>
    <s v="Pune"/>
    <x v="2"/>
    <x v="0"/>
  </r>
  <r>
    <s v="ORD-00295"/>
    <x v="24"/>
    <s v="CUST-0081"/>
    <s v="PROD-024"/>
    <x v="1"/>
    <n v="1"/>
    <n v="2270"/>
    <n v="4.8"/>
    <n v="2161.04"/>
    <s v="Cancelled"/>
    <s v="Mumbai"/>
    <x v="2"/>
    <x v="0"/>
  </r>
  <r>
    <s v="ORD-00296"/>
    <x v="171"/>
    <s v="CUST-0053"/>
    <s v="PROD-059"/>
    <x v="5"/>
    <n v="8"/>
    <n v="3780"/>
    <n v="13"/>
    <n v="26308.799999999999"/>
    <s v="Completed"/>
    <s v="Delhi"/>
    <x v="1"/>
    <x v="2"/>
  </r>
  <r>
    <s v="ORD-01770"/>
    <x v="205"/>
    <s v="CUST-0115"/>
    <s v="PROD-013"/>
    <x v="27"/>
    <n v="1"/>
    <n v="3640"/>
    <n v="15.3"/>
    <n v="3083.08"/>
    <s v="Pending"/>
    <s v="Mumbai"/>
    <x v="0"/>
    <x v="1"/>
  </r>
  <r>
    <s v="ORD-00298"/>
    <x v="206"/>
    <s v="CUST-0166"/>
    <s v="PROD-009"/>
    <x v="18"/>
    <n v="8"/>
    <n v="1220"/>
    <n v="28.2"/>
    <n v="7007.68"/>
    <s v="Completed"/>
    <s v="Hyderabad"/>
    <x v="4"/>
    <x v="1"/>
  </r>
  <r>
    <s v="ORD-00299"/>
    <x v="207"/>
    <s v="CUST-0263"/>
    <s v="PROD-017"/>
    <x v="14"/>
    <n v="3"/>
    <n v="2510"/>
    <n v="17.399999999999999"/>
    <n v="6219.78"/>
    <s v="Completed"/>
    <s v="Mumbai"/>
    <x v="0"/>
    <x v="2"/>
  </r>
  <r>
    <s v="ORD-00300"/>
    <x v="208"/>
    <s v="CUST-0010"/>
    <s v="PROD-040"/>
    <x v="10"/>
    <n v="1"/>
    <n v="1080"/>
    <n v="13.9"/>
    <n v="929.88"/>
    <s v="Completed"/>
    <s v="Mumbai"/>
    <x v="3"/>
    <x v="0"/>
  </r>
  <r>
    <s v="ORD-00301"/>
    <x v="183"/>
    <s v="CUST-0036"/>
    <s v="PROD-033"/>
    <x v="29"/>
    <n v="7"/>
    <n v="2030"/>
    <n v="29.2"/>
    <n v="10060.68"/>
    <s v="Completed"/>
    <s v="Mumbai"/>
    <x v="3"/>
    <x v="1"/>
  </r>
  <r>
    <s v="ORD-00302"/>
    <x v="209"/>
    <s v="CUST-0259"/>
    <s v="PROD-059"/>
    <x v="16"/>
    <n v="6"/>
    <n v="3780"/>
    <n v="20.9"/>
    <n v="17939.88"/>
    <s v="Refunded"/>
    <s v="Mumbai"/>
    <x v="1"/>
    <x v="3"/>
  </r>
  <r>
    <s v="ORD-00303"/>
    <x v="168"/>
    <s v="CUST-0247"/>
    <s v="PROD-012"/>
    <x v="29"/>
    <n v="1"/>
    <n v="3160"/>
    <n v="10.7"/>
    <n v="2821.88"/>
    <s v="Completed"/>
    <s v="Pune"/>
    <x v="0"/>
    <x v="1"/>
  </r>
  <r>
    <s v="ORD-00881"/>
    <x v="148"/>
    <s v="CUST-0191"/>
    <s v="PROD-046"/>
    <x v="9"/>
    <n v="5"/>
    <n v="4880"/>
    <n v="11.4"/>
    <n v="21618.400000000001"/>
    <s v="Completed"/>
    <s v="Hyderabad"/>
    <x v="5"/>
    <x v="1"/>
  </r>
  <r>
    <s v="ORD-00305"/>
    <x v="142"/>
    <s v="CUST-0167"/>
    <s v="PROD-031"/>
    <x v="18"/>
    <n v="9"/>
    <n v="3730"/>
    <n v="10"/>
    <n v="30213"/>
    <s v="Completed"/>
    <s v="Delhi"/>
    <x v="3"/>
    <x v="1"/>
  </r>
  <r>
    <s v="ORD-00306"/>
    <x v="119"/>
    <s v="CUST-0196"/>
    <s v="PROD-034"/>
    <x v="10"/>
    <n v="5"/>
    <n v="5080"/>
    <n v="15.3"/>
    <n v="21513.8"/>
    <s v="Completed"/>
    <s v="Chennai"/>
    <x v="3"/>
    <x v="0"/>
  </r>
  <r>
    <s v="ORD-00307"/>
    <x v="210"/>
    <s v="CUST-0182"/>
    <s v="PROD-042"/>
    <x v="22"/>
    <n v="9"/>
    <n v="2290"/>
    <n v="3.3"/>
    <n v="19929.87"/>
    <s v="Pending"/>
    <s v="Mumbai"/>
    <x v="5"/>
    <x v="1"/>
  </r>
  <r>
    <s v="ORD-00308"/>
    <x v="211"/>
    <s v="CUST-0246"/>
    <s v="PROD-008"/>
    <x v="9"/>
    <n v="5"/>
    <n v="2660"/>
    <n v="8.3000000000000007"/>
    <n v="12196.1"/>
    <s v="Completed"/>
    <s v="Delhi"/>
    <x v="4"/>
    <x v="1"/>
  </r>
  <r>
    <s v="ORD-00309"/>
    <x v="201"/>
    <s v="CUST-0132"/>
    <s v="PROD-027"/>
    <x v="5"/>
    <n v="6"/>
    <n v="3780"/>
    <n v="28.3"/>
    <n v="16261.56"/>
    <s v="Completed"/>
    <s v="Delhi"/>
    <x v="2"/>
    <x v="2"/>
  </r>
  <r>
    <s v="ORD-00310"/>
    <x v="212"/>
    <s v="CUST-0153"/>
    <s v="PROD-021"/>
    <x v="8"/>
    <n v="5"/>
    <n v="2760"/>
    <n v="4.9000000000000004"/>
    <n v="13123.8"/>
    <s v="Completed"/>
    <s v="Mumbai"/>
    <x v="2"/>
    <x v="2"/>
  </r>
  <r>
    <s v="ORD-00311"/>
    <x v="213"/>
    <s v="CUST-0139"/>
    <s v="PROD-041"/>
    <x v="3"/>
    <n v="8"/>
    <n v="1540"/>
    <n v="29.4"/>
    <n v="8697.92"/>
    <s v="Cancelled"/>
    <s v="Hyderabad"/>
    <x v="5"/>
    <x v="0"/>
  </r>
  <r>
    <s v="ORD-00312"/>
    <x v="163"/>
    <s v="CUST-0256"/>
    <s v="PROD-046"/>
    <x v="24"/>
    <n v="1"/>
    <n v="4880"/>
    <n v="18.100000000000001"/>
    <n v="3996.72"/>
    <s v="Completed"/>
    <s v="Hyderabad"/>
    <x v="5"/>
    <x v="3"/>
  </r>
  <r>
    <s v="ORD-00313"/>
    <x v="95"/>
    <s v="CUST-0027"/>
    <s v="PROD-024"/>
    <x v="15"/>
    <n v="8"/>
    <n v="2270"/>
    <n v="19.8"/>
    <n v="14564.32"/>
    <s v="Pending"/>
    <s v="Hyderabad"/>
    <x v="2"/>
    <x v="1"/>
  </r>
  <r>
    <s v="ORD-00314"/>
    <x v="118"/>
    <s v="CUST-0151"/>
    <s v="PROD-019"/>
    <x v="9"/>
    <n v="10"/>
    <n v="2480"/>
    <n v="24.4"/>
    <n v="18748.8"/>
    <s v="Pending"/>
    <s v="Mumbai"/>
    <x v="0"/>
    <x v="1"/>
  </r>
  <r>
    <s v="ORD-00315"/>
    <x v="214"/>
    <s v="CUST-0204"/>
    <s v="PROD-045"/>
    <x v="2"/>
    <n v="8"/>
    <n v="3020"/>
    <n v="15.2"/>
    <n v="20487.68"/>
    <s v="Pending"/>
    <s v="Hyderabad"/>
    <x v="5"/>
    <x v="1"/>
  </r>
  <r>
    <s v="ORD-00316"/>
    <x v="25"/>
    <s v="CUST-0084"/>
    <s v="PROD-041"/>
    <x v="7"/>
    <n v="10"/>
    <n v="1540"/>
    <n v="0.6"/>
    <n v="15307.6"/>
    <s v="Completed"/>
    <s v="Chennai"/>
    <x v="5"/>
    <x v="3"/>
  </r>
  <r>
    <s v="ORD-00317"/>
    <x v="215"/>
    <s v="CUST-0048"/>
    <s v="PROD-012"/>
    <x v="19"/>
    <n v="7"/>
    <n v="3160"/>
    <n v="8.9"/>
    <n v="20151.32"/>
    <s v="Completed"/>
    <s v="Delhi"/>
    <x v="0"/>
    <x v="0"/>
  </r>
  <r>
    <s v="ORD-00318"/>
    <x v="95"/>
    <s v="CUST-0013"/>
    <s v="PROD-054"/>
    <x v="22"/>
    <n v="6"/>
    <n v="1010"/>
    <n v="12.9"/>
    <n v="5278.26"/>
    <s v="Completed"/>
    <s v="Delhi"/>
    <x v="1"/>
    <x v="1"/>
  </r>
  <r>
    <s v="ORD-00319"/>
    <x v="216"/>
    <s v="CUST-0245"/>
    <s v="PROD-039"/>
    <x v="16"/>
    <n v="4"/>
    <n v="4610"/>
    <n v="18.2"/>
    <n v="15083.92"/>
    <s v="Completed"/>
    <s v="Hyderabad"/>
    <x v="3"/>
    <x v="3"/>
  </r>
  <r>
    <s v="ORD-00320"/>
    <x v="30"/>
    <s v="CUST-0031"/>
    <s v="PROD-025"/>
    <x v="20"/>
    <n v="6"/>
    <n v="4060"/>
    <n v="24.3"/>
    <n v="18440.52"/>
    <s v="Completed"/>
    <s v="Hyderabad"/>
    <x v="2"/>
    <x v="2"/>
  </r>
  <r>
    <s v="ORD-00321"/>
    <x v="89"/>
    <s v="CUST-0212"/>
    <s v="PROD-016"/>
    <x v="19"/>
    <n v="5"/>
    <n v="620"/>
    <n v="10.7"/>
    <n v="2768.3"/>
    <s v="Refunded"/>
    <s v="Chennai"/>
    <x v="0"/>
    <x v="0"/>
  </r>
  <r>
    <s v="ORD-00322"/>
    <x v="191"/>
    <s v="CUST-0104"/>
    <s v="PROD-018"/>
    <x v="11"/>
    <n v="3"/>
    <n v="3560"/>
    <n v="4.0999999999999996"/>
    <n v="10242.120000000001"/>
    <s v="Completed"/>
    <s v="Hyderabad"/>
    <x v="0"/>
    <x v="0"/>
  </r>
  <r>
    <s v="ORD-00323"/>
    <x v="66"/>
    <s v="CUST-0157"/>
    <s v="PROD-058"/>
    <x v="27"/>
    <n v="2"/>
    <n v="2400"/>
    <n v="13"/>
    <n v="4176"/>
    <s v="Completed"/>
    <s v="Pune"/>
    <x v="1"/>
    <x v="1"/>
  </r>
  <r>
    <s v="ORD-00324"/>
    <x v="192"/>
    <s v="CUST-0004"/>
    <s v="PROD-056"/>
    <x v="3"/>
    <n v="9"/>
    <n v="6940"/>
    <n v="26.2"/>
    <n v="46095.48"/>
    <s v="Completed"/>
    <s v="Delhi"/>
    <x v="1"/>
    <x v="0"/>
  </r>
  <r>
    <s v="ORD-00325"/>
    <x v="217"/>
    <s v="CUST-0003"/>
    <s v="PROD-023"/>
    <x v="5"/>
    <n v="9"/>
    <n v="2380"/>
    <n v="22.7"/>
    <n v="16557.66"/>
    <s v="Completed"/>
    <s v="Mumbai"/>
    <x v="2"/>
    <x v="2"/>
  </r>
  <r>
    <s v="ORD-00326"/>
    <x v="176"/>
    <s v="CUST-0175"/>
    <s v="PROD-014"/>
    <x v="8"/>
    <n v="6"/>
    <n v="3620"/>
    <n v="9.1999999999999993"/>
    <n v="19721.759999999998"/>
    <s v="Completed"/>
    <s v="Delhi"/>
    <x v="0"/>
    <x v="2"/>
  </r>
  <r>
    <s v="ORD-00327"/>
    <x v="124"/>
    <s v="CUST-0104"/>
    <s v="PROD-050"/>
    <x v="10"/>
    <n v="1"/>
    <n v="6080"/>
    <n v="29.4"/>
    <n v="4292.4799999999996"/>
    <s v="Cancelled"/>
    <s v="Hyderabad"/>
    <x v="5"/>
    <x v="0"/>
  </r>
  <r>
    <s v="ORD-00328"/>
    <x v="30"/>
    <s v="CUST-0196"/>
    <s v="PROD-020"/>
    <x v="26"/>
    <n v="6"/>
    <n v="820"/>
    <n v="29.1"/>
    <n v="3488.28"/>
    <s v="Completed"/>
    <s v="Chennai"/>
    <x v="0"/>
    <x v="3"/>
  </r>
  <r>
    <s v="ORD-00329"/>
    <x v="34"/>
    <s v="CUST-0299"/>
    <s v="PROD-045"/>
    <x v="6"/>
    <n v="9"/>
    <n v="3020"/>
    <n v="7.9"/>
    <n v="25032.78"/>
    <s v="Completed"/>
    <s v="Mumbai"/>
    <x v="5"/>
    <x v="2"/>
  </r>
  <r>
    <s v="ORD-00330"/>
    <x v="218"/>
    <s v="CUST-0066"/>
    <s v="PROD-004"/>
    <x v="20"/>
    <n v="8"/>
    <n v="3870"/>
    <n v="11.9"/>
    <n v="27275.759999999998"/>
    <s v="Completed"/>
    <s v="Delhi"/>
    <x v="4"/>
    <x v="2"/>
  </r>
  <r>
    <s v="ORD-00331"/>
    <x v="72"/>
    <s v="CUST-0080"/>
    <s v="PROD-047"/>
    <x v="14"/>
    <n v="6"/>
    <n v="3450"/>
    <n v="13.9"/>
    <n v="17822.7"/>
    <s v="Completed"/>
    <s v="Pune"/>
    <x v="5"/>
    <x v="2"/>
  </r>
  <r>
    <s v="ORD-00332"/>
    <x v="219"/>
    <s v="CUST-0138"/>
    <s v="PROD-048"/>
    <x v="4"/>
    <n v="9"/>
    <n v="5100"/>
    <n v="2.1"/>
    <n v="44936.1"/>
    <s v="Completed"/>
    <s v="Chennai"/>
    <x v="5"/>
    <x v="0"/>
  </r>
  <r>
    <s v="ORD-00333"/>
    <x v="79"/>
    <s v="CUST-0253"/>
    <s v="PROD-026"/>
    <x v="4"/>
    <n v="2"/>
    <n v="4070"/>
    <n v="28.6"/>
    <n v="5811.96"/>
    <s v="Completed"/>
    <s v="Delhi"/>
    <x v="2"/>
    <x v="0"/>
  </r>
  <r>
    <s v="ORD-00334"/>
    <x v="220"/>
    <s v="CUST-0247"/>
    <s v="PROD-001"/>
    <x v="0"/>
    <n v="9"/>
    <n v="5330"/>
    <n v="6.2"/>
    <n v="44995.86"/>
    <s v="Completed"/>
    <s v="Pune"/>
    <x v="4"/>
    <x v="0"/>
  </r>
  <r>
    <s v="ORD-00335"/>
    <x v="158"/>
    <s v="CUST-0269"/>
    <s v="PROD-024"/>
    <x v="16"/>
    <n v="6"/>
    <n v="2270"/>
    <n v="23.7"/>
    <n v="10392.06"/>
    <s v="Completed"/>
    <s v="Pune"/>
    <x v="2"/>
    <x v="3"/>
  </r>
  <r>
    <s v="ORD-00336"/>
    <x v="221"/>
    <s v="CUST-0008"/>
    <s v="PROD-017"/>
    <x v="6"/>
    <n v="5"/>
    <n v="2510"/>
    <n v="25"/>
    <n v="9412.5"/>
    <s v="Completed"/>
    <s v="Pune"/>
    <x v="0"/>
    <x v="2"/>
  </r>
  <r>
    <s v="ORD-00337"/>
    <x v="164"/>
    <s v="CUST-0134"/>
    <s v="PROD-023"/>
    <x v="7"/>
    <n v="9"/>
    <n v="2380"/>
    <n v="16.8"/>
    <n v="17821.439999999999"/>
    <s v="Completed"/>
    <s v="Delhi"/>
    <x v="2"/>
    <x v="3"/>
  </r>
  <r>
    <s v="ORD-00338"/>
    <x v="103"/>
    <s v="CUST-0016"/>
    <s v="PROD-011"/>
    <x v="4"/>
    <n v="1"/>
    <n v="3450"/>
    <n v="1.5"/>
    <n v="3398.25"/>
    <s v="Refunded"/>
    <s v="Delhi"/>
    <x v="0"/>
    <x v="0"/>
  </r>
  <r>
    <s v="ORD-00339"/>
    <x v="146"/>
    <s v="CUST-0281"/>
    <s v="PROD-003"/>
    <x v="25"/>
    <n v="5"/>
    <n v="3570"/>
    <n v="12.8"/>
    <n v="15565.2"/>
    <s v="Completed"/>
    <s v="Bengaluru"/>
    <x v="4"/>
    <x v="0"/>
  </r>
  <r>
    <s v="ORD-00340"/>
    <x v="222"/>
    <s v="CUST-0267"/>
    <s v="PROD-001"/>
    <x v="20"/>
    <n v="3"/>
    <n v="5330"/>
    <n v="16.2"/>
    <n v="13399.62"/>
    <s v="Completed"/>
    <s v="Hyderabad"/>
    <x v="4"/>
    <x v="2"/>
  </r>
  <r>
    <s v="ORD-00341"/>
    <x v="123"/>
    <s v="CUST-0279"/>
    <s v="PROD-028"/>
    <x v="28"/>
    <n v="3"/>
    <n v="3660"/>
    <n v="25.3"/>
    <n v="8202.06"/>
    <s v="Completed"/>
    <s v="Mumbai"/>
    <x v="2"/>
    <x v="2"/>
  </r>
  <r>
    <s v="ORD-00342"/>
    <x v="77"/>
    <s v="CUST-0036"/>
    <s v="PROD-054"/>
    <x v="15"/>
    <n v="2"/>
    <n v="1010"/>
    <n v="29.2"/>
    <n v="1430.16"/>
    <s v="Completed"/>
    <s v="Mumbai"/>
    <x v="1"/>
    <x v="1"/>
  </r>
  <r>
    <s v="ORD-00343"/>
    <x v="47"/>
    <s v="CUST-0295"/>
    <s v="PROD-040"/>
    <x v="15"/>
    <n v="1"/>
    <n v="1080"/>
    <n v="1.8"/>
    <n v="1060.56"/>
    <s v="Completed"/>
    <s v="Delhi"/>
    <x v="3"/>
    <x v="1"/>
  </r>
  <r>
    <s v="ORD-00344"/>
    <x v="85"/>
    <s v="CUST-0106"/>
    <s v="PROD-051"/>
    <x v="9"/>
    <n v="8"/>
    <n v="3450"/>
    <n v="20.399999999999999"/>
    <n v="21969.599999999999"/>
    <s v="Completed"/>
    <s v="Pune"/>
    <x v="1"/>
    <x v="1"/>
  </r>
  <r>
    <s v="ORD-00593"/>
    <x v="223"/>
    <s v="CUST-0070"/>
    <s v="PROD-056"/>
    <x v="15"/>
    <n v="8"/>
    <n v="6940"/>
    <n v="19.399999999999999"/>
    <n v="44749.120000000003"/>
    <s v="Completed"/>
    <s v="Mumbai"/>
    <x v="1"/>
    <x v="1"/>
  </r>
  <r>
    <s v="ORD-00346"/>
    <x v="224"/>
    <s v="CUST-0062"/>
    <s v="PROD-041"/>
    <x v="11"/>
    <n v="2"/>
    <n v="1540"/>
    <n v="9.3000000000000007"/>
    <n v="2793.56"/>
    <s v="Completed"/>
    <s v="Pune"/>
    <x v="5"/>
    <x v="0"/>
  </r>
  <r>
    <s v="ORD-00347"/>
    <x v="225"/>
    <s v="CUST-0241"/>
    <s v="PROD-010"/>
    <x v="15"/>
    <n v="4"/>
    <n v="2640"/>
    <n v="23.2"/>
    <n v="8110.08"/>
    <s v="Refunded"/>
    <s v="Pune"/>
    <x v="4"/>
    <x v="1"/>
  </r>
  <r>
    <s v="ORD-00348"/>
    <x v="17"/>
    <s v="CUST-0001"/>
    <s v="PROD-052"/>
    <x v="6"/>
    <n v="6"/>
    <n v="5410"/>
    <n v="29.4"/>
    <n v="22916.76"/>
    <s v="Completed"/>
    <s v="Pune"/>
    <x v="1"/>
    <x v="2"/>
  </r>
  <r>
    <s v="ORD-00349"/>
    <x v="61"/>
    <s v="CUST-0181"/>
    <s v="PROD-003"/>
    <x v="28"/>
    <n v="1"/>
    <n v="3570"/>
    <n v="4.3"/>
    <n v="3416.49"/>
    <s v="Completed"/>
    <s v="Delhi"/>
    <x v="4"/>
    <x v="2"/>
  </r>
  <r>
    <s v="ORD-00350"/>
    <x v="226"/>
    <s v="CUST-0044"/>
    <s v="PROD-032"/>
    <x v="8"/>
    <n v="2"/>
    <n v="370"/>
    <n v="7.2"/>
    <n v="686.72"/>
    <s v="Completed"/>
    <s v="Hyderabad"/>
    <x v="3"/>
    <x v="2"/>
  </r>
  <r>
    <s v="ORD-00351"/>
    <x v="203"/>
    <s v="CUST-0218"/>
    <s v="PROD-017"/>
    <x v="21"/>
    <n v="1"/>
    <n v="2510"/>
    <n v="2.4"/>
    <n v="2449.7600000000002"/>
    <s v="Completed"/>
    <s v="Mumbai"/>
    <x v="0"/>
    <x v="3"/>
  </r>
  <r>
    <s v="ORD-00352"/>
    <x v="178"/>
    <s v="CUST-0061"/>
    <s v="PROD-013"/>
    <x v="24"/>
    <n v="8"/>
    <n v="3640"/>
    <n v="28.7"/>
    <n v="20762.560000000001"/>
    <s v="Pending"/>
    <s v="Hyderabad"/>
    <x v="0"/>
    <x v="3"/>
  </r>
  <r>
    <s v="ORD-00353"/>
    <x v="226"/>
    <s v="CUST-0143"/>
    <s v="PROD-044"/>
    <x v="20"/>
    <n v="5"/>
    <n v="1650"/>
    <n v="13.4"/>
    <n v="7144.5"/>
    <s v="Pending"/>
    <s v="Chennai"/>
    <x v="5"/>
    <x v="2"/>
  </r>
  <r>
    <s v="ORD-00354"/>
    <x v="107"/>
    <s v="CUST-0164"/>
    <s v="PROD-049"/>
    <x v="6"/>
    <n v="9"/>
    <n v="960"/>
    <n v="28.6"/>
    <n v="6168.96"/>
    <s v="Pending"/>
    <s v="Chennai"/>
    <x v="5"/>
    <x v="2"/>
  </r>
  <r>
    <s v="ORD-00355"/>
    <x v="97"/>
    <s v="CUST-0152"/>
    <s v="PROD-027"/>
    <x v="13"/>
    <n v="4"/>
    <n v="3780"/>
    <n v="25.3"/>
    <n v="11294.64"/>
    <s v="Completed"/>
    <s v="Bengaluru"/>
    <x v="2"/>
    <x v="3"/>
  </r>
  <r>
    <s v="ORD-00356"/>
    <x v="227"/>
    <s v="CUST-0143"/>
    <s v="PROD-044"/>
    <x v="2"/>
    <n v="4"/>
    <n v="1650"/>
    <n v="13.7"/>
    <n v="5695.8"/>
    <s v="Cancelled"/>
    <s v="Chennai"/>
    <x v="5"/>
    <x v="1"/>
  </r>
  <r>
    <s v="ORD-00357"/>
    <x v="228"/>
    <s v="CUST-0232"/>
    <s v="PROD-014"/>
    <x v="27"/>
    <n v="6"/>
    <n v="3620"/>
    <n v="21.3"/>
    <n v="17093.64"/>
    <s v="Pending"/>
    <s v="Hyderabad"/>
    <x v="0"/>
    <x v="1"/>
  </r>
  <r>
    <s v="ORD-00358"/>
    <x v="42"/>
    <s v="CUST-0067"/>
    <s v="PROD-022"/>
    <x v="14"/>
    <n v="10"/>
    <n v="2270"/>
    <n v="17.7"/>
    <n v="18682.099999999999"/>
    <s v="Completed"/>
    <s v="Delhi"/>
    <x v="2"/>
    <x v="2"/>
  </r>
  <r>
    <s v="ORD-00359"/>
    <x v="130"/>
    <s v="CUST-0292"/>
    <s v="PROD-041"/>
    <x v="22"/>
    <n v="9"/>
    <n v="1540"/>
    <n v="10.7"/>
    <n v="12376.98"/>
    <s v="Completed"/>
    <s v="Bengaluru"/>
    <x v="5"/>
    <x v="1"/>
  </r>
  <r>
    <s v="ORD-00360"/>
    <x v="84"/>
    <s v="CUST-0118"/>
    <s v="PROD-055"/>
    <x v="13"/>
    <n v="9"/>
    <n v="2860"/>
    <n v="12.9"/>
    <n v="22419.54"/>
    <s v="Completed"/>
    <s v="Hyderabad"/>
    <x v="1"/>
    <x v="3"/>
  </r>
  <r>
    <s v="ORD-00361"/>
    <x v="229"/>
    <s v="CUST-0212"/>
    <s v="PROD-029"/>
    <x v="29"/>
    <n v="5"/>
    <n v="2210"/>
    <n v="5.0999999999999996"/>
    <n v="10486.45"/>
    <s v="Completed"/>
    <s v="Chennai"/>
    <x v="2"/>
    <x v="1"/>
  </r>
  <r>
    <s v="ORD-00362"/>
    <x v="157"/>
    <s v="CUST-0287"/>
    <s v="PROD-009"/>
    <x v="20"/>
    <n v="1"/>
    <n v="1220"/>
    <n v="16.100000000000001"/>
    <n v="1023.58"/>
    <s v="Completed"/>
    <s v="Chennai"/>
    <x v="4"/>
    <x v="2"/>
  </r>
  <r>
    <s v="ORD-00363"/>
    <x v="230"/>
    <s v="CUST-0030"/>
    <s v="PROD-003"/>
    <x v="3"/>
    <n v="2"/>
    <n v="3570"/>
    <n v="1.1000000000000001"/>
    <n v="7061.46"/>
    <s v="Completed"/>
    <s v="Bengaluru"/>
    <x v="4"/>
    <x v="0"/>
  </r>
  <r>
    <s v="ORD-00364"/>
    <x v="231"/>
    <s v="CUST-0270"/>
    <s v="PROD-011"/>
    <x v="29"/>
    <n v="10"/>
    <n v="3450"/>
    <n v="12.6"/>
    <n v="30153"/>
    <s v="Completed"/>
    <s v="Bengaluru"/>
    <x v="0"/>
    <x v="1"/>
  </r>
  <r>
    <s v="ORD-00365"/>
    <x v="232"/>
    <s v="CUST-0001"/>
    <s v="PROD-029"/>
    <x v="13"/>
    <n v="4"/>
    <n v="2210"/>
    <n v="5.4"/>
    <n v="8362.64"/>
    <s v="Completed"/>
    <s v="Pune"/>
    <x v="2"/>
    <x v="3"/>
  </r>
  <r>
    <s v="ORD-00366"/>
    <x v="233"/>
    <s v="CUST-0215"/>
    <s v="PROD-035"/>
    <x v="2"/>
    <n v="6"/>
    <n v="1090"/>
    <n v="2.9"/>
    <n v="6350.34"/>
    <s v="Cancelled"/>
    <s v="Hyderabad"/>
    <x v="3"/>
    <x v="1"/>
  </r>
  <r>
    <s v="ORD-00367"/>
    <x v="234"/>
    <s v="CUST-0225"/>
    <s v="PROD-041"/>
    <x v="21"/>
    <n v="8"/>
    <n v="1540"/>
    <n v="17.899999999999999"/>
    <n v="10114.719999999999"/>
    <s v="Pending"/>
    <s v="Chennai"/>
    <x v="5"/>
    <x v="3"/>
  </r>
  <r>
    <s v="ORD-00368"/>
    <x v="2"/>
    <s v="CUST-0163"/>
    <s v="PROD-002"/>
    <x v="8"/>
    <n v="9"/>
    <n v="2600"/>
    <n v="4.0999999999999996"/>
    <n v="22440.6"/>
    <s v="Completed"/>
    <s v="Pune"/>
    <x v="4"/>
    <x v="2"/>
  </r>
  <r>
    <s v="ORD-00369"/>
    <x v="235"/>
    <s v="CUST-0196"/>
    <s v="PROD-060"/>
    <x v="0"/>
    <n v="2"/>
    <n v="190"/>
    <n v="4.8"/>
    <n v="361.76"/>
    <s v="Completed"/>
    <s v="Chennai"/>
    <x v="1"/>
    <x v="0"/>
  </r>
  <r>
    <s v="ORD-00370"/>
    <x v="236"/>
    <s v="CUST-0002"/>
    <s v="PROD-019"/>
    <x v="2"/>
    <n v="9"/>
    <n v="2480"/>
    <n v="28.3"/>
    <n v="16003.44"/>
    <s v="Completed"/>
    <s v="Pune"/>
    <x v="0"/>
    <x v="1"/>
  </r>
  <r>
    <s v="ORD-00371"/>
    <x v="33"/>
    <s v="CUST-0057"/>
    <s v="PROD-042"/>
    <x v="3"/>
    <n v="7"/>
    <n v="2290"/>
    <n v="25"/>
    <n v="12022.5"/>
    <s v="Cancelled"/>
    <s v="Pune"/>
    <x v="5"/>
    <x v="0"/>
  </r>
  <r>
    <s v="ORD-00372"/>
    <x v="237"/>
    <s v="CUST-0112"/>
    <s v="PROD-041"/>
    <x v="15"/>
    <n v="9"/>
    <n v="1540"/>
    <n v="23.3"/>
    <n v="10630.62"/>
    <s v="Completed"/>
    <s v="Hyderabad"/>
    <x v="5"/>
    <x v="1"/>
  </r>
  <r>
    <s v="ORD-00373"/>
    <x v="168"/>
    <s v="CUST-0131"/>
    <s v="PROD-034"/>
    <x v="5"/>
    <n v="2"/>
    <n v="5080"/>
    <n v="2.5"/>
    <n v="9906"/>
    <s v="Cancelled"/>
    <s v="Delhi"/>
    <x v="3"/>
    <x v="2"/>
  </r>
  <r>
    <s v="ORD-00374"/>
    <x v="238"/>
    <s v="CUST-0124"/>
    <s v="PROD-017"/>
    <x v="29"/>
    <n v="4"/>
    <n v="2510"/>
    <n v="23.6"/>
    <n v="7670.56"/>
    <s v="Completed"/>
    <s v="Pune"/>
    <x v="0"/>
    <x v="1"/>
  </r>
  <r>
    <s v="ORD-00375"/>
    <x v="10"/>
    <s v="CUST-0131"/>
    <s v="PROD-042"/>
    <x v="23"/>
    <n v="5"/>
    <n v="2290"/>
    <n v="17"/>
    <n v="9503.5"/>
    <s v="Completed"/>
    <s v="Delhi"/>
    <x v="5"/>
    <x v="1"/>
  </r>
  <r>
    <s v="ORD-00376"/>
    <x v="1"/>
    <s v="CUST-0084"/>
    <s v="PROD-053"/>
    <x v="3"/>
    <n v="8"/>
    <n v="470"/>
    <n v="9.3000000000000007"/>
    <n v="3410.32"/>
    <s v="Completed"/>
    <s v="Chennai"/>
    <x v="1"/>
    <x v="0"/>
  </r>
  <r>
    <s v="ORD-00377"/>
    <x v="148"/>
    <s v="CUST-0082"/>
    <s v="PROD-048"/>
    <x v="18"/>
    <n v="8"/>
    <n v="5100"/>
    <n v="4.5999999999999996"/>
    <n v="38923.199999999997"/>
    <s v="Completed"/>
    <s v="Hyderabad"/>
    <x v="5"/>
    <x v="1"/>
  </r>
  <r>
    <s v="ORD-00378"/>
    <x v="197"/>
    <s v="CUST-0242"/>
    <s v="PROD-001"/>
    <x v="9"/>
    <n v="7"/>
    <n v="5330"/>
    <n v="2.5"/>
    <n v="36377.25"/>
    <s v="Completed"/>
    <s v="Chennai"/>
    <x v="4"/>
    <x v="1"/>
  </r>
  <r>
    <s v="ORD-00379"/>
    <x v="234"/>
    <s v="CUST-0074"/>
    <s v="PROD-033"/>
    <x v="8"/>
    <n v="10"/>
    <n v="2030"/>
    <n v="8.5"/>
    <n v="18574.5"/>
    <s v="Completed"/>
    <s v="Bengaluru"/>
    <x v="3"/>
    <x v="2"/>
  </r>
  <r>
    <s v="ORD-00380"/>
    <x v="9"/>
    <s v="CUST-0221"/>
    <s v="PROD-034"/>
    <x v="11"/>
    <n v="8"/>
    <n v="5080"/>
    <n v="9.6"/>
    <n v="36738.559999999998"/>
    <s v="Cancelled"/>
    <s v="Delhi"/>
    <x v="3"/>
    <x v="0"/>
  </r>
  <r>
    <s v="ORD-00381"/>
    <x v="239"/>
    <s v="CUST-0101"/>
    <s v="PROD-023"/>
    <x v="2"/>
    <n v="1"/>
    <n v="2380"/>
    <n v="11.6"/>
    <n v="2103.92"/>
    <s v="Pending"/>
    <s v="Hyderabad"/>
    <x v="2"/>
    <x v="1"/>
  </r>
  <r>
    <s v="ORD-00382"/>
    <x v="222"/>
    <s v="CUST-0203"/>
    <s v="PROD-041"/>
    <x v="28"/>
    <n v="8"/>
    <n v="1540"/>
    <n v="27.8"/>
    <n v="8895.0400000000009"/>
    <s v="Completed"/>
    <s v="Chennai"/>
    <x v="5"/>
    <x v="2"/>
  </r>
  <r>
    <s v="ORD-00383"/>
    <x v="157"/>
    <s v="CUST-0209"/>
    <s v="PROD-024"/>
    <x v="6"/>
    <n v="1"/>
    <n v="2270"/>
    <n v="6.5"/>
    <n v="2122.4499999999998"/>
    <s v="Pending"/>
    <s v="Pune"/>
    <x v="2"/>
    <x v="2"/>
  </r>
  <r>
    <s v="ORD-00384"/>
    <x v="240"/>
    <s v="CUST-0094"/>
    <s v="PROD-019"/>
    <x v="8"/>
    <n v="6"/>
    <n v="2480"/>
    <n v="25.9"/>
    <n v="11026.08"/>
    <s v="Completed"/>
    <s v="Pune"/>
    <x v="0"/>
    <x v="2"/>
  </r>
  <r>
    <s v="ORD-00385"/>
    <x v="170"/>
    <s v="CUST-0248"/>
    <s v="PROD-018"/>
    <x v="7"/>
    <n v="3"/>
    <n v="3560"/>
    <n v="0.4"/>
    <n v="10637.28"/>
    <s v="Refunded"/>
    <s v="Chennai"/>
    <x v="0"/>
    <x v="3"/>
  </r>
  <r>
    <s v="ORD-00386"/>
    <x v="124"/>
    <s v="CUST-0297"/>
    <s v="PROD-008"/>
    <x v="3"/>
    <n v="4"/>
    <n v="2660"/>
    <n v="19.7"/>
    <n v="8543.92"/>
    <s v="Cancelled"/>
    <s v="Hyderabad"/>
    <x v="4"/>
    <x v="0"/>
  </r>
  <r>
    <s v="ORD-00387"/>
    <x v="194"/>
    <s v="CUST-0107"/>
    <s v="PROD-009"/>
    <x v="22"/>
    <n v="10"/>
    <n v="1220"/>
    <n v="10.1"/>
    <n v="10967.8"/>
    <s v="Cancelled"/>
    <s v="Pune"/>
    <x v="4"/>
    <x v="1"/>
  </r>
  <r>
    <s v="ORD-00388"/>
    <x v="241"/>
    <s v="CUST-0247"/>
    <s v="PROD-002"/>
    <x v="2"/>
    <n v="8"/>
    <n v="2600"/>
    <n v="26.7"/>
    <n v="15246.4"/>
    <s v="Completed"/>
    <s v="Pune"/>
    <x v="4"/>
    <x v="1"/>
  </r>
  <r>
    <s v="ORD-00389"/>
    <x v="242"/>
    <s v="CUST-0047"/>
    <s v="PROD-011"/>
    <x v="16"/>
    <n v="10"/>
    <n v="3450"/>
    <n v="20.399999999999999"/>
    <n v="27462"/>
    <s v="Completed"/>
    <s v="Pune"/>
    <x v="0"/>
    <x v="3"/>
  </r>
  <r>
    <s v="ORD-00390"/>
    <x v="242"/>
    <s v="CUST-0118"/>
    <s v="PROD-056"/>
    <x v="7"/>
    <n v="1"/>
    <n v="6940"/>
    <n v="9.6999999999999993"/>
    <n v="6266.82"/>
    <s v="Completed"/>
    <s v="Hyderabad"/>
    <x v="1"/>
    <x v="3"/>
  </r>
  <r>
    <s v="ORD-00391"/>
    <x v="243"/>
    <s v="CUST-0019"/>
    <s v="PROD-043"/>
    <x v="3"/>
    <n v="10"/>
    <n v="3350"/>
    <n v="3.2"/>
    <n v="32428"/>
    <s v="Completed"/>
    <s v="Chennai"/>
    <x v="5"/>
    <x v="0"/>
  </r>
  <r>
    <s v="ORD-00392"/>
    <x v="244"/>
    <s v="CUST-0290"/>
    <s v="PROD-041"/>
    <x v="17"/>
    <n v="7"/>
    <n v="1540"/>
    <n v="0.5"/>
    <n v="10726.1"/>
    <s v="Completed"/>
    <s v="Delhi"/>
    <x v="5"/>
    <x v="2"/>
  </r>
  <r>
    <s v="ORD-00393"/>
    <x v="219"/>
    <s v="CUST-9557"/>
    <s v="PROD-014"/>
    <x v="17"/>
    <n v="10"/>
    <n v="3620"/>
    <n v="22"/>
    <n v="28236"/>
    <s v="Completed"/>
    <s v="Pune"/>
    <x v="0"/>
    <x v="2"/>
  </r>
  <r>
    <s v="ORD-00394"/>
    <x v="98"/>
    <s v="CUST-0291"/>
    <s v="PROD-053"/>
    <x v="17"/>
    <n v="2"/>
    <n v="470"/>
    <n v="26.5"/>
    <n v="690.9"/>
    <s v="Pending"/>
    <s v="Pune"/>
    <x v="1"/>
    <x v="2"/>
  </r>
  <r>
    <s v="ORD-00395"/>
    <x v="46"/>
    <s v="CUST-0045"/>
    <s v="PROD-028"/>
    <x v="9"/>
    <n v="6"/>
    <n v="3660"/>
    <n v="1.5"/>
    <n v="21630.6"/>
    <s v="Completed"/>
    <s v="Chennai"/>
    <x v="2"/>
    <x v="1"/>
  </r>
  <r>
    <s v="ORD-00396"/>
    <x v="39"/>
    <s v="CUST-0281"/>
    <s v="PROD-056"/>
    <x v="21"/>
    <n v="10"/>
    <n v="6940"/>
    <n v="1.9"/>
    <n v="68081.399999999994"/>
    <s v="Completed"/>
    <s v="Bengaluru"/>
    <x v="1"/>
    <x v="3"/>
  </r>
  <r>
    <s v="ORD-00397"/>
    <x v="245"/>
    <s v="CUST-0073"/>
    <s v="PROD-042"/>
    <x v="1"/>
    <n v="8"/>
    <n v="2290"/>
    <n v="27.9"/>
    <n v="13208.72"/>
    <s v="Completed"/>
    <s v="Pune"/>
    <x v="5"/>
    <x v="0"/>
  </r>
  <r>
    <s v="ORD-00398"/>
    <x v="52"/>
    <s v="CUST-0043"/>
    <s v="PROD-012"/>
    <x v="6"/>
    <n v="9"/>
    <n v="3160"/>
    <n v="10.199999999999999"/>
    <n v="25539.119999999999"/>
    <s v="Completed"/>
    <s v="Hyderabad"/>
    <x v="0"/>
    <x v="2"/>
  </r>
  <r>
    <s v="ORD-00399"/>
    <x v="246"/>
    <s v="CUST-0154"/>
    <s v="PROD-034"/>
    <x v="8"/>
    <n v="6"/>
    <n v="5080"/>
    <n v="25.4"/>
    <n v="22738.080000000002"/>
    <s v="Completed"/>
    <s v="Pune"/>
    <x v="3"/>
    <x v="2"/>
  </r>
  <r>
    <s v="ORD-00400"/>
    <x v="247"/>
    <s v="CUST-0061"/>
    <s v="PROD-021"/>
    <x v="27"/>
    <n v="6"/>
    <n v="2760"/>
    <n v="21.3"/>
    <n v="13032.72"/>
    <s v="Completed"/>
    <s v="Hyderabad"/>
    <x v="2"/>
    <x v="1"/>
  </r>
  <r>
    <s v="ORD-00401"/>
    <x v="32"/>
    <s v="CUST-9654"/>
    <s v="PROD-009"/>
    <x v="27"/>
    <n v="5"/>
    <n v="1220"/>
    <n v="7.6"/>
    <n v="5636.4"/>
    <s v="Completed"/>
    <s v="Mumbai"/>
    <x v="4"/>
    <x v="1"/>
  </r>
  <r>
    <s v="ORD-00402"/>
    <x v="81"/>
    <s v="CUST-0189"/>
    <s v="PROD-046"/>
    <x v="8"/>
    <n v="5"/>
    <n v="4880"/>
    <n v="8.5"/>
    <n v="22326"/>
    <s v="Completed"/>
    <s v="Chennai"/>
    <x v="5"/>
    <x v="2"/>
  </r>
  <r>
    <s v="ORD-00403"/>
    <x v="102"/>
    <s v="CUST-0152"/>
    <s v="PROD-026"/>
    <x v="24"/>
    <n v="7"/>
    <n v="4070"/>
    <n v="28"/>
    <n v="20512.8"/>
    <s v="Completed"/>
    <s v="Bengaluru"/>
    <x v="2"/>
    <x v="3"/>
  </r>
  <r>
    <s v="ORD-00404"/>
    <x v="47"/>
    <s v="CUST-0284"/>
    <s v="PROD-006"/>
    <x v="8"/>
    <n v="2"/>
    <n v="3970"/>
    <n v="14"/>
    <n v="6828.4"/>
    <s v="Completed"/>
    <s v="Hyderabad"/>
    <x v="4"/>
    <x v="2"/>
  </r>
  <r>
    <s v="ORD-00405"/>
    <x v="134"/>
    <s v="CUST-0175"/>
    <s v="PROD-008"/>
    <x v="26"/>
    <n v="9"/>
    <n v="2660"/>
    <n v="10.1"/>
    <n v="21522.06"/>
    <s v="Completed"/>
    <s v="Delhi"/>
    <x v="4"/>
    <x v="3"/>
  </r>
  <r>
    <s v="ORD-00406"/>
    <x v="192"/>
    <s v="CUST-0093"/>
    <s v="PROD-055"/>
    <x v="24"/>
    <n v="9"/>
    <n v="2860"/>
    <n v="10.1"/>
    <n v="23140.26"/>
    <s v="Refunded"/>
    <s v="Pune"/>
    <x v="1"/>
    <x v="3"/>
  </r>
  <r>
    <s v="ORD-00407"/>
    <x v="157"/>
    <s v="CUST-0033"/>
    <s v="PROD-009"/>
    <x v="0"/>
    <n v="7"/>
    <n v="1220"/>
    <n v="23.5"/>
    <n v="6533.1"/>
    <s v="Refunded"/>
    <s v="Delhi"/>
    <x v="4"/>
    <x v="0"/>
  </r>
  <r>
    <s v="ORD-00408"/>
    <x v="241"/>
    <s v="CUST-0294"/>
    <s v="PROD-022"/>
    <x v="17"/>
    <n v="1"/>
    <n v="2270"/>
    <n v="5.8"/>
    <n v="2138.34"/>
    <s v="Cancelled"/>
    <s v="Delhi"/>
    <x v="2"/>
    <x v="2"/>
  </r>
  <r>
    <s v="ORD-00409"/>
    <x v="248"/>
    <s v="CUST-0115"/>
    <s v="PROD-037"/>
    <x v="25"/>
    <n v="2"/>
    <n v="660"/>
    <n v="2.2999999999999998"/>
    <n v="1289.6400000000001"/>
    <s v="Completed"/>
    <s v="Mumbai"/>
    <x v="3"/>
    <x v="0"/>
  </r>
  <r>
    <s v="ORD-00410"/>
    <x v="236"/>
    <s v="CUST-0219"/>
    <s v="PROD-012"/>
    <x v="2"/>
    <n v="1"/>
    <n v="3160"/>
    <n v="5.6"/>
    <n v="2983.04"/>
    <s v="Completed"/>
    <s v="Chennai"/>
    <x v="0"/>
    <x v="1"/>
  </r>
  <r>
    <s v="ORD-00411"/>
    <x v="199"/>
    <s v="CUST-0180"/>
    <s v="PROD-002"/>
    <x v="22"/>
    <n v="1"/>
    <n v="2600"/>
    <n v="1"/>
    <n v="2574"/>
    <s v="Completed"/>
    <s v="Chennai"/>
    <x v="4"/>
    <x v="1"/>
  </r>
  <r>
    <s v="ORD-00412"/>
    <x v="50"/>
    <s v="CUST-0148"/>
    <s v="PROD-039"/>
    <x v="2"/>
    <n v="4"/>
    <n v="4610"/>
    <n v="18.7"/>
    <n v="14991.72"/>
    <s v="Completed"/>
    <s v="Chennai"/>
    <x v="3"/>
    <x v="1"/>
  </r>
  <r>
    <s v="ORD-00413"/>
    <x v="249"/>
    <s v="CUST-0026"/>
    <s v="PROD-013"/>
    <x v="26"/>
    <n v="3"/>
    <n v="3640"/>
    <n v="9.6999999999999993"/>
    <n v="9860.76"/>
    <s v="Cancelled"/>
    <s v="Pune"/>
    <x v="0"/>
    <x v="3"/>
  </r>
  <r>
    <s v="ORD-00414"/>
    <x v="120"/>
    <s v="CUST-0246"/>
    <s v="PROD-015"/>
    <x v="10"/>
    <n v="6"/>
    <n v="2720"/>
    <n v="13"/>
    <n v="14198.4"/>
    <s v="Pending"/>
    <s v="Delhi"/>
    <x v="0"/>
    <x v="0"/>
  </r>
  <r>
    <s v="ORD-00415"/>
    <x v="128"/>
    <s v="CUST-0125"/>
    <s v="PROD-059"/>
    <x v="4"/>
    <n v="5"/>
    <n v="3780"/>
    <n v="15.2"/>
    <n v="16027.2"/>
    <s v="Completed"/>
    <s v="Delhi"/>
    <x v="1"/>
    <x v="0"/>
  </r>
  <r>
    <s v="ORD-00416"/>
    <x v="192"/>
    <s v="CUST-0190"/>
    <s v="PROD-035"/>
    <x v="14"/>
    <n v="9"/>
    <n v="1090"/>
    <n v="28.5"/>
    <n v="7014.15"/>
    <s v="Completed"/>
    <s v="Hyderabad"/>
    <x v="3"/>
    <x v="2"/>
  </r>
  <r>
    <s v="ORD-00417"/>
    <x v="248"/>
    <s v="CUST-0085"/>
    <s v="PROD-035"/>
    <x v="8"/>
    <n v="6"/>
    <n v="1090"/>
    <n v="28.7"/>
    <n v="4663.0200000000004"/>
    <s v="Completed"/>
    <s v="Chennai"/>
    <x v="3"/>
    <x v="2"/>
  </r>
  <r>
    <s v="ORD-00418"/>
    <x v="250"/>
    <s v="CUST-0249"/>
    <s v="PROD-017"/>
    <x v="14"/>
    <n v="5"/>
    <n v="2510"/>
    <n v="25"/>
    <n v="9412.5"/>
    <s v="Completed"/>
    <s v="Mumbai"/>
    <x v="0"/>
    <x v="2"/>
  </r>
  <r>
    <s v="ORD-00419"/>
    <x v="251"/>
    <s v="CUST-0012"/>
    <s v="PROD-006"/>
    <x v="9"/>
    <n v="5"/>
    <n v="3970"/>
    <n v="26"/>
    <n v="14689"/>
    <s v="Completed"/>
    <s v="Pune"/>
    <x v="4"/>
    <x v="1"/>
  </r>
  <r>
    <s v="ORD-00420"/>
    <x v="144"/>
    <s v="CUST-0251"/>
    <s v="PROD-026"/>
    <x v="19"/>
    <n v="9"/>
    <n v="4070"/>
    <n v="15.7"/>
    <n v="30879.09"/>
    <s v="Completed"/>
    <s v="Mumbai"/>
    <x v="2"/>
    <x v="0"/>
  </r>
  <r>
    <s v="ORD-00421"/>
    <x v="196"/>
    <s v="CUST-0088"/>
    <s v="PROD-038"/>
    <x v="10"/>
    <n v="6"/>
    <n v="5490"/>
    <n v="8.5"/>
    <n v="30140.1"/>
    <s v="Refunded"/>
    <s v="Chennai"/>
    <x v="3"/>
    <x v="0"/>
  </r>
  <r>
    <s v="ORD-00422"/>
    <x v="70"/>
    <s v="CUST-0037"/>
    <s v="PROD-054"/>
    <x v="24"/>
    <n v="9"/>
    <n v="1010"/>
    <n v="3.6"/>
    <n v="8762.76"/>
    <s v="Completed"/>
    <s v="Bengaluru"/>
    <x v="1"/>
    <x v="3"/>
  </r>
  <r>
    <s v="ORD-00423"/>
    <x v="252"/>
    <s v="CUST-0039"/>
    <s v="PROD-028"/>
    <x v="4"/>
    <n v="6"/>
    <n v="3660"/>
    <n v="10.8"/>
    <n v="19588.32"/>
    <s v="Completed"/>
    <s v="Bengaluru"/>
    <x v="2"/>
    <x v="0"/>
  </r>
  <r>
    <s v="ORD-00424"/>
    <x v="111"/>
    <s v="CUST-0106"/>
    <s v="PROD-047"/>
    <x v="29"/>
    <n v="6"/>
    <n v="3450"/>
    <n v="10.7"/>
    <n v="18485.099999999999"/>
    <s v="Completed"/>
    <s v="Pune"/>
    <x v="5"/>
    <x v="1"/>
  </r>
  <r>
    <s v="ORD-00425"/>
    <x v="229"/>
    <s v="CUST-0222"/>
    <s v="PROD-026"/>
    <x v="23"/>
    <n v="10"/>
    <n v="4070"/>
    <n v="23.4"/>
    <n v="31176.2"/>
    <s v="Refunded"/>
    <s v="Chennai"/>
    <x v="2"/>
    <x v="1"/>
  </r>
  <r>
    <s v="ORD-00426"/>
    <x v="253"/>
    <s v="CUST-0130"/>
    <s v="PROD-003"/>
    <x v="5"/>
    <n v="9"/>
    <n v="3570"/>
    <n v="15.2"/>
    <n v="27246.240000000002"/>
    <s v="Completed"/>
    <s v="Bengaluru"/>
    <x v="4"/>
    <x v="2"/>
  </r>
  <r>
    <s v="ORD-00427"/>
    <x v="254"/>
    <s v="CUST-0281"/>
    <s v="PROD-056"/>
    <x v="1"/>
    <n v="10"/>
    <n v="6940"/>
    <n v="21.8"/>
    <n v="54270.8"/>
    <s v="Pending"/>
    <s v="Bengaluru"/>
    <x v="1"/>
    <x v="0"/>
  </r>
  <r>
    <s v="ORD-00428"/>
    <x v="135"/>
    <s v="CUST-0094"/>
    <s v="PROD-044"/>
    <x v="2"/>
    <n v="9"/>
    <n v="1650"/>
    <n v="24.3"/>
    <n v="11241.45"/>
    <s v="Completed"/>
    <s v="Pune"/>
    <x v="5"/>
    <x v="1"/>
  </r>
  <r>
    <s v="ORD-00429"/>
    <x v="207"/>
    <s v="CUST-0271"/>
    <s v="PROD-007"/>
    <x v="2"/>
    <n v="10"/>
    <n v="1430"/>
    <n v="25.2"/>
    <n v="10696.4"/>
    <s v="Completed"/>
    <s v="Bengaluru"/>
    <x v="4"/>
    <x v="1"/>
  </r>
  <r>
    <s v="ORD-00430"/>
    <x v="178"/>
    <s v="CUST-0110"/>
    <s v="PROD-025"/>
    <x v="9"/>
    <n v="4"/>
    <n v="4060"/>
    <n v="1.6"/>
    <n v="15980.16"/>
    <s v="Completed"/>
    <s v="Pune"/>
    <x v="2"/>
    <x v="1"/>
  </r>
  <r>
    <s v="ORD-00431"/>
    <x v="103"/>
    <s v="CUST-0262"/>
    <s v="PROD-032"/>
    <x v="1"/>
    <n v="9"/>
    <n v="370"/>
    <n v="17"/>
    <n v="2763.9"/>
    <s v="Completed"/>
    <s v="Mumbai"/>
    <x v="3"/>
    <x v="0"/>
  </r>
  <r>
    <s v="ORD-00432"/>
    <x v="94"/>
    <s v="CUST-0157"/>
    <s v="PROD-041"/>
    <x v="9"/>
    <n v="1"/>
    <n v="1540"/>
    <n v="24"/>
    <n v="1170.4000000000001"/>
    <s v="Cancelled"/>
    <s v="Pune"/>
    <x v="5"/>
    <x v="1"/>
  </r>
  <r>
    <s v="ORD-00433"/>
    <x v="143"/>
    <s v="CUST-0135"/>
    <s v="PROD-002"/>
    <x v="5"/>
    <n v="9"/>
    <n v="2600"/>
    <n v="7.7"/>
    <n v="21598.2"/>
    <s v="Completed"/>
    <s v="Pune"/>
    <x v="4"/>
    <x v="2"/>
  </r>
  <r>
    <s v="ORD-00434"/>
    <x v="255"/>
    <s v="CUST-0136"/>
    <s v="PROD-017"/>
    <x v="15"/>
    <n v="8"/>
    <n v="2510"/>
    <n v="3.7"/>
    <n v="19337.04"/>
    <s v="Completed"/>
    <s v="Chennai"/>
    <x v="0"/>
    <x v="1"/>
  </r>
  <r>
    <s v="ORD-00435"/>
    <x v="256"/>
    <s v="CUST-0110"/>
    <s v="PROD-001"/>
    <x v="11"/>
    <n v="6"/>
    <n v="5330"/>
    <n v="8.4"/>
    <n v="29293.68"/>
    <s v="Completed"/>
    <s v="Pune"/>
    <x v="4"/>
    <x v="0"/>
  </r>
  <r>
    <s v="ORD-00436"/>
    <x v="190"/>
    <s v="CUST-0192"/>
    <s v="PROD-034"/>
    <x v="2"/>
    <n v="5"/>
    <n v="5080"/>
    <n v="10.3"/>
    <n v="22783.8"/>
    <s v="Completed"/>
    <s v="Bengaluru"/>
    <x v="3"/>
    <x v="1"/>
  </r>
  <r>
    <s v="ORD-00437"/>
    <x v="257"/>
    <s v="CUST-0169"/>
    <s v="PROD-026"/>
    <x v="5"/>
    <n v="3"/>
    <n v="4070"/>
    <n v="23.7"/>
    <n v="9316.23"/>
    <s v="Completed"/>
    <s v="Bengaluru"/>
    <x v="2"/>
    <x v="2"/>
  </r>
  <r>
    <s v="ORD-00438"/>
    <x v="187"/>
    <s v="CUST-0086"/>
    <s v="PROD-016"/>
    <x v="22"/>
    <n v="4"/>
    <n v="620"/>
    <n v="18.8"/>
    <n v="2013.76"/>
    <s v="Completed"/>
    <s v="Hyderabad"/>
    <x v="0"/>
    <x v="1"/>
  </r>
  <r>
    <s v="ORD-00439"/>
    <x v="108"/>
    <s v="CUST-0217"/>
    <s v="PROD-010"/>
    <x v="21"/>
    <n v="10"/>
    <n v="2640"/>
    <n v="12.7"/>
    <n v="23047.200000000001"/>
    <s v="Completed"/>
    <s v="Pune"/>
    <x v="4"/>
    <x v="3"/>
  </r>
  <r>
    <s v="ORD-00440"/>
    <x v="179"/>
    <s v="CUST-0119"/>
    <s v="PROD-026"/>
    <x v="14"/>
    <n v="2"/>
    <n v="4070"/>
    <n v="29"/>
    <n v="5779.4"/>
    <s v="Completed"/>
    <s v="Bengaluru"/>
    <x v="2"/>
    <x v="2"/>
  </r>
  <r>
    <s v="ORD-00441"/>
    <x v="230"/>
    <s v="CUST-0011"/>
    <s v="PROD-054"/>
    <x v="0"/>
    <n v="8"/>
    <n v="1010"/>
    <n v="25.4"/>
    <n v="6027.68"/>
    <s v="Completed"/>
    <s v="Chennai"/>
    <x v="1"/>
    <x v="0"/>
  </r>
  <r>
    <s v="ORD-00442"/>
    <x v="98"/>
    <s v="CUST-0059"/>
    <s v="PROD-036"/>
    <x v="1"/>
    <n v="8"/>
    <n v="3250"/>
    <n v="5.4"/>
    <n v="24596"/>
    <s v="Completed"/>
    <s v="Pune"/>
    <x v="3"/>
    <x v="0"/>
  </r>
  <r>
    <s v="ORD-00443"/>
    <x v="151"/>
    <s v="CUST-0210"/>
    <s v="PROD-007"/>
    <x v="18"/>
    <n v="7"/>
    <n v="1430"/>
    <n v="19.3"/>
    <n v="8078.07"/>
    <s v="Completed"/>
    <s v="Pune"/>
    <x v="4"/>
    <x v="1"/>
  </r>
  <r>
    <s v="ORD-00444"/>
    <x v="100"/>
    <s v="CUST-0145"/>
    <s v="PROD-045"/>
    <x v="26"/>
    <n v="9"/>
    <n v="3020"/>
    <n v="15"/>
    <n v="23103"/>
    <s v="Completed"/>
    <s v="Bengaluru"/>
    <x v="5"/>
    <x v="3"/>
  </r>
  <r>
    <s v="ORD-00445"/>
    <x v="258"/>
    <s v="CUST-9626"/>
    <s v="PROD-008"/>
    <x v="25"/>
    <n v="2"/>
    <n v="2660"/>
    <n v="21.4"/>
    <n v="4181.5200000000004"/>
    <s v="Completed"/>
    <s v="Chennai"/>
    <x v="4"/>
    <x v="0"/>
  </r>
  <r>
    <s v="ORD-00446"/>
    <x v="156"/>
    <s v="CUST-0250"/>
    <s v="PROD-003"/>
    <x v="7"/>
    <n v="10"/>
    <n v="3570"/>
    <n v="20.3"/>
    <n v="28452.9"/>
    <s v="Completed"/>
    <s v="Delhi"/>
    <x v="4"/>
    <x v="3"/>
  </r>
  <r>
    <s v="ORD-00447"/>
    <x v="259"/>
    <s v="CUST-0241"/>
    <s v="PROD-043"/>
    <x v="9"/>
    <n v="4"/>
    <n v="3350"/>
    <n v="28.1"/>
    <n v="9634.6"/>
    <s v="Completed"/>
    <s v="Pune"/>
    <x v="5"/>
    <x v="1"/>
  </r>
  <r>
    <s v="ORD-00448"/>
    <x v="260"/>
    <s v="CUST-0071"/>
    <s v="PROD-019"/>
    <x v="13"/>
    <n v="1"/>
    <n v="2480"/>
    <n v="13.5"/>
    <n v="2145.1999999999998"/>
    <s v="Completed"/>
    <s v="Delhi"/>
    <x v="0"/>
    <x v="3"/>
  </r>
  <r>
    <s v="ORD-00449"/>
    <x v="51"/>
    <s v="CUST-0017"/>
    <s v="PROD-052"/>
    <x v="15"/>
    <n v="10"/>
    <n v="5410"/>
    <n v="26.1"/>
    <n v="39979.9"/>
    <s v="Completed"/>
    <s v="Delhi"/>
    <x v="1"/>
    <x v="1"/>
  </r>
  <r>
    <s v="ORD-00450"/>
    <x v="261"/>
    <s v="CUST-0007"/>
    <s v="PROD-037"/>
    <x v="12"/>
    <n v="2"/>
    <n v="660"/>
    <n v="5"/>
    <n v="1254"/>
    <s v="Completed"/>
    <s v="Bengaluru"/>
    <x v="3"/>
    <x v="3"/>
  </r>
  <r>
    <s v="ORD-00451"/>
    <x v="262"/>
    <s v="CUST-0054"/>
    <s v="PROD-054"/>
    <x v="0"/>
    <n v="10"/>
    <n v="1010"/>
    <n v="10"/>
    <n v="9090"/>
    <s v="Completed"/>
    <s v="Mumbai"/>
    <x v="1"/>
    <x v="0"/>
  </r>
  <r>
    <s v="ORD-00452"/>
    <x v="263"/>
    <s v="CUST-0038"/>
    <s v="PROD-042"/>
    <x v="19"/>
    <n v="3"/>
    <n v="2290"/>
    <n v="8.9"/>
    <n v="6258.57"/>
    <s v="Completed"/>
    <s v="Mumbai"/>
    <x v="5"/>
    <x v="0"/>
  </r>
  <r>
    <s v="ORD-00453"/>
    <x v="264"/>
    <s v="CUST-0066"/>
    <s v="PROD-047"/>
    <x v="19"/>
    <n v="9"/>
    <n v="3450"/>
    <n v="24.3"/>
    <n v="23504.85"/>
    <s v="Completed"/>
    <s v="Delhi"/>
    <x v="5"/>
    <x v="0"/>
  </r>
  <r>
    <s v="ORD-00454"/>
    <x v="44"/>
    <s v="CUST-0161"/>
    <s v="PROD-013"/>
    <x v="11"/>
    <n v="10"/>
    <n v="3640"/>
    <n v="21.4"/>
    <n v="28610.400000000001"/>
    <s v="Cancelled"/>
    <s v="Chennai"/>
    <x v="0"/>
    <x v="0"/>
  </r>
  <r>
    <s v="ORD-00455"/>
    <x v="260"/>
    <s v="CUST-0072"/>
    <s v="PROD-023"/>
    <x v="15"/>
    <n v="5"/>
    <n v="2380"/>
    <n v="12.2"/>
    <n v="10448.200000000001"/>
    <s v="Completed"/>
    <s v="Mumbai"/>
    <x v="2"/>
    <x v="1"/>
  </r>
  <r>
    <s v="ORD-00456"/>
    <x v="265"/>
    <s v="CUST-0232"/>
    <s v="PROD-052"/>
    <x v="21"/>
    <n v="10"/>
    <n v="5410"/>
    <n v="29.8"/>
    <n v="37978.199999999997"/>
    <s v="Completed"/>
    <s v="Hyderabad"/>
    <x v="1"/>
    <x v="3"/>
  </r>
  <r>
    <s v="ORD-00457"/>
    <x v="67"/>
    <s v="CUST-0054"/>
    <s v="PROD-044"/>
    <x v="13"/>
    <n v="3"/>
    <n v="1650"/>
    <n v="9.4"/>
    <n v="4484.7"/>
    <s v="Cancelled"/>
    <s v="Mumbai"/>
    <x v="5"/>
    <x v="3"/>
  </r>
  <r>
    <s v="ORD-00458"/>
    <x v="266"/>
    <s v="CUST-0214"/>
    <s v="PROD-002"/>
    <x v="24"/>
    <n v="7"/>
    <n v="2600"/>
    <n v="19.899999999999999"/>
    <n v="14578.2"/>
    <s v="Pending"/>
    <s v="Mumbai"/>
    <x v="4"/>
    <x v="3"/>
  </r>
  <r>
    <s v="ORD-00135"/>
    <x v="267"/>
    <s v="CUST-0236"/>
    <s v="PROD-039"/>
    <x v="25"/>
    <n v="4"/>
    <n v="4610"/>
    <n v="13.2"/>
    <n v="16005.92"/>
    <s v="Completed"/>
    <s v="Hyderabad"/>
    <x v="3"/>
    <x v="0"/>
  </r>
  <r>
    <s v="ORD-00460"/>
    <x v="268"/>
    <s v="CUST-0031"/>
    <s v="PROD-039"/>
    <x v="13"/>
    <n v="9"/>
    <n v="4610"/>
    <n v="25.8"/>
    <n v="30785.58"/>
    <s v="Completed"/>
    <s v="Hyderabad"/>
    <x v="3"/>
    <x v="3"/>
  </r>
  <r>
    <s v="ORD-00461"/>
    <x v="269"/>
    <s v="CUST-0123"/>
    <s v="PROD-005"/>
    <x v="2"/>
    <n v="5"/>
    <n v="300"/>
    <n v="11.8"/>
    <n v="1323"/>
    <s v="Completed"/>
    <s v="Chennai"/>
    <x v="4"/>
    <x v="1"/>
  </r>
  <r>
    <s v="ORD-00462"/>
    <x v="270"/>
    <s v="CUST-0019"/>
    <s v="PROD-011"/>
    <x v="16"/>
    <n v="3"/>
    <n v="3450"/>
    <n v="14.2"/>
    <n v="8880.2999999999993"/>
    <s v="Completed"/>
    <s v="Chennai"/>
    <x v="0"/>
    <x v="3"/>
  </r>
  <r>
    <s v="ORD-00463"/>
    <x v="271"/>
    <s v="CUST-0171"/>
    <s v="PROD-015"/>
    <x v="8"/>
    <n v="2"/>
    <n v="2720"/>
    <n v="14.6"/>
    <n v="4645.76"/>
    <s v="Cancelled"/>
    <s v="Chennai"/>
    <x v="0"/>
    <x v="2"/>
  </r>
  <r>
    <s v="ORD-00464"/>
    <x v="17"/>
    <s v="CUST-0166"/>
    <s v="PROD-008"/>
    <x v="21"/>
    <n v="7"/>
    <n v="2660"/>
    <n v="27.4"/>
    <n v="13518.12"/>
    <s v="Cancelled"/>
    <s v="Hyderabad"/>
    <x v="4"/>
    <x v="3"/>
  </r>
  <r>
    <s v="ORD-00465"/>
    <x v="272"/>
    <s v="CUST-0151"/>
    <s v="PROD-051"/>
    <x v="1"/>
    <n v="8"/>
    <n v="3450"/>
    <n v="20.399999999999999"/>
    <n v="21969.599999999999"/>
    <s v="Completed"/>
    <s v="Mumbai"/>
    <x v="1"/>
    <x v="0"/>
  </r>
  <r>
    <s v="ORD-00466"/>
    <x v="273"/>
    <s v="CUST-0027"/>
    <s v="PROD-052"/>
    <x v="29"/>
    <n v="2"/>
    <n v="5410"/>
    <n v="7.2"/>
    <n v="10040.959999999999"/>
    <s v="Completed"/>
    <s v="Hyderabad"/>
    <x v="1"/>
    <x v="1"/>
  </r>
  <r>
    <s v="ORD-00467"/>
    <x v="162"/>
    <s v="CUST-0171"/>
    <s v="PROD-004"/>
    <x v="22"/>
    <n v="3"/>
    <n v="3870"/>
    <n v="4.2"/>
    <n v="11122.38"/>
    <s v="Completed"/>
    <s v="Chennai"/>
    <x v="4"/>
    <x v="1"/>
  </r>
  <r>
    <s v="ORD-00468"/>
    <x v="60"/>
    <s v="CUST-0094"/>
    <s v="PROD-024"/>
    <x v="1"/>
    <n v="10"/>
    <n v="2270"/>
    <n v="17.3"/>
    <n v="18772.900000000001"/>
    <s v="Completed"/>
    <s v="Pune"/>
    <x v="2"/>
    <x v="0"/>
  </r>
  <r>
    <s v="ORD-00469"/>
    <x v="18"/>
    <s v="CUST-0223"/>
    <s v="PROD-001"/>
    <x v="5"/>
    <n v="1"/>
    <n v="5330"/>
    <n v="24.2"/>
    <n v="4040.14"/>
    <s v="Completed"/>
    <s v="Bengaluru"/>
    <x v="4"/>
    <x v="2"/>
  </r>
  <r>
    <s v="ORD-00470"/>
    <x v="85"/>
    <s v="CUST-0281"/>
    <s v="PROD-043"/>
    <x v="15"/>
    <n v="2"/>
    <n v="3350"/>
    <n v="23.4"/>
    <n v="5132.2"/>
    <s v="Completed"/>
    <s v="Bengaluru"/>
    <x v="5"/>
    <x v="1"/>
  </r>
  <r>
    <s v="ORD-00471"/>
    <x v="274"/>
    <s v="CUST-0148"/>
    <s v="PROD-045"/>
    <x v="3"/>
    <n v="7"/>
    <n v="3020"/>
    <n v="23.7"/>
    <n v="16129.82"/>
    <s v="Completed"/>
    <s v="Chennai"/>
    <x v="5"/>
    <x v="0"/>
  </r>
  <r>
    <s v="ORD-00472"/>
    <x v="275"/>
    <s v="CUST-0010"/>
    <s v="PROD-012"/>
    <x v="16"/>
    <n v="7"/>
    <n v="3160"/>
    <n v="22.8"/>
    <n v="17076.64"/>
    <s v="Completed"/>
    <s v="Mumbai"/>
    <x v="0"/>
    <x v="3"/>
  </r>
  <r>
    <s v="ORD-00473"/>
    <x v="110"/>
    <s v="CUST-0254"/>
    <s v="PROD-053"/>
    <x v="16"/>
    <n v="2"/>
    <n v="470"/>
    <n v="28.8"/>
    <n v="669.28"/>
    <s v="Cancelled"/>
    <s v="Bengaluru"/>
    <x v="1"/>
    <x v="3"/>
  </r>
  <r>
    <s v="ORD-00474"/>
    <x v="253"/>
    <s v="CUST-0126"/>
    <s v="PROD-036"/>
    <x v="13"/>
    <n v="2"/>
    <n v="3250"/>
    <n v="24.7"/>
    <n v="4894.5"/>
    <s v="Completed"/>
    <s v="Mumbai"/>
    <x v="3"/>
    <x v="3"/>
  </r>
  <r>
    <s v="ORD-00475"/>
    <x v="252"/>
    <s v="CUST-0018"/>
    <s v="PROD-054"/>
    <x v="12"/>
    <n v="2"/>
    <n v="1010"/>
    <n v="5.2"/>
    <n v="1914.96"/>
    <s v="Cancelled"/>
    <s v="Pune"/>
    <x v="1"/>
    <x v="3"/>
  </r>
  <r>
    <s v="ORD-00476"/>
    <x v="276"/>
    <s v="CUST-0089"/>
    <s v="PROD-005"/>
    <x v="19"/>
    <n v="9"/>
    <n v="300"/>
    <n v="7.9"/>
    <n v="2486.6999999999998"/>
    <s v="Completed"/>
    <s v="Mumbai"/>
    <x v="4"/>
    <x v="0"/>
  </r>
  <r>
    <s v="ORD-00477"/>
    <x v="277"/>
    <s v="CUST-0157"/>
    <s v="PROD-048"/>
    <x v="3"/>
    <n v="10"/>
    <n v="5100"/>
    <n v="26.3"/>
    <n v="37587"/>
    <s v="Pending"/>
    <s v="Pune"/>
    <x v="5"/>
    <x v="0"/>
  </r>
  <r>
    <s v="ORD-00478"/>
    <x v="278"/>
    <s v="CUST-0201"/>
    <s v="PROD-043"/>
    <x v="8"/>
    <n v="1"/>
    <n v="3350"/>
    <n v="8.5"/>
    <n v="3065.25"/>
    <s v="Cancelled"/>
    <s v="Hyderabad"/>
    <x v="5"/>
    <x v="2"/>
  </r>
  <r>
    <s v="ORD-01195"/>
    <x v="211"/>
    <s v="CUST-0091"/>
    <s v="PROD-036"/>
    <x v="24"/>
    <n v="2"/>
    <n v="3250"/>
    <n v="25.7"/>
    <n v="4829.5"/>
    <s v="Refunded"/>
    <s v="Delhi"/>
    <x v="3"/>
    <x v="3"/>
  </r>
  <r>
    <s v="ORD-00480"/>
    <x v="279"/>
    <s v="CUST-0052"/>
    <s v="PROD-028"/>
    <x v="4"/>
    <n v="10"/>
    <n v="3660"/>
    <n v="12"/>
    <n v="32208"/>
    <s v="Completed"/>
    <s v="Pune"/>
    <x v="2"/>
    <x v="0"/>
  </r>
  <r>
    <s v="ORD-00481"/>
    <x v="126"/>
    <s v="CUST-0069"/>
    <s v="PROD-058"/>
    <x v="18"/>
    <n v="1"/>
    <n v="2400"/>
    <n v="24.5"/>
    <n v="1812"/>
    <s v="Completed"/>
    <s v="Chennai"/>
    <x v="1"/>
    <x v="1"/>
  </r>
  <r>
    <s v="ORD-00482"/>
    <x v="263"/>
    <s v="CUST-0294"/>
    <s v="PROD-035"/>
    <x v="9"/>
    <n v="1"/>
    <n v="1090"/>
    <n v="18.399999999999999"/>
    <n v="889.44"/>
    <s v="Completed"/>
    <s v="Delhi"/>
    <x v="3"/>
    <x v="1"/>
  </r>
  <r>
    <s v="ORD-00483"/>
    <x v="280"/>
    <s v="CUST-0019"/>
    <s v="PROD-059"/>
    <x v="15"/>
    <n v="6"/>
    <n v="3780"/>
    <n v="15.9"/>
    <n v="19073.88"/>
    <s v="Completed"/>
    <s v="Chennai"/>
    <x v="1"/>
    <x v="1"/>
  </r>
  <r>
    <s v="ORD-00484"/>
    <x v="259"/>
    <s v="CUST-0087"/>
    <s v="PROD-043"/>
    <x v="7"/>
    <n v="3"/>
    <n v="3350"/>
    <n v="18.8"/>
    <n v="8160.6"/>
    <s v="Refunded"/>
    <s v="Pune"/>
    <x v="5"/>
    <x v="3"/>
  </r>
  <r>
    <s v="ORD-00485"/>
    <x v="46"/>
    <s v="CUST-0281"/>
    <s v="PROD-040"/>
    <x v="14"/>
    <n v="3"/>
    <n v="1080"/>
    <n v="3.4"/>
    <n v="3129.84"/>
    <s v="Completed"/>
    <s v="Bengaluru"/>
    <x v="3"/>
    <x v="2"/>
  </r>
  <r>
    <s v="ORD-00486"/>
    <x v="281"/>
    <s v="CUST-0248"/>
    <s v="PROD-026"/>
    <x v="24"/>
    <n v="6"/>
    <n v="4070"/>
    <n v="27.7"/>
    <n v="17655.66"/>
    <s v="Pending"/>
    <s v="Chennai"/>
    <x v="2"/>
    <x v="3"/>
  </r>
  <r>
    <s v="ORD-00487"/>
    <x v="282"/>
    <s v="CUST-0019"/>
    <s v="PROD-041"/>
    <x v="17"/>
    <n v="5"/>
    <n v="1540"/>
    <n v="24.9"/>
    <n v="5782.7"/>
    <s v="Completed"/>
    <s v="Chennai"/>
    <x v="5"/>
    <x v="2"/>
  </r>
  <r>
    <s v="ORD-00488"/>
    <x v="255"/>
    <s v="CUST-0092"/>
    <s v="PROD-021"/>
    <x v="8"/>
    <n v="6"/>
    <n v="2760"/>
    <n v="29.9"/>
    <n v="11608.56"/>
    <s v="Completed"/>
    <s v="Bengaluru"/>
    <x v="2"/>
    <x v="2"/>
  </r>
  <r>
    <s v="ORD-00489"/>
    <x v="167"/>
    <s v="CUST-0195"/>
    <s v="PROD-006"/>
    <x v="24"/>
    <n v="8"/>
    <n v="3970"/>
    <n v="23.7"/>
    <n v="24232.880000000001"/>
    <s v="Completed"/>
    <s v="Bengaluru"/>
    <x v="4"/>
    <x v="3"/>
  </r>
  <r>
    <s v="ORD-00490"/>
    <x v="254"/>
    <s v="CUST-0126"/>
    <s v="PROD-011"/>
    <x v="13"/>
    <n v="1"/>
    <n v="3450"/>
    <n v="7.4"/>
    <n v="3194.7"/>
    <s v="Completed"/>
    <s v="Mumbai"/>
    <x v="0"/>
    <x v="3"/>
  </r>
  <r>
    <s v="ORD-00491"/>
    <x v="231"/>
    <s v="CUST-0274"/>
    <s v="PROD-018"/>
    <x v="1"/>
    <n v="3"/>
    <n v="3560"/>
    <n v="15.2"/>
    <n v="9056.64"/>
    <s v="Completed"/>
    <s v="Bengaluru"/>
    <x v="0"/>
    <x v="0"/>
  </r>
  <r>
    <s v="ORD-00492"/>
    <x v="49"/>
    <s v="CUST-0059"/>
    <s v="PROD-003"/>
    <x v="14"/>
    <n v="4"/>
    <n v="3570"/>
    <n v="18.899999999999999"/>
    <n v="11581.08"/>
    <s v="Completed"/>
    <s v="Pune"/>
    <x v="4"/>
    <x v="2"/>
  </r>
  <r>
    <s v="ORD-00493"/>
    <x v="22"/>
    <s v="CUST-0264"/>
    <s v="PROD-057"/>
    <x v="5"/>
    <n v="9"/>
    <n v="960"/>
    <n v="14"/>
    <n v="7430.4"/>
    <s v="Refunded"/>
    <s v="Pune"/>
    <x v="1"/>
    <x v="2"/>
  </r>
  <r>
    <s v="ORD-00494"/>
    <x v="5"/>
    <s v="CUST-0157"/>
    <s v="PROD-047"/>
    <x v="29"/>
    <n v="9"/>
    <n v="3450"/>
    <n v="6"/>
    <n v="29187"/>
    <s v="Cancelled"/>
    <s v="Pune"/>
    <x v="5"/>
    <x v="1"/>
  </r>
  <r>
    <s v="ORD-00495"/>
    <x v="136"/>
    <s v="CUST-0028"/>
    <s v="PROD-043"/>
    <x v="27"/>
    <n v="7"/>
    <n v="3350"/>
    <n v="14"/>
    <n v="20167"/>
    <s v="Cancelled"/>
    <s v="Bengaluru"/>
    <x v="5"/>
    <x v="1"/>
  </r>
  <r>
    <s v="ORD-00496"/>
    <x v="129"/>
    <s v="CUST-0033"/>
    <s v="PROD-049"/>
    <x v="10"/>
    <n v="6"/>
    <n v="960"/>
    <n v="10.1"/>
    <n v="5178.24"/>
    <s v="Completed"/>
    <s v="Delhi"/>
    <x v="5"/>
    <x v="0"/>
  </r>
  <r>
    <s v="ORD-00497"/>
    <x v="186"/>
    <s v="CUST-0280"/>
    <s v="PROD-005"/>
    <x v="29"/>
    <n v="7"/>
    <n v="300"/>
    <n v="21.9"/>
    <n v="1640.1"/>
    <s v="Completed"/>
    <s v="Delhi"/>
    <x v="4"/>
    <x v="1"/>
  </r>
  <r>
    <s v="ORD-00498"/>
    <x v="44"/>
    <s v="CUST-0232"/>
    <s v="PROD-023"/>
    <x v="7"/>
    <n v="2"/>
    <n v="2380"/>
    <n v="6.8"/>
    <n v="4436.32"/>
    <s v="Completed"/>
    <s v="Hyderabad"/>
    <x v="2"/>
    <x v="3"/>
  </r>
  <r>
    <s v="ORD-00499"/>
    <x v="129"/>
    <s v="CUST-0270"/>
    <s v="PROD-057"/>
    <x v="6"/>
    <n v="5"/>
    <n v="960"/>
    <n v="15"/>
    <n v="4080"/>
    <s v="Cancelled"/>
    <s v="Bengaluru"/>
    <x v="1"/>
    <x v="2"/>
  </r>
  <r>
    <s v="ORD-00500"/>
    <x v="251"/>
    <s v="CUST-0203"/>
    <s v="PROD-059"/>
    <x v="27"/>
    <n v="10"/>
    <n v="3780"/>
    <n v="24.1"/>
    <n v="28690.2"/>
    <s v="Refunded"/>
    <s v="Chennai"/>
    <x v="1"/>
    <x v="1"/>
  </r>
  <r>
    <s v="ORD-00501"/>
    <x v="36"/>
    <s v="CUST-0069"/>
    <s v="PROD-041"/>
    <x v="16"/>
    <n v="4"/>
    <n v="1540"/>
    <n v="14.2"/>
    <n v="5285.28"/>
    <s v="Cancelled"/>
    <s v="Chennai"/>
    <x v="5"/>
    <x v="3"/>
  </r>
  <r>
    <s v="ORD-00502"/>
    <x v="113"/>
    <s v="CUST-0037"/>
    <s v="PROD-017"/>
    <x v="1"/>
    <n v="10"/>
    <n v="2510"/>
    <n v="20.8"/>
    <n v="19879.2"/>
    <s v="Completed"/>
    <s v="Bengaluru"/>
    <x v="0"/>
    <x v="0"/>
  </r>
  <r>
    <s v="ORD-00503"/>
    <x v="163"/>
    <s v="CUST-0149"/>
    <s v="PROD-025"/>
    <x v="2"/>
    <n v="9"/>
    <n v="4060"/>
    <n v="27.1"/>
    <n v="26637.66"/>
    <s v="Completed"/>
    <s v="Hyderabad"/>
    <x v="2"/>
    <x v="1"/>
  </r>
  <r>
    <s v="ORD-00504"/>
    <x v="198"/>
    <s v="CUST-0131"/>
    <s v="PROD-058"/>
    <x v="5"/>
    <n v="4"/>
    <n v="2400"/>
    <n v="19.100000000000001"/>
    <n v="7766.4"/>
    <s v="Completed"/>
    <s v="Delhi"/>
    <x v="1"/>
    <x v="2"/>
  </r>
  <r>
    <s v="ORD-00505"/>
    <x v="283"/>
    <s v="CUST-0071"/>
    <s v="PROD-046"/>
    <x v="24"/>
    <n v="8"/>
    <n v="4880"/>
    <n v="9.1999999999999993"/>
    <n v="35448.32"/>
    <s v="Cancelled"/>
    <s v="Delhi"/>
    <x v="5"/>
    <x v="3"/>
  </r>
  <r>
    <s v="ORD-00506"/>
    <x v="261"/>
    <s v="CUST-0249"/>
    <s v="PROD-048"/>
    <x v="7"/>
    <n v="9"/>
    <n v="5100"/>
    <n v="11.1"/>
    <n v="40805.1"/>
    <s v="Cancelled"/>
    <s v="Mumbai"/>
    <x v="5"/>
    <x v="3"/>
  </r>
  <r>
    <s v="ORD-00507"/>
    <x v="161"/>
    <s v="CUST-0181"/>
    <s v="PROD-005"/>
    <x v="8"/>
    <n v="4"/>
    <n v="300"/>
    <n v="16.7"/>
    <n v="999.6"/>
    <s v="Completed"/>
    <s v="Delhi"/>
    <x v="4"/>
    <x v="2"/>
  </r>
  <r>
    <s v="ORD-00508"/>
    <x v="68"/>
    <s v="CUST-0085"/>
    <s v="PROD-019"/>
    <x v="2"/>
    <n v="6"/>
    <n v="2480"/>
    <n v="3.3"/>
    <n v="14388.96"/>
    <s v="Completed"/>
    <s v="Chennai"/>
    <x v="0"/>
    <x v="1"/>
  </r>
  <r>
    <s v="ORD-00509"/>
    <x v="28"/>
    <s v="CUST-0180"/>
    <s v="PROD-044"/>
    <x v="12"/>
    <n v="10"/>
    <n v="1650"/>
    <n v="22.9"/>
    <n v="12721.5"/>
    <s v="Refunded"/>
    <s v="Chennai"/>
    <x v="5"/>
    <x v="3"/>
  </r>
  <r>
    <s v="ORD-00510"/>
    <x v="158"/>
    <s v="CUST-0103"/>
    <s v="PROD-029"/>
    <x v="27"/>
    <n v="3"/>
    <n v="2210"/>
    <n v="11.1"/>
    <n v="5894.07"/>
    <s v="Completed"/>
    <s v="Hyderabad"/>
    <x v="2"/>
    <x v="1"/>
  </r>
  <r>
    <s v="ORD-00511"/>
    <x v="5"/>
    <s v="CUST-0174"/>
    <s v="PROD-019"/>
    <x v="1"/>
    <n v="10"/>
    <n v="2480"/>
    <n v="13"/>
    <n v="21576"/>
    <s v="Pending"/>
    <s v="Pune"/>
    <x v="0"/>
    <x v="0"/>
  </r>
  <r>
    <s v="ORD-00512"/>
    <x v="98"/>
    <s v="CUST-0071"/>
    <s v="PROD-001"/>
    <x v="12"/>
    <n v="10"/>
    <n v="5330"/>
    <n v="0.7"/>
    <n v="52926.9"/>
    <s v="Completed"/>
    <s v="Delhi"/>
    <x v="4"/>
    <x v="3"/>
  </r>
  <r>
    <s v="ORD-00513"/>
    <x v="109"/>
    <s v="CUST-0266"/>
    <s v="PROD-026"/>
    <x v="27"/>
    <n v="9"/>
    <n v="4070"/>
    <n v="15.6"/>
    <n v="30915.72"/>
    <s v="Completed"/>
    <s v="Pune"/>
    <x v="2"/>
    <x v="1"/>
  </r>
  <r>
    <s v="ORD-00514"/>
    <x v="284"/>
    <s v="CUST-0148"/>
    <s v="PROD-015"/>
    <x v="19"/>
    <n v="5"/>
    <n v="2720"/>
    <n v="10.3"/>
    <n v="12199.2"/>
    <s v="Cancelled"/>
    <s v="Chennai"/>
    <x v="0"/>
    <x v="0"/>
  </r>
  <r>
    <s v="ORD-00515"/>
    <x v="285"/>
    <s v="CUST-0030"/>
    <s v="PROD-055"/>
    <x v="20"/>
    <n v="6"/>
    <n v="2860"/>
    <n v="28.9"/>
    <n v="12200.76"/>
    <s v="Completed"/>
    <s v="Bengaluru"/>
    <x v="1"/>
    <x v="2"/>
  </r>
  <r>
    <s v="ORD-00516"/>
    <x v="165"/>
    <s v="CUST-0128"/>
    <s v="PROD-014"/>
    <x v="27"/>
    <n v="5"/>
    <n v="3620"/>
    <n v="18.2"/>
    <n v="14805.8"/>
    <s v="Completed"/>
    <s v="Hyderabad"/>
    <x v="0"/>
    <x v="1"/>
  </r>
  <r>
    <s v="ORD-00517"/>
    <x v="39"/>
    <s v="CUST-0056"/>
    <s v="PROD-044"/>
    <x v="26"/>
    <n v="3"/>
    <n v="1650"/>
    <n v="10.7"/>
    <n v="4420.3500000000004"/>
    <s v="Completed"/>
    <s v="Bengaluru"/>
    <x v="5"/>
    <x v="3"/>
  </r>
  <r>
    <s v="ORD-00518"/>
    <x v="185"/>
    <s v="CUST-0178"/>
    <s v="PROD-060"/>
    <x v="20"/>
    <n v="8"/>
    <n v="190"/>
    <n v="18"/>
    <n v="1246.4000000000001"/>
    <s v="Pending"/>
    <s v="Hyderabad"/>
    <x v="1"/>
    <x v="2"/>
  </r>
  <r>
    <s v="ORD-00519"/>
    <x v="68"/>
    <s v="CUST-0237"/>
    <s v="PROD-042"/>
    <x v="20"/>
    <n v="7"/>
    <n v="2290"/>
    <n v="12.5"/>
    <n v="14026.25"/>
    <s v="Completed"/>
    <s v="Mumbai"/>
    <x v="5"/>
    <x v="2"/>
  </r>
  <r>
    <s v="ORD-00520"/>
    <x v="198"/>
    <s v="CUST-0143"/>
    <s v="PROD-001"/>
    <x v="21"/>
    <n v="2"/>
    <n v="5330"/>
    <n v="26.5"/>
    <n v="7835.1"/>
    <s v="Completed"/>
    <s v="Chennai"/>
    <x v="4"/>
    <x v="3"/>
  </r>
  <r>
    <s v="ORD-00521"/>
    <x v="233"/>
    <s v="CUST-0233"/>
    <s v="PROD-001"/>
    <x v="15"/>
    <n v="4"/>
    <n v="5330"/>
    <n v="25.6"/>
    <n v="15862.08"/>
    <s v="Completed"/>
    <s v="Mumbai"/>
    <x v="4"/>
    <x v="1"/>
  </r>
  <r>
    <s v="ORD-00522"/>
    <x v="286"/>
    <s v="CUST-0161"/>
    <s v="PROD-034"/>
    <x v="3"/>
    <n v="4"/>
    <n v="5080"/>
    <n v="28.6"/>
    <n v="14508.48"/>
    <s v="Completed"/>
    <s v="Chennai"/>
    <x v="3"/>
    <x v="0"/>
  </r>
  <r>
    <s v="ORD-00523"/>
    <x v="40"/>
    <s v="CUST-0087"/>
    <s v="PROD-032"/>
    <x v="25"/>
    <n v="4"/>
    <n v="370"/>
    <n v="12.6"/>
    <n v="1293.52"/>
    <s v="Pending"/>
    <s v="Pune"/>
    <x v="3"/>
    <x v="0"/>
  </r>
  <r>
    <s v="ORD-00524"/>
    <x v="230"/>
    <s v="CUST-0235"/>
    <s v="PROD-053"/>
    <x v="22"/>
    <n v="9"/>
    <n v="470"/>
    <n v="3.6"/>
    <n v="4077.72"/>
    <s v="Completed"/>
    <s v="Chennai"/>
    <x v="1"/>
    <x v="1"/>
  </r>
  <r>
    <s v="ORD-00525"/>
    <x v="287"/>
    <s v="CUST-0183"/>
    <s v="PROD-052"/>
    <x v="28"/>
    <n v="4"/>
    <n v="5410"/>
    <n v="11.3"/>
    <n v="19194.68"/>
    <s v="Refunded"/>
    <s v="Mumbai"/>
    <x v="1"/>
    <x v="2"/>
  </r>
  <r>
    <s v="ORD-00526"/>
    <x v="288"/>
    <s v="CUST-0199"/>
    <s v="PROD-014"/>
    <x v="0"/>
    <n v="10"/>
    <n v="3620"/>
    <n v="2.5"/>
    <n v="35295"/>
    <s v="Completed"/>
    <s v="Hyderabad"/>
    <x v="0"/>
    <x v="0"/>
  </r>
  <r>
    <s v="ORD-00527"/>
    <x v="82"/>
    <s v="CUST-0034"/>
    <s v="PROD-021"/>
    <x v="14"/>
    <n v="1"/>
    <n v="2760"/>
    <n v="22.2"/>
    <n v="2147.2800000000002"/>
    <s v="Completed"/>
    <s v="Delhi"/>
    <x v="2"/>
    <x v="2"/>
  </r>
  <r>
    <s v="ORD-00528"/>
    <x v="0"/>
    <s v="CUST-0206"/>
    <s v="PROD-047"/>
    <x v="19"/>
    <n v="7"/>
    <n v="3450"/>
    <n v="8.6"/>
    <n v="22073.1"/>
    <s v="Completed"/>
    <s v="Mumbai"/>
    <x v="5"/>
    <x v="0"/>
  </r>
  <r>
    <s v="ORD-00529"/>
    <x v="196"/>
    <s v="CUST-0246"/>
    <s v="PROD-028"/>
    <x v="8"/>
    <n v="6"/>
    <n v="3660"/>
    <n v="10.6"/>
    <n v="19632.240000000002"/>
    <s v="Completed"/>
    <s v="Delhi"/>
    <x v="2"/>
    <x v="2"/>
  </r>
  <r>
    <s v="ORD-00530"/>
    <x v="147"/>
    <s v="CUST-0075"/>
    <s v="PROD-003"/>
    <x v="8"/>
    <n v="10"/>
    <n v="3570"/>
    <n v="1.2"/>
    <n v="35271.599999999999"/>
    <s v="Completed"/>
    <s v="Mumbai"/>
    <x v="4"/>
    <x v="2"/>
  </r>
  <r>
    <s v="ORD-00531"/>
    <x v="176"/>
    <s v="CUST-0298"/>
    <s v="PROD-035"/>
    <x v="18"/>
    <n v="8"/>
    <n v="1090"/>
    <n v="13.2"/>
    <n v="7568.96"/>
    <s v="Refunded"/>
    <s v="Delhi"/>
    <x v="3"/>
    <x v="1"/>
  </r>
  <r>
    <s v="ORD-00532"/>
    <x v="153"/>
    <s v="CUST-0165"/>
    <s v="PROD-014"/>
    <x v="26"/>
    <n v="8"/>
    <n v="3620"/>
    <n v="29"/>
    <n v="20561.599999999999"/>
    <s v="Completed"/>
    <s v="Pune"/>
    <x v="0"/>
    <x v="3"/>
  </r>
  <r>
    <s v="ORD-00533"/>
    <x v="289"/>
    <s v="CUST-0033"/>
    <s v="PROD-046"/>
    <x v="9"/>
    <n v="7"/>
    <n v="4880"/>
    <n v="25.6"/>
    <n v="25415.040000000001"/>
    <s v="Refunded"/>
    <s v="Delhi"/>
    <x v="5"/>
    <x v="1"/>
  </r>
  <r>
    <s v="ORD-00534"/>
    <x v="224"/>
    <s v="CUST-0205"/>
    <s v="PROD-053"/>
    <x v="8"/>
    <n v="2"/>
    <n v="470"/>
    <n v="9.6999999999999993"/>
    <n v="848.82"/>
    <s v="Completed"/>
    <s v="Pune"/>
    <x v="1"/>
    <x v="2"/>
  </r>
  <r>
    <s v="ORD-00535"/>
    <x v="149"/>
    <s v="CUST-0037"/>
    <s v="PROD-042"/>
    <x v="24"/>
    <n v="6"/>
    <n v="2290"/>
    <n v="8.9"/>
    <n v="12517.14"/>
    <s v="Completed"/>
    <s v="Bengaluru"/>
    <x v="5"/>
    <x v="3"/>
  </r>
  <r>
    <s v="ORD-00536"/>
    <x v="290"/>
    <s v="CUST-0228"/>
    <s v="PROD-023"/>
    <x v="9"/>
    <n v="3"/>
    <n v="2380"/>
    <n v="2.7"/>
    <n v="6947.22"/>
    <s v="Pending"/>
    <s v="Pune"/>
    <x v="2"/>
    <x v="1"/>
  </r>
  <r>
    <s v="ORD-00537"/>
    <x v="270"/>
    <s v="CUST-0279"/>
    <s v="PROD-023"/>
    <x v="4"/>
    <n v="9"/>
    <n v="2380"/>
    <n v="20.100000000000001"/>
    <n v="17114.580000000002"/>
    <s v="Completed"/>
    <s v="Mumbai"/>
    <x v="2"/>
    <x v="0"/>
  </r>
  <r>
    <s v="ORD-00538"/>
    <x v="291"/>
    <s v="CUST-0271"/>
    <s v="PROD-052"/>
    <x v="2"/>
    <n v="8"/>
    <n v="5410"/>
    <n v="11.2"/>
    <n v="38432.639999999999"/>
    <s v="Completed"/>
    <s v="Bengaluru"/>
    <x v="1"/>
    <x v="1"/>
  </r>
  <r>
    <s v="ORD-00539"/>
    <x v="150"/>
    <s v="CUST-0127"/>
    <s v="PROD-007"/>
    <x v="4"/>
    <n v="1"/>
    <n v="1430"/>
    <n v="19.600000000000001"/>
    <n v="1149.72"/>
    <s v="Completed"/>
    <s v="Bengaluru"/>
    <x v="4"/>
    <x v="0"/>
  </r>
  <r>
    <s v="ORD-00540"/>
    <x v="292"/>
    <s v="CUST-0007"/>
    <s v="PROD-058"/>
    <x v="28"/>
    <n v="9"/>
    <n v="2400"/>
    <n v="5"/>
    <n v="20520"/>
    <s v="Completed"/>
    <s v="Bengaluru"/>
    <x v="1"/>
    <x v="2"/>
  </r>
  <r>
    <s v="ORD-00541"/>
    <x v="293"/>
    <s v="CUST-0005"/>
    <s v="PROD-027"/>
    <x v="19"/>
    <n v="1"/>
    <n v="3780"/>
    <n v="4.7"/>
    <n v="3602.34"/>
    <s v="Completed"/>
    <s v="Chennai"/>
    <x v="2"/>
    <x v="0"/>
  </r>
  <r>
    <s v="ORD-00542"/>
    <x v="95"/>
    <s v="CUST-0072"/>
    <s v="PROD-016"/>
    <x v="7"/>
    <n v="2"/>
    <n v="620"/>
    <n v="8"/>
    <n v="1140.8"/>
    <s v="Completed"/>
    <s v="Mumbai"/>
    <x v="0"/>
    <x v="3"/>
  </r>
  <r>
    <s v="ORD-00543"/>
    <x v="229"/>
    <s v="CUST-0167"/>
    <s v="PROD-060"/>
    <x v="0"/>
    <n v="3"/>
    <n v="190"/>
    <n v="17.899999999999999"/>
    <n v="467.97"/>
    <s v="Pending"/>
    <s v="Delhi"/>
    <x v="1"/>
    <x v="0"/>
  </r>
  <r>
    <s v="ORD-00544"/>
    <x v="10"/>
    <s v="CUST-0244"/>
    <s v="PROD-014"/>
    <x v="7"/>
    <n v="2"/>
    <n v="3620"/>
    <n v="15.5"/>
    <n v="6117.8"/>
    <s v="Completed"/>
    <s v="Bengaluru"/>
    <x v="0"/>
    <x v="3"/>
  </r>
  <r>
    <s v="ORD-00545"/>
    <x v="294"/>
    <s v="CUST-0086"/>
    <s v="PROD-055"/>
    <x v="26"/>
    <n v="5"/>
    <n v="2860"/>
    <n v="26.8"/>
    <n v="10467.6"/>
    <s v="Completed"/>
    <s v="Hyderabad"/>
    <x v="1"/>
    <x v="3"/>
  </r>
  <r>
    <s v="ORD-00546"/>
    <x v="198"/>
    <s v="CUST-0091"/>
    <s v="PROD-058"/>
    <x v="12"/>
    <n v="6"/>
    <n v="2400"/>
    <n v="19.2"/>
    <n v="11635.2"/>
    <s v="Cancelled"/>
    <s v="Delhi"/>
    <x v="1"/>
    <x v="3"/>
  </r>
  <r>
    <s v="ORD-00547"/>
    <x v="14"/>
    <s v="CUST-0169"/>
    <s v="PROD-034"/>
    <x v="18"/>
    <n v="7"/>
    <n v="5080"/>
    <n v="16.600000000000001"/>
    <n v="29657.040000000001"/>
    <s v="Pending"/>
    <s v="Bengaluru"/>
    <x v="3"/>
    <x v="1"/>
  </r>
  <r>
    <s v="ORD-00548"/>
    <x v="295"/>
    <s v="CUST-0273"/>
    <s v="PROD-034"/>
    <x v="15"/>
    <n v="10"/>
    <n v="5080"/>
    <n v="24.6"/>
    <n v="38303.199999999997"/>
    <s v="Completed"/>
    <s v="Hyderabad"/>
    <x v="3"/>
    <x v="1"/>
  </r>
  <r>
    <s v="ORD-00549"/>
    <x v="147"/>
    <s v="CUST-0233"/>
    <s v="PROD-057"/>
    <x v="4"/>
    <n v="7"/>
    <n v="960"/>
    <n v="16.600000000000001"/>
    <n v="5604.48"/>
    <s v="Completed"/>
    <s v="Mumbai"/>
    <x v="1"/>
    <x v="0"/>
  </r>
  <r>
    <s v="ORD-00550"/>
    <x v="296"/>
    <s v="CUST-0175"/>
    <s v="PROD-028"/>
    <x v="8"/>
    <n v="3"/>
    <n v="3660"/>
    <n v="3.2"/>
    <n v="10628.64"/>
    <s v="Pending"/>
    <s v="Delhi"/>
    <x v="2"/>
    <x v="2"/>
  </r>
  <r>
    <s v="ORD-00551"/>
    <x v="160"/>
    <s v="CUST-0241"/>
    <s v="PROD-010"/>
    <x v="18"/>
    <n v="6"/>
    <n v="2640"/>
    <n v="26.3"/>
    <n v="11674.08"/>
    <s v="Completed"/>
    <s v="Pune"/>
    <x v="4"/>
    <x v="1"/>
  </r>
  <r>
    <s v="ORD-00552"/>
    <x v="254"/>
    <s v="CUST-0024"/>
    <s v="PROD-009"/>
    <x v="18"/>
    <n v="6"/>
    <n v="1220"/>
    <n v="22.3"/>
    <n v="5687.64"/>
    <s v="Cancelled"/>
    <s v="Chennai"/>
    <x v="4"/>
    <x v="1"/>
  </r>
  <r>
    <s v="ORD-00553"/>
    <x v="138"/>
    <s v="CUST-0252"/>
    <s v="PROD-005"/>
    <x v="22"/>
    <n v="1"/>
    <n v="300"/>
    <n v="0.7"/>
    <n v="297.89999999999998"/>
    <s v="Completed"/>
    <s v="Bengaluru"/>
    <x v="4"/>
    <x v="1"/>
  </r>
  <r>
    <s v="ORD-00554"/>
    <x v="43"/>
    <s v="CUST-0245"/>
    <s v="PROD-054"/>
    <x v="16"/>
    <n v="2"/>
    <n v="1010"/>
    <n v="28"/>
    <n v="1454.4"/>
    <s v="Completed"/>
    <s v="Hyderabad"/>
    <x v="1"/>
    <x v="3"/>
  </r>
  <r>
    <s v="ORD-00555"/>
    <x v="192"/>
    <s v="CUST-0046"/>
    <s v="PROD-002"/>
    <x v="23"/>
    <n v="5"/>
    <n v="2600"/>
    <n v="0.8"/>
    <n v="12896"/>
    <s v="Cancelled"/>
    <s v="Delhi"/>
    <x v="4"/>
    <x v="1"/>
  </r>
  <r>
    <s v="ORD-00556"/>
    <x v="186"/>
    <s v="CUST-0050"/>
    <s v="PROD-056"/>
    <x v="17"/>
    <n v="3"/>
    <n v="6940"/>
    <n v="10.7"/>
    <n v="18592.259999999998"/>
    <s v="Cancelled"/>
    <s v="Mumbai"/>
    <x v="1"/>
    <x v="2"/>
  </r>
  <r>
    <s v="ORD-00557"/>
    <x v="297"/>
    <s v="CUST-0227"/>
    <s v="PROD-032"/>
    <x v="23"/>
    <n v="1"/>
    <n v="370"/>
    <n v="10.3"/>
    <n v="331.89"/>
    <s v="Refunded"/>
    <s v="Bengaluru"/>
    <x v="3"/>
    <x v="1"/>
  </r>
  <r>
    <s v="ORD-00558"/>
    <x v="298"/>
    <s v="CUST-0218"/>
    <s v="PROD-027"/>
    <x v="20"/>
    <n v="2"/>
    <n v="3780"/>
    <n v="29.4"/>
    <n v="5337.36"/>
    <s v="Completed"/>
    <s v="Mumbai"/>
    <x v="2"/>
    <x v="2"/>
  </r>
  <r>
    <s v="ORD-00559"/>
    <x v="39"/>
    <s v="CUST-0087"/>
    <s v="PROD-030"/>
    <x v="24"/>
    <n v="5"/>
    <n v="970"/>
    <n v="14.6"/>
    <n v="4141.8999999999996"/>
    <s v="Completed"/>
    <s v="Pune"/>
    <x v="2"/>
    <x v="3"/>
  </r>
  <r>
    <s v="ORD-00560"/>
    <x v="117"/>
    <s v="CUST-0209"/>
    <s v="PROD-022"/>
    <x v="25"/>
    <n v="3"/>
    <n v="2270"/>
    <n v="6.5"/>
    <n v="6367.35"/>
    <s v="Completed"/>
    <s v="Pune"/>
    <x v="2"/>
    <x v="0"/>
  </r>
  <r>
    <s v="ORD-00561"/>
    <x v="299"/>
    <s v="CUST-0212"/>
    <s v="PROD-041"/>
    <x v="20"/>
    <n v="10"/>
    <n v="1540"/>
    <n v="16.5"/>
    <n v="12859"/>
    <s v="Completed"/>
    <s v="Chennai"/>
    <x v="5"/>
    <x v="2"/>
  </r>
  <r>
    <s v="ORD-00562"/>
    <x v="51"/>
    <s v="CUST-0180"/>
    <s v="PROD-021"/>
    <x v="21"/>
    <n v="4"/>
    <n v="2760"/>
    <n v="19.8"/>
    <n v="8854.08"/>
    <s v="Completed"/>
    <s v="Chennai"/>
    <x v="2"/>
    <x v="3"/>
  </r>
  <r>
    <s v="ORD-00563"/>
    <x v="10"/>
    <s v="CUST-0025"/>
    <s v="PROD-024"/>
    <x v="14"/>
    <n v="3"/>
    <n v="2270"/>
    <n v="29.5"/>
    <n v="4801.05"/>
    <s v="Refunded"/>
    <s v="Bengaluru"/>
    <x v="2"/>
    <x v="2"/>
  </r>
  <r>
    <s v="ORD-00564"/>
    <x v="196"/>
    <s v="CUST-0271"/>
    <s v="PROD-045"/>
    <x v="15"/>
    <n v="8"/>
    <n v="3020"/>
    <n v="1.2"/>
    <n v="23870.080000000002"/>
    <s v="Completed"/>
    <s v="Bengaluru"/>
    <x v="5"/>
    <x v="1"/>
  </r>
  <r>
    <s v="ORD-00565"/>
    <x v="156"/>
    <s v="CUST-0026"/>
    <s v="PROD-023"/>
    <x v="26"/>
    <n v="6"/>
    <n v="2380"/>
    <n v="20.399999999999999"/>
    <n v="11366.88"/>
    <s v="Completed"/>
    <s v="Pune"/>
    <x v="2"/>
    <x v="3"/>
  </r>
  <r>
    <s v="ORD-00566"/>
    <x v="19"/>
    <s v="CUST-0058"/>
    <s v="PROD-056"/>
    <x v="8"/>
    <n v="1"/>
    <n v="6940"/>
    <n v="15"/>
    <n v="5899"/>
    <s v="Cancelled"/>
    <s v="Bengaluru"/>
    <x v="1"/>
    <x v="2"/>
  </r>
  <r>
    <s v="ORD-00567"/>
    <x v="16"/>
    <s v="CUST-0033"/>
    <s v="PROD-008"/>
    <x v="9"/>
    <n v="1"/>
    <n v="2660"/>
    <n v="11.6"/>
    <n v="2351.44"/>
    <s v="Completed"/>
    <s v="Delhi"/>
    <x v="4"/>
    <x v="1"/>
  </r>
  <r>
    <s v="ORD-00568"/>
    <x v="289"/>
    <s v="CUST-0057"/>
    <s v="PROD-030"/>
    <x v="22"/>
    <n v="4"/>
    <n v="970"/>
    <n v="11.6"/>
    <n v="3429.92"/>
    <s v="Completed"/>
    <s v="Pune"/>
    <x v="2"/>
    <x v="1"/>
  </r>
  <r>
    <s v="ORD-00569"/>
    <x v="215"/>
    <s v="CUST-0231"/>
    <s v="PROD-022"/>
    <x v="25"/>
    <n v="7"/>
    <n v="2270"/>
    <n v="27.9"/>
    <n v="11456.69"/>
    <s v="Completed"/>
    <s v="Chennai"/>
    <x v="2"/>
    <x v="0"/>
  </r>
  <r>
    <s v="ORD-00570"/>
    <x v="300"/>
    <s v="CUST-0031"/>
    <s v="PROD-054"/>
    <x v="29"/>
    <n v="8"/>
    <n v="1010"/>
    <n v="13.7"/>
    <n v="6973.04"/>
    <s v="Cancelled"/>
    <s v="Hyderabad"/>
    <x v="1"/>
    <x v="1"/>
  </r>
  <r>
    <s v="ORD-00571"/>
    <x v="259"/>
    <s v="CUST-0228"/>
    <s v="PROD-023"/>
    <x v="19"/>
    <n v="8"/>
    <n v="2380"/>
    <n v="15.3"/>
    <n v="16126.88"/>
    <s v="Cancelled"/>
    <s v="Pune"/>
    <x v="2"/>
    <x v="0"/>
  </r>
  <r>
    <s v="ORD-00572"/>
    <x v="142"/>
    <s v="CUST-0127"/>
    <s v="PROD-053"/>
    <x v="26"/>
    <n v="10"/>
    <n v="470"/>
    <n v="2.1"/>
    <n v="4601.3"/>
    <s v="Completed"/>
    <s v="Bengaluru"/>
    <x v="1"/>
    <x v="3"/>
  </r>
  <r>
    <s v="ORD-00573"/>
    <x v="178"/>
    <s v="CUST-0117"/>
    <s v="PROD-048"/>
    <x v="5"/>
    <n v="5"/>
    <n v="5100"/>
    <n v="9.6999999999999993"/>
    <n v="23026.5"/>
    <s v="Completed"/>
    <s v="Delhi"/>
    <x v="5"/>
    <x v="2"/>
  </r>
  <r>
    <s v="ORD-00574"/>
    <x v="73"/>
    <s v="CUST-0159"/>
    <s v="PROD-049"/>
    <x v="17"/>
    <n v="9"/>
    <n v="960"/>
    <n v="17.7"/>
    <n v="7110.72"/>
    <s v="Completed"/>
    <s v="Hyderabad"/>
    <x v="5"/>
    <x v="2"/>
  </r>
  <r>
    <s v="ORD-00575"/>
    <x v="35"/>
    <s v="CUST-0064"/>
    <s v="PROD-026"/>
    <x v="0"/>
    <n v="2"/>
    <n v="4070"/>
    <n v="2.1"/>
    <n v="7969.06"/>
    <s v="Completed"/>
    <s v="Hyderabad"/>
    <x v="2"/>
    <x v="0"/>
  </r>
  <r>
    <s v="ORD-00576"/>
    <x v="243"/>
    <s v="CUST-0272"/>
    <s v="PROD-031"/>
    <x v="13"/>
    <n v="5"/>
    <n v="3730"/>
    <n v="16.5"/>
    <n v="15572.75"/>
    <s v="Completed"/>
    <s v="Mumbai"/>
    <x v="3"/>
    <x v="3"/>
  </r>
  <r>
    <s v="ORD-00577"/>
    <x v="55"/>
    <s v="CUST-0071"/>
    <s v="PROD-055"/>
    <x v="24"/>
    <n v="1"/>
    <n v="2860"/>
    <n v="10.4"/>
    <n v="2562.56"/>
    <s v="Cancelled"/>
    <s v="Delhi"/>
    <x v="1"/>
    <x v="3"/>
  </r>
  <r>
    <s v="ORD-00578"/>
    <x v="11"/>
    <s v="CUST-0045"/>
    <s v="PROD-046"/>
    <x v="26"/>
    <n v="4"/>
    <n v="4880"/>
    <n v="27.5"/>
    <n v="14152"/>
    <s v="Pending"/>
    <s v="Chennai"/>
    <x v="5"/>
    <x v="3"/>
  </r>
  <r>
    <s v="ORD-00579"/>
    <x v="19"/>
    <s v="CUST-0148"/>
    <s v="PROD-022"/>
    <x v="24"/>
    <n v="3"/>
    <n v="2270"/>
    <n v="6.7"/>
    <n v="6353.73"/>
    <s v="Completed"/>
    <s v="Chennai"/>
    <x v="2"/>
    <x v="3"/>
  </r>
  <r>
    <s v="ORD-00580"/>
    <x v="55"/>
    <s v="CUST-0097"/>
    <s v="PROD-025"/>
    <x v="0"/>
    <n v="10"/>
    <n v="4060"/>
    <n v="3.6"/>
    <n v="39138.400000000001"/>
    <s v="Pending"/>
    <s v="Mumbai"/>
    <x v="2"/>
    <x v="0"/>
  </r>
  <r>
    <s v="ORD-00581"/>
    <x v="301"/>
    <s v="CUST-0151"/>
    <s v="PROD-010"/>
    <x v="10"/>
    <n v="8"/>
    <n v="2640"/>
    <n v="28.8"/>
    <n v="15037.44"/>
    <s v="Completed"/>
    <s v="Mumbai"/>
    <x v="4"/>
    <x v="0"/>
  </r>
  <r>
    <s v="ORD-00582"/>
    <x v="302"/>
    <s v="CUST-0048"/>
    <s v="PROD-031"/>
    <x v="27"/>
    <n v="6"/>
    <n v="3730"/>
    <n v="21.9"/>
    <n v="17478.78"/>
    <s v="Completed"/>
    <s v="Delhi"/>
    <x v="3"/>
    <x v="1"/>
  </r>
  <r>
    <s v="ORD-00583"/>
    <x v="68"/>
    <s v="CUST-0048"/>
    <s v="PROD-001"/>
    <x v="3"/>
    <n v="9"/>
    <n v="5330"/>
    <n v="29.4"/>
    <n v="33866.82"/>
    <s v="Cancelled"/>
    <s v="Delhi"/>
    <x v="4"/>
    <x v="0"/>
  </r>
  <r>
    <s v="ORD-00584"/>
    <x v="94"/>
    <s v="CUST-0156"/>
    <s v="PROD-011"/>
    <x v="28"/>
    <n v="1"/>
    <n v="3450"/>
    <n v="23.3"/>
    <n v="2646.15"/>
    <s v="Completed"/>
    <s v="Mumbai"/>
    <x v="0"/>
    <x v="2"/>
  </r>
  <r>
    <s v="ORD-00585"/>
    <x v="227"/>
    <s v="CUST-0022"/>
    <s v="PROD-050"/>
    <x v="21"/>
    <n v="3"/>
    <n v="6080"/>
    <n v="14.5"/>
    <n v="15595.2"/>
    <s v="Completed"/>
    <s v="Bengaluru"/>
    <x v="5"/>
    <x v="3"/>
  </r>
  <r>
    <s v="ORD-00586"/>
    <x v="303"/>
    <s v="CUST-0193"/>
    <s v="PROD-031"/>
    <x v="25"/>
    <n v="4"/>
    <n v="3730"/>
    <n v="3.4"/>
    <n v="14412.72"/>
    <s v="Cancelled"/>
    <s v="Bengaluru"/>
    <x v="3"/>
    <x v="0"/>
  </r>
  <r>
    <s v="ORD-00587"/>
    <x v="304"/>
    <s v="CUST-0189"/>
    <s v="PROD-008"/>
    <x v="24"/>
    <n v="10"/>
    <n v="2660"/>
    <n v="2.1"/>
    <n v="26041.4"/>
    <s v="Completed"/>
    <s v="Chennai"/>
    <x v="4"/>
    <x v="3"/>
  </r>
  <r>
    <s v="ORD-00588"/>
    <x v="41"/>
    <s v="CUST-0101"/>
    <s v="PROD-029"/>
    <x v="13"/>
    <n v="7"/>
    <n v="2210"/>
    <n v="17.100000000000001"/>
    <n v="12824.63"/>
    <s v="Completed"/>
    <s v="Hyderabad"/>
    <x v="2"/>
    <x v="3"/>
  </r>
  <r>
    <s v="ORD-00589"/>
    <x v="84"/>
    <s v="CUST-0006"/>
    <s v="PROD-059"/>
    <x v="22"/>
    <n v="6"/>
    <n v="3780"/>
    <n v="12.7"/>
    <n v="19799.64"/>
    <s v="Completed"/>
    <s v="Pune"/>
    <x v="1"/>
    <x v="1"/>
  </r>
  <r>
    <s v="ORD-00590"/>
    <x v="249"/>
    <s v="CUST-0235"/>
    <s v="PROD-038"/>
    <x v="20"/>
    <n v="4"/>
    <n v="5490"/>
    <n v="26.9"/>
    <n v="16052.76"/>
    <s v="Completed"/>
    <s v="Chennai"/>
    <x v="3"/>
    <x v="2"/>
  </r>
  <r>
    <s v="ORD-00591"/>
    <x v="116"/>
    <s v="CUST-0045"/>
    <s v="PROD-008"/>
    <x v="22"/>
    <n v="9"/>
    <n v="2660"/>
    <n v="21.9"/>
    <n v="18697.14"/>
    <s v="Completed"/>
    <s v="Chennai"/>
    <x v="4"/>
    <x v="1"/>
  </r>
  <r>
    <s v="ORD-00592"/>
    <x v="160"/>
    <s v="CUST-0028"/>
    <s v="PROD-056"/>
    <x v="8"/>
    <n v="9"/>
    <n v="6940"/>
    <n v="8"/>
    <n v="57463.199999999997"/>
    <s v="Completed"/>
    <s v="Bengaluru"/>
    <x v="1"/>
    <x v="2"/>
  </r>
  <r>
    <s v="ORD-00593"/>
    <x v="73"/>
    <s v="CUST-0241"/>
    <s v="PROD-004"/>
    <x v="3"/>
    <n v="1"/>
    <n v="3870"/>
    <n v="22.6"/>
    <n v="2995.38"/>
    <s v="Completed"/>
    <s v="Pune"/>
    <x v="4"/>
    <x v="0"/>
  </r>
  <r>
    <s v="ORD-00594"/>
    <x v="240"/>
    <s v="CUST-0278"/>
    <s v="PROD-035"/>
    <x v="4"/>
    <n v="3"/>
    <n v="1090"/>
    <n v="28.1"/>
    <n v="2351.13"/>
    <s v="Completed"/>
    <s v="Hyderabad"/>
    <x v="3"/>
    <x v="0"/>
  </r>
  <r>
    <s v="ORD-00595"/>
    <x v="111"/>
    <s v="CUST-0009"/>
    <s v="PROD-002"/>
    <x v="19"/>
    <n v="2"/>
    <n v="2600"/>
    <n v="5.6"/>
    <n v="4908.8"/>
    <s v="Completed"/>
    <s v="Mumbai"/>
    <x v="4"/>
    <x v="0"/>
  </r>
  <r>
    <s v="ORD-00596"/>
    <x v="54"/>
    <s v="CUST-0217"/>
    <s v="PROD-057"/>
    <x v="16"/>
    <n v="4"/>
    <n v="960"/>
    <n v="21.7"/>
    <n v="3006.72"/>
    <s v="Completed"/>
    <s v="Pune"/>
    <x v="1"/>
    <x v="3"/>
  </r>
  <r>
    <s v="ORD-00597"/>
    <x v="80"/>
    <s v="CUST-0289"/>
    <s v="PROD-032"/>
    <x v="17"/>
    <n v="6"/>
    <n v="370"/>
    <n v="22.5"/>
    <n v="1720.5"/>
    <s v="Completed"/>
    <s v="Mumbai"/>
    <x v="3"/>
    <x v="2"/>
  </r>
  <r>
    <s v="ORD-00598"/>
    <x v="51"/>
    <s v="CUST-0176"/>
    <s v="PROD-034"/>
    <x v="3"/>
    <n v="5"/>
    <n v="5080"/>
    <n v="23.8"/>
    <n v="19354.8"/>
    <s v="Completed"/>
    <s v="Bengaluru"/>
    <x v="3"/>
    <x v="0"/>
  </r>
  <r>
    <s v="ORD-00599"/>
    <x v="67"/>
    <s v="CUST-0026"/>
    <s v="PROD-041"/>
    <x v="11"/>
    <n v="5"/>
    <n v="1540"/>
    <n v="6.1"/>
    <n v="7230.3"/>
    <s v="Completed"/>
    <s v="Pune"/>
    <x v="5"/>
    <x v="0"/>
  </r>
  <r>
    <s v="ORD-00600"/>
    <x v="305"/>
    <s v="CUST-0213"/>
    <s v="PROD-024"/>
    <x v="15"/>
    <n v="7"/>
    <n v="2270"/>
    <n v="0.4"/>
    <n v="15826.44"/>
    <s v="Completed"/>
    <s v="Mumbai"/>
    <x v="2"/>
    <x v="1"/>
  </r>
  <r>
    <s v="ORD-00601"/>
    <x v="236"/>
    <s v="CUST-0190"/>
    <s v="PROD-057"/>
    <x v="15"/>
    <n v="2"/>
    <n v="960"/>
    <n v="3.7"/>
    <n v="1848.96"/>
    <s v="Completed"/>
    <s v="Hyderabad"/>
    <x v="1"/>
    <x v="1"/>
  </r>
  <r>
    <s v="ORD-00602"/>
    <x v="306"/>
    <s v="CUST-0150"/>
    <s v="PROD-007"/>
    <x v="28"/>
    <n v="6"/>
    <n v="1430"/>
    <n v="2"/>
    <n v="8408.4"/>
    <s v="Pending"/>
    <s v="Pune"/>
    <x v="4"/>
    <x v="2"/>
  </r>
  <r>
    <s v="ORD-00603"/>
    <x v="276"/>
    <s v="CUST-0129"/>
    <s v="PROD-047"/>
    <x v="3"/>
    <n v="10"/>
    <n v="3450"/>
    <n v="19.100000000000001"/>
    <n v="27910.5"/>
    <s v="Completed"/>
    <s v="Hyderabad"/>
    <x v="5"/>
    <x v="0"/>
  </r>
  <r>
    <s v="ORD-00604"/>
    <x v="249"/>
    <s v="CUST-0080"/>
    <s v="PROD-009"/>
    <x v="17"/>
    <n v="8"/>
    <n v="1220"/>
    <n v="16.899999999999999"/>
    <n v="8110.56"/>
    <s v="Completed"/>
    <s v="Pune"/>
    <x v="4"/>
    <x v="2"/>
  </r>
  <r>
    <s v="ORD-00605"/>
    <x v="96"/>
    <s v="CUST-0034"/>
    <s v="PROD-021"/>
    <x v="16"/>
    <n v="9"/>
    <n v="2760"/>
    <n v="16.899999999999999"/>
    <n v="20642.04"/>
    <s v="Completed"/>
    <s v="Delhi"/>
    <x v="2"/>
    <x v="3"/>
  </r>
  <r>
    <s v="ORD-00606"/>
    <x v="106"/>
    <s v="CUST-0179"/>
    <s v="PROD-043"/>
    <x v="21"/>
    <n v="6"/>
    <n v="3350"/>
    <n v="11.8"/>
    <n v="17728.2"/>
    <s v="Pending"/>
    <s v="Mumbai"/>
    <x v="5"/>
    <x v="3"/>
  </r>
  <r>
    <s v="ORD-00607"/>
    <x v="23"/>
    <s v="CUST-0176"/>
    <s v="PROD-048"/>
    <x v="22"/>
    <n v="6"/>
    <n v="5100"/>
    <n v="13.2"/>
    <n v="26560.799999999999"/>
    <s v="Completed"/>
    <s v="Bengaluru"/>
    <x v="5"/>
    <x v="1"/>
  </r>
  <r>
    <s v="ORD-00608"/>
    <x v="267"/>
    <s v="CUST-0144"/>
    <s v="PROD-010"/>
    <x v="28"/>
    <n v="6"/>
    <n v="2640"/>
    <n v="26.2"/>
    <n v="11689.92"/>
    <s v="Completed"/>
    <s v="Chennai"/>
    <x v="4"/>
    <x v="2"/>
  </r>
  <r>
    <s v="ORD-00609"/>
    <x v="111"/>
    <s v="CUST-0218"/>
    <s v="PROD-028"/>
    <x v="29"/>
    <n v="1"/>
    <n v="3660"/>
    <n v="19.7"/>
    <n v="2938.98"/>
    <s v="Completed"/>
    <s v="Mumbai"/>
    <x v="2"/>
    <x v="1"/>
  </r>
  <r>
    <s v="ORD-00610"/>
    <x v="290"/>
    <s v="CUST-0249"/>
    <s v="PROD-032"/>
    <x v="28"/>
    <n v="5"/>
    <n v="370"/>
    <n v="21.7"/>
    <n v="1448.55"/>
    <s v="Completed"/>
    <s v="Mumbai"/>
    <x v="3"/>
    <x v="2"/>
  </r>
  <r>
    <s v="ORD-00611"/>
    <x v="260"/>
    <s v="CUST-0092"/>
    <s v="PROD-016"/>
    <x v="5"/>
    <n v="5"/>
    <n v="620"/>
    <n v="10.199999999999999"/>
    <n v="2783.8"/>
    <s v="Completed"/>
    <s v="Bengaluru"/>
    <x v="0"/>
    <x v="2"/>
  </r>
  <r>
    <s v="ORD-00612"/>
    <x v="40"/>
    <s v="CUST-0245"/>
    <s v="PROD-053"/>
    <x v="26"/>
    <n v="8"/>
    <n v="470"/>
    <n v="2.4"/>
    <n v="3669.76"/>
    <s v="Completed"/>
    <s v="Hyderabad"/>
    <x v="1"/>
    <x v="3"/>
  </r>
  <r>
    <s v="ORD-00613"/>
    <x v="294"/>
    <s v="CUST-0134"/>
    <s v="PROD-042"/>
    <x v="1"/>
    <n v="3"/>
    <n v="2290"/>
    <n v="20.8"/>
    <n v="5441.04"/>
    <s v="Completed"/>
    <s v="Delhi"/>
    <x v="5"/>
    <x v="0"/>
  </r>
  <r>
    <s v="ORD-00614"/>
    <x v="92"/>
    <s v="CUST-0063"/>
    <s v="PROD-057"/>
    <x v="6"/>
    <n v="4"/>
    <n v="960"/>
    <n v="28.8"/>
    <n v="2734.08"/>
    <s v="Pending"/>
    <s v="Mumbai"/>
    <x v="1"/>
    <x v="2"/>
  </r>
  <r>
    <s v="ORD-00615"/>
    <x v="307"/>
    <s v="CUST-0172"/>
    <s v="PROD-028"/>
    <x v="9"/>
    <n v="5"/>
    <n v="3660"/>
    <n v="11.9"/>
    <n v="16122.3"/>
    <s v="Pending"/>
    <s v="Pune"/>
    <x v="2"/>
    <x v="1"/>
  </r>
  <r>
    <s v="ORD-00616"/>
    <x v="173"/>
    <s v="CUST-0139"/>
    <s v="PROD-003"/>
    <x v="7"/>
    <n v="5"/>
    <n v="3570"/>
    <n v="12.4"/>
    <n v="15636.6"/>
    <s v="Completed"/>
    <s v="Hyderabad"/>
    <x v="4"/>
    <x v="3"/>
  </r>
  <r>
    <s v="ORD-00617"/>
    <x v="246"/>
    <s v="CUST-0275"/>
    <s v="PROD-033"/>
    <x v="21"/>
    <n v="9"/>
    <n v="2030"/>
    <n v="23.4"/>
    <n v="13994.82"/>
    <s v="Completed"/>
    <s v="Mumbai"/>
    <x v="3"/>
    <x v="3"/>
  </r>
  <r>
    <s v="ORD-00618"/>
    <x v="60"/>
    <s v="CUST-0006"/>
    <s v="PROD-015"/>
    <x v="6"/>
    <n v="7"/>
    <n v="2720"/>
    <n v="11.2"/>
    <n v="16907.52"/>
    <s v="Refunded"/>
    <s v="Pune"/>
    <x v="0"/>
    <x v="2"/>
  </r>
  <r>
    <s v="ORD-00619"/>
    <x v="180"/>
    <s v="CUST-0279"/>
    <s v="PROD-003"/>
    <x v="4"/>
    <n v="2"/>
    <n v="3570"/>
    <n v="6.1"/>
    <n v="6704.46"/>
    <s v="Cancelled"/>
    <s v="Mumbai"/>
    <x v="4"/>
    <x v="0"/>
  </r>
  <r>
    <s v="ORD-00620"/>
    <x v="308"/>
    <s v="CUST-0093"/>
    <s v="PROD-058"/>
    <x v="19"/>
    <n v="5"/>
    <n v="2400"/>
    <n v="16.100000000000001"/>
    <n v="10068"/>
    <s v="Completed"/>
    <s v="Pune"/>
    <x v="1"/>
    <x v="0"/>
  </r>
  <r>
    <s v="ORD-00621"/>
    <x v="95"/>
    <s v="CUST-0063"/>
    <s v="PROD-024"/>
    <x v="25"/>
    <n v="4"/>
    <n v="2270"/>
    <n v="27.5"/>
    <n v="6583"/>
    <s v="Pending"/>
    <s v="Mumbai"/>
    <x v="2"/>
    <x v="0"/>
  </r>
  <r>
    <s v="ORD-00622"/>
    <x v="89"/>
    <s v="CUST-0071"/>
    <s v="PROD-030"/>
    <x v="27"/>
    <n v="1"/>
    <n v="970"/>
    <n v="12.7"/>
    <n v="846.81"/>
    <s v="Completed"/>
    <s v="Delhi"/>
    <x v="2"/>
    <x v="1"/>
  </r>
  <r>
    <s v="ORD-00623"/>
    <x v="246"/>
    <s v="CUST-0119"/>
    <s v="PROD-056"/>
    <x v="26"/>
    <n v="5"/>
    <n v="6940"/>
    <n v="16.2"/>
    <n v="29078.6"/>
    <s v="Completed"/>
    <s v="Bengaluru"/>
    <x v="1"/>
    <x v="3"/>
  </r>
  <r>
    <s v="ORD-00624"/>
    <x v="261"/>
    <s v="CUST-0035"/>
    <s v="PROD-056"/>
    <x v="18"/>
    <n v="4"/>
    <n v="6940"/>
    <n v="15.1"/>
    <n v="23568.240000000002"/>
    <s v="Completed"/>
    <s v="Hyderabad"/>
    <x v="1"/>
    <x v="1"/>
  </r>
  <r>
    <s v="ORD-00625"/>
    <x v="78"/>
    <s v="CUST-0042"/>
    <s v="PROD-054"/>
    <x v="3"/>
    <n v="1"/>
    <n v="1010"/>
    <n v="1.7"/>
    <n v="992.83"/>
    <s v="Completed"/>
    <s v="Pune"/>
    <x v="1"/>
    <x v="0"/>
  </r>
  <r>
    <s v="ORD-00626"/>
    <x v="303"/>
    <s v="CUST-0033"/>
    <s v="PROD-004"/>
    <x v="0"/>
    <n v="6"/>
    <n v="3870"/>
    <n v="12.2"/>
    <n v="20387.16"/>
    <s v="Completed"/>
    <s v="Delhi"/>
    <x v="4"/>
    <x v="0"/>
  </r>
  <r>
    <s v="ORD-00627"/>
    <x v="309"/>
    <s v="CUST-0077"/>
    <s v="PROD-048"/>
    <x v="23"/>
    <n v="9"/>
    <n v="5100"/>
    <n v="26.4"/>
    <n v="33782.400000000001"/>
    <s v="Completed"/>
    <s v="Hyderabad"/>
    <x v="5"/>
    <x v="1"/>
  </r>
  <r>
    <s v="ORD-00628"/>
    <x v="310"/>
    <s v="CUST-0266"/>
    <s v="PROD-012"/>
    <x v="4"/>
    <n v="2"/>
    <n v="3160"/>
    <n v="13.4"/>
    <n v="5473.12"/>
    <s v="Refunded"/>
    <s v="Pune"/>
    <x v="0"/>
    <x v="0"/>
  </r>
  <r>
    <s v="ORD-00629"/>
    <x v="211"/>
    <s v="CUST-0272"/>
    <s v="PROD-029"/>
    <x v="23"/>
    <n v="8"/>
    <n v="2210"/>
    <n v="26"/>
    <n v="13083.2"/>
    <s v="Completed"/>
    <s v="Mumbai"/>
    <x v="2"/>
    <x v="1"/>
  </r>
  <r>
    <s v="ORD-00630"/>
    <x v="237"/>
    <s v="CUST-0253"/>
    <s v="PROD-018"/>
    <x v="17"/>
    <n v="5"/>
    <n v="3560"/>
    <n v="15"/>
    <n v="15130"/>
    <s v="Completed"/>
    <s v="Delhi"/>
    <x v="0"/>
    <x v="2"/>
  </r>
  <r>
    <s v="ORD-00631"/>
    <x v="142"/>
    <s v="CUST-0252"/>
    <s v="PROD-016"/>
    <x v="9"/>
    <n v="10"/>
    <n v="620"/>
    <n v="15.8"/>
    <n v="5220.3999999999996"/>
    <s v="Refunded"/>
    <s v="Bengaluru"/>
    <x v="0"/>
    <x v="1"/>
  </r>
  <r>
    <s v="ORD-00632"/>
    <x v="276"/>
    <s v="CUST-0097"/>
    <s v="PROD-021"/>
    <x v="25"/>
    <n v="3"/>
    <n v="2760"/>
    <n v="1.9"/>
    <n v="8122.68"/>
    <s v="Cancelled"/>
    <s v="Mumbai"/>
    <x v="2"/>
    <x v="0"/>
  </r>
  <r>
    <s v="ORD-00633"/>
    <x v="287"/>
    <s v="CUST-0283"/>
    <s v="PROD-054"/>
    <x v="1"/>
    <n v="10"/>
    <n v="1010"/>
    <n v="28.9"/>
    <n v="7181.1"/>
    <s v="Completed"/>
    <s v="Delhi"/>
    <x v="1"/>
    <x v="0"/>
  </r>
  <r>
    <s v="ORD-00634"/>
    <x v="279"/>
    <s v="CUST-0064"/>
    <s v="PROD-013"/>
    <x v="25"/>
    <n v="1"/>
    <n v="3640"/>
    <n v="9.6999999999999993"/>
    <n v="3286.92"/>
    <s v="Completed"/>
    <s v="Hyderabad"/>
    <x v="0"/>
    <x v="0"/>
  </r>
  <r>
    <s v="ORD-00635"/>
    <x v="135"/>
    <s v="CUST-0143"/>
    <s v="PROD-020"/>
    <x v="9"/>
    <n v="1"/>
    <n v="820"/>
    <n v="15"/>
    <n v="697"/>
    <s v="Completed"/>
    <s v="Chennai"/>
    <x v="0"/>
    <x v="1"/>
  </r>
  <r>
    <s v="ORD-00636"/>
    <x v="305"/>
    <s v="CUST-0265"/>
    <s v="PROD-013"/>
    <x v="23"/>
    <n v="4"/>
    <n v="3640"/>
    <n v="17"/>
    <n v="12084.8"/>
    <s v="Completed"/>
    <s v="Chennai"/>
    <x v="0"/>
    <x v="1"/>
  </r>
  <r>
    <s v="ORD-00637"/>
    <x v="54"/>
    <s v="CUST-0158"/>
    <s v="PROD-023"/>
    <x v="25"/>
    <n v="7"/>
    <n v="2380"/>
    <n v="25.5"/>
    <n v="12411.7"/>
    <s v="Completed"/>
    <s v="Pune"/>
    <x v="2"/>
    <x v="0"/>
  </r>
  <r>
    <s v="ORD-00638"/>
    <x v="311"/>
    <s v="CUST-0154"/>
    <s v="PROD-037"/>
    <x v="4"/>
    <n v="1"/>
    <n v="660"/>
    <n v="2.5"/>
    <n v="643.5"/>
    <s v="Completed"/>
    <s v="Pune"/>
    <x v="3"/>
    <x v="0"/>
  </r>
  <r>
    <s v="ORD-00639"/>
    <x v="177"/>
    <s v="CUST-0057"/>
    <s v="PROD-004"/>
    <x v="16"/>
    <n v="7"/>
    <n v="3870"/>
    <n v="20.3"/>
    <n v="21590.73"/>
    <s v="Pending"/>
    <s v="Pune"/>
    <x v="4"/>
    <x v="3"/>
  </r>
  <r>
    <s v="ORD-00640"/>
    <x v="176"/>
    <s v="CUST-0088"/>
    <s v="PROD-032"/>
    <x v="29"/>
    <n v="10"/>
    <n v="370"/>
    <n v="1.3"/>
    <n v="3651.9"/>
    <s v="Refunded"/>
    <s v="Chennai"/>
    <x v="3"/>
    <x v="1"/>
  </r>
  <r>
    <s v="ORD-00641"/>
    <x v="13"/>
    <s v="CUST-0064"/>
    <s v="PROD-014"/>
    <x v="26"/>
    <n v="1"/>
    <n v="3620"/>
    <n v="1.4"/>
    <n v="3569.32"/>
    <s v="Completed"/>
    <s v="Hyderabad"/>
    <x v="0"/>
    <x v="3"/>
  </r>
  <r>
    <s v="ORD-00642"/>
    <x v="308"/>
    <s v="CUST-0192"/>
    <s v="PROD-008"/>
    <x v="1"/>
    <n v="10"/>
    <n v="2660"/>
    <n v="20.2"/>
    <n v="21226.799999999999"/>
    <s v="Completed"/>
    <s v="Bengaluru"/>
    <x v="4"/>
    <x v="0"/>
  </r>
  <r>
    <s v="ORD-00643"/>
    <x v="105"/>
    <s v="CUST-0175"/>
    <s v="PROD-051"/>
    <x v="15"/>
    <n v="10"/>
    <n v="3450"/>
    <n v="25.1"/>
    <n v="25840.5"/>
    <s v="Completed"/>
    <s v="Delhi"/>
    <x v="1"/>
    <x v="1"/>
  </r>
  <r>
    <s v="ORD-00644"/>
    <x v="98"/>
    <s v="CUST-0083"/>
    <s v="PROD-025"/>
    <x v="22"/>
    <n v="3"/>
    <n v="4060"/>
    <n v="2.5"/>
    <n v="11875.5"/>
    <s v="Refunded"/>
    <s v="Bengaluru"/>
    <x v="2"/>
    <x v="1"/>
  </r>
  <r>
    <s v="ORD-00645"/>
    <x v="137"/>
    <s v="CUST-0142"/>
    <s v="PROD-057"/>
    <x v="13"/>
    <n v="3"/>
    <n v="960"/>
    <n v="6.6"/>
    <n v="2689.92"/>
    <s v="Cancelled"/>
    <s v="Chennai"/>
    <x v="1"/>
    <x v="3"/>
  </r>
  <r>
    <s v="ORD-00646"/>
    <x v="196"/>
    <s v="CUST-0185"/>
    <s v="PROD-008"/>
    <x v="4"/>
    <n v="4"/>
    <n v="2660"/>
    <n v="16.899999999999999"/>
    <n v="8841.84"/>
    <s v="Completed"/>
    <s v="Hyderabad"/>
    <x v="4"/>
    <x v="0"/>
  </r>
  <r>
    <s v="ORD-00647"/>
    <x v="264"/>
    <s v="CUST-0284"/>
    <s v="PROD-024"/>
    <x v="26"/>
    <n v="6"/>
    <n v="2270"/>
    <n v="16.7"/>
    <n v="11345.46"/>
    <s v="Completed"/>
    <s v="Hyderabad"/>
    <x v="2"/>
    <x v="3"/>
  </r>
  <r>
    <s v="ORD-00648"/>
    <x v="0"/>
    <s v="CUST-0092"/>
    <s v="PROD-027"/>
    <x v="5"/>
    <n v="5"/>
    <n v="3780"/>
    <n v="21.5"/>
    <n v="14836.5"/>
    <s v="Completed"/>
    <s v="Bengaluru"/>
    <x v="2"/>
    <x v="2"/>
  </r>
  <r>
    <s v="ORD-00649"/>
    <x v="265"/>
    <s v="CUST-0091"/>
    <s v="PROD-037"/>
    <x v="7"/>
    <n v="10"/>
    <n v="660"/>
    <n v="18.8"/>
    <n v="5359.2"/>
    <s v="Completed"/>
    <s v="Delhi"/>
    <x v="3"/>
    <x v="3"/>
  </r>
  <r>
    <s v="ORD-00650"/>
    <x v="3"/>
    <s v="CUST-0155"/>
    <s v="PROD-031"/>
    <x v="6"/>
    <n v="10"/>
    <n v="3730"/>
    <n v="15.1"/>
    <n v="31667.7"/>
    <s v="Completed"/>
    <s v="Pune"/>
    <x v="3"/>
    <x v="2"/>
  </r>
  <r>
    <s v="ORD-00651"/>
    <x v="115"/>
    <s v="CUST-0280"/>
    <s v="PROD-025"/>
    <x v="13"/>
    <n v="6"/>
    <n v="4060"/>
    <n v="20.100000000000001"/>
    <n v="19463.64"/>
    <s v="Pending"/>
    <s v="Delhi"/>
    <x v="2"/>
    <x v="3"/>
  </r>
  <r>
    <s v="ORD-00652"/>
    <x v="283"/>
    <s v="CUST-0127"/>
    <s v="PROD-024"/>
    <x v="11"/>
    <n v="2"/>
    <n v="2270"/>
    <n v="17.7"/>
    <n v="3736.42"/>
    <s v="Completed"/>
    <s v="Bengaluru"/>
    <x v="2"/>
    <x v="0"/>
  </r>
  <r>
    <s v="ORD-00653"/>
    <x v="294"/>
    <s v="CUST-0077"/>
    <s v="PROD-003"/>
    <x v="8"/>
    <n v="9"/>
    <n v="3570"/>
    <n v="29.9"/>
    <n v="22523.13"/>
    <s v="Completed"/>
    <s v="Hyderabad"/>
    <x v="4"/>
    <x v="2"/>
  </r>
  <r>
    <s v="ORD-00654"/>
    <x v="126"/>
    <s v="CUST-0190"/>
    <s v="PROD-029"/>
    <x v="10"/>
    <n v="7"/>
    <n v="2210"/>
    <n v="25"/>
    <n v="11602.5"/>
    <s v="Completed"/>
    <s v="Hyderabad"/>
    <x v="2"/>
    <x v="0"/>
  </r>
  <r>
    <s v="ORD-00655"/>
    <x v="257"/>
    <s v="CUST-0089"/>
    <s v="PROD-057"/>
    <x v="17"/>
    <n v="2"/>
    <n v="960"/>
    <n v="8.1999999999999993"/>
    <n v="1762.56"/>
    <s v="Cancelled"/>
    <s v="Mumbai"/>
    <x v="1"/>
    <x v="2"/>
  </r>
  <r>
    <s v="ORD-00656"/>
    <x v="24"/>
    <s v="CUST-0141"/>
    <s v="PROD-059"/>
    <x v="17"/>
    <n v="9"/>
    <n v="3780"/>
    <n v="28.4"/>
    <n v="24358.32"/>
    <s v="Pending"/>
    <s v="Hyderabad"/>
    <x v="1"/>
    <x v="2"/>
  </r>
  <r>
    <s v="ORD-00657"/>
    <x v="248"/>
    <s v="CUST-0123"/>
    <s v="PROD-048"/>
    <x v="2"/>
    <n v="2"/>
    <n v="5100"/>
    <n v="8.6"/>
    <n v="9322.7999999999993"/>
    <s v="Completed"/>
    <s v="Chennai"/>
    <x v="5"/>
    <x v="1"/>
  </r>
  <r>
    <s v="ORD-00658"/>
    <x v="85"/>
    <s v="CUST-0041"/>
    <s v="PROD-019"/>
    <x v="13"/>
    <n v="4"/>
    <n v="2480"/>
    <n v="16.600000000000001"/>
    <n v="8273.2800000000007"/>
    <s v="Completed"/>
    <s v="Bengaluru"/>
    <x v="0"/>
    <x v="3"/>
  </r>
  <r>
    <s v="ORD-00659"/>
    <x v="68"/>
    <s v="CUST-0257"/>
    <s v="PROD-040"/>
    <x v="26"/>
    <n v="10"/>
    <n v="1080"/>
    <n v="14.5"/>
    <n v="9234"/>
    <s v="Completed"/>
    <s v="Mumbai"/>
    <x v="3"/>
    <x v="3"/>
  </r>
  <r>
    <s v="ORD-00660"/>
    <x v="312"/>
    <s v="CUST-0134"/>
    <s v="PROD-002"/>
    <x v="20"/>
    <n v="7"/>
    <n v="2600"/>
    <n v="21"/>
    <n v="14378"/>
    <s v="Completed"/>
    <s v="Delhi"/>
    <x v="4"/>
    <x v="2"/>
  </r>
  <r>
    <s v="ORD-00661"/>
    <x v="81"/>
    <s v="CUST-0180"/>
    <s v="PROD-002"/>
    <x v="15"/>
    <n v="7"/>
    <n v="2600"/>
    <n v="6.7"/>
    <n v="16980.599999999999"/>
    <s v="Pending"/>
    <s v="Chennai"/>
    <x v="4"/>
    <x v="1"/>
  </r>
  <r>
    <s v="ORD-00662"/>
    <x v="210"/>
    <s v="CUST-0283"/>
    <s v="PROD-020"/>
    <x v="12"/>
    <n v="8"/>
    <n v="820"/>
    <n v="17.8"/>
    <n v="5392.32"/>
    <s v="Pending"/>
    <s v="Delhi"/>
    <x v="0"/>
    <x v="3"/>
  </r>
  <r>
    <s v="ORD-00663"/>
    <x v="147"/>
    <s v="CUST-0047"/>
    <s v="PROD-057"/>
    <x v="18"/>
    <n v="3"/>
    <n v="960"/>
    <n v="17.8"/>
    <n v="2367.36"/>
    <s v="Completed"/>
    <s v="Pune"/>
    <x v="1"/>
    <x v="1"/>
  </r>
  <r>
    <s v="ORD-00664"/>
    <x v="114"/>
    <s v="CUST-0175"/>
    <s v="PROD-041"/>
    <x v="12"/>
    <n v="2"/>
    <n v="1540"/>
    <n v="1.8"/>
    <n v="3024.56"/>
    <s v="Cancelled"/>
    <s v="Delhi"/>
    <x v="5"/>
    <x v="3"/>
  </r>
  <r>
    <s v="ORD-00665"/>
    <x v="81"/>
    <s v="CUST-0227"/>
    <s v="PROD-056"/>
    <x v="14"/>
    <n v="5"/>
    <n v="6940"/>
    <n v="2.9"/>
    <n v="33693.699999999997"/>
    <s v="Completed"/>
    <s v="Bengaluru"/>
    <x v="1"/>
    <x v="2"/>
  </r>
  <r>
    <s v="ORD-00666"/>
    <x v="101"/>
    <s v="CUST-0287"/>
    <s v="PROD-041"/>
    <x v="22"/>
    <n v="5"/>
    <n v="1540"/>
    <n v="28.8"/>
    <n v="5482.4"/>
    <s v="Completed"/>
    <s v="Chennai"/>
    <x v="5"/>
    <x v="1"/>
  </r>
  <r>
    <s v="ORD-00667"/>
    <x v="179"/>
    <s v="CUST-0004"/>
    <s v="PROD-031"/>
    <x v="27"/>
    <n v="8"/>
    <n v="3730"/>
    <n v="21.1"/>
    <n v="23543.759999999998"/>
    <s v="Completed"/>
    <s v="Delhi"/>
    <x v="3"/>
    <x v="1"/>
  </r>
  <r>
    <s v="ORD-00668"/>
    <x v="208"/>
    <s v="CUST-0234"/>
    <s v="PROD-021"/>
    <x v="12"/>
    <n v="7"/>
    <n v="2760"/>
    <n v="1.2"/>
    <n v="19088.16"/>
    <s v="Cancelled"/>
    <s v="Bengaluru"/>
    <x v="2"/>
    <x v="3"/>
  </r>
  <r>
    <s v="ORD-00669"/>
    <x v="313"/>
    <s v="CUST-0255"/>
    <s v="PROD-006"/>
    <x v="16"/>
    <n v="3"/>
    <n v="3970"/>
    <n v="18.3"/>
    <n v="9730.4699999999993"/>
    <s v="Completed"/>
    <s v="Chennai"/>
    <x v="4"/>
    <x v="3"/>
  </r>
  <r>
    <s v="ORD-00670"/>
    <x v="274"/>
    <s v="CUST-0092"/>
    <s v="PROD-027"/>
    <x v="12"/>
    <n v="4"/>
    <n v="3780"/>
    <n v="24.6"/>
    <n v="11400.48"/>
    <s v="Completed"/>
    <s v="Bengaluru"/>
    <x v="2"/>
    <x v="3"/>
  </r>
  <r>
    <s v="ORD-00671"/>
    <x v="146"/>
    <s v="CUST-0037"/>
    <s v="PROD-015"/>
    <x v="4"/>
    <n v="10"/>
    <n v="2720"/>
    <n v="12.8"/>
    <n v="23718.400000000001"/>
    <s v="Completed"/>
    <s v="Bengaluru"/>
    <x v="0"/>
    <x v="0"/>
  </r>
  <r>
    <s v="ORD-00672"/>
    <x v="2"/>
    <s v="CUST-0208"/>
    <s v="PROD-006"/>
    <x v="21"/>
    <n v="5"/>
    <n v="3970"/>
    <n v="5.9"/>
    <n v="18678.849999999999"/>
    <s v="Completed"/>
    <s v="Mumbai"/>
    <x v="4"/>
    <x v="3"/>
  </r>
  <r>
    <s v="ORD-00673"/>
    <x v="131"/>
    <s v="CUST-0008"/>
    <s v="PROD-020"/>
    <x v="23"/>
    <n v="3"/>
    <n v="820"/>
    <n v="19.399999999999999"/>
    <n v="1982.76"/>
    <s v="Completed"/>
    <s v="Pune"/>
    <x v="0"/>
    <x v="1"/>
  </r>
  <r>
    <s v="ORD-00674"/>
    <x v="314"/>
    <s v="CUST-0050"/>
    <s v="PROD-016"/>
    <x v="9"/>
    <n v="7"/>
    <n v="620"/>
    <n v="9.9"/>
    <n v="3910.34"/>
    <s v="Completed"/>
    <s v="Mumbai"/>
    <x v="0"/>
    <x v="1"/>
  </r>
  <r>
    <s v="ORD-00675"/>
    <x v="125"/>
    <s v="CUST-0166"/>
    <s v="PROD-042"/>
    <x v="28"/>
    <n v="8"/>
    <n v="2290"/>
    <n v="18.3"/>
    <n v="14967.44"/>
    <s v="Completed"/>
    <s v="Hyderabad"/>
    <x v="5"/>
    <x v="2"/>
  </r>
  <r>
    <s v="ORD-00676"/>
    <x v="234"/>
    <s v="CUST-0271"/>
    <s v="PROD-030"/>
    <x v="5"/>
    <n v="3"/>
    <n v="970"/>
    <n v="18.399999999999999"/>
    <n v="2374.56"/>
    <s v="Completed"/>
    <s v="Bengaluru"/>
    <x v="2"/>
    <x v="2"/>
  </r>
  <r>
    <s v="ORD-00677"/>
    <x v="140"/>
    <s v="CUST-0034"/>
    <s v="PROD-032"/>
    <x v="2"/>
    <n v="2"/>
    <n v="370"/>
    <n v="8.9"/>
    <n v="674.14"/>
    <s v="Completed"/>
    <s v="Delhi"/>
    <x v="3"/>
    <x v="1"/>
  </r>
  <r>
    <s v="ORD-00678"/>
    <x v="215"/>
    <s v="CUST-0016"/>
    <s v="PROD-007"/>
    <x v="0"/>
    <n v="1"/>
    <n v="1430"/>
    <n v="5.9"/>
    <n v="1345.63"/>
    <s v="Cancelled"/>
    <s v="Delhi"/>
    <x v="4"/>
    <x v="0"/>
  </r>
  <r>
    <s v="ORD-00679"/>
    <x v="315"/>
    <s v="CUST-0039"/>
    <s v="PROD-058"/>
    <x v="14"/>
    <n v="2"/>
    <n v="2400"/>
    <n v="29.1"/>
    <n v="3403.2"/>
    <s v="Completed"/>
    <s v="Bengaluru"/>
    <x v="1"/>
    <x v="2"/>
  </r>
  <r>
    <s v="ORD-00680"/>
    <x v="186"/>
    <s v="CUST-0253"/>
    <s v="PROD-007"/>
    <x v="23"/>
    <n v="9"/>
    <n v="1430"/>
    <n v="6"/>
    <n v="12097.8"/>
    <s v="Completed"/>
    <s v="Delhi"/>
    <x v="4"/>
    <x v="1"/>
  </r>
  <r>
    <s v="ORD-00681"/>
    <x v="256"/>
    <s v="CUST-0295"/>
    <s v="PROD-015"/>
    <x v="0"/>
    <n v="8"/>
    <n v="2720"/>
    <n v="25.7"/>
    <n v="16167.68"/>
    <s v="Completed"/>
    <s v="Delhi"/>
    <x v="0"/>
    <x v="0"/>
  </r>
  <r>
    <s v="ORD-00682"/>
    <x v="160"/>
    <s v="CUST-0138"/>
    <s v="PROD-056"/>
    <x v="28"/>
    <n v="6"/>
    <n v="6940"/>
    <n v="25.7"/>
    <n v="30938.52"/>
    <s v="Completed"/>
    <s v="Chennai"/>
    <x v="1"/>
    <x v="2"/>
  </r>
  <r>
    <s v="ORD-00683"/>
    <x v="22"/>
    <s v="CUST-0002"/>
    <s v="PROD-014"/>
    <x v="0"/>
    <n v="3"/>
    <n v="3620"/>
    <n v="29.7"/>
    <n v="7634.58"/>
    <s v="Completed"/>
    <s v="Pune"/>
    <x v="0"/>
    <x v="0"/>
  </r>
  <r>
    <s v="ORD-00684"/>
    <x v="70"/>
    <s v="CUST-0287"/>
    <s v="PROD-010"/>
    <x v="5"/>
    <n v="8"/>
    <n v="2640"/>
    <n v="24.4"/>
    <n v="15966.72"/>
    <s v="Completed"/>
    <s v="Chennai"/>
    <x v="4"/>
    <x v="2"/>
  </r>
  <r>
    <s v="ORD-00685"/>
    <x v="134"/>
    <s v="CUST-0279"/>
    <s v="PROD-038"/>
    <x v="3"/>
    <n v="3"/>
    <n v="5490"/>
    <n v="13.5"/>
    <n v="14246.55"/>
    <s v="Completed"/>
    <s v="Mumbai"/>
    <x v="3"/>
    <x v="0"/>
  </r>
  <r>
    <s v="ORD-00686"/>
    <x v="3"/>
    <s v="CUST-0008"/>
    <s v="PROD-034"/>
    <x v="21"/>
    <n v="3"/>
    <n v="5080"/>
    <n v="9.3000000000000007"/>
    <n v="13822.68"/>
    <s v="Completed"/>
    <s v="Pune"/>
    <x v="3"/>
    <x v="3"/>
  </r>
  <r>
    <s v="ORD-00687"/>
    <x v="50"/>
    <s v="CUST-0092"/>
    <s v="PROD-042"/>
    <x v="14"/>
    <n v="4"/>
    <n v="2290"/>
    <n v="24.4"/>
    <n v="6924.96"/>
    <s v="Completed"/>
    <s v="Bengaluru"/>
    <x v="5"/>
    <x v="2"/>
  </r>
  <r>
    <s v="ORD-00688"/>
    <x v="113"/>
    <s v="CUST-0106"/>
    <s v="PROD-033"/>
    <x v="23"/>
    <n v="10"/>
    <n v="2030"/>
    <n v="13.6"/>
    <n v="17539.2"/>
    <s v="Pending"/>
    <s v="Pune"/>
    <x v="3"/>
    <x v="1"/>
  </r>
  <r>
    <s v="ORD-00689"/>
    <x v="84"/>
    <s v="CUST-0010"/>
    <s v="PROD-007"/>
    <x v="27"/>
    <n v="10"/>
    <n v="1430"/>
    <n v="16.100000000000001"/>
    <n v="11997.7"/>
    <s v="Cancelled"/>
    <s v="Mumbai"/>
    <x v="4"/>
    <x v="1"/>
  </r>
  <r>
    <s v="ORD-00690"/>
    <x v="298"/>
    <s v="CUST-0179"/>
    <s v="PROD-027"/>
    <x v="18"/>
    <n v="1"/>
    <n v="3780"/>
    <n v="22.7"/>
    <n v="2921.94"/>
    <s v="Completed"/>
    <s v="Mumbai"/>
    <x v="2"/>
    <x v="1"/>
  </r>
  <r>
    <s v="ORD-00691"/>
    <x v="68"/>
    <s v="CUST-0216"/>
    <s v="PROD-012"/>
    <x v="13"/>
    <n v="10"/>
    <n v="3160"/>
    <n v="13.4"/>
    <n v="27365.599999999999"/>
    <s v="Completed"/>
    <s v="Mumbai"/>
    <x v="0"/>
    <x v="3"/>
  </r>
  <r>
    <s v="ORD-00692"/>
    <x v="124"/>
    <s v="CUST-0172"/>
    <s v="PROD-007"/>
    <x v="11"/>
    <n v="2"/>
    <n v="1430"/>
    <n v="7.4"/>
    <n v="2648.36"/>
    <s v="Completed"/>
    <s v="Pune"/>
    <x v="4"/>
    <x v="0"/>
  </r>
  <r>
    <s v="ORD-00693"/>
    <x v="93"/>
    <s v="CUST-0152"/>
    <s v="PROD-012"/>
    <x v="3"/>
    <n v="5"/>
    <n v="3160"/>
    <n v="3.6"/>
    <n v="15231.2"/>
    <s v="Pending"/>
    <s v="Bengaluru"/>
    <x v="0"/>
    <x v="0"/>
  </r>
  <r>
    <s v="ORD-00694"/>
    <x v="126"/>
    <s v="CUST-0154"/>
    <s v="PROD-042"/>
    <x v="10"/>
    <n v="2"/>
    <n v="2290"/>
    <n v="28.2"/>
    <n v="3288.44"/>
    <s v="Completed"/>
    <s v="Pune"/>
    <x v="5"/>
    <x v="0"/>
  </r>
  <r>
    <s v="ORD-00695"/>
    <x v="250"/>
    <s v="CUST-0001"/>
    <s v="PROD-011"/>
    <x v="15"/>
    <n v="5"/>
    <n v="3450"/>
    <n v="18.100000000000001"/>
    <n v="14127.75"/>
    <s v="Cancelled"/>
    <s v="Pune"/>
    <x v="0"/>
    <x v="1"/>
  </r>
  <r>
    <s v="ORD-00696"/>
    <x v="96"/>
    <s v="CUST-0069"/>
    <s v="PROD-018"/>
    <x v="19"/>
    <n v="1"/>
    <n v="3560"/>
    <n v="18.7"/>
    <n v="2894.28"/>
    <s v="Completed"/>
    <s v="Chennai"/>
    <x v="0"/>
    <x v="0"/>
  </r>
  <r>
    <s v="ORD-00697"/>
    <x v="87"/>
    <s v="CUST-0200"/>
    <s v="PROD-058"/>
    <x v="18"/>
    <n v="9"/>
    <n v="2400"/>
    <n v="18.5"/>
    <n v="17604"/>
    <s v="Completed"/>
    <s v="Hyderabad"/>
    <x v="1"/>
    <x v="1"/>
  </r>
  <r>
    <s v="ORD-00698"/>
    <x v="209"/>
    <s v="CUST-0164"/>
    <s v="PROD-004"/>
    <x v="12"/>
    <n v="9"/>
    <n v="3870"/>
    <n v="6.9"/>
    <n v="32426.73"/>
    <s v="Refunded"/>
    <s v="Chennai"/>
    <x v="4"/>
    <x v="3"/>
  </r>
  <r>
    <s v="ORD-00699"/>
    <x v="247"/>
    <s v="CUST-0004"/>
    <s v="PROD-028"/>
    <x v="24"/>
    <n v="5"/>
    <n v="3660"/>
    <n v="11.7"/>
    <n v="16158.9"/>
    <s v="Completed"/>
    <s v="Delhi"/>
    <x v="2"/>
    <x v="3"/>
  </r>
  <r>
    <s v="ORD-00700"/>
    <x v="63"/>
    <s v="CUST-0224"/>
    <s v="PROD-040"/>
    <x v="14"/>
    <n v="4"/>
    <n v="1080"/>
    <n v="17.5"/>
    <n v="3564"/>
    <s v="Completed"/>
    <s v="Chennai"/>
    <x v="3"/>
    <x v="2"/>
  </r>
  <r>
    <s v="ORD-01185"/>
    <x v="92"/>
    <s v="CUST-0037"/>
    <s v="PROD-059"/>
    <x v="3"/>
    <n v="6"/>
    <n v="3780"/>
    <n v="27.8"/>
    <n v="16374.96"/>
    <s v="Completed"/>
    <s v="Bengaluru"/>
    <x v="1"/>
    <x v="0"/>
  </r>
  <r>
    <s v="ORD-00702"/>
    <x v="126"/>
    <s v="CUST-0179"/>
    <s v="PROD-019"/>
    <x v="24"/>
    <n v="8"/>
    <n v="2480"/>
    <n v="15.7"/>
    <n v="16725.12"/>
    <s v="Pending"/>
    <s v="Mumbai"/>
    <x v="0"/>
    <x v="3"/>
  </r>
  <r>
    <s v="ORD-00703"/>
    <x v="132"/>
    <s v="CUST-0018"/>
    <s v="PROD-054"/>
    <x v="2"/>
    <n v="10"/>
    <n v="1010"/>
    <n v="0.1"/>
    <n v="10089.9"/>
    <s v="Pending"/>
    <s v="Pune"/>
    <x v="1"/>
    <x v="1"/>
  </r>
  <r>
    <s v="ORD-00704"/>
    <x v="5"/>
    <s v="CUST-0184"/>
    <s v="PROD-053"/>
    <x v="15"/>
    <n v="3"/>
    <n v="470"/>
    <n v="1.1000000000000001"/>
    <n v="1394.49"/>
    <s v="Completed"/>
    <s v="Pune"/>
    <x v="1"/>
    <x v="1"/>
  </r>
  <r>
    <s v="ORD-00705"/>
    <x v="267"/>
    <s v="CUST-0066"/>
    <s v="PROD-024"/>
    <x v="7"/>
    <n v="4"/>
    <n v="2270"/>
    <n v="17.100000000000001"/>
    <n v="7527.32"/>
    <s v="Completed"/>
    <s v="Delhi"/>
    <x v="2"/>
    <x v="3"/>
  </r>
  <r>
    <s v="ORD-00706"/>
    <x v="276"/>
    <s v="CUST-0053"/>
    <s v="PROD-021"/>
    <x v="9"/>
    <n v="7"/>
    <n v="2760"/>
    <n v="17.100000000000001"/>
    <n v="16016.28"/>
    <s v="Completed"/>
    <s v="Delhi"/>
    <x v="2"/>
    <x v="1"/>
  </r>
  <r>
    <s v="ORD-00707"/>
    <x v="21"/>
    <s v="CUST-0278"/>
    <s v="PROD-051"/>
    <x v="4"/>
    <n v="6"/>
    <n v="3450"/>
    <n v="6.6"/>
    <n v="19333.8"/>
    <s v="Refunded"/>
    <s v="Hyderabad"/>
    <x v="1"/>
    <x v="0"/>
  </r>
  <r>
    <s v="ORD-00708"/>
    <x v="316"/>
    <s v="CUST-0285"/>
    <s v="PROD-028"/>
    <x v="0"/>
    <n v="8"/>
    <n v="3660"/>
    <n v="7.2"/>
    <n v="27171.84"/>
    <s v="Completed"/>
    <s v="Hyderabad"/>
    <x v="2"/>
    <x v="0"/>
  </r>
  <r>
    <s v="ORD-00709"/>
    <x v="317"/>
    <s v="CUST-0060"/>
    <s v="PROD-009"/>
    <x v="14"/>
    <n v="4"/>
    <n v="1220"/>
    <n v="24.3"/>
    <n v="3694.16"/>
    <s v="Cancelled"/>
    <s v="Pune"/>
    <x v="4"/>
    <x v="2"/>
  </r>
  <r>
    <s v="ORD-00710"/>
    <x v="294"/>
    <s v="CUST-0236"/>
    <s v="PROD-052"/>
    <x v="0"/>
    <n v="2"/>
    <n v="5410"/>
    <n v="0.9"/>
    <n v="10722.62"/>
    <s v="Pending"/>
    <s v="Hyderabad"/>
    <x v="1"/>
    <x v="0"/>
  </r>
  <r>
    <s v="ORD-00711"/>
    <x v="94"/>
    <s v="CUST-0106"/>
    <s v="PROD-033"/>
    <x v="18"/>
    <n v="5"/>
    <n v="2030"/>
    <n v="25.2"/>
    <n v="7592.2"/>
    <s v="Completed"/>
    <s v="Pune"/>
    <x v="3"/>
    <x v="1"/>
  </r>
  <r>
    <s v="ORD-00712"/>
    <x v="26"/>
    <s v="CUST-0085"/>
    <s v="PROD-009"/>
    <x v="27"/>
    <n v="5"/>
    <n v="1220"/>
    <n v="2.6"/>
    <n v="5941.4"/>
    <s v="Completed"/>
    <s v="Chennai"/>
    <x v="4"/>
    <x v="1"/>
  </r>
  <r>
    <s v="ORD-00713"/>
    <x v="77"/>
    <s v="CUST-0075"/>
    <s v="PROD-008"/>
    <x v="3"/>
    <n v="4"/>
    <n v="2660"/>
    <n v="19.100000000000001"/>
    <n v="8607.76"/>
    <s v="Refunded"/>
    <s v="Mumbai"/>
    <x v="4"/>
    <x v="0"/>
  </r>
  <r>
    <s v="ORD-00714"/>
    <x v="116"/>
    <s v="CUST-0169"/>
    <s v="PROD-026"/>
    <x v="29"/>
    <n v="3"/>
    <n v="4070"/>
    <n v="25.2"/>
    <n v="9133.08"/>
    <s v="Completed"/>
    <s v="Bengaluru"/>
    <x v="2"/>
    <x v="1"/>
  </r>
  <r>
    <s v="ORD-00715"/>
    <x v="76"/>
    <s v="CUST-0166"/>
    <s v="PROD-049"/>
    <x v="2"/>
    <n v="10"/>
    <n v="960"/>
    <n v="0.3"/>
    <n v="9571.2000000000007"/>
    <s v="Completed"/>
    <s v="Hyderabad"/>
    <x v="5"/>
    <x v="1"/>
  </r>
  <r>
    <s v="ORD-00716"/>
    <x v="313"/>
    <s v="CUST-0065"/>
    <s v="PROD-031"/>
    <x v="20"/>
    <n v="2"/>
    <n v="3730"/>
    <n v="29.9"/>
    <n v="5229.46"/>
    <s v="Completed"/>
    <s v="Chennai"/>
    <x v="3"/>
    <x v="2"/>
  </r>
  <r>
    <s v="ORD-00717"/>
    <x v="95"/>
    <s v="CUST-0102"/>
    <s v="PROD-057"/>
    <x v="10"/>
    <n v="9"/>
    <n v="960"/>
    <n v="1.9"/>
    <n v="8475.84"/>
    <s v="Completed"/>
    <s v="Chennai"/>
    <x v="1"/>
    <x v="0"/>
  </r>
  <r>
    <s v="ORD-00718"/>
    <x v="253"/>
    <s v="CUST-0052"/>
    <s v="PROD-011"/>
    <x v="10"/>
    <n v="2"/>
    <n v="3450"/>
    <n v="22.9"/>
    <n v="5319.9"/>
    <s v="Pending"/>
    <s v="Pune"/>
    <x v="0"/>
    <x v="0"/>
  </r>
  <r>
    <s v="ORD-00719"/>
    <x v="48"/>
    <s v="CUST-0130"/>
    <s v="PROD-052"/>
    <x v="9"/>
    <n v="3"/>
    <n v="5410"/>
    <n v="15.5"/>
    <n v="13714.35"/>
    <s v="Completed"/>
    <s v="Bengaluru"/>
    <x v="1"/>
    <x v="1"/>
  </r>
  <r>
    <s v="ORD-00720"/>
    <x v="120"/>
    <s v="CUST-0284"/>
    <s v="PROD-043"/>
    <x v="7"/>
    <n v="8"/>
    <n v="3350"/>
    <n v="18.399999999999999"/>
    <n v="21868.799999999999"/>
    <s v="Completed"/>
    <s v="Hyderabad"/>
    <x v="5"/>
    <x v="3"/>
  </r>
  <r>
    <s v="ORD-00721"/>
    <x v="4"/>
    <s v="CUST-0053"/>
    <s v="PROD-015"/>
    <x v="4"/>
    <n v="5"/>
    <n v="2720"/>
    <n v="17.3"/>
    <n v="11247.2"/>
    <s v="Cancelled"/>
    <s v="Delhi"/>
    <x v="0"/>
    <x v="0"/>
  </r>
  <r>
    <s v="ORD-00722"/>
    <x v="210"/>
    <s v="CUST-0293"/>
    <s v="PROD-028"/>
    <x v="21"/>
    <n v="8"/>
    <n v="3660"/>
    <n v="28.8"/>
    <n v="20847.36"/>
    <s v="Completed"/>
    <s v="Bengaluru"/>
    <x v="2"/>
    <x v="3"/>
  </r>
  <r>
    <s v="ORD-00723"/>
    <x v="21"/>
    <s v="CUST-0242"/>
    <s v="PROD-005"/>
    <x v="22"/>
    <n v="6"/>
    <n v="300"/>
    <n v="23.9"/>
    <n v="1369.8"/>
    <s v="Cancelled"/>
    <s v="Chennai"/>
    <x v="4"/>
    <x v="1"/>
  </r>
  <r>
    <s v="ORD-00724"/>
    <x v="289"/>
    <s v="CUST-0226"/>
    <s v="PROD-042"/>
    <x v="17"/>
    <n v="3"/>
    <n v="2290"/>
    <n v="2.4"/>
    <n v="6705.12"/>
    <s v="Completed"/>
    <s v="Chennai"/>
    <x v="5"/>
    <x v="2"/>
  </r>
  <r>
    <s v="ORD-00725"/>
    <x v="210"/>
    <s v="CUST-0005"/>
    <s v="PROD-046"/>
    <x v="2"/>
    <n v="6"/>
    <n v="4880"/>
    <n v="11.1"/>
    <n v="26029.919999999998"/>
    <s v="Pending"/>
    <s v="Chennai"/>
    <x v="5"/>
    <x v="1"/>
  </r>
  <r>
    <s v="ORD-00726"/>
    <x v="254"/>
    <s v="CUST-0211"/>
    <s v="PROD-005"/>
    <x v="0"/>
    <n v="5"/>
    <n v="300"/>
    <n v="19.399999999999999"/>
    <n v="1209"/>
    <s v="Completed"/>
    <s v="Bengaluru"/>
    <x v="4"/>
    <x v="0"/>
  </r>
  <r>
    <s v="ORD-00727"/>
    <x v="208"/>
    <s v="CUST-0229"/>
    <s v="PROD-008"/>
    <x v="14"/>
    <n v="3"/>
    <n v="2660"/>
    <n v="28.5"/>
    <n v="5705.7"/>
    <s v="Pending"/>
    <s v="Hyderabad"/>
    <x v="4"/>
    <x v="2"/>
  </r>
  <r>
    <s v="ORD-00728"/>
    <x v="224"/>
    <s v="CUST-0037"/>
    <s v="PROD-035"/>
    <x v="6"/>
    <n v="7"/>
    <n v="1090"/>
    <n v="10.3"/>
    <n v="6844.11"/>
    <s v="Completed"/>
    <s v="Bengaluru"/>
    <x v="3"/>
    <x v="2"/>
  </r>
  <r>
    <s v="ORD-00729"/>
    <x v="154"/>
    <s v="CUST-0059"/>
    <s v="PROD-007"/>
    <x v="27"/>
    <n v="9"/>
    <n v="1430"/>
    <n v="12.1"/>
    <n v="11312.73"/>
    <s v="Cancelled"/>
    <s v="Pune"/>
    <x v="4"/>
    <x v="1"/>
  </r>
  <r>
    <s v="ORD-00730"/>
    <x v="112"/>
    <s v="CUST-0222"/>
    <s v="PROD-010"/>
    <x v="1"/>
    <n v="5"/>
    <n v="2640"/>
    <n v="26.8"/>
    <n v="9662.4"/>
    <s v="Completed"/>
    <s v="Chennai"/>
    <x v="4"/>
    <x v="0"/>
  </r>
  <r>
    <s v="ORD-00731"/>
    <x v="71"/>
    <s v="CUST-0157"/>
    <s v="PROD-015"/>
    <x v="19"/>
    <n v="8"/>
    <n v="2720"/>
    <n v="17.5"/>
    <n v="17952"/>
    <s v="Completed"/>
    <s v="Pune"/>
    <x v="0"/>
    <x v="0"/>
  </r>
  <r>
    <s v="ORD-00732"/>
    <x v="226"/>
    <s v="CUST-0027"/>
    <s v="PROD-013"/>
    <x v="29"/>
    <n v="9"/>
    <n v="3640"/>
    <n v="3.6"/>
    <n v="31580.639999999999"/>
    <s v="Completed"/>
    <s v="Hyderabad"/>
    <x v="0"/>
    <x v="1"/>
  </r>
  <r>
    <s v="ORD-00733"/>
    <x v="211"/>
    <s v="CUST-9846"/>
    <s v="PROD-050"/>
    <x v="13"/>
    <n v="7"/>
    <n v="6080"/>
    <n v="23.6"/>
    <n v="32515.84"/>
    <s v="Completed"/>
    <s v="Mumbai"/>
    <x v="5"/>
    <x v="3"/>
  </r>
  <r>
    <s v="ORD-00734"/>
    <x v="241"/>
    <s v="CUST-0011"/>
    <s v="PROD-001"/>
    <x v="15"/>
    <n v="7"/>
    <n v="5330"/>
    <n v="19.7"/>
    <n v="29959.93"/>
    <s v="Cancelled"/>
    <s v="Chennai"/>
    <x v="4"/>
    <x v="1"/>
  </r>
  <r>
    <s v="ORD-00735"/>
    <x v="106"/>
    <s v="CUST-0043"/>
    <s v="PROD-039"/>
    <x v="6"/>
    <n v="5"/>
    <n v="4610"/>
    <n v="3.6"/>
    <n v="22220.2"/>
    <s v="Completed"/>
    <s v="Hyderabad"/>
    <x v="3"/>
    <x v="2"/>
  </r>
  <r>
    <s v="ORD-00736"/>
    <x v="272"/>
    <s v="CUST-0154"/>
    <s v="PROD-001"/>
    <x v="14"/>
    <n v="9"/>
    <n v="5330"/>
    <n v="22.9"/>
    <n v="36984.870000000003"/>
    <s v="Completed"/>
    <s v="Pune"/>
    <x v="4"/>
    <x v="2"/>
  </r>
  <r>
    <s v="ORD-00737"/>
    <x v="242"/>
    <s v="CUST-0163"/>
    <s v="PROD-050"/>
    <x v="26"/>
    <n v="5"/>
    <n v="6080"/>
    <n v="6"/>
    <n v="28576"/>
    <s v="Refunded"/>
    <s v="Pune"/>
    <x v="5"/>
    <x v="3"/>
  </r>
  <r>
    <s v="ORD-00738"/>
    <x v="193"/>
    <s v="CUST-0299"/>
    <s v="PROD-013"/>
    <x v="21"/>
    <n v="7"/>
    <n v="3640"/>
    <n v="5.5"/>
    <n v="24078.6"/>
    <s v="Completed"/>
    <s v="Mumbai"/>
    <x v="0"/>
    <x v="3"/>
  </r>
  <r>
    <s v="ORD-00739"/>
    <x v="260"/>
    <s v="CUST-0240"/>
    <s v="PROD-008"/>
    <x v="22"/>
    <n v="1"/>
    <n v="2660"/>
    <n v="6.1"/>
    <n v="2497.7399999999998"/>
    <s v="Cancelled"/>
    <s v="Chennai"/>
    <x v="4"/>
    <x v="1"/>
  </r>
  <r>
    <s v="ORD-00740"/>
    <x v="212"/>
    <s v="CUST-0291"/>
    <s v="PROD-043"/>
    <x v="15"/>
    <n v="8"/>
    <n v="3350"/>
    <n v="19.5"/>
    <n v="21574"/>
    <s v="Completed"/>
    <s v="Pune"/>
    <x v="5"/>
    <x v="1"/>
  </r>
  <r>
    <s v="ORD-00741"/>
    <x v="83"/>
    <s v="CUST-0243"/>
    <s v="PROD-039"/>
    <x v="7"/>
    <n v="4"/>
    <n v="4610"/>
    <n v="24"/>
    <n v="14014.4"/>
    <s v="Completed"/>
    <s v="Pune"/>
    <x v="3"/>
    <x v="3"/>
  </r>
  <r>
    <s v="ORD-00742"/>
    <x v="174"/>
    <s v="CUST-0073"/>
    <s v="PROD-055"/>
    <x v="2"/>
    <n v="7"/>
    <n v="2860"/>
    <n v="23.2"/>
    <n v="15375.36"/>
    <s v="Completed"/>
    <s v="Pune"/>
    <x v="1"/>
    <x v="1"/>
  </r>
  <r>
    <s v="ORD-00743"/>
    <x v="128"/>
    <s v="CUST-0154"/>
    <s v="PROD-043"/>
    <x v="22"/>
    <n v="7"/>
    <n v="3350"/>
    <n v="10.6"/>
    <n v="20964.3"/>
    <s v="Pending"/>
    <s v="Pune"/>
    <x v="5"/>
    <x v="1"/>
  </r>
  <r>
    <s v="ORD-00744"/>
    <x v="55"/>
    <s v="CUST-0084"/>
    <s v="PROD-029"/>
    <x v="8"/>
    <n v="5"/>
    <n v="2210"/>
    <n v="12.1"/>
    <n v="9712.9500000000007"/>
    <s v="Completed"/>
    <s v="Chennai"/>
    <x v="2"/>
    <x v="2"/>
  </r>
  <r>
    <s v="ORD-00745"/>
    <x v="90"/>
    <s v="CUST-0228"/>
    <s v="PROD-047"/>
    <x v="22"/>
    <n v="1"/>
    <n v="3450"/>
    <n v="19.100000000000001"/>
    <n v="2791.05"/>
    <s v="Pending"/>
    <s v="Pune"/>
    <x v="5"/>
    <x v="1"/>
  </r>
  <r>
    <s v="ORD-00746"/>
    <x v="78"/>
    <s v="CUST-0232"/>
    <s v="PROD-048"/>
    <x v="8"/>
    <n v="5"/>
    <n v="5100"/>
    <n v="2.8"/>
    <n v="24786"/>
    <s v="Completed"/>
    <s v="Hyderabad"/>
    <x v="5"/>
    <x v="2"/>
  </r>
  <r>
    <s v="ORD-00747"/>
    <x v="318"/>
    <s v="CUST-0129"/>
    <s v="PROD-048"/>
    <x v="11"/>
    <n v="9"/>
    <n v="5100"/>
    <n v="24.4"/>
    <n v="34700.400000000001"/>
    <s v="Completed"/>
    <s v="Hyderabad"/>
    <x v="5"/>
    <x v="0"/>
  </r>
  <r>
    <s v="ORD-00748"/>
    <x v="296"/>
    <s v="CUST-0189"/>
    <s v="PROD-037"/>
    <x v="3"/>
    <n v="9"/>
    <n v="660"/>
    <n v="19.8"/>
    <n v="4763.88"/>
    <s v="Completed"/>
    <s v="Chennai"/>
    <x v="3"/>
    <x v="0"/>
  </r>
  <r>
    <s v="ORD-00749"/>
    <x v="0"/>
    <s v="CUST-0122"/>
    <s v="PROD-026"/>
    <x v="3"/>
    <n v="3"/>
    <n v="4070"/>
    <n v="27.1"/>
    <n v="8901.09"/>
    <s v="Completed"/>
    <s v="Mumbai"/>
    <x v="2"/>
    <x v="0"/>
  </r>
  <r>
    <s v="ORD-00750"/>
    <x v="172"/>
    <s v="CUST-0170"/>
    <s v="PROD-017"/>
    <x v="0"/>
    <n v="2"/>
    <n v="2510"/>
    <n v="29.1"/>
    <n v="3559.18"/>
    <s v="Completed"/>
    <s v="Mumbai"/>
    <x v="0"/>
    <x v="0"/>
  </r>
  <r>
    <s v="ORD-00751"/>
    <x v="121"/>
    <s v="CUST-0291"/>
    <s v="PROD-036"/>
    <x v="14"/>
    <n v="4"/>
    <n v="3250"/>
    <n v="21.1"/>
    <n v="10257"/>
    <s v="Completed"/>
    <s v="Pune"/>
    <x v="3"/>
    <x v="2"/>
  </r>
  <r>
    <s v="ORD-00752"/>
    <x v="77"/>
    <s v="CUST-0090"/>
    <s v="PROD-032"/>
    <x v="1"/>
    <n v="3"/>
    <n v="370"/>
    <n v="7.7"/>
    <n v="1024.53"/>
    <s v="Completed"/>
    <s v="Bengaluru"/>
    <x v="3"/>
    <x v="0"/>
  </r>
  <r>
    <s v="ORD-00753"/>
    <x v="319"/>
    <s v="CUST-0205"/>
    <s v="PROD-020"/>
    <x v="3"/>
    <n v="10"/>
    <n v="820"/>
    <n v="3.5"/>
    <n v="7913"/>
    <s v="Completed"/>
    <s v="Pune"/>
    <x v="0"/>
    <x v="0"/>
  </r>
  <r>
    <s v="ORD-00754"/>
    <x v="101"/>
    <s v="CUST-0192"/>
    <s v="PROD-026"/>
    <x v="20"/>
    <n v="4"/>
    <n v="4070"/>
    <n v="23.8"/>
    <n v="12405.36"/>
    <s v="Completed"/>
    <s v="Bengaluru"/>
    <x v="2"/>
    <x v="2"/>
  </r>
  <r>
    <s v="ORD-00755"/>
    <x v="320"/>
    <s v="CUST-0270"/>
    <s v="PROD-023"/>
    <x v="23"/>
    <n v="1"/>
    <n v="2380"/>
    <n v="19.600000000000001"/>
    <n v="1913.52"/>
    <s v="Cancelled"/>
    <s v="Bengaluru"/>
    <x v="2"/>
    <x v="1"/>
  </r>
  <r>
    <s v="ORD-00756"/>
    <x v="223"/>
    <s v="CUST-0266"/>
    <s v="PROD-038"/>
    <x v="14"/>
    <n v="3"/>
    <n v="5490"/>
    <n v="2.5"/>
    <n v="16058.25"/>
    <s v="Completed"/>
    <s v="Pune"/>
    <x v="3"/>
    <x v="2"/>
  </r>
  <r>
    <s v="ORD-00757"/>
    <x v="155"/>
    <s v="CUST-0208"/>
    <s v="PROD-013"/>
    <x v="28"/>
    <n v="3"/>
    <n v="3640"/>
    <n v="23.3"/>
    <n v="8375.64"/>
    <s v="Completed"/>
    <s v="Mumbai"/>
    <x v="0"/>
    <x v="2"/>
  </r>
  <r>
    <s v="ORD-00758"/>
    <x v="321"/>
    <s v="CUST-0224"/>
    <s v="PROD-039"/>
    <x v="26"/>
    <n v="2"/>
    <n v="4610"/>
    <n v="5"/>
    <n v="8759"/>
    <s v="Pending"/>
    <s v="Chennai"/>
    <x v="3"/>
    <x v="3"/>
  </r>
  <r>
    <s v="ORD-00759"/>
    <x v="264"/>
    <s v="CUST-0264"/>
    <s v="PROD-058"/>
    <x v="19"/>
    <n v="8"/>
    <n v="2400"/>
    <n v="10"/>
    <n v="17280"/>
    <s v="Pending"/>
    <s v="Pune"/>
    <x v="1"/>
    <x v="0"/>
  </r>
  <r>
    <s v="ORD-00760"/>
    <x v="100"/>
    <s v="CUST-0113"/>
    <s v="PROD-043"/>
    <x v="25"/>
    <n v="7"/>
    <n v="3350"/>
    <n v="23.7"/>
    <n v="17892.349999999999"/>
    <s v="Completed"/>
    <s v="Delhi"/>
    <x v="5"/>
    <x v="0"/>
  </r>
  <r>
    <s v="ORD-00761"/>
    <x v="4"/>
    <s v="CUST-0160"/>
    <s v="PROD-013"/>
    <x v="27"/>
    <n v="4"/>
    <n v="3640"/>
    <n v="9.3000000000000007"/>
    <n v="13205.92"/>
    <s v="Cancelled"/>
    <s v="Hyderabad"/>
    <x v="0"/>
    <x v="1"/>
  </r>
  <r>
    <s v="ORD-00762"/>
    <x v="133"/>
    <s v="CUST-0109"/>
    <s v="PROD-013"/>
    <x v="8"/>
    <n v="9"/>
    <n v="3640"/>
    <n v="13.1"/>
    <n v="28468.44"/>
    <s v="Pending"/>
    <s v="Pune"/>
    <x v="0"/>
    <x v="2"/>
  </r>
  <r>
    <s v="ORD-00763"/>
    <x v="287"/>
    <s v="CUST-0107"/>
    <s v="PROD-033"/>
    <x v="2"/>
    <n v="2"/>
    <n v="2030"/>
    <n v="12.2"/>
    <n v="3564.68"/>
    <s v="Completed"/>
    <s v="Pune"/>
    <x v="3"/>
    <x v="1"/>
  </r>
  <r>
    <s v="ORD-00764"/>
    <x v="314"/>
    <s v="CUST-0120"/>
    <s v="PROD-012"/>
    <x v="25"/>
    <n v="4"/>
    <n v="3160"/>
    <n v="7.5"/>
    <n v="11692"/>
    <s v="Completed"/>
    <s v="Mumbai"/>
    <x v="0"/>
    <x v="0"/>
  </r>
  <r>
    <s v="ORD-00765"/>
    <x v="322"/>
    <s v="CUST-0225"/>
    <s v="PROD-026"/>
    <x v="20"/>
    <n v="10"/>
    <n v="4070"/>
    <n v="8.3000000000000007"/>
    <n v="37321.9"/>
    <s v="Completed"/>
    <s v="Chennai"/>
    <x v="2"/>
    <x v="2"/>
  </r>
  <r>
    <s v="ORD-00766"/>
    <x v="30"/>
    <s v="CUST-0134"/>
    <s v="PROD-025"/>
    <x v="6"/>
    <n v="8"/>
    <n v="4060"/>
    <n v="8.5"/>
    <n v="29719.200000000001"/>
    <s v="Completed"/>
    <s v="Delhi"/>
    <x v="2"/>
    <x v="2"/>
  </r>
  <r>
    <s v="ORD-00767"/>
    <x v="323"/>
    <s v="CUST-0279"/>
    <s v="PROD-057"/>
    <x v="26"/>
    <n v="8"/>
    <n v="960"/>
    <n v="8.6999999999999993"/>
    <n v="7011.84"/>
    <s v="Completed"/>
    <s v="Mumbai"/>
    <x v="1"/>
    <x v="3"/>
  </r>
  <r>
    <s v="ORD-00768"/>
    <x v="141"/>
    <s v="CUST-0247"/>
    <s v="PROD-022"/>
    <x v="28"/>
    <n v="2"/>
    <n v="2270"/>
    <n v="10.199999999999999"/>
    <n v="4076.92"/>
    <s v="Completed"/>
    <s v="Pune"/>
    <x v="2"/>
    <x v="2"/>
  </r>
  <r>
    <s v="ORD-00769"/>
    <x v="197"/>
    <s v="CUST-0129"/>
    <s v="PROD-027"/>
    <x v="0"/>
    <n v="1"/>
    <n v="3780"/>
    <n v="15.3"/>
    <n v="3201.66"/>
    <s v="Cancelled"/>
    <s v="Hyderabad"/>
    <x v="2"/>
    <x v="0"/>
  </r>
  <r>
    <s v="ORD-00770"/>
    <x v="135"/>
    <s v="CUST-0038"/>
    <s v="PROD-042"/>
    <x v="8"/>
    <n v="10"/>
    <n v="2290"/>
    <n v="2.4"/>
    <n v="22350.400000000001"/>
    <s v="Pending"/>
    <s v="Mumbai"/>
    <x v="5"/>
    <x v="2"/>
  </r>
  <r>
    <s v="ORD-00771"/>
    <x v="104"/>
    <s v="CUST-0109"/>
    <s v="PROD-043"/>
    <x v="21"/>
    <n v="5"/>
    <n v="3350"/>
    <n v="18.5"/>
    <n v="13651.25"/>
    <s v="Cancelled"/>
    <s v="Pune"/>
    <x v="5"/>
    <x v="3"/>
  </r>
  <r>
    <s v="ORD-00772"/>
    <x v="324"/>
    <s v="CUST-0051"/>
    <s v="PROD-017"/>
    <x v="13"/>
    <n v="7"/>
    <n v="2510"/>
    <n v="4.2"/>
    <n v="16832.060000000001"/>
    <s v="Cancelled"/>
    <s v="Pune"/>
    <x v="0"/>
    <x v="3"/>
  </r>
  <r>
    <s v="ORD-00773"/>
    <x v="325"/>
    <s v="CUST-0265"/>
    <s v="PROD-002"/>
    <x v="26"/>
    <n v="1"/>
    <n v="2600"/>
    <n v="2.2000000000000002"/>
    <n v="2542.8000000000002"/>
    <s v="Completed"/>
    <s v="Chennai"/>
    <x v="4"/>
    <x v="3"/>
  </r>
  <r>
    <s v="ORD-00774"/>
    <x v="299"/>
    <s v="CUST-0192"/>
    <s v="PROD-053"/>
    <x v="11"/>
    <n v="8"/>
    <n v="470"/>
    <n v="25.2"/>
    <n v="2812.48"/>
    <s v="Completed"/>
    <s v="Bengaluru"/>
    <x v="1"/>
    <x v="0"/>
  </r>
  <r>
    <s v="ORD-00775"/>
    <x v="307"/>
    <s v="CUST-0241"/>
    <s v="PROD-040"/>
    <x v="27"/>
    <n v="6"/>
    <n v="1080"/>
    <n v="25"/>
    <n v="4860"/>
    <s v="Completed"/>
    <s v="Pune"/>
    <x v="3"/>
    <x v="1"/>
  </r>
  <r>
    <s v="ORD-00776"/>
    <x v="218"/>
    <s v="CUST-0243"/>
    <s v="PROD-054"/>
    <x v="7"/>
    <n v="2"/>
    <n v="1010"/>
    <n v="16.100000000000001"/>
    <n v="1694.78"/>
    <s v="Completed"/>
    <s v="Pune"/>
    <x v="1"/>
    <x v="3"/>
  </r>
  <r>
    <s v="ORD-00777"/>
    <x v="196"/>
    <s v="CUST-0016"/>
    <s v="PROD-004"/>
    <x v="25"/>
    <n v="6"/>
    <n v="3870"/>
    <n v="22.4"/>
    <n v="18018.72"/>
    <s v="Cancelled"/>
    <s v="Delhi"/>
    <x v="4"/>
    <x v="0"/>
  </r>
  <r>
    <s v="ORD-00778"/>
    <x v="219"/>
    <s v="CUST-0249"/>
    <s v="PROD-033"/>
    <x v="28"/>
    <n v="3"/>
    <n v="2030"/>
    <n v="18.5"/>
    <n v="4963.3500000000004"/>
    <s v="Completed"/>
    <s v="Mumbai"/>
    <x v="3"/>
    <x v="2"/>
  </r>
  <r>
    <s v="ORD-00779"/>
    <x v="326"/>
    <s v="CUST-0021"/>
    <s v="PROD-040"/>
    <x v="28"/>
    <n v="7"/>
    <n v="1080"/>
    <n v="6.8"/>
    <n v="7045.92"/>
    <s v="Pending"/>
    <s v="Pune"/>
    <x v="3"/>
    <x v="2"/>
  </r>
  <r>
    <s v="ORD-00780"/>
    <x v="303"/>
    <s v="CUST-0255"/>
    <s v="PROD-035"/>
    <x v="18"/>
    <n v="1"/>
    <n v="1090"/>
    <n v="20.6"/>
    <n v="865.46"/>
    <s v="Completed"/>
    <s v="Chennai"/>
    <x v="3"/>
    <x v="1"/>
  </r>
  <r>
    <s v="ORD-00781"/>
    <x v="72"/>
    <s v="CUST-0084"/>
    <s v="PROD-032"/>
    <x v="23"/>
    <n v="8"/>
    <n v="370"/>
    <n v="1.7"/>
    <n v="2909.68"/>
    <s v="Completed"/>
    <s v="Chennai"/>
    <x v="3"/>
    <x v="1"/>
  </r>
  <r>
    <s v="ORD-00782"/>
    <x v="327"/>
    <s v="CUST-0289"/>
    <s v="PROD-018"/>
    <x v="26"/>
    <n v="7"/>
    <n v="3560"/>
    <n v="28.7"/>
    <n v="17767.96"/>
    <s v="Completed"/>
    <s v="Mumbai"/>
    <x v="0"/>
    <x v="3"/>
  </r>
  <r>
    <s v="ORD-00783"/>
    <x v="328"/>
    <s v="CUST-0026"/>
    <s v="PROD-050"/>
    <x v="29"/>
    <n v="9"/>
    <n v="6080"/>
    <n v="16.3"/>
    <n v="45800.639999999999"/>
    <s v="Cancelled"/>
    <s v="Pune"/>
    <x v="5"/>
    <x v="1"/>
  </r>
  <r>
    <s v="ORD-00784"/>
    <x v="265"/>
    <s v="CUST-0273"/>
    <s v="PROD-051"/>
    <x v="15"/>
    <n v="2"/>
    <n v="3450"/>
    <n v="17.600000000000001"/>
    <n v="5685.6"/>
    <s v="Pending"/>
    <s v="Hyderabad"/>
    <x v="1"/>
    <x v="1"/>
  </r>
  <r>
    <s v="ORD-00785"/>
    <x v="24"/>
    <s v="CUST-0069"/>
    <s v="PROD-034"/>
    <x v="18"/>
    <n v="1"/>
    <n v="5080"/>
    <n v="5.9"/>
    <n v="4780.28"/>
    <s v="Completed"/>
    <s v="Chennai"/>
    <x v="3"/>
    <x v="1"/>
  </r>
  <r>
    <s v="ORD-00786"/>
    <x v="234"/>
    <s v="CUST-0236"/>
    <s v="PROD-011"/>
    <x v="12"/>
    <n v="7"/>
    <n v="3450"/>
    <n v="17.399999999999999"/>
    <n v="19947.900000000001"/>
    <s v="Completed"/>
    <s v="Hyderabad"/>
    <x v="0"/>
    <x v="3"/>
  </r>
  <r>
    <s v="ORD-00787"/>
    <x v="210"/>
    <s v="CUST-0060"/>
    <s v="PROD-024"/>
    <x v="18"/>
    <n v="8"/>
    <n v="2270"/>
    <n v="24.7"/>
    <n v="13674.48"/>
    <s v="Completed"/>
    <s v="Pune"/>
    <x v="2"/>
    <x v="1"/>
  </r>
  <r>
    <s v="ORD-00788"/>
    <x v="37"/>
    <s v="CUST-0243"/>
    <s v="PROD-012"/>
    <x v="12"/>
    <n v="3"/>
    <n v="3160"/>
    <n v="1.5"/>
    <n v="9337.7999999999993"/>
    <s v="Pending"/>
    <s v="Pune"/>
    <x v="0"/>
    <x v="3"/>
  </r>
  <r>
    <s v="ORD-00789"/>
    <x v="44"/>
    <s v="CUST-0188"/>
    <s v="PROD-043"/>
    <x v="20"/>
    <n v="6"/>
    <n v="3350"/>
    <n v="0.9"/>
    <n v="19919.099999999999"/>
    <s v="Pending"/>
    <s v="Bengaluru"/>
    <x v="5"/>
    <x v="2"/>
  </r>
  <r>
    <s v="ORD-00790"/>
    <x v="47"/>
    <s v="CUST-0174"/>
    <s v="PROD-044"/>
    <x v="20"/>
    <n v="7"/>
    <n v="1650"/>
    <n v="5.6"/>
    <n v="10903.2"/>
    <s v="Refunded"/>
    <s v="Pune"/>
    <x v="5"/>
    <x v="2"/>
  </r>
  <r>
    <s v="ORD-00791"/>
    <x v="73"/>
    <s v="CUST-0016"/>
    <s v="PROD-038"/>
    <x v="11"/>
    <n v="1"/>
    <n v="5490"/>
    <n v="5.8"/>
    <n v="5171.58"/>
    <s v="Completed"/>
    <s v="Delhi"/>
    <x v="3"/>
    <x v="0"/>
  </r>
  <r>
    <s v="ORD-00792"/>
    <x v="171"/>
    <s v="CUST-0184"/>
    <s v="PROD-040"/>
    <x v="6"/>
    <n v="3"/>
    <n v="1080"/>
    <n v="20.9"/>
    <n v="2562.84"/>
    <s v="Completed"/>
    <s v="Pune"/>
    <x v="3"/>
    <x v="2"/>
  </r>
  <r>
    <s v="ORD-00793"/>
    <x v="224"/>
    <s v="CUST-9568"/>
    <s v="PROD-027"/>
    <x v="26"/>
    <n v="10"/>
    <n v="3780"/>
    <n v="5.5"/>
    <n v="35721"/>
    <s v="Completed"/>
    <s v="Hyderabad"/>
    <x v="2"/>
    <x v="3"/>
  </r>
  <r>
    <s v="ORD-00794"/>
    <x v="307"/>
    <s v="CUST-0118"/>
    <s v="PROD-033"/>
    <x v="14"/>
    <n v="2"/>
    <n v="2030"/>
    <n v="2"/>
    <n v="3978.8"/>
    <s v="Pending"/>
    <s v="Hyderabad"/>
    <x v="3"/>
    <x v="2"/>
  </r>
  <r>
    <s v="ORD-00795"/>
    <x v="329"/>
    <s v="CUST-0271"/>
    <s v="PROD-041"/>
    <x v="7"/>
    <n v="8"/>
    <n v="1540"/>
    <n v="9"/>
    <n v="11211.2"/>
    <s v="Cancelled"/>
    <s v="Bengaluru"/>
    <x v="5"/>
    <x v="3"/>
  </r>
  <r>
    <s v="ORD-00796"/>
    <x v="131"/>
    <s v="CUST-0147"/>
    <s v="PROD-036"/>
    <x v="15"/>
    <n v="9"/>
    <n v="3250"/>
    <n v="20.5"/>
    <n v="23253.75"/>
    <s v="Completed"/>
    <s v="Pune"/>
    <x v="3"/>
    <x v="1"/>
  </r>
  <r>
    <s v="ORD-00797"/>
    <x v="112"/>
    <s v="CUST-0253"/>
    <s v="PROD-047"/>
    <x v="1"/>
    <n v="3"/>
    <n v="3450"/>
    <n v="17.899999999999999"/>
    <n v="8497.35"/>
    <s v="Completed"/>
    <s v="Delhi"/>
    <x v="5"/>
    <x v="0"/>
  </r>
  <r>
    <s v="ORD-00798"/>
    <x v="172"/>
    <s v="CUST-0224"/>
    <s v="PROD-038"/>
    <x v="4"/>
    <n v="5"/>
    <n v="5490"/>
    <n v="7.9"/>
    <n v="25281.45"/>
    <s v="Completed"/>
    <s v="Chennai"/>
    <x v="3"/>
    <x v="0"/>
  </r>
  <r>
    <s v="ORD-00799"/>
    <x v="141"/>
    <s v="CUST-0134"/>
    <s v="PROD-032"/>
    <x v="20"/>
    <n v="3"/>
    <n v="370"/>
    <n v="13.4"/>
    <n v="961.26"/>
    <s v="Completed"/>
    <s v="Delhi"/>
    <x v="3"/>
    <x v="2"/>
  </r>
  <r>
    <s v="ORD-00800"/>
    <x v="3"/>
    <s v="CUST-0287"/>
    <s v="PROD-001"/>
    <x v="18"/>
    <n v="7"/>
    <n v="5330"/>
    <n v="29.7"/>
    <n v="26228.93"/>
    <s v="Pending"/>
    <s v="Chennai"/>
    <x v="4"/>
    <x v="1"/>
  </r>
  <r>
    <s v="ORD-00801"/>
    <x v="213"/>
    <s v="CUST-0144"/>
    <s v="PROD-051"/>
    <x v="29"/>
    <n v="8"/>
    <n v="3450"/>
    <n v="23.7"/>
    <n v="21058.799999999999"/>
    <s v="Completed"/>
    <s v="Chennai"/>
    <x v="1"/>
    <x v="1"/>
  </r>
  <r>
    <s v="ORD-00802"/>
    <x v="309"/>
    <s v="CUST-0255"/>
    <s v="PROD-011"/>
    <x v="28"/>
    <n v="8"/>
    <n v="3450"/>
    <n v="5.4"/>
    <n v="26109.599999999999"/>
    <s v="Completed"/>
    <s v="Chennai"/>
    <x v="0"/>
    <x v="2"/>
  </r>
  <r>
    <s v="ORD-00803"/>
    <x v="325"/>
    <s v="CUST-0054"/>
    <s v="PROD-050"/>
    <x v="20"/>
    <n v="1"/>
    <n v="6080"/>
    <n v="22.3"/>
    <n v="4724.16"/>
    <s v="Completed"/>
    <s v="Mumbai"/>
    <x v="5"/>
    <x v="2"/>
  </r>
  <r>
    <s v="ORD-00804"/>
    <x v="100"/>
    <s v="CUST-0283"/>
    <s v="PROD-017"/>
    <x v="23"/>
    <n v="9"/>
    <n v="2510"/>
    <n v="27.4"/>
    <n v="16400.34"/>
    <s v="Completed"/>
    <s v="Delhi"/>
    <x v="0"/>
    <x v="1"/>
  </r>
  <r>
    <s v="ORD-00805"/>
    <x v="40"/>
    <s v="CUST-0182"/>
    <s v="PROD-054"/>
    <x v="27"/>
    <n v="10"/>
    <n v="1010"/>
    <n v="28.4"/>
    <n v="7231.6"/>
    <s v="Completed"/>
    <s v="Mumbai"/>
    <x v="1"/>
    <x v="1"/>
  </r>
  <r>
    <s v="ORD-00806"/>
    <x v="24"/>
    <s v="CUST-0289"/>
    <s v="PROD-018"/>
    <x v="12"/>
    <n v="1"/>
    <n v="3560"/>
    <n v="26"/>
    <n v="2634.4"/>
    <s v="Completed"/>
    <s v="Mumbai"/>
    <x v="0"/>
    <x v="3"/>
  </r>
  <r>
    <s v="ORD-00807"/>
    <x v="245"/>
    <s v="CUST-0104"/>
    <s v="PROD-045"/>
    <x v="3"/>
    <n v="8"/>
    <n v="3020"/>
    <n v="6.9"/>
    <n v="22492.959999999999"/>
    <s v="Completed"/>
    <s v="Hyderabad"/>
    <x v="5"/>
    <x v="0"/>
  </r>
  <r>
    <s v="ORD-00808"/>
    <x v="114"/>
    <s v="CUST-0085"/>
    <s v="PROD-026"/>
    <x v="21"/>
    <n v="1"/>
    <n v="4070"/>
    <n v="8.1999999999999993"/>
    <n v="3736.26"/>
    <s v="Completed"/>
    <s v="Chennai"/>
    <x v="2"/>
    <x v="3"/>
  </r>
  <r>
    <s v="ORD-00809"/>
    <x v="324"/>
    <s v="CUST-0120"/>
    <s v="PROD-032"/>
    <x v="16"/>
    <n v="9"/>
    <n v="370"/>
    <n v="19.8"/>
    <n v="2670.66"/>
    <s v="Completed"/>
    <s v="Mumbai"/>
    <x v="3"/>
    <x v="3"/>
  </r>
  <r>
    <s v="ORD-00810"/>
    <x v="227"/>
    <s v="CUST-0236"/>
    <s v="PROD-030"/>
    <x v="16"/>
    <n v="6"/>
    <n v="970"/>
    <n v="16.2"/>
    <n v="4877.16"/>
    <s v="Completed"/>
    <s v="Hyderabad"/>
    <x v="2"/>
    <x v="3"/>
  </r>
  <r>
    <s v="ORD-00811"/>
    <x v="142"/>
    <s v="CUST-0094"/>
    <s v="PROD-015"/>
    <x v="7"/>
    <n v="10"/>
    <n v="2720"/>
    <n v="3"/>
    <n v="26384"/>
    <s v="Pending"/>
    <s v="Pune"/>
    <x v="0"/>
    <x v="3"/>
  </r>
  <r>
    <s v="ORD-00812"/>
    <x v="174"/>
    <s v="CUST-0030"/>
    <s v="PROD-058"/>
    <x v="2"/>
    <n v="7"/>
    <n v="2400"/>
    <n v="29.4"/>
    <n v="11860.8"/>
    <s v="Completed"/>
    <s v="Bengaluru"/>
    <x v="1"/>
    <x v="1"/>
  </r>
  <r>
    <s v="ORD-00813"/>
    <x v="148"/>
    <s v="CUST-0172"/>
    <s v="PROD-018"/>
    <x v="27"/>
    <n v="8"/>
    <n v="3560"/>
    <n v="21.7"/>
    <n v="22299.84"/>
    <s v="Completed"/>
    <s v="Pune"/>
    <x v="0"/>
    <x v="1"/>
  </r>
  <r>
    <s v="ORD-00814"/>
    <x v="217"/>
    <s v="CUST-0221"/>
    <s v="PROD-026"/>
    <x v="15"/>
    <n v="7"/>
    <n v="4070"/>
    <n v="10.5"/>
    <n v="25498.55"/>
    <s v="Completed"/>
    <s v="Delhi"/>
    <x v="2"/>
    <x v="1"/>
  </r>
  <r>
    <s v="ORD-01052"/>
    <x v="193"/>
    <s v="CUST-0151"/>
    <s v="PROD-052"/>
    <x v="4"/>
    <n v="3"/>
    <n v="5410"/>
    <n v="0.2"/>
    <n v="16197.54"/>
    <s v="Completed"/>
    <s v="Mumbai"/>
    <x v="1"/>
    <x v="0"/>
  </r>
  <r>
    <s v="ORD-00816"/>
    <x v="330"/>
    <s v="CUST-0068"/>
    <s v="PROD-021"/>
    <x v="8"/>
    <n v="4"/>
    <n v="2760"/>
    <n v="27.5"/>
    <n v="8004"/>
    <s v="Cancelled"/>
    <s v="Delhi"/>
    <x v="2"/>
    <x v="2"/>
  </r>
  <r>
    <s v="ORD-01136"/>
    <x v="267"/>
    <s v="CUST-0165"/>
    <s v="PROD-034"/>
    <x v="22"/>
    <n v="3"/>
    <n v="5080"/>
    <n v="27.2"/>
    <n v="11094.72"/>
    <s v="Completed"/>
    <s v="Pune"/>
    <x v="3"/>
    <x v="1"/>
  </r>
  <r>
    <s v="ORD-00818"/>
    <x v="139"/>
    <s v="CUST-0060"/>
    <s v="PROD-035"/>
    <x v="21"/>
    <n v="5"/>
    <n v="1090"/>
    <n v="3.3"/>
    <n v="5270.15"/>
    <s v="Completed"/>
    <s v="Pune"/>
    <x v="3"/>
    <x v="3"/>
  </r>
  <r>
    <s v="ORD-00819"/>
    <x v="60"/>
    <s v="CUST-0130"/>
    <s v="PROD-023"/>
    <x v="20"/>
    <n v="10"/>
    <n v="2380"/>
    <n v="7"/>
    <n v="22134"/>
    <s v="Completed"/>
    <s v="Bengaluru"/>
    <x v="2"/>
    <x v="2"/>
  </r>
  <r>
    <s v="ORD-00820"/>
    <x v="156"/>
    <s v="CUST-0023"/>
    <s v="PROD-012"/>
    <x v="17"/>
    <n v="5"/>
    <n v="3160"/>
    <n v="25.6"/>
    <n v="11755.2"/>
    <s v="Completed"/>
    <s v="Chennai"/>
    <x v="0"/>
    <x v="2"/>
  </r>
  <r>
    <s v="ORD-00821"/>
    <x v="331"/>
    <s v="CUST-0089"/>
    <s v="PROD-058"/>
    <x v="20"/>
    <n v="9"/>
    <n v="2400"/>
    <n v="8.4"/>
    <n v="19785.599999999999"/>
    <s v="Completed"/>
    <s v="Mumbai"/>
    <x v="1"/>
    <x v="2"/>
  </r>
  <r>
    <s v="ORD-00822"/>
    <x v="121"/>
    <s v="CUST-0300"/>
    <s v="PROD-002"/>
    <x v="16"/>
    <n v="4"/>
    <n v="2600"/>
    <n v="4.2"/>
    <n v="9963.2000000000007"/>
    <s v="Completed"/>
    <s v="Mumbai"/>
    <x v="4"/>
    <x v="3"/>
  </r>
  <r>
    <s v="ORD-00823"/>
    <x v="132"/>
    <s v="CUST-9578"/>
    <s v="PROD-024"/>
    <x v="12"/>
    <n v="5"/>
    <n v="2270"/>
    <n v="0.1"/>
    <n v="11338.65"/>
    <s v="Completed"/>
    <s v="Mumbai"/>
    <x v="2"/>
    <x v="3"/>
  </r>
  <r>
    <s v="ORD-00824"/>
    <x v="57"/>
    <s v="CUST-0130"/>
    <s v="PROD-038"/>
    <x v="16"/>
    <n v="7"/>
    <n v="5490"/>
    <n v="14.9"/>
    <n v="32703.93"/>
    <s v="Completed"/>
    <s v="Bengaluru"/>
    <x v="3"/>
    <x v="3"/>
  </r>
  <r>
    <s v="ORD-00825"/>
    <x v="209"/>
    <s v="CUST-0247"/>
    <s v="PROD-004"/>
    <x v="18"/>
    <n v="5"/>
    <n v="3870"/>
    <n v="13.3"/>
    <n v="16776.45"/>
    <s v="Cancelled"/>
    <s v="Pune"/>
    <x v="4"/>
    <x v="1"/>
  </r>
  <r>
    <s v="ORD-00826"/>
    <x v="332"/>
    <s v="CUST-0256"/>
    <s v="PROD-049"/>
    <x v="6"/>
    <n v="2"/>
    <n v="960"/>
    <n v="17.5"/>
    <n v="1584"/>
    <s v="Completed"/>
    <s v="Hyderabad"/>
    <x v="5"/>
    <x v="2"/>
  </r>
  <r>
    <s v="ORD-00827"/>
    <x v="171"/>
    <s v="CUST-0213"/>
    <s v="PROD-046"/>
    <x v="19"/>
    <n v="4"/>
    <n v="4880"/>
    <n v="12.2"/>
    <n v="17138.560000000001"/>
    <s v="Cancelled"/>
    <s v="Mumbai"/>
    <x v="5"/>
    <x v="0"/>
  </r>
  <r>
    <s v="ORD-00828"/>
    <x v="140"/>
    <s v="CUST-0183"/>
    <s v="PROD-058"/>
    <x v="4"/>
    <n v="5"/>
    <n v="2400"/>
    <n v="15"/>
    <n v="10200"/>
    <s v="Completed"/>
    <s v="Mumbai"/>
    <x v="1"/>
    <x v="0"/>
  </r>
  <r>
    <s v="ORD-00829"/>
    <x v="190"/>
    <s v="CUST-0051"/>
    <s v="PROD-016"/>
    <x v="15"/>
    <n v="9"/>
    <n v="620"/>
    <n v="20.399999999999999"/>
    <n v="4441.68"/>
    <s v="Pending"/>
    <s v="Pune"/>
    <x v="0"/>
    <x v="1"/>
  </r>
  <r>
    <s v="ORD-00830"/>
    <x v="191"/>
    <s v="CUST-0001"/>
    <s v="PROD-039"/>
    <x v="22"/>
    <n v="1"/>
    <n v="4610"/>
    <n v="1.8"/>
    <n v="4527.0200000000004"/>
    <s v="Pending"/>
    <s v="Pune"/>
    <x v="3"/>
    <x v="1"/>
  </r>
  <r>
    <s v="ORD-00831"/>
    <x v="66"/>
    <s v="CUST-0105"/>
    <s v="PROD-039"/>
    <x v="2"/>
    <n v="7"/>
    <n v="4610"/>
    <n v="27"/>
    <n v="23557.1"/>
    <s v="Completed"/>
    <s v="Chennai"/>
    <x v="3"/>
    <x v="1"/>
  </r>
  <r>
    <s v="ORD-00832"/>
    <x v="170"/>
    <s v="CUST-0199"/>
    <s v="PROD-030"/>
    <x v="20"/>
    <n v="6"/>
    <n v="970"/>
    <n v="4.7"/>
    <n v="5546.46"/>
    <s v="Cancelled"/>
    <s v="Hyderabad"/>
    <x v="2"/>
    <x v="2"/>
  </r>
  <r>
    <s v="ORD-00833"/>
    <x v="331"/>
    <s v="CUST-0240"/>
    <s v="PROD-007"/>
    <x v="17"/>
    <n v="8"/>
    <n v="1430"/>
    <n v="8.6999999999999993"/>
    <n v="10444.719999999999"/>
    <s v="Completed"/>
    <s v="Chennai"/>
    <x v="4"/>
    <x v="2"/>
  </r>
  <r>
    <s v="ORD-00834"/>
    <x v="333"/>
    <s v="CUST-0283"/>
    <s v="PROD-027"/>
    <x v="23"/>
    <n v="5"/>
    <n v="3780"/>
    <n v="2.9"/>
    <n v="18351.900000000001"/>
    <s v="Completed"/>
    <s v="Delhi"/>
    <x v="2"/>
    <x v="1"/>
  </r>
  <r>
    <s v="ORD-00835"/>
    <x v="147"/>
    <s v="CUST-0284"/>
    <s v="PROD-041"/>
    <x v="12"/>
    <n v="2"/>
    <n v="1540"/>
    <n v="12.7"/>
    <n v="2688.84"/>
    <s v="Completed"/>
    <s v="Hyderabad"/>
    <x v="5"/>
    <x v="3"/>
  </r>
  <r>
    <s v="ORD-00836"/>
    <x v="155"/>
    <s v="CUST-0060"/>
    <s v="PROD-040"/>
    <x v="16"/>
    <n v="9"/>
    <n v="1080"/>
    <n v="11.2"/>
    <n v="8631.36"/>
    <s v="Cancelled"/>
    <s v="Pune"/>
    <x v="3"/>
    <x v="3"/>
  </r>
  <r>
    <s v="ORD-00837"/>
    <x v="213"/>
    <s v="CUST-0266"/>
    <s v="PROD-058"/>
    <x v="0"/>
    <n v="3"/>
    <n v="2400"/>
    <n v="28.6"/>
    <n v="5140.8"/>
    <s v="Completed"/>
    <s v="Pune"/>
    <x v="1"/>
    <x v="0"/>
  </r>
  <r>
    <s v="ORD-00838"/>
    <x v="120"/>
    <s v="CUST-0056"/>
    <s v="PROD-040"/>
    <x v="26"/>
    <n v="5"/>
    <n v="1080"/>
    <n v="18.3"/>
    <n v="4411.8"/>
    <s v="Completed"/>
    <s v="Bengaluru"/>
    <x v="3"/>
    <x v="3"/>
  </r>
  <r>
    <s v="ORD-00839"/>
    <x v="294"/>
    <s v="CUST-0187"/>
    <s v="PROD-024"/>
    <x v="28"/>
    <n v="7"/>
    <n v="2270"/>
    <n v="1.7"/>
    <n v="15619.87"/>
    <s v="Cancelled"/>
    <s v="Chennai"/>
    <x v="2"/>
    <x v="2"/>
  </r>
  <r>
    <s v="ORD-00840"/>
    <x v="334"/>
    <s v="CUST-0183"/>
    <s v="PROD-028"/>
    <x v="17"/>
    <n v="8"/>
    <n v="3660"/>
    <n v="19.100000000000001"/>
    <n v="23687.52"/>
    <s v="Cancelled"/>
    <s v="Mumbai"/>
    <x v="2"/>
    <x v="2"/>
  </r>
  <r>
    <s v="ORD-00841"/>
    <x v="302"/>
    <s v="CUST-0068"/>
    <s v="PROD-036"/>
    <x v="11"/>
    <n v="5"/>
    <n v="3250"/>
    <n v="12.9"/>
    <n v="14153.75"/>
    <s v="Completed"/>
    <s v="Delhi"/>
    <x v="3"/>
    <x v="0"/>
  </r>
  <r>
    <s v="ORD-00842"/>
    <x v="60"/>
    <s v="CUST-0135"/>
    <s v="PROD-044"/>
    <x v="27"/>
    <n v="4"/>
    <n v="1650"/>
    <n v="4.0999999999999996"/>
    <n v="6329.4"/>
    <s v="Completed"/>
    <s v="Pune"/>
    <x v="5"/>
    <x v="1"/>
  </r>
  <r>
    <s v="ORD-00843"/>
    <x v="207"/>
    <s v="CUST-0191"/>
    <s v="PROD-034"/>
    <x v="11"/>
    <n v="6"/>
    <n v="5080"/>
    <n v="3"/>
    <n v="29565.599999999999"/>
    <s v="Completed"/>
    <s v="Hyderabad"/>
    <x v="3"/>
    <x v="0"/>
  </r>
  <r>
    <s v="ORD-00844"/>
    <x v="105"/>
    <s v="CUST-0244"/>
    <s v="PROD-051"/>
    <x v="28"/>
    <n v="8"/>
    <n v="3450"/>
    <n v="20.9"/>
    <n v="21831.599999999999"/>
    <s v="Completed"/>
    <s v="Bengaluru"/>
    <x v="1"/>
    <x v="2"/>
  </r>
  <r>
    <s v="ORD-00845"/>
    <x v="335"/>
    <s v="CUST-0189"/>
    <s v="PROD-043"/>
    <x v="26"/>
    <n v="6"/>
    <n v="3350"/>
    <n v="24.8"/>
    <n v="15115.2"/>
    <s v="Completed"/>
    <s v="Chennai"/>
    <x v="5"/>
    <x v="3"/>
  </r>
  <r>
    <s v="ORD-00846"/>
    <x v="310"/>
    <s v="CUST-0166"/>
    <s v="PROD-029"/>
    <x v="28"/>
    <n v="10"/>
    <n v="2210"/>
    <n v="4.2"/>
    <n v="21171.8"/>
    <s v="Completed"/>
    <s v="Hyderabad"/>
    <x v="2"/>
    <x v="2"/>
  </r>
  <r>
    <s v="ORD-00847"/>
    <x v="328"/>
    <s v="CUST-0167"/>
    <s v="PROD-046"/>
    <x v="3"/>
    <n v="10"/>
    <n v="4880"/>
    <n v="0.7"/>
    <n v="48458.400000000001"/>
    <s v="Completed"/>
    <s v="Delhi"/>
    <x v="5"/>
    <x v="0"/>
  </r>
  <r>
    <s v="ORD-00848"/>
    <x v="264"/>
    <s v="CUST-0265"/>
    <s v="PROD-055"/>
    <x v="10"/>
    <n v="7"/>
    <n v="2860"/>
    <n v="28.1"/>
    <n v="14394.38"/>
    <s v="Pending"/>
    <s v="Chennai"/>
    <x v="1"/>
    <x v="0"/>
  </r>
  <r>
    <s v="ORD-00849"/>
    <x v="248"/>
    <s v="CUST-0172"/>
    <s v="PROD-030"/>
    <x v="1"/>
    <n v="3"/>
    <n v="970"/>
    <n v="28.3"/>
    <n v="2086.4699999999998"/>
    <s v="Completed"/>
    <s v="Pune"/>
    <x v="2"/>
    <x v="0"/>
  </r>
  <r>
    <s v="ORD-00850"/>
    <x v="315"/>
    <s v="CUST-0205"/>
    <s v="PROD-022"/>
    <x v="4"/>
    <n v="1"/>
    <n v="2270"/>
    <n v="15.1"/>
    <n v="1927.23"/>
    <s v="Completed"/>
    <s v="Pune"/>
    <x v="2"/>
    <x v="0"/>
  </r>
  <r>
    <s v="ORD-00851"/>
    <x v="258"/>
    <s v="CUST-0102"/>
    <s v="PROD-018"/>
    <x v="15"/>
    <n v="5"/>
    <n v="3560"/>
    <n v="11.5"/>
    <n v="15753"/>
    <s v="Completed"/>
    <s v="Chennai"/>
    <x v="0"/>
    <x v="1"/>
  </r>
  <r>
    <s v="ORD-00852"/>
    <x v="140"/>
    <s v="CUST-0142"/>
    <s v="PROD-052"/>
    <x v="9"/>
    <n v="2"/>
    <n v="5410"/>
    <n v="14.8"/>
    <n v="9218.64"/>
    <s v="Pending"/>
    <s v="Chennai"/>
    <x v="1"/>
    <x v="1"/>
  </r>
  <r>
    <s v="ORD-00853"/>
    <x v="165"/>
    <s v="CUST-0195"/>
    <s v="PROD-019"/>
    <x v="3"/>
    <n v="2"/>
    <n v="2480"/>
    <n v="27.2"/>
    <n v="3610.88"/>
    <s v="Completed"/>
    <s v="Bengaluru"/>
    <x v="0"/>
    <x v="0"/>
  </r>
  <r>
    <s v="ORD-00854"/>
    <x v="154"/>
    <s v="CUST-0125"/>
    <s v="PROD-020"/>
    <x v="2"/>
    <n v="6"/>
    <n v="820"/>
    <n v="6.6"/>
    <n v="4595.28"/>
    <s v="Completed"/>
    <s v="Delhi"/>
    <x v="0"/>
    <x v="1"/>
  </r>
  <r>
    <s v="ORD-00855"/>
    <x v="224"/>
    <s v="CUST-0234"/>
    <s v="PROD-001"/>
    <x v="15"/>
    <n v="10"/>
    <n v="5330"/>
    <n v="16.100000000000001"/>
    <n v="44718.7"/>
    <s v="Completed"/>
    <s v="Bengaluru"/>
    <x v="4"/>
    <x v="1"/>
  </r>
  <r>
    <s v="ORD-00856"/>
    <x v="334"/>
    <s v="CUST-0061"/>
    <s v="PROD-047"/>
    <x v="10"/>
    <n v="2"/>
    <n v="3450"/>
    <n v="11.3"/>
    <n v="6120.3"/>
    <s v="Pending"/>
    <s v="Hyderabad"/>
    <x v="5"/>
    <x v="0"/>
  </r>
  <r>
    <s v="ORD-00857"/>
    <x v="97"/>
    <s v="CUST-0189"/>
    <s v="PROD-049"/>
    <x v="12"/>
    <n v="7"/>
    <n v="960"/>
    <n v="17.100000000000001"/>
    <n v="5570.88"/>
    <s v="Completed"/>
    <s v="Chennai"/>
    <x v="5"/>
    <x v="3"/>
  </r>
  <r>
    <s v="ORD-00858"/>
    <x v="235"/>
    <s v="CUST-0191"/>
    <s v="PROD-011"/>
    <x v="11"/>
    <n v="5"/>
    <n v="3450"/>
    <n v="22.9"/>
    <n v="13299.75"/>
    <s v="Completed"/>
    <s v="Hyderabad"/>
    <x v="0"/>
    <x v="0"/>
  </r>
  <r>
    <s v="ORD-00859"/>
    <x v="287"/>
    <s v="CUST-0217"/>
    <s v="PROD-009"/>
    <x v="4"/>
    <n v="5"/>
    <n v="1220"/>
    <n v="0.3"/>
    <n v="6081.7"/>
    <s v="Completed"/>
    <s v="Pune"/>
    <x v="4"/>
    <x v="0"/>
  </r>
  <r>
    <s v="ORD-00860"/>
    <x v="231"/>
    <s v="CUST-0060"/>
    <s v="PROD-001"/>
    <x v="0"/>
    <n v="5"/>
    <n v="5330"/>
    <n v="29"/>
    <n v="18921.5"/>
    <s v="Completed"/>
    <s v="Pune"/>
    <x v="4"/>
    <x v="0"/>
  </r>
  <r>
    <s v="ORD-00861"/>
    <x v="29"/>
    <s v="CUST-0270"/>
    <s v="PROD-003"/>
    <x v="8"/>
    <n v="3"/>
    <n v="3570"/>
    <n v="20"/>
    <n v="8568"/>
    <s v="Cancelled"/>
    <s v="Bengaluru"/>
    <x v="4"/>
    <x v="2"/>
  </r>
  <r>
    <s v="ORD-00862"/>
    <x v="8"/>
    <s v="CUST-0279"/>
    <s v="PROD-029"/>
    <x v="17"/>
    <n v="9"/>
    <n v="2210"/>
    <n v="12.4"/>
    <n v="17423.64"/>
    <s v="Completed"/>
    <s v="Mumbai"/>
    <x v="2"/>
    <x v="2"/>
  </r>
  <r>
    <s v="ORD-00863"/>
    <x v="272"/>
    <s v="CUST-0008"/>
    <s v="PROD-059"/>
    <x v="20"/>
    <n v="5"/>
    <n v="3780"/>
    <n v="3.9"/>
    <n v="18162.900000000001"/>
    <s v="Completed"/>
    <s v="Pune"/>
    <x v="1"/>
    <x v="2"/>
  </r>
  <r>
    <s v="ORD-00864"/>
    <x v="17"/>
    <s v="CUST-0259"/>
    <s v="PROD-010"/>
    <x v="4"/>
    <n v="10"/>
    <n v="2640"/>
    <n v="17.8"/>
    <n v="21700.799999999999"/>
    <s v="Refunded"/>
    <s v="Mumbai"/>
    <x v="4"/>
    <x v="0"/>
  </r>
  <r>
    <s v="ORD-00865"/>
    <x v="279"/>
    <s v="CUST-0169"/>
    <s v="PROD-005"/>
    <x v="6"/>
    <n v="5"/>
    <n v="300"/>
    <n v="12.9"/>
    <n v="1306.5"/>
    <s v="Completed"/>
    <s v="Bengaluru"/>
    <x v="4"/>
    <x v="2"/>
  </r>
  <r>
    <s v="ORD-00866"/>
    <x v="276"/>
    <s v="CUST-0191"/>
    <s v="PROD-058"/>
    <x v="22"/>
    <n v="2"/>
    <n v="2400"/>
    <n v="17.100000000000001"/>
    <n v="3979.2"/>
    <s v="Pending"/>
    <s v="Hyderabad"/>
    <x v="1"/>
    <x v="1"/>
  </r>
  <r>
    <s v="ORD-00867"/>
    <x v="336"/>
    <s v="CUST-0129"/>
    <s v="PROD-040"/>
    <x v="17"/>
    <n v="5"/>
    <n v="1080"/>
    <n v="15.7"/>
    <n v="4552.2"/>
    <s v="Pending"/>
    <s v="Hyderabad"/>
    <x v="3"/>
    <x v="2"/>
  </r>
  <r>
    <s v="ORD-00868"/>
    <x v="72"/>
    <s v="CUST-0066"/>
    <s v="PROD-036"/>
    <x v="11"/>
    <n v="1"/>
    <n v="3250"/>
    <n v="14.7"/>
    <n v="2772.25"/>
    <s v="Completed"/>
    <s v="Delhi"/>
    <x v="3"/>
    <x v="0"/>
  </r>
  <r>
    <s v="ORD-00869"/>
    <x v="169"/>
    <s v="CUST-0114"/>
    <s v="PROD-032"/>
    <x v="13"/>
    <n v="7"/>
    <n v="370"/>
    <n v="6"/>
    <n v="2434.6"/>
    <s v="Cancelled"/>
    <s v="Bengaluru"/>
    <x v="3"/>
    <x v="3"/>
  </r>
  <r>
    <s v="ORD-00870"/>
    <x v="186"/>
    <s v="CUST-9833"/>
    <s v="PROD-038"/>
    <x v="20"/>
    <n v="7"/>
    <n v="5490"/>
    <n v="10.199999999999999"/>
    <n v="34510.14"/>
    <s v="Completed"/>
    <s v="Pune"/>
    <x v="3"/>
    <x v="2"/>
  </r>
  <r>
    <s v="ORD-00871"/>
    <x v="337"/>
    <s v="CUST-0076"/>
    <s v="PROD-006"/>
    <x v="8"/>
    <n v="3"/>
    <n v="3970"/>
    <n v="2.4"/>
    <n v="11624.16"/>
    <s v="Completed"/>
    <s v="Mumbai"/>
    <x v="4"/>
    <x v="2"/>
  </r>
  <r>
    <s v="ORD-00872"/>
    <x v="336"/>
    <s v="CUST-0215"/>
    <s v="PROD-009"/>
    <x v="0"/>
    <n v="4"/>
    <n v="1220"/>
    <n v="25.3"/>
    <n v="3645.36"/>
    <s v="Completed"/>
    <s v="Hyderabad"/>
    <x v="4"/>
    <x v="0"/>
  </r>
  <r>
    <s v="ORD-00873"/>
    <x v="132"/>
    <s v="CUST-0061"/>
    <s v="PROD-012"/>
    <x v="17"/>
    <n v="3"/>
    <n v="3160"/>
    <n v="19.8"/>
    <n v="7602.96"/>
    <s v="Completed"/>
    <s v="Hyderabad"/>
    <x v="0"/>
    <x v="2"/>
  </r>
  <r>
    <s v="ORD-00874"/>
    <x v="195"/>
    <s v="CUST-0249"/>
    <s v="PROD-005"/>
    <x v="4"/>
    <n v="1"/>
    <n v="300"/>
    <n v="24.5"/>
    <n v="226.5"/>
    <s v="Completed"/>
    <s v="Mumbai"/>
    <x v="4"/>
    <x v="0"/>
  </r>
  <r>
    <s v="ORD-00875"/>
    <x v="16"/>
    <s v="CUST-0105"/>
    <s v="PROD-047"/>
    <x v="20"/>
    <n v="5"/>
    <n v="3450"/>
    <n v="13.4"/>
    <n v="14938.5"/>
    <s v="Pending"/>
    <s v="Chennai"/>
    <x v="5"/>
    <x v="2"/>
  </r>
  <r>
    <s v="ORD-00876"/>
    <x v="245"/>
    <s v="CUST-0161"/>
    <s v="PROD-014"/>
    <x v="28"/>
    <n v="7"/>
    <n v="3620"/>
    <n v="19.2"/>
    <n v="20474.72"/>
    <s v="Completed"/>
    <s v="Chennai"/>
    <x v="0"/>
    <x v="2"/>
  </r>
  <r>
    <s v="ORD-00877"/>
    <x v="265"/>
    <s v="CUST-0275"/>
    <s v="PROD-024"/>
    <x v="9"/>
    <n v="10"/>
    <n v="2270"/>
    <n v="20.5"/>
    <n v="18046.5"/>
    <s v="Completed"/>
    <s v="Mumbai"/>
    <x v="2"/>
    <x v="1"/>
  </r>
  <r>
    <s v="ORD-00878"/>
    <x v="194"/>
    <s v="CUST-0049"/>
    <s v="PROD-015"/>
    <x v="6"/>
    <n v="5"/>
    <n v="2720"/>
    <n v="29.3"/>
    <n v="9615.2000000000007"/>
    <s v="Completed"/>
    <s v="Mumbai"/>
    <x v="0"/>
    <x v="2"/>
  </r>
  <r>
    <s v="ORD-00879"/>
    <x v="59"/>
    <s v="CUST-0235"/>
    <s v="PROD-027"/>
    <x v="24"/>
    <n v="9"/>
    <n v="3780"/>
    <n v="2.2999999999999998"/>
    <n v="33237.54"/>
    <s v="Completed"/>
    <s v="Chennai"/>
    <x v="2"/>
    <x v="3"/>
  </r>
  <r>
    <s v="ORD-00880"/>
    <x v="184"/>
    <s v="CUST-0220"/>
    <s v="PROD-025"/>
    <x v="2"/>
    <n v="9"/>
    <n v="4060"/>
    <n v="11.5"/>
    <n v="32337.9"/>
    <s v="Completed"/>
    <s v="Chennai"/>
    <x v="2"/>
    <x v="1"/>
  </r>
  <r>
    <s v="ORD-00881"/>
    <x v="25"/>
    <s v="CUST-0298"/>
    <s v="PROD-021"/>
    <x v="27"/>
    <n v="10"/>
    <n v="2760"/>
    <n v="3.9"/>
    <n v="26523.599999999999"/>
    <s v="Refunded"/>
    <s v="Delhi"/>
    <x v="2"/>
    <x v="1"/>
  </r>
  <r>
    <s v="ORD-00882"/>
    <x v="106"/>
    <s v="CUST-0222"/>
    <s v="PROD-040"/>
    <x v="13"/>
    <n v="10"/>
    <n v="1080"/>
    <n v="21.4"/>
    <n v="8488.7999999999993"/>
    <s v="Completed"/>
    <s v="Chennai"/>
    <x v="3"/>
    <x v="3"/>
  </r>
  <r>
    <s v="ORD-00883"/>
    <x v="255"/>
    <s v="CUST-0049"/>
    <s v="PROD-034"/>
    <x v="12"/>
    <n v="6"/>
    <n v="5080"/>
    <n v="29.8"/>
    <n v="21396.959999999999"/>
    <s v="Pending"/>
    <s v="Mumbai"/>
    <x v="3"/>
    <x v="3"/>
  </r>
  <r>
    <s v="ORD-00884"/>
    <x v="174"/>
    <s v="CUST-0147"/>
    <s v="PROD-046"/>
    <x v="14"/>
    <n v="1"/>
    <n v="4880"/>
    <n v="28.2"/>
    <n v="3503.84"/>
    <s v="Completed"/>
    <s v="Pune"/>
    <x v="5"/>
    <x v="2"/>
  </r>
  <r>
    <s v="ORD-00885"/>
    <x v="254"/>
    <s v="CUST-0177"/>
    <s v="PROD-022"/>
    <x v="28"/>
    <n v="1"/>
    <n v="2270"/>
    <n v="27.8"/>
    <n v="1638.94"/>
    <s v="Completed"/>
    <s v="Mumbai"/>
    <x v="2"/>
    <x v="2"/>
  </r>
  <r>
    <s v="ORD-00886"/>
    <x v="198"/>
    <s v="CUST-0121"/>
    <s v="PROD-006"/>
    <x v="7"/>
    <n v="9"/>
    <n v="3970"/>
    <n v="7"/>
    <n v="33228.9"/>
    <s v="Completed"/>
    <s v="Delhi"/>
    <x v="4"/>
    <x v="3"/>
  </r>
  <r>
    <s v="ORD-00887"/>
    <x v="199"/>
    <s v="CUST-0262"/>
    <s v="PROD-048"/>
    <x v="11"/>
    <n v="9"/>
    <n v="5100"/>
    <n v="9.6999999999999993"/>
    <n v="41447.699999999997"/>
    <s v="Completed"/>
    <s v="Mumbai"/>
    <x v="5"/>
    <x v="0"/>
  </r>
  <r>
    <s v="ORD-00888"/>
    <x v="71"/>
    <s v="CUST-0246"/>
    <s v="PROD-060"/>
    <x v="1"/>
    <n v="8"/>
    <n v="190"/>
    <n v="10.199999999999999"/>
    <n v="1364.96"/>
    <s v="Completed"/>
    <s v="Delhi"/>
    <x v="1"/>
    <x v="0"/>
  </r>
  <r>
    <s v="ORD-00889"/>
    <x v="51"/>
    <s v="CUST-0070"/>
    <s v="PROD-050"/>
    <x v="17"/>
    <n v="1"/>
    <n v="6080"/>
    <n v="5.6"/>
    <n v="5739.52"/>
    <s v="Completed"/>
    <s v="Mumbai"/>
    <x v="5"/>
    <x v="2"/>
  </r>
  <r>
    <s v="ORD-00890"/>
    <x v="285"/>
    <s v="CUST-0218"/>
    <s v="PROD-057"/>
    <x v="16"/>
    <n v="6"/>
    <n v="960"/>
    <n v="1.9"/>
    <n v="5650.56"/>
    <s v="Completed"/>
    <s v="Mumbai"/>
    <x v="1"/>
    <x v="3"/>
  </r>
  <r>
    <s v="ORD-00891"/>
    <x v="309"/>
    <s v="CUST-0068"/>
    <s v="PROD-041"/>
    <x v="10"/>
    <n v="7"/>
    <n v="1540"/>
    <n v="7.1"/>
    <n v="10014.620000000001"/>
    <s v="Completed"/>
    <s v="Delhi"/>
    <x v="5"/>
    <x v="0"/>
  </r>
  <r>
    <s v="ORD-00892"/>
    <x v="60"/>
    <s v="CUST-0261"/>
    <s v="PROD-005"/>
    <x v="23"/>
    <n v="10"/>
    <n v="300"/>
    <n v="12.8"/>
    <n v="2616"/>
    <s v="Cancelled"/>
    <s v="Delhi"/>
    <x v="4"/>
    <x v="1"/>
  </r>
  <r>
    <s v="ORD-00893"/>
    <x v="145"/>
    <s v="CUST-0077"/>
    <s v="PROD-046"/>
    <x v="23"/>
    <n v="4"/>
    <n v="4880"/>
    <n v="26.5"/>
    <n v="14347.2"/>
    <s v="Completed"/>
    <s v="Hyderabad"/>
    <x v="5"/>
    <x v="1"/>
  </r>
  <r>
    <s v="ORD-00894"/>
    <x v="55"/>
    <s v="CUST-0188"/>
    <s v="PROD-032"/>
    <x v="11"/>
    <n v="2"/>
    <n v="370"/>
    <n v="26.5"/>
    <n v="543.9"/>
    <s v="Completed"/>
    <s v="Bengaluru"/>
    <x v="3"/>
    <x v="0"/>
  </r>
  <r>
    <s v="ORD-00895"/>
    <x v="106"/>
    <s v="CUST-0145"/>
    <s v="PROD-039"/>
    <x v="25"/>
    <n v="3"/>
    <n v="4610"/>
    <n v="29.7"/>
    <n v="9722.49"/>
    <s v="Completed"/>
    <s v="Bengaluru"/>
    <x v="3"/>
    <x v="0"/>
  </r>
  <r>
    <s v="ORD-00896"/>
    <x v="149"/>
    <s v="CUST-0036"/>
    <s v="PROD-002"/>
    <x v="22"/>
    <n v="5"/>
    <n v="2600"/>
    <n v="21.4"/>
    <n v="10218"/>
    <s v="Completed"/>
    <s v="Mumbai"/>
    <x v="4"/>
    <x v="1"/>
  </r>
  <r>
    <s v="ORD-00600"/>
    <x v="295"/>
    <s v="CUST-0269"/>
    <s v="PROD-009"/>
    <x v="5"/>
    <n v="10"/>
    <n v="1220"/>
    <n v="24.3"/>
    <n v="9235.4"/>
    <s v="Completed"/>
    <s v="Pune"/>
    <x v="4"/>
    <x v="2"/>
  </r>
  <r>
    <s v="ORD-00898"/>
    <x v="34"/>
    <s v="CUST-9607"/>
    <s v="PROD-007"/>
    <x v="15"/>
    <n v="10"/>
    <n v="1430"/>
    <n v="5.0999999999999996"/>
    <n v="13570.7"/>
    <s v="Cancelled"/>
    <s v="Chennai"/>
    <x v="4"/>
    <x v="1"/>
  </r>
  <r>
    <s v="ORD-00899"/>
    <x v="35"/>
    <s v="CUST-0189"/>
    <s v="PROD-046"/>
    <x v="14"/>
    <n v="10"/>
    <n v="4880"/>
    <n v="25.5"/>
    <n v="36356"/>
    <s v="Cancelled"/>
    <s v="Chennai"/>
    <x v="5"/>
    <x v="2"/>
  </r>
  <r>
    <s v="ORD-00900"/>
    <x v="79"/>
    <s v="CUST-0199"/>
    <s v="PROD-050"/>
    <x v="8"/>
    <n v="6"/>
    <n v="6080"/>
    <n v="21.6"/>
    <n v="28600.32"/>
    <s v="Completed"/>
    <s v="Hyderabad"/>
    <x v="5"/>
    <x v="2"/>
  </r>
  <r>
    <s v="ORD-00901"/>
    <x v="158"/>
    <s v="CUST-0277"/>
    <s v="PROD-045"/>
    <x v="22"/>
    <n v="3"/>
    <n v="3020"/>
    <n v="20.7"/>
    <n v="7184.58"/>
    <s v="Completed"/>
    <s v="Chennai"/>
    <x v="5"/>
    <x v="1"/>
  </r>
  <r>
    <s v="ORD-00902"/>
    <x v="338"/>
    <s v="CUST-0108"/>
    <s v="PROD-015"/>
    <x v="22"/>
    <n v="9"/>
    <n v="2720"/>
    <n v="21.4"/>
    <n v="19241.28"/>
    <s v="Completed"/>
    <s v="Bengaluru"/>
    <x v="0"/>
    <x v="1"/>
  </r>
  <r>
    <s v="ORD-00903"/>
    <x v="53"/>
    <s v="CUST-0203"/>
    <s v="PROD-003"/>
    <x v="5"/>
    <n v="10"/>
    <n v="3570"/>
    <n v="4.4000000000000004"/>
    <n v="34129.199999999997"/>
    <s v="Completed"/>
    <s v="Chennai"/>
    <x v="4"/>
    <x v="2"/>
  </r>
  <r>
    <s v="ORD-00904"/>
    <x v="119"/>
    <s v="CUST-0272"/>
    <s v="PROD-040"/>
    <x v="2"/>
    <n v="8"/>
    <n v="1080"/>
    <n v="23.8"/>
    <n v="6583.68"/>
    <s v="Completed"/>
    <s v="Mumbai"/>
    <x v="3"/>
    <x v="1"/>
  </r>
  <r>
    <s v="ORD-00905"/>
    <x v="27"/>
    <s v="CUST-0039"/>
    <s v="PROD-035"/>
    <x v="23"/>
    <n v="8"/>
    <n v="1090"/>
    <n v="17.5"/>
    <n v="7194"/>
    <s v="Completed"/>
    <s v="Bengaluru"/>
    <x v="3"/>
    <x v="1"/>
  </r>
  <r>
    <s v="ORD-00906"/>
    <x v="70"/>
    <s v="CUST-0105"/>
    <s v="PROD-018"/>
    <x v="28"/>
    <n v="7"/>
    <n v="3560"/>
    <n v="11.1"/>
    <n v="22153.88"/>
    <s v="Completed"/>
    <s v="Chennai"/>
    <x v="0"/>
    <x v="2"/>
  </r>
  <r>
    <s v="ORD-00907"/>
    <x v="59"/>
    <s v="CUST-0095"/>
    <s v="PROD-060"/>
    <x v="24"/>
    <n v="6"/>
    <n v="190"/>
    <n v="17.100000000000001"/>
    <n v="945.06"/>
    <s v="Cancelled"/>
    <s v="Mumbai"/>
    <x v="1"/>
    <x v="3"/>
  </r>
  <r>
    <s v="ORD-00908"/>
    <x v="320"/>
    <s v="CUST-0138"/>
    <s v="PROD-025"/>
    <x v="5"/>
    <n v="7"/>
    <n v="4060"/>
    <n v="0.6"/>
    <n v="28249.48"/>
    <s v="Completed"/>
    <s v="Chennai"/>
    <x v="2"/>
    <x v="2"/>
  </r>
  <r>
    <s v="ORD-00909"/>
    <x v="63"/>
    <s v="CUST-0155"/>
    <s v="PROD-039"/>
    <x v="13"/>
    <n v="4"/>
    <n v="4610"/>
    <n v="1.9"/>
    <n v="18089.64"/>
    <s v="Pending"/>
    <s v="Pune"/>
    <x v="3"/>
    <x v="3"/>
  </r>
  <r>
    <s v="ORD-00910"/>
    <x v="93"/>
    <s v="CUST-0198"/>
    <s v="PROD-026"/>
    <x v="16"/>
    <n v="4"/>
    <n v="4070"/>
    <n v="26.8"/>
    <n v="11916.96"/>
    <s v="Completed"/>
    <s v="Chennai"/>
    <x v="2"/>
    <x v="3"/>
  </r>
  <r>
    <s v="ORD-00911"/>
    <x v="142"/>
    <s v="CUST-0267"/>
    <s v="PROD-014"/>
    <x v="10"/>
    <n v="4"/>
    <n v="3620"/>
    <n v="11.7"/>
    <n v="12785.84"/>
    <s v="Completed"/>
    <s v="Hyderabad"/>
    <x v="0"/>
    <x v="0"/>
  </r>
  <r>
    <s v="ORD-00912"/>
    <x v="195"/>
    <s v="CUST-0248"/>
    <s v="PROD-006"/>
    <x v="14"/>
    <n v="3"/>
    <n v="3970"/>
    <n v="24.7"/>
    <n v="8968.23"/>
    <s v="Completed"/>
    <s v="Chennai"/>
    <x v="4"/>
    <x v="2"/>
  </r>
  <r>
    <s v="ORD-00913"/>
    <x v="36"/>
    <s v="CUST-0114"/>
    <s v="PROD-030"/>
    <x v="8"/>
    <n v="4"/>
    <n v="970"/>
    <n v="0.4"/>
    <n v="3864.48"/>
    <s v="Completed"/>
    <s v="Bengaluru"/>
    <x v="2"/>
    <x v="2"/>
  </r>
  <r>
    <s v="ORD-00914"/>
    <x v="229"/>
    <s v="CUST-0129"/>
    <s v="PROD-057"/>
    <x v="12"/>
    <n v="2"/>
    <n v="960"/>
    <n v="1.4"/>
    <n v="1893.12"/>
    <s v="Completed"/>
    <s v="Hyderabad"/>
    <x v="1"/>
    <x v="3"/>
  </r>
  <r>
    <s v="ORD-00915"/>
    <x v="67"/>
    <s v="CUST-0182"/>
    <s v="PROD-005"/>
    <x v="29"/>
    <n v="7"/>
    <n v="300"/>
    <n v="20.399999999999999"/>
    <n v="1671.6"/>
    <s v="Completed"/>
    <s v="Mumbai"/>
    <x v="4"/>
    <x v="1"/>
  </r>
  <r>
    <s v="ORD-00916"/>
    <x v="245"/>
    <s v="CUST-0020"/>
    <s v="PROD-002"/>
    <x v="2"/>
    <n v="8"/>
    <n v="2600"/>
    <n v="2.2000000000000002"/>
    <n v="20342.400000000001"/>
    <s v="Cancelled"/>
    <s v="Hyderabad"/>
    <x v="4"/>
    <x v="1"/>
  </r>
  <r>
    <s v="ORD-00917"/>
    <x v="297"/>
    <s v="CUST-0163"/>
    <s v="PROD-032"/>
    <x v="4"/>
    <n v="2"/>
    <n v="370"/>
    <n v="17.7"/>
    <n v="609.02"/>
    <s v="Completed"/>
    <s v="Pune"/>
    <x v="3"/>
    <x v="0"/>
  </r>
  <r>
    <s v="ORD-00918"/>
    <x v="6"/>
    <s v="CUST-0142"/>
    <s v="PROD-047"/>
    <x v="17"/>
    <n v="4"/>
    <n v="3450"/>
    <n v="9.8000000000000007"/>
    <n v="12447.6"/>
    <s v="Cancelled"/>
    <s v="Chennai"/>
    <x v="5"/>
    <x v="2"/>
  </r>
  <r>
    <s v="ORD-00919"/>
    <x v="97"/>
    <s v="CUST-0221"/>
    <s v="PROD-019"/>
    <x v="16"/>
    <n v="1"/>
    <n v="2480"/>
    <n v="5.8"/>
    <n v="2336.16"/>
    <s v="Completed"/>
    <s v="Delhi"/>
    <x v="0"/>
    <x v="3"/>
  </r>
  <r>
    <s v="ORD-00920"/>
    <x v="90"/>
    <s v="CUST-0079"/>
    <s v="PROD-028"/>
    <x v="7"/>
    <n v="5"/>
    <n v="3660"/>
    <n v="4.7"/>
    <n v="17439.900000000001"/>
    <s v="Pending"/>
    <s v="Mumbai"/>
    <x v="2"/>
    <x v="3"/>
  </r>
  <r>
    <s v="ORD-00921"/>
    <x v="162"/>
    <s v="CUST-0133"/>
    <s v="PROD-044"/>
    <x v="12"/>
    <n v="7"/>
    <n v="1650"/>
    <n v="8.6"/>
    <n v="10556.7"/>
    <s v="Completed"/>
    <s v="Chennai"/>
    <x v="5"/>
    <x v="3"/>
  </r>
  <r>
    <s v="ORD-00922"/>
    <x v="339"/>
    <s v="CUST-0086"/>
    <s v="PROD-060"/>
    <x v="5"/>
    <n v="6"/>
    <n v="190"/>
    <n v="14.6"/>
    <n v="973.56"/>
    <s v="Completed"/>
    <s v="Hyderabad"/>
    <x v="1"/>
    <x v="2"/>
  </r>
  <r>
    <s v="ORD-00923"/>
    <x v="14"/>
    <s v="CUST-0155"/>
    <s v="PROD-022"/>
    <x v="19"/>
    <n v="5"/>
    <n v="2270"/>
    <n v="5.9"/>
    <n v="10680.35"/>
    <s v="Completed"/>
    <s v="Pune"/>
    <x v="2"/>
    <x v="0"/>
  </r>
  <r>
    <s v="ORD-00924"/>
    <x v="327"/>
    <s v="CUST-0244"/>
    <s v="PROD-024"/>
    <x v="23"/>
    <n v="1"/>
    <n v="2270"/>
    <n v="14.9"/>
    <n v="1931.77"/>
    <s v="Completed"/>
    <s v="Bengaluru"/>
    <x v="2"/>
    <x v="1"/>
  </r>
  <r>
    <s v="ORD-00925"/>
    <x v="133"/>
    <s v="CUST-0262"/>
    <s v="PROD-011"/>
    <x v="26"/>
    <n v="4"/>
    <n v="3450"/>
    <n v="11.7"/>
    <n v="12185.4"/>
    <s v="Cancelled"/>
    <s v="Mumbai"/>
    <x v="0"/>
    <x v="3"/>
  </r>
  <r>
    <s v="ORD-00926"/>
    <x v="46"/>
    <s v="CUST-0251"/>
    <s v="PROD-045"/>
    <x v="8"/>
    <n v="7"/>
    <n v="3020"/>
    <n v="18.8"/>
    <n v="17165.68"/>
    <s v="Completed"/>
    <s v="Mumbai"/>
    <x v="5"/>
    <x v="2"/>
  </r>
  <r>
    <s v="ORD-00927"/>
    <x v="284"/>
    <s v="CUST-0007"/>
    <s v="PROD-033"/>
    <x v="29"/>
    <n v="4"/>
    <n v="2030"/>
    <n v="25.7"/>
    <n v="6033.16"/>
    <s v="Completed"/>
    <s v="Bengaluru"/>
    <x v="3"/>
    <x v="1"/>
  </r>
  <r>
    <s v="ORD-00928"/>
    <x v="331"/>
    <s v="CUST-0161"/>
    <s v="PROD-011"/>
    <x v="2"/>
    <n v="4"/>
    <n v="3450"/>
    <n v="3.9"/>
    <n v="13261.8"/>
    <s v="Completed"/>
    <s v="Chennai"/>
    <x v="0"/>
    <x v="1"/>
  </r>
  <r>
    <s v="ORD-00929"/>
    <x v="324"/>
    <s v="CUST-0251"/>
    <s v="PROD-049"/>
    <x v="8"/>
    <n v="5"/>
    <n v="960"/>
    <n v="8"/>
    <n v="4416"/>
    <s v="Completed"/>
    <s v="Mumbai"/>
    <x v="5"/>
    <x v="2"/>
  </r>
  <r>
    <s v="ORD-00930"/>
    <x v="269"/>
    <s v="CUST-0098"/>
    <s v="PROD-006"/>
    <x v="19"/>
    <n v="7"/>
    <n v="3970"/>
    <n v="11.7"/>
    <n v="24538.57"/>
    <s v="Completed"/>
    <s v="Delhi"/>
    <x v="4"/>
    <x v="0"/>
  </r>
  <r>
    <s v="ORD-00931"/>
    <x v="211"/>
    <s v="CUST-0200"/>
    <s v="PROD-052"/>
    <x v="17"/>
    <n v="3"/>
    <n v="5410"/>
    <n v="10"/>
    <n v="14607"/>
    <s v="Completed"/>
    <s v="Hyderabad"/>
    <x v="1"/>
    <x v="2"/>
  </r>
  <r>
    <s v="ORD-00932"/>
    <x v="49"/>
    <s v="CUST-0228"/>
    <s v="PROD-003"/>
    <x v="0"/>
    <n v="8"/>
    <n v="3570"/>
    <n v="8.5"/>
    <n v="26132.400000000001"/>
    <s v="Completed"/>
    <s v="Pune"/>
    <x v="4"/>
    <x v="0"/>
  </r>
  <r>
    <s v="ORD-00933"/>
    <x v="25"/>
    <s v="CUST-0095"/>
    <s v="PROD-002"/>
    <x v="2"/>
    <n v="7"/>
    <n v="2600"/>
    <n v="27.1"/>
    <n v="13267.8"/>
    <s v="Completed"/>
    <s v="Mumbai"/>
    <x v="4"/>
    <x v="1"/>
  </r>
  <r>
    <s v="ORD-00934"/>
    <x v="33"/>
    <s v="CUST-0175"/>
    <s v="PROD-053"/>
    <x v="17"/>
    <n v="6"/>
    <n v="470"/>
    <n v="2.4"/>
    <n v="2752.32"/>
    <s v="Pending"/>
    <s v="Delhi"/>
    <x v="1"/>
    <x v="2"/>
  </r>
  <r>
    <s v="ORD-00935"/>
    <x v="2"/>
    <s v="CUST-0270"/>
    <s v="PROD-053"/>
    <x v="5"/>
    <n v="3"/>
    <n v="470"/>
    <n v="6.3"/>
    <n v="1321.17"/>
    <s v="Completed"/>
    <s v="Bengaluru"/>
    <x v="1"/>
    <x v="2"/>
  </r>
  <r>
    <s v="ORD-00936"/>
    <x v="326"/>
    <s v="CUST-0105"/>
    <s v="PROD-059"/>
    <x v="10"/>
    <n v="3"/>
    <n v="3780"/>
    <n v="19.399999999999999"/>
    <n v="9140.0400000000009"/>
    <s v="Pending"/>
    <s v="Chennai"/>
    <x v="1"/>
    <x v="0"/>
  </r>
  <r>
    <s v="ORD-00937"/>
    <x v="40"/>
    <s v="CUST-0147"/>
    <s v="PROD-056"/>
    <x v="7"/>
    <n v="5"/>
    <n v="6940"/>
    <n v="12.6"/>
    <n v="30327.8"/>
    <s v="Completed"/>
    <s v="Pune"/>
    <x v="1"/>
    <x v="3"/>
  </r>
  <r>
    <s v="ORD-00938"/>
    <x v="194"/>
    <s v="CUST-0106"/>
    <s v="PROD-004"/>
    <x v="14"/>
    <n v="2"/>
    <n v="3870"/>
    <n v="10.5"/>
    <n v="6927.3"/>
    <s v="Completed"/>
    <s v="Pune"/>
    <x v="4"/>
    <x v="2"/>
  </r>
  <r>
    <s v="ORD-00939"/>
    <x v="340"/>
    <s v="CUST-0130"/>
    <s v="PROD-052"/>
    <x v="2"/>
    <n v="8"/>
    <n v="5410"/>
    <n v="28.4"/>
    <n v="30988.48"/>
    <s v="Pending"/>
    <s v="Bengaluru"/>
    <x v="1"/>
    <x v="1"/>
  </r>
  <r>
    <s v="ORD-00940"/>
    <x v="221"/>
    <s v="CUST-0241"/>
    <s v="PROD-006"/>
    <x v="14"/>
    <n v="7"/>
    <n v="3970"/>
    <n v="12.3"/>
    <n v="24371.83"/>
    <s v="Completed"/>
    <s v="Pune"/>
    <x v="4"/>
    <x v="2"/>
  </r>
  <r>
    <s v="ORD-00941"/>
    <x v="294"/>
    <s v="CUST-0151"/>
    <s v="PROD-056"/>
    <x v="19"/>
    <n v="5"/>
    <n v="6940"/>
    <n v="1.5"/>
    <n v="34179.5"/>
    <s v="Completed"/>
    <s v="Mumbai"/>
    <x v="1"/>
    <x v="0"/>
  </r>
  <r>
    <s v="ORD-00942"/>
    <x v="110"/>
    <s v="CUST-0022"/>
    <s v="PROD-012"/>
    <x v="3"/>
    <n v="7"/>
    <n v="3160"/>
    <n v="2.4"/>
    <n v="21589.119999999999"/>
    <s v="Refunded"/>
    <s v="Bengaluru"/>
    <x v="0"/>
    <x v="0"/>
  </r>
  <r>
    <s v="ORD-00943"/>
    <x v="255"/>
    <s v="CUST-0030"/>
    <s v="PROD-020"/>
    <x v="6"/>
    <n v="2"/>
    <n v="820"/>
    <n v="8.1"/>
    <n v="1507.16"/>
    <s v="Completed"/>
    <s v="Bengaluru"/>
    <x v="0"/>
    <x v="2"/>
  </r>
  <r>
    <s v="ORD-00944"/>
    <x v="237"/>
    <s v="CUST-0176"/>
    <s v="PROD-041"/>
    <x v="14"/>
    <n v="2"/>
    <n v="1540"/>
    <n v="17.7"/>
    <n v="2534.84"/>
    <s v="Completed"/>
    <s v="Bengaluru"/>
    <x v="5"/>
    <x v="2"/>
  </r>
  <r>
    <s v="ORD-00945"/>
    <x v="310"/>
    <s v="CUST-0270"/>
    <s v="PROD-004"/>
    <x v="19"/>
    <n v="10"/>
    <n v="3870"/>
    <n v="12.2"/>
    <n v="33978.6"/>
    <s v="Refunded"/>
    <s v="Bengaluru"/>
    <x v="4"/>
    <x v="0"/>
  </r>
  <r>
    <s v="ORD-00946"/>
    <x v="56"/>
    <s v="CUST-0216"/>
    <s v="PROD-008"/>
    <x v="25"/>
    <n v="7"/>
    <n v="2660"/>
    <n v="4.7"/>
    <n v="17744.86"/>
    <s v="Completed"/>
    <s v="Mumbai"/>
    <x v="4"/>
    <x v="0"/>
  </r>
  <r>
    <s v="ORD-00947"/>
    <x v="313"/>
    <s v="CUST-0187"/>
    <s v="PROD-003"/>
    <x v="18"/>
    <n v="4"/>
    <n v="3570"/>
    <n v="19.3"/>
    <n v="11523.96"/>
    <s v="Completed"/>
    <s v="Chennai"/>
    <x v="4"/>
    <x v="1"/>
  </r>
  <r>
    <s v="ORD-00948"/>
    <x v="274"/>
    <s v="CUST-0143"/>
    <s v="PROD-033"/>
    <x v="25"/>
    <n v="2"/>
    <n v="2030"/>
    <n v="2.6"/>
    <n v="3954.44"/>
    <s v="Completed"/>
    <s v="Chennai"/>
    <x v="3"/>
    <x v="0"/>
  </r>
  <r>
    <s v="ORD-00949"/>
    <x v="273"/>
    <s v="CUST-0104"/>
    <s v="PROD-012"/>
    <x v="22"/>
    <n v="6"/>
    <n v="3160"/>
    <n v="25.8"/>
    <n v="14068.32"/>
    <s v="Completed"/>
    <s v="Hyderabad"/>
    <x v="0"/>
    <x v="1"/>
  </r>
  <r>
    <s v="ORD-00950"/>
    <x v="157"/>
    <s v="CUST-0121"/>
    <s v="PROD-034"/>
    <x v="2"/>
    <n v="4"/>
    <n v="5080"/>
    <n v="2"/>
    <n v="19913.599999999999"/>
    <s v="Completed"/>
    <s v=" Delhi "/>
    <x v="3"/>
    <x v="1"/>
  </r>
  <r>
    <s v="ORD-00951"/>
    <x v="322"/>
    <s v="CUST-0228"/>
    <s v="PROD-047"/>
    <x v="9"/>
    <n v="6"/>
    <n v="3450"/>
    <n v="1.8"/>
    <n v="20327.400000000001"/>
    <s v="Cancelled"/>
    <s v="Pune"/>
    <x v="5"/>
    <x v="1"/>
  </r>
  <r>
    <s v="ORD-00952"/>
    <x v="189"/>
    <s v="CUST-0218"/>
    <s v="PROD-051"/>
    <x v="29"/>
    <n v="3"/>
    <n v="3450"/>
    <n v="4.7"/>
    <n v="9863.5499999999993"/>
    <s v="Pending"/>
    <s v="Mumbai"/>
    <x v="1"/>
    <x v="1"/>
  </r>
  <r>
    <s v="ORD-00953"/>
    <x v="27"/>
    <s v="CUST-0118"/>
    <s v="PROD-001"/>
    <x v="28"/>
    <n v="7"/>
    <n v="5330"/>
    <n v="16.399999999999999"/>
    <n v="31191.16"/>
    <s v="Completed"/>
    <s v="Hyderabad"/>
    <x v="4"/>
    <x v="2"/>
  </r>
  <r>
    <s v="ORD-00954"/>
    <x v="190"/>
    <s v="CUST-0262"/>
    <s v="PROD-029"/>
    <x v="11"/>
    <n v="6"/>
    <n v="2210"/>
    <n v="13.1"/>
    <n v="11522.94"/>
    <s v="Completed"/>
    <s v="Mumbai"/>
    <x v="2"/>
    <x v="0"/>
  </r>
  <r>
    <s v="ORD-00955"/>
    <x v="133"/>
    <s v="CUST-0137"/>
    <s v="PROD-040"/>
    <x v="17"/>
    <n v="8"/>
    <n v="1080"/>
    <n v="8.6999999999999993"/>
    <n v="7888.32"/>
    <s v="Completed"/>
    <s v="Mumbai"/>
    <x v="3"/>
    <x v="2"/>
  </r>
  <r>
    <s v="ORD-00956"/>
    <x v="185"/>
    <s v="CUST-0145"/>
    <s v="PROD-014"/>
    <x v="15"/>
    <n v="5"/>
    <n v="3620"/>
    <n v="16.100000000000001"/>
    <n v="15185.9"/>
    <s v="Completed"/>
    <s v="Bengaluru"/>
    <x v="0"/>
    <x v="1"/>
  </r>
  <r>
    <s v="ORD-00957"/>
    <x v="64"/>
    <s v="CUST-0275"/>
    <s v="PROD-018"/>
    <x v="23"/>
    <n v="7"/>
    <n v="3560"/>
    <n v="8.5"/>
    <n v="22801.8"/>
    <s v="Completed"/>
    <s v="Mumbai"/>
    <x v="0"/>
    <x v="1"/>
  </r>
  <r>
    <s v="ORD-00958"/>
    <x v="263"/>
    <s v="CUST-0189"/>
    <s v="PROD-033"/>
    <x v="5"/>
    <n v="8"/>
    <n v="2030"/>
    <n v="18.100000000000001"/>
    <n v="13300.56"/>
    <s v="Completed"/>
    <s v="Chennai"/>
    <x v="3"/>
    <x v="2"/>
  </r>
  <r>
    <s v="ORD-00959"/>
    <x v="154"/>
    <s v="CUST-0105"/>
    <s v="PROD-044"/>
    <x v="23"/>
    <n v="10"/>
    <n v="1650"/>
    <n v="7.1"/>
    <n v="15328.5"/>
    <s v="Completed"/>
    <s v="Chennai"/>
    <x v="5"/>
    <x v="1"/>
  </r>
  <r>
    <s v="ORD-00960"/>
    <x v="25"/>
    <s v="CUST-0284"/>
    <s v="PROD-021"/>
    <x v="21"/>
    <n v="4"/>
    <n v="2760"/>
    <n v="17.600000000000001"/>
    <n v="9096.9599999999991"/>
    <s v="Cancelled"/>
    <s v="Hyderabad"/>
    <x v="2"/>
    <x v="3"/>
  </r>
  <r>
    <s v="ORD-00961"/>
    <x v="151"/>
    <s v="CUST-0296"/>
    <s v="PROD-006"/>
    <x v="18"/>
    <n v="4"/>
    <n v="3970"/>
    <n v="4.3"/>
    <n v="15197.16"/>
    <s v="Completed"/>
    <s v="Delhi"/>
    <x v="4"/>
    <x v="1"/>
  </r>
  <r>
    <s v="ORD-00962"/>
    <x v="89"/>
    <s v="CUST-0087"/>
    <s v="PROD-050"/>
    <x v="9"/>
    <n v="2"/>
    <n v="6080"/>
    <n v="23.8"/>
    <n v="9265.92"/>
    <s v="Completed"/>
    <s v="Pune"/>
    <x v="5"/>
    <x v="1"/>
  </r>
  <r>
    <s v="ORD-00963"/>
    <x v="341"/>
    <s v="CUST-0012"/>
    <s v="PROD-024"/>
    <x v="10"/>
    <n v="4"/>
    <n v="2270"/>
    <n v="28.9"/>
    <n v="6455.88"/>
    <s v="Completed"/>
    <s v="Pune"/>
    <x v="2"/>
    <x v="0"/>
  </r>
  <r>
    <s v="ORD-00964"/>
    <x v="236"/>
    <s v="CUST-0241"/>
    <s v="PROD-006"/>
    <x v="10"/>
    <n v="10"/>
    <n v="3970"/>
    <n v="26.2"/>
    <n v="29298.6"/>
    <s v="Completed"/>
    <s v="Pune"/>
    <x v="4"/>
    <x v="0"/>
  </r>
  <r>
    <s v="ORD-00965"/>
    <x v="239"/>
    <s v="CUST-0133"/>
    <s v="PROD-048"/>
    <x v="22"/>
    <n v="4"/>
    <n v="5100"/>
    <n v="2.1"/>
    <n v="19971.599999999999"/>
    <s v="Completed"/>
    <s v="Chennai"/>
    <x v="5"/>
    <x v="1"/>
  </r>
  <r>
    <s v="ORD-00966"/>
    <x v="49"/>
    <s v="CUST-0230"/>
    <s v="PROD-045"/>
    <x v="6"/>
    <n v="5"/>
    <n v="3020"/>
    <n v="17.3"/>
    <n v="12487.7"/>
    <s v="Completed"/>
    <s v="Pune"/>
    <x v="5"/>
    <x v="2"/>
  </r>
  <r>
    <s v="ORD-00967"/>
    <x v="126"/>
    <s v="CUST-0126"/>
    <s v="PROD-057"/>
    <x v="29"/>
    <n v="8"/>
    <n v="960"/>
    <n v="1.3"/>
    <n v="7580.16"/>
    <s v="Cancelled"/>
    <s v="Mumbai"/>
    <x v="1"/>
    <x v="1"/>
  </r>
  <r>
    <s v="ORD-00968"/>
    <x v="109"/>
    <s v="CUST-0233"/>
    <s v="PROD-019"/>
    <x v="4"/>
    <n v="9"/>
    <n v="2480"/>
    <n v="15.6"/>
    <n v="18838.080000000002"/>
    <s v="Completed"/>
    <s v="Mumbai"/>
    <x v="0"/>
    <x v="0"/>
  </r>
  <r>
    <s v="ORD-00969"/>
    <x v="286"/>
    <s v="CUST-9555"/>
    <s v="PROD-030"/>
    <x v="27"/>
    <n v="1"/>
    <n v="970"/>
    <n v="24.9"/>
    <n v="728.47"/>
    <s v="Completed"/>
    <s v="Bengaluru"/>
    <x v="2"/>
    <x v="1"/>
  </r>
  <r>
    <s v="ORD-00970"/>
    <x v="38"/>
    <s v="CUST-0150"/>
    <s v="PROD-023"/>
    <x v="24"/>
    <n v="4"/>
    <n v="2380"/>
    <n v="9.5"/>
    <n v="8615.6"/>
    <s v="Cancelled"/>
    <s v="Pune"/>
    <x v="2"/>
    <x v="3"/>
  </r>
  <r>
    <s v="ORD-00971"/>
    <x v="318"/>
    <s v="CUST-0204"/>
    <s v="PROD-052"/>
    <x v="1"/>
    <n v="4"/>
    <n v="5410"/>
    <n v="18.7"/>
    <n v="17593.32"/>
    <s v="Completed"/>
    <s v="Hyderabad"/>
    <x v="1"/>
    <x v="0"/>
  </r>
  <r>
    <s v="ORD-00972"/>
    <x v="52"/>
    <s v="CUST-0040"/>
    <s v="PROD-034"/>
    <x v="24"/>
    <n v="7"/>
    <n v="5080"/>
    <n v="6.5"/>
    <n v="33248.6"/>
    <s v="Completed"/>
    <s v="Chennai"/>
    <x v="3"/>
    <x v="3"/>
  </r>
  <r>
    <s v="ORD-00973"/>
    <x v="220"/>
    <s v="CUST-0060"/>
    <s v="PROD-007"/>
    <x v="5"/>
    <n v="5"/>
    <n v="1430"/>
    <n v="19.8"/>
    <n v="5734.3"/>
    <s v="Completed"/>
    <s v="Pune"/>
    <x v="4"/>
    <x v="2"/>
  </r>
  <r>
    <s v="ORD-00974"/>
    <x v="4"/>
    <s v="CUST-0017"/>
    <s v="PROD-037"/>
    <x v="23"/>
    <n v="7"/>
    <n v="660"/>
    <n v="17.3"/>
    <n v="3820.74"/>
    <s v="Completed"/>
    <s v="Delhi"/>
    <x v="3"/>
    <x v="1"/>
  </r>
  <r>
    <s v="ORD-00975"/>
    <x v="265"/>
    <s v="CUST-0093"/>
    <s v="PROD-041"/>
    <x v="10"/>
    <n v="10"/>
    <n v="1540"/>
    <n v="17.5"/>
    <n v="12705"/>
    <s v="Completed"/>
    <s v="Pune"/>
    <x v="5"/>
    <x v="0"/>
  </r>
  <r>
    <s v="ORD-01662"/>
    <x v="243"/>
    <s v="CUST-0068"/>
    <s v="PROD-029"/>
    <x v="11"/>
    <n v="10"/>
    <n v="2210"/>
    <n v="24.1"/>
    <n v="16773.900000000001"/>
    <s v="Pending"/>
    <s v="Delhi"/>
    <x v="2"/>
    <x v="0"/>
  </r>
  <r>
    <s v="ORD-00977"/>
    <x v="281"/>
    <s v="CUST-0251"/>
    <s v="PROD-057"/>
    <x v="24"/>
    <n v="4"/>
    <n v="960"/>
    <n v="13.4"/>
    <n v="3325.44"/>
    <s v="Completed"/>
    <s v="Mumbai"/>
    <x v="1"/>
    <x v="3"/>
  </r>
  <r>
    <s v="ORD-00978"/>
    <x v="108"/>
    <s v="CUST-0076"/>
    <s v="PROD-047"/>
    <x v="24"/>
    <n v="8"/>
    <n v="3450"/>
    <n v="3.7"/>
    <n v="26578.799999999999"/>
    <s v="Completed"/>
    <s v="Mumbai"/>
    <x v="5"/>
    <x v="3"/>
  </r>
  <r>
    <s v="ORD-00979"/>
    <x v="214"/>
    <s v="CUST-9927"/>
    <s v="PROD-033"/>
    <x v="1"/>
    <n v="6"/>
    <n v="2030"/>
    <n v="9.5"/>
    <n v="11022.9"/>
    <s v="Completed"/>
    <s v="Mumbai"/>
    <x v="3"/>
    <x v="0"/>
  </r>
  <r>
    <s v="ORD-00980"/>
    <x v="342"/>
    <s v="CUST-0135"/>
    <s v="PROD-011"/>
    <x v="18"/>
    <n v="7"/>
    <n v="3450"/>
    <n v="28.2"/>
    <n v="17339.7"/>
    <s v="Completed"/>
    <s v="Pune"/>
    <x v="0"/>
    <x v="1"/>
  </r>
  <r>
    <s v="ORD-00981"/>
    <x v="101"/>
    <s v="CUST-0163"/>
    <s v="PROD-027"/>
    <x v="23"/>
    <n v="7"/>
    <n v="3780"/>
    <n v="15.1"/>
    <n v="22464.54"/>
    <s v="Completed"/>
    <s v="Pune"/>
    <x v="2"/>
    <x v="1"/>
  </r>
  <r>
    <s v="ORD-00947"/>
    <x v="53"/>
    <s v="CUST-0107"/>
    <s v="PROD-021"/>
    <x v="25"/>
    <n v="4"/>
    <n v="2760"/>
    <n v="14.8"/>
    <n v="9406.08"/>
    <s v="Completed"/>
    <s v="Pune"/>
    <x v="2"/>
    <x v="0"/>
  </r>
  <r>
    <s v="ORD-00983"/>
    <x v="322"/>
    <s v="CUST-0209"/>
    <s v="PROD-041"/>
    <x v="20"/>
    <n v="4"/>
    <n v="1540"/>
    <n v="13.9"/>
    <n v="5303.76"/>
    <s v="Completed"/>
    <s v="Pune"/>
    <x v="5"/>
    <x v="2"/>
  </r>
  <r>
    <s v="ORD-00984"/>
    <x v="334"/>
    <s v="CUST-0074"/>
    <s v="PROD-031"/>
    <x v="0"/>
    <n v="2"/>
    <n v="3730"/>
    <n v="15.7"/>
    <n v="6288.78"/>
    <s v="Cancelled"/>
    <s v="Bengaluru"/>
    <x v="3"/>
    <x v="0"/>
  </r>
  <r>
    <s v="ORD-00985"/>
    <x v="251"/>
    <s v="CUST-0037"/>
    <s v="PROD-031"/>
    <x v="28"/>
    <n v="4"/>
    <n v="3730"/>
    <n v="2.1"/>
    <n v="14606.68"/>
    <s v="Completed"/>
    <s v="Bengaluru"/>
    <x v="3"/>
    <x v="2"/>
  </r>
  <r>
    <s v="ORD-00986"/>
    <x v="136"/>
    <s v="CUST-0026"/>
    <s v="PROD-012"/>
    <x v="22"/>
    <n v="1"/>
    <n v="3160"/>
    <n v="29.8"/>
    <n v="2218.3200000000002"/>
    <s v="Completed"/>
    <s v="Pune"/>
    <x v="0"/>
    <x v="1"/>
  </r>
  <r>
    <s v="ORD-00987"/>
    <x v="227"/>
    <s v="CUST-0151"/>
    <s v="PROD-042"/>
    <x v="24"/>
    <n v="9"/>
    <n v="2290"/>
    <n v="8.3000000000000007"/>
    <n v="18899.37"/>
    <s v="Pending"/>
    <s v="Mumbai"/>
    <x v="5"/>
    <x v="3"/>
  </r>
  <r>
    <s v="ORD-00988"/>
    <x v="215"/>
    <s v="CUST-0210"/>
    <s v="PROD-004"/>
    <x v="22"/>
    <n v="2"/>
    <n v="3870"/>
    <n v="5.2"/>
    <n v="7337.52"/>
    <s v="Completed"/>
    <s v="Pune"/>
    <x v="4"/>
    <x v="1"/>
  </r>
  <r>
    <s v="ORD-00989"/>
    <x v="57"/>
    <s v="CUST-0192"/>
    <s v="PROD-003"/>
    <x v="0"/>
    <n v="5"/>
    <n v="3570"/>
    <n v="19.899999999999999"/>
    <n v="14297.85"/>
    <s v="Completed"/>
    <s v="Bengaluru"/>
    <x v="4"/>
    <x v="0"/>
  </r>
  <r>
    <s v="ORD-00990"/>
    <x v="305"/>
    <s v="CUST-0161"/>
    <s v="PROD-054"/>
    <x v="19"/>
    <n v="5"/>
    <n v="1010"/>
    <n v="2.2000000000000002"/>
    <n v="4938.8999999999996"/>
    <s v="Completed"/>
    <s v="Chennai"/>
    <x v="1"/>
    <x v="0"/>
  </r>
  <r>
    <s v="ORD-00991"/>
    <x v="119"/>
    <s v="CUST-0255"/>
    <s v="PROD-042"/>
    <x v="10"/>
    <n v="10"/>
    <n v="2290"/>
    <n v="16.8"/>
    <n v="19052.8"/>
    <s v="Cancelled"/>
    <s v="Chennai"/>
    <x v="5"/>
    <x v="0"/>
  </r>
  <r>
    <s v="ORD-00992"/>
    <x v="293"/>
    <s v="CUST-0027"/>
    <s v="PROD-039"/>
    <x v="7"/>
    <n v="3"/>
    <n v="4610"/>
    <n v="13.2"/>
    <n v="12004.44"/>
    <s v="Pending"/>
    <s v="Hyderabad"/>
    <x v="3"/>
    <x v="3"/>
  </r>
  <r>
    <s v="ORD-00993"/>
    <x v="320"/>
    <s v="CUST-0228"/>
    <s v="PROD-017"/>
    <x v="11"/>
    <n v="1"/>
    <n v="2510"/>
    <n v="16.899999999999999"/>
    <n v="2085.81"/>
    <s v="Completed"/>
    <s v="Pune"/>
    <x v="0"/>
    <x v="0"/>
  </r>
  <r>
    <s v="ORD-00994"/>
    <x v="27"/>
    <s v="CUST-0183"/>
    <s v="PROD-045"/>
    <x v="18"/>
    <n v="1"/>
    <n v="3020"/>
    <n v="26.7"/>
    <n v="2213.66"/>
    <s v="Completed"/>
    <s v="Mumbai"/>
    <x v="5"/>
    <x v="1"/>
  </r>
  <r>
    <s v="ORD-00995"/>
    <x v="343"/>
    <s v="CUST-0026"/>
    <s v="PROD-060"/>
    <x v="27"/>
    <n v="6"/>
    <n v="190"/>
    <n v="7.1"/>
    <n v="1059.06"/>
    <s v="Completed"/>
    <s v="Pune"/>
    <x v="1"/>
    <x v="1"/>
  </r>
  <r>
    <s v="ORD-00996"/>
    <x v="201"/>
    <s v="CUST-0211"/>
    <s v="PROD-033"/>
    <x v="25"/>
    <n v="6"/>
    <n v="2030"/>
    <n v="13.5"/>
    <n v="10535.7"/>
    <s v="Cancelled"/>
    <s v="Bengaluru"/>
    <x v="3"/>
    <x v="0"/>
  </r>
  <r>
    <s v="ORD-00997"/>
    <x v="74"/>
    <s v="CUST-0190"/>
    <s v="PROD-036"/>
    <x v="27"/>
    <n v="10"/>
    <n v="3250"/>
    <n v="8.6999999999999993"/>
    <n v="29672.5"/>
    <s v="Completed"/>
    <s v="Hyderabad"/>
    <x v="3"/>
    <x v="1"/>
  </r>
  <r>
    <s v="ORD-00998"/>
    <x v="193"/>
    <s v="CUST-0172"/>
    <s v="PROD-033"/>
    <x v="20"/>
    <n v="9"/>
    <n v="2030"/>
    <n v="29.3"/>
    <n v="12916.89"/>
    <s v="Completed"/>
    <s v="Pune"/>
    <x v="3"/>
    <x v="2"/>
  </r>
  <r>
    <s v="ORD-00999"/>
    <x v="82"/>
    <s v="CUST-0272"/>
    <s v="PROD-023"/>
    <x v="5"/>
    <n v="1"/>
    <n v="2380"/>
    <n v="12.9"/>
    <n v="2072.98"/>
    <s v="Completed"/>
    <s v="Mumbai"/>
    <x v="2"/>
    <x v="2"/>
  </r>
  <r>
    <s v="ORD-01000"/>
    <x v="126"/>
    <s v="CUST-0232"/>
    <s v="PROD-011"/>
    <x v="6"/>
    <n v="10"/>
    <n v="3450"/>
    <n v="18.5"/>
    <n v="28117.5"/>
    <s v="Completed"/>
    <s v="Hyderabad"/>
    <x v="0"/>
    <x v="2"/>
  </r>
  <r>
    <s v="ORD-01001"/>
    <x v="66"/>
    <s v="CUST-0282"/>
    <s v="PROD-012"/>
    <x v="25"/>
    <n v="10"/>
    <n v="3160"/>
    <n v="26.3"/>
    <n v="23289.200000000001"/>
    <s v="Completed"/>
    <s v="Hyderabad"/>
    <x v="0"/>
    <x v="0"/>
  </r>
  <r>
    <s v="ORD-01002"/>
    <x v="101"/>
    <s v="CUST-0164"/>
    <s v="PROD-038"/>
    <x v="17"/>
    <n v="10"/>
    <n v="5490"/>
    <n v="22.7"/>
    <n v="42437.7"/>
    <s v="Completed"/>
    <s v="Chennai"/>
    <x v="3"/>
    <x v="2"/>
  </r>
  <r>
    <s v="ORD-01003"/>
    <x v="232"/>
    <s v="CUST-0212"/>
    <s v="PROD-055"/>
    <x v="3"/>
    <n v="8"/>
    <n v="2860"/>
    <n v="14.3"/>
    <n v="19608.16"/>
    <s v="Completed"/>
    <s v="Chennai"/>
    <x v="1"/>
    <x v="0"/>
  </r>
  <r>
    <s v="ORD-01004"/>
    <x v="104"/>
    <s v="CUST-0234"/>
    <s v="PROD-049"/>
    <x v="23"/>
    <n v="1"/>
    <n v="960"/>
    <n v="11.9"/>
    <n v="845.76"/>
    <s v="Completed"/>
    <s v="Bengaluru"/>
    <x v="5"/>
    <x v="1"/>
  </r>
  <r>
    <s v="ORD-01005"/>
    <x v="195"/>
    <s v="CUST-0292"/>
    <s v="PROD-040"/>
    <x v="0"/>
    <n v="3"/>
    <n v="1080"/>
    <n v="26"/>
    <n v="2397.6"/>
    <s v="Completed"/>
    <s v="Bengaluru"/>
    <x v="3"/>
    <x v="0"/>
  </r>
  <r>
    <s v="ORD-01006"/>
    <x v="65"/>
    <s v="CUST-0018"/>
    <s v="PROD-055"/>
    <x v="19"/>
    <n v="10"/>
    <n v="2860"/>
    <n v="13.1"/>
    <n v="24853.4"/>
    <s v="Refunded"/>
    <s v="Pune"/>
    <x v="1"/>
    <x v="0"/>
  </r>
  <r>
    <s v="ORD-01007"/>
    <x v="316"/>
    <s v="CUST-0220"/>
    <s v="PROD-013"/>
    <x v="19"/>
    <n v="3"/>
    <n v="3640"/>
    <n v="18.2"/>
    <n v="8932.56"/>
    <s v="Completed"/>
    <s v="Chennai"/>
    <x v="0"/>
    <x v="0"/>
  </r>
  <r>
    <s v="ORD-01008"/>
    <x v="171"/>
    <s v="CUST-0064"/>
    <s v="PROD-015"/>
    <x v="26"/>
    <n v="3"/>
    <n v="2720"/>
    <n v="3.6"/>
    <n v="7866.24"/>
    <s v="Completed"/>
    <s v="Hyderabad"/>
    <x v="0"/>
    <x v="3"/>
  </r>
  <r>
    <s v="ORD-01009"/>
    <x v="316"/>
    <s v="CUST-0077"/>
    <s v="PROD-024"/>
    <x v="4"/>
    <n v="4"/>
    <n v="2270"/>
    <n v="18.399999999999999"/>
    <n v="7409.28"/>
    <s v="Completed"/>
    <s v="Hyderabad"/>
    <x v="2"/>
    <x v="0"/>
  </r>
  <r>
    <s v="ORD-01010"/>
    <x v="64"/>
    <s v="CUST-0229"/>
    <s v="PROD-009"/>
    <x v="20"/>
    <n v="5"/>
    <n v="1220"/>
    <n v="13.9"/>
    <n v="5252.1"/>
    <s v="Completed"/>
    <s v="Hyderabad"/>
    <x v="4"/>
    <x v="2"/>
  </r>
  <r>
    <s v="ORD-01011"/>
    <x v="21"/>
    <s v="CUST-0129"/>
    <s v="PROD-010"/>
    <x v="15"/>
    <n v="8"/>
    <n v="2640"/>
    <n v="17.3"/>
    <n v="17466.240000000002"/>
    <s v="Completed"/>
    <s v="Hyderabad"/>
    <x v="4"/>
    <x v="1"/>
  </r>
  <r>
    <s v="ORD-01012"/>
    <x v="66"/>
    <s v="CUST-0145"/>
    <s v="PROD-030"/>
    <x v="15"/>
    <n v="1"/>
    <n v="970"/>
    <n v="28"/>
    <n v="698.4"/>
    <s v="Cancelled"/>
    <s v="Bengaluru"/>
    <x v="2"/>
    <x v="1"/>
  </r>
  <r>
    <s v="ORD-01013"/>
    <x v="243"/>
    <s v="CUST-0258"/>
    <s v="PROD-031"/>
    <x v="5"/>
    <n v="8"/>
    <n v="3730"/>
    <n v="2.1"/>
    <n v="29213.360000000001"/>
    <s v="Refunded"/>
    <s v="Pune"/>
    <x v="3"/>
    <x v="2"/>
  </r>
  <r>
    <s v="ORD-01014"/>
    <x v="311"/>
    <s v="CUST-0209"/>
    <s v="PROD-030"/>
    <x v="6"/>
    <n v="7"/>
    <n v="970"/>
    <n v="25.5"/>
    <n v="5058.55"/>
    <s v="Completed"/>
    <s v="Pune"/>
    <x v="2"/>
    <x v="2"/>
  </r>
  <r>
    <s v="ORD-01015"/>
    <x v="125"/>
    <s v="CUST-0131"/>
    <s v="PROD-003"/>
    <x v="24"/>
    <n v="6"/>
    <n v="3570"/>
    <n v="9.9"/>
    <n v="19299.419999999998"/>
    <s v="Completed"/>
    <s v="Delhi"/>
    <x v="4"/>
    <x v="3"/>
  </r>
  <r>
    <s v="ORD-01016"/>
    <x v="111"/>
    <s v="CUST-0276"/>
    <s v="PROD-030"/>
    <x v="29"/>
    <n v="6"/>
    <n v="970"/>
    <n v="19.600000000000001"/>
    <n v="4679.28"/>
    <s v="Completed"/>
    <s v="Chennai"/>
    <x v="2"/>
    <x v="1"/>
  </r>
  <r>
    <s v="ORD-01017"/>
    <x v="211"/>
    <s v="CUST-0283"/>
    <s v="PROD-059"/>
    <x v="23"/>
    <n v="8"/>
    <n v="3780"/>
    <n v="26.5"/>
    <n v="22226.400000000001"/>
    <s v="Completed"/>
    <s v="Delhi"/>
    <x v="1"/>
    <x v="1"/>
  </r>
  <r>
    <s v="ORD-01018"/>
    <x v="72"/>
    <s v="CUST-0195"/>
    <s v="PROD-058"/>
    <x v="23"/>
    <n v="6"/>
    <n v="2400"/>
    <n v="1.4"/>
    <n v="14198.4"/>
    <s v="Completed"/>
    <s v="Bengaluru"/>
    <x v="1"/>
    <x v="1"/>
  </r>
  <r>
    <s v="ORD-01019"/>
    <x v="97"/>
    <s v="CUST-0181"/>
    <s v="PROD-036"/>
    <x v="13"/>
    <n v="10"/>
    <n v="3250"/>
    <n v="19.3"/>
    <n v="26227.5"/>
    <s v="Completed"/>
    <s v="Delhi"/>
    <x v="3"/>
    <x v="3"/>
  </r>
  <r>
    <s v="ORD-01020"/>
    <x v="260"/>
    <s v="CUST-0149"/>
    <s v="PROD-021"/>
    <x v="2"/>
    <n v="7"/>
    <n v="2760"/>
    <n v="23.6"/>
    <n v="14760.48"/>
    <s v="Pending"/>
    <s v="Hyderabad"/>
    <x v="2"/>
    <x v="1"/>
  </r>
  <r>
    <s v="ORD-01021"/>
    <x v="113"/>
    <s v="CUST-0152"/>
    <s v="PROD-003"/>
    <x v="19"/>
    <n v="3"/>
    <n v="3570"/>
    <n v="26.3"/>
    <n v="7893.27"/>
    <s v="Completed"/>
    <s v="Bengaluru"/>
    <x v="4"/>
    <x v="0"/>
  </r>
  <r>
    <s v="ORD-01022"/>
    <x v="40"/>
    <s v="CUST-0085"/>
    <s v="PROD-027"/>
    <x v="15"/>
    <n v="4"/>
    <n v="3780"/>
    <n v="10.1"/>
    <n v="13592.88"/>
    <s v="Completed"/>
    <s v="Chennai"/>
    <x v="2"/>
    <x v="1"/>
  </r>
  <r>
    <s v="ORD-01023"/>
    <x v="77"/>
    <s v="CUST-0231"/>
    <s v="PROD-007"/>
    <x v="7"/>
    <n v="10"/>
    <n v="1430"/>
    <n v="3.7"/>
    <n v="13770.9"/>
    <s v="Completed"/>
    <s v="Chennai"/>
    <x v="4"/>
    <x v="3"/>
  </r>
  <r>
    <s v="ORD-01024"/>
    <x v="91"/>
    <s v="CUST-0044"/>
    <s v="PROD-022"/>
    <x v="23"/>
    <n v="6"/>
    <n v="2270"/>
    <n v="7.9"/>
    <n v="12544.02"/>
    <s v="Refunded"/>
    <s v="Hyderabad"/>
    <x v="2"/>
    <x v="1"/>
  </r>
  <r>
    <s v="ORD-01025"/>
    <x v="5"/>
    <s v="CUST-0027"/>
    <s v="PROD-054"/>
    <x v="22"/>
    <n v="1"/>
    <n v="1010"/>
    <n v="6.9"/>
    <n v="940.31"/>
    <s v="Pending"/>
    <s v="Hyderabad"/>
    <x v="1"/>
    <x v="1"/>
  </r>
  <r>
    <s v="ORD-01026"/>
    <x v="91"/>
    <s v="CUST-0101"/>
    <s v="PROD-055"/>
    <x v="2"/>
    <n v="2"/>
    <n v="2860"/>
    <n v="20.100000000000001"/>
    <n v="4570.28"/>
    <s v="Completed"/>
    <s v="Hyderabad"/>
    <x v="1"/>
    <x v="1"/>
  </r>
  <r>
    <s v="ORD-01027"/>
    <x v="76"/>
    <s v="CUST-0123"/>
    <s v="PROD-002"/>
    <x v="7"/>
    <n v="9"/>
    <n v="2600"/>
    <n v="15.9"/>
    <n v="19679.400000000001"/>
    <s v="Cancelled"/>
    <s v="Chennai"/>
    <x v="4"/>
    <x v="3"/>
  </r>
  <r>
    <s v="ORD-01028"/>
    <x v="132"/>
    <s v="CUST-0124"/>
    <s v="PROD-053"/>
    <x v="6"/>
    <n v="10"/>
    <n v="470"/>
    <n v="23.1"/>
    <n v="3614.3"/>
    <s v="Pending"/>
    <s v="Pune"/>
    <x v="1"/>
    <x v="2"/>
  </r>
  <r>
    <s v="ORD-01029"/>
    <x v="185"/>
    <s v="CUST-0159"/>
    <s v="PROD-037"/>
    <x v="22"/>
    <n v="10"/>
    <n v="660"/>
    <n v="9.4"/>
    <n v="5979.6"/>
    <s v="Completed"/>
    <s v="Hyderabad"/>
    <x v="3"/>
    <x v="1"/>
  </r>
  <r>
    <s v="ORD-01030"/>
    <x v="246"/>
    <s v="CUST-0087"/>
    <s v="PROD-009"/>
    <x v="12"/>
    <n v="5"/>
    <n v="1220"/>
    <n v="23.3"/>
    <n v="4678.7"/>
    <s v="Completed"/>
    <s v="Pune"/>
    <x v="4"/>
    <x v="3"/>
  </r>
  <r>
    <s v="ORD-01031"/>
    <x v="137"/>
    <s v="CUST-0295"/>
    <s v="PROD-036"/>
    <x v="23"/>
    <n v="9"/>
    <n v="3250"/>
    <n v="19.600000000000001"/>
    <n v="23517"/>
    <s v="Pending"/>
    <s v="Delhi"/>
    <x v="3"/>
    <x v="1"/>
  </r>
  <r>
    <s v="ORD-01032"/>
    <x v="176"/>
    <s v="CUST-0211"/>
    <s v="PROD-016"/>
    <x v="26"/>
    <n v="7"/>
    <n v="620"/>
    <n v="29"/>
    <n v="3081.4"/>
    <s v="Completed"/>
    <s v="Bengaluru"/>
    <x v="0"/>
    <x v="3"/>
  </r>
  <r>
    <s v="ORD-01033"/>
    <x v="99"/>
    <s v="CUST-0265"/>
    <s v="PROD-026"/>
    <x v="3"/>
    <n v="9"/>
    <n v="4070"/>
    <n v="16.2"/>
    <n v="30695.94"/>
    <s v="Completed"/>
    <s v="Chennai"/>
    <x v="2"/>
    <x v="0"/>
  </r>
  <r>
    <s v="ORD-01034"/>
    <x v="116"/>
    <s v="CUST-0252"/>
    <s v="PROD-012"/>
    <x v="0"/>
    <n v="8"/>
    <n v="3160"/>
    <n v="23.8"/>
    <n v="19263.36"/>
    <s v="Completed"/>
    <s v="Bengaluru"/>
    <x v="0"/>
    <x v="0"/>
  </r>
  <r>
    <s v="ORD-01035"/>
    <x v="124"/>
    <s v="CUST-0180"/>
    <s v="PROD-029"/>
    <x v="24"/>
    <n v="3"/>
    <n v="2210"/>
    <n v="29.7"/>
    <n v="4660.8900000000003"/>
    <s v="Completed"/>
    <s v="Chennai"/>
    <x v="2"/>
    <x v="3"/>
  </r>
  <r>
    <s v="ORD-01036"/>
    <x v="268"/>
    <s v="CUST-0231"/>
    <s v="PROD-053"/>
    <x v="5"/>
    <n v="9"/>
    <n v="470"/>
    <n v="27.1"/>
    <n v="3083.67"/>
    <s v="Completed"/>
    <s v="Chennai"/>
    <x v="1"/>
    <x v="2"/>
  </r>
  <r>
    <s v="ORD-01037"/>
    <x v="81"/>
    <s v="CUST-0161"/>
    <s v="PROD-032"/>
    <x v="16"/>
    <n v="6"/>
    <n v="370"/>
    <n v="5.4"/>
    <n v="2100.12"/>
    <s v="Completed"/>
    <s v="Chennai"/>
    <x v="3"/>
    <x v="3"/>
  </r>
  <r>
    <s v="ORD-01038"/>
    <x v="263"/>
    <s v="CUST-0249"/>
    <s v="PROD-059"/>
    <x v="26"/>
    <n v="10"/>
    <n v="3780"/>
    <n v="21.5"/>
    <n v="29673"/>
    <s v="Pending"/>
    <s v="Mumbai"/>
    <x v="1"/>
    <x v="3"/>
  </r>
  <r>
    <s v="ORD-01039"/>
    <x v="344"/>
    <s v="CUST-0048"/>
    <s v="PROD-056"/>
    <x v="18"/>
    <n v="4"/>
    <n v="6940"/>
    <n v="3.9"/>
    <n v="26677.360000000001"/>
    <s v="Cancelled"/>
    <s v="Delhi"/>
    <x v="1"/>
    <x v="1"/>
  </r>
  <r>
    <s v="ORD-01040"/>
    <x v="233"/>
    <s v="CUST-0068"/>
    <s v="PROD-031"/>
    <x v="24"/>
    <n v="3"/>
    <n v="3730"/>
    <n v="20.7"/>
    <n v="8873.67"/>
    <s v="Completed"/>
    <s v="Delhi"/>
    <x v="3"/>
    <x v="3"/>
  </r>
  <r>
    <s v="ORD-01041"/>
    <x v="212"/>
    <s v="CUST-0213"/>
    <s v="PROD-034"/>
    <x v="5"/>
    <n v="8"/>
    <n v="5080"/>
    <n v="6.2"/>
    <n v="38120.32"/>
    <s v="Completed"/>
    <s v="Mumbai"/>
    <x v="3"/>
    <x v="2"/>
  </r>
  <r>
    <s v="ORD-01042"/>
    <x v="6"/>
    <s v="CUST-0159"/>
    <s v="PROD-052"/>
    <x v="19"/>
    <n v="5"/>
    <n v="5410"/>
    <n v="5.2"/>
    <n v="25643.4"/>
    <s v="Completed"/>
    <s v="Hyderabad"/>
    <x v="1"/>
    <x v="0"/>
  </r>
  <r>
    <s v="ORD-01043"/>
    <x v="280"/>
    <s v="CUST-0298"/>
    <s v="PROD-015"/>
    <x v="17"/>
    <n v="6"/>
    <n v="2720"/>
    <n v="29.8"/>
    <n v="11456.64"/>
    <s v="Pending"/>
    <s v="Delhi"/>
    <x v="0"/>
    <x v="2"/>
  </r>
  <r>
    <s v="ORD-01044"/>
    <x v="290"/>
    <s v="CUST-0145"/>
    <s v="PROD-009"/>
    <x v="9"/>
    <n v="1"/>
    <n v="1220"/>
    <n v="22.6"/>
    <n v="944.28"/>
    <s v="Completed"/>
    <s v="Bengaluru"/>
    <x v="4"/>
    <x v="1"/>
  </r>
  <r>
    <s v="ORD-01045"/>
    <x v="93"/>
    <s v="CUST-0015"/>
    <s v="PROD-046"/>
    <x v="4"/>
    <n v="10"/>
    <n v="4880"/>
    <n v="7.3"/>
    <n v="45237.599999999999"/>
    <s v="Completed"/>
    <s v="Chennai"/>
    <x v="5"/>
    <x v="0"/>
  </r>
  <r>
    <s v="ORD-01046"/>
    <x v="216"/>
    <s v="CUST-0054"/>
    <s v="PROD-022"/>
    <x v="13"/>
    <n v="10"/>
    <n v="2270"/>
    <n v="1.6"/>
    <n v="22336.799999999999"/>
    <s v="Completed"/>
    <s v="Mumbai"/>
    <x v="2"/>
    <x v="3"/>
  </r>
  <r>
    <s v="ORD-01047"/>
    <x v="55"/>
    <s v="CUST-0150"/>
    <s v="PROD-030"/>
    <x v="11"/>
    <n v="8"/>
    <n v="970"/>
    <n v="13.1"/>
    <n v="6743.44"/>
    <s v="Completed"/>
    <s v="Pune"/>
    <x v="2"/>
    <x v="0"/>
  </r>
  <r>
    <s v="ORD-01048"/>
    <x v="34"/>
    <s v="CUST-0096"/>
    <s v="PROD-023"/>
    <x v="27"/>
    <n v="7"/>
    <n v="2380"/>
    <n v="10.6"/>
    <n v="14894.04"/>
    <s v="Cancelled"/>
    <s v="Delhi"/>
    <x v="2"/>
    <x v="1"/>
  </r>
  <r>
    <s v="ORD-01049"/>
    <x v="56"/>
    <s v="CUST-0288"/>
    <s v="PROD-014"/>
    <x v="29"/>
    <n v="6"/>
    <n v="3620"/>
    <n v="21.3"/>
    <n v="17093.64"/>
    <s v="Cancelled"/>
    <s v="Hyderabad"/>
    <x v="0"/>
    <x v="1"/>
  </r>
  <r>
    <s v="ORD-01050"/>
    <x v="122"/>
    <s v="CUST-0048"/>
    <s v="PROD-026"/>
    <x v="28"/>
    <n v="3"/>
    <n v="4070"/>
    <n v="8.1999999999999993"/>
    <n v="11208.78"/>
    <s v="Cancelled"/>
    <s v="Delhi"/>
    <x v="2"/>
    <x v="2"/>
  </r>
  <r>
    <s v="ORD-01051"/>
    <x v="344"/>
    <s v="CUST-0104"/>
    <s v="PROD-048"/>
    <x v="17"/>
    <n v="8"/>
    <n v="5100"/>
    <n v="26.9"/>
    <n v="29824.799999999999"/>
    <s v="Completed"/>
    <s v="Hyderabad"/>
    <x v="5"/>
    <x v="2"/>
  </r>
  <r>
    <s v="ORD-01052"/>
    <x v="197"/>
    <s v="CUST-0054"/>
    <s v="PROD-045"/>
    <x v="21"/>
    <n v="3"/>
    <n v="3020"/>
    <n v="18.5"/>
    <n v="7383.9"/>
    <s v="Cancelled"/>
    <s v="Mumbai"/>
    <x v="5"/>
    <x v="3"/>
  </r>
  <r>
    <s v="ORD-01053"/>
    <x v="148"/>
    <s v="CUST-0158"/>
    <s v="PROD-049"/>
    <x v="25"/>
    <n v="8"/>
    <n v="960"/>
    <n v="7.1"/>
    <n v="7134.72"/>
    <s v="Completed"/>
    <s v="Pune"/>
    <x v="5"/>
    <x v="0"/>
  </r>
  <r>
    <s v="ORD-01054"/>
    <x v="266"/>
    <s v="CUST-0231"/>
    <s v="PROD-034"/>
    <x v="15"/>
    <n v="8"/>
    <n v="5080"/>
    <n v="6.2"/>
    <n v="38120.32"/>
    <s v="Completed"/>
    <s v="Chennai"/>
    <x v="3"/>
    <x v="1"/>
  </r>
  <r>
    <s v="ORD-01055"/>
    <x v="295"/>
    <s v="CUST-0277"/>
    <s v="PROD-050"/>
    <x v="9"/>
    <n v="6"/>
    <n v="6080"/>
    <n v="25.8"/>
    <n v="27068.16"/>
    <s v="Completed"/>
    <s v="Chennai"/>
    <x v="5"/>
    <x v="1"/>
  </r>
  <r>
    <s v="ORD-01056"/>
    <x v="227"/>
    <s v="CUST-0232"/>
    <s v="PROD-041"/>
    <x v="9"/>
    <n v="5"/>
    <n v="1540"/>
    <n v="24.6"/>
    <n v="5805.8"/>
    <s v="Completed"/>
    <s v="Hyderabad"/>
    <x v="5"/>
    <x v="1"/>
  </r>
  <r>
    <s v="ORD-01057"/>
    <x v="280"/>
    <s v="CUST-0074"/>
    <s v="PROD-054"/>
    <x v="6"/>
    <n v="4"/>
    <n v="1010"/>
    <n v="2.9"/>
    <n v="3922.84"/>
    <s v="Pending"/>
    <s v="Bengaluru"/>
    <x v="1"/>
    <x v="2"/>
  </r>
  <r>
    <s v="ORD-01058"/>
    <x v="261"/>
    <s v="CUST-0068"/>
    <s v="PROD-049"/>
    <x v="17"/>
    <n v="5"/>
    <n v="960"/>
    <n v="11.4"/>
    <n v="4252.8"/>
    <s v="Completed"/>
    <s v="Delhi"/>
    <x v="5"/>
    <x v="2"/>
  </r>
  <r>
    <s v="ORD-01059"/>
    <x v="111"/>
    <s v="CUST-0152"/>
    <s v="PROD-041"/>
    <x v="9"/>
    <n v="1"/>
    <n v="1540"/>
    <n v="5.6"/>
    <n v="1453.76"/>
    <s v="Completed"/>
    <s v="Bengaluru"/>
    <x v="5"/>
    <x v="1"/>
  </r>
  <r>
    <s v="ORD-01060"/>
    <x v="245"/>
    <s v="CUST-0046"/>
    <s v="PROD-043"/>
    <x v="7"/>
    <n v="9"/>
    <n v="3350"/>
    <n v="2.1"/>
    <n v="29516.85"/>
    <s v="Completed"/>
    <s v="Delhi"/>
    <x v="5"/>
    <x v="3"/>
  </r>
  <r>
    <s v="ORD-01061"/>
    <x v="260"/>
    <s v="CUST-0201"/>
    <s v="PROD-051"/>
    <x v="13"/>
    <n v="7"/>
    <n v="3450"/>
    <n v="4.7"/>
    <n v="23014.95"/>
    <s v="Completed"/>
    <s v="Hyderabad"/>
    <x v="1"/>
    <x v="3"/>
  </r>
  <r>
    <s v="ORD-01062"/>
    <x v="345"/>
    <s v="CUST-0191"/>
    <s v="PROD-057"/>
    <x v="7"/>
    <n v="10"/>
    <n v="960"/>
    <n v="17.899999999999999"/>
    <n v="7881.6"/>
    <s v="Completed"/>
    <s v="Hyderabad"/>
    <x v="1"/>
    <x v="3"/>
  </r>
  <r>
    <s v="ORD-01063"/>
    <x v="7"/>
    <s v="CUST-0192"/>
    <s v="PROD-013"/>
    <x v="2"/>
    <n v="1"/>
    <n v="3640"/>
    <n v="8.8000000000000007"/>
    <n v="3319.68"/>
    <s v="Completed"/>
    <s v="Bengaluru"/>
    <x v="0"/>
    <x v="1"/>
  </r>
  <r>
    <s v="ORD-01064"/>
    <x v="239"/>
    <s v="CUST-0074"/>
    <s v="PROD-029"/>
    <x v="21"/>
    <n v="1"/>
    <n v="2210"/>
    <n v="10.7"/>
    <n v="1973.53"/>
    <s v="Completed"/>
    <s v="Bengaluru"/>
    <x v="2"/>
    <x v="3"/>
  </r>
  <r>
    <s v="ORD-01065"/>
    <x v="125"/>
    <s v="CUST-0071"/>
    <s v="PROD-031"/>
    <x v="1"/>
    <n v="2"/>
    <n v="3730"/>
    <n v="13.9"/>
    <n v="6423.06"/>
    <s v="Completed"/>
    <s v="Delhi"/>
    <x v="3"/>
    <x v="0"/>
  </r>
  <r>
    <s v="ORD-01066"/>
    <x v="176"/>
    <s v="CUST-0210"/>
    <s v="PROD-052"/>
    <x v="9"/>
    <n v="7"/>
    <n v="5410"/>
    <n v="23.6"/>
    <n v="28932.68"/>
    <s v="Completed"/>
    <s v="Pune"/>
    <x v="1"/>
    <x v="1"/>
  </r>
  <r>
    <s v="ORD-01067"/>
    <x v="221"/>
    <s v="CUST-0054"/>
    <s v="PROD-027"/>
    <x v="26"/>
    <n v="7"/>
    <n v="3780"/>
    <n v="8.5"/>
    <n v="24210.9"/>
    <s v="Cancelled"/>
    <s v="Mumbai"/>
    <x v="2"/>
    <x v="3"/>
  </r>
  <r>
    <s v="ORD-01068"/>
    <x v="122"/>
    <s v="CUST-0194"/>
    <s v="PROD-039"/>
    <x v="29"/>
    <n v="9"/>
    <n v="4610"/>
    <n v="26.6"/>
    <n v="30453.66"/>
    <s v="Completed"/>
    <s v="Delhi"/>
    <x v="3"/>
    <x v="1"/>
  </r>
  <r>
    <s v="ORD-01069"/>
    <x v="41"/>
    <s v="CUST-0231"/>
    <s v="PROD-010"/>
    <x v="5"/>
    <n v="5"/>
    <n v="2640"/>
    <n v="1.5"/>
    <n v="13002"/>
    <s v="Completed"/>
    <s v="Chennai"/>
    <x v="4"/>
    <x v="2"/>
  </r>
  <r>
    <s v="ORD-01070"/>
    <x v="50"/>
    <s v="CUST-0053"/>
    <s v="PROD-014"/>
    <x v="9"/>
    <n v="3"/>
    <n v="3620"/>
    <n v="3.1"/>
    <n v="10523.34"/>
    <s v="Completed"/>
    <s v="Delhi"/>
    <x v="0"/>
    <x v="1"/>
  </r>
  <r>
    <s v="ORD-01071"/>
    <x v="21"/>
    <s v="CUST-0290"/>
    <s v="PROD-053"/>
    <x v="26"/>
    <n v="5"/>
    <n v="470"/>
    <n v="10.6"/>
    <n v="2100.9"/>
    <s v="Cancelled"/>
    <s v="Delhi"/>
    <x v="1"/>
    <x v="3"/>
  </r>
  <r>
    <s v="ORD-01072"/>
    <x v="113"/>
    <s v="CUST-0261"/>
    <s v="PROD-001"/>
    <x v="18"/>
    <n v="7"/>
    <n v="5330"/>
    <n v="25"/>
    <n v="27982.5"/>
    <s v="Cancelled"/>
    <s v="Delhi"/>
    <x v="4"/>
    <x v="1"/>
  </r>
  <r>
    <s v="ORD-01073"/>
    <x v="346"/>
    <s v="CUST-0045"/>
    <s v="PROD-050"/>
    <x v="2"/>
    <n v="1"/>
    <n v="6080"/>
    <n v="27.8"/>
    <n v="4389.76"/>
    <s v="Completed"/>
    <s v="Chennai"/>
    <x v="5"/>
    <x v="1"/>
  </r>
  <r>
    <s v="ORD-01074"/>
    <x v="324"/>
    <s v="CUST-0064"/>
    <s v="PROD-043"/>
    <x v="6"/>
    <n v="6"/>
    <n v="3350"/>
    <n v="12"/>
    <n v="17688"/>
    <s v="Completed"/>
    <s v="Hyderabad"/>
    <x v="5"/>
    <x v="2"/>
  </r>
  <r>
    <s v="ORD-01075"/>
    <x v="95"/>
    <s v="CUST-9754"/>
    <s v="PROD-056"/>
    <x v="28"/>
    <n v="6"/>
    <n v="6940"/>
    <n v="20"/>
    <n v="33312"/>
    <s v="Completed"/>
    <s v="Chennai"/>
    <x v="1"/>
    <x v="2"/>
  </r>
  <r>
    <s v="ORD-01076"/>
    <x v="184"/>
    <s v="CUST-0200"/>
    <s v="PROD-032"/>
    <x v="0"/>
    <n v="1"/>
    <n v="370"/>
    <n v="10"/>
    <n v="333"/>
    <s v="Completed"/>
    <s v="Hyderabad"/>
    <x v="3"/>
    <x v="0"/>
  </r>
  <r>
    <s v="ORD-01077"/>
    <x v="39"/>
    <s v="CUST-0058"/>
    <s v="PROD-038"/>
    <x v="16"/>
    <n v="2"/>
    <n v="5490"/>
    <n v="27.9"/>
    <n v="7916.58"/>
    <s v="Completed"/>
    <s v="Bengaluru"/>
    <x v="3"/>
    <x v="3"/>
  </r>
  <r>
    <s v="ORD-01078"/>
    <x v="319"/>
    <s v="CUST-0156"/>
    <s v="PROD-028"/>
    <x v="18"/>
    <n v="5"/>
    <n v="3660"/>
    <n v="4.5999999999999996"/>
    <n v="17458.2"/>
    <s v="Completed"/>
    <s v="Mumbai"/>
    <x v="2"/>
    <x v="1"/>
  </r>
  <r>
    <s v="ORD-01079"/>
    <x v="232"/>
    <s v="CUST-0107"/>
    <s v="PROD-005"/>
    <x v="20"/>
    <n v="6"/>
    <n v="300"/>
    <n v="9"/>
    <n v="1638"/>
    <s v="Completed"/>
    <s v="Pune"/>
    <x v="4"/>
    <x v="2"/>
  </r>
  <r>
    <s v="ORD-01080"/>
    <x v="271"/>
    <s v="CUST-0184"/>
    <s v="PROD-005"/>
    <x v="27"/>
    <n v="3"/>
    <n v="300"/>
    <n v="19.2"/>
    <n v="727.2"/>
    <s v="Completed"/>
    <s v="Pune"/>
    <x v="4"/>
    <x v="1"/>
  </r>
  <r>
    <s v="ORD-01081"/>
    <x v="205"/>
    <s v="CUST-0202"/>
    <s v="PROD-049"/>
    <x v="2"/>
    <n v="6"/>
    <n v="960"/>
    <n v="29.3"/>
    <n v="4072.32"/>
    <s v="Cancelled"/>
    <s v="Chennai"/>
    <x v="5"/>
    <x v="1"/>
  </r>
  <r>
    <s v="ORD-01082"/>
    <x v="266"/>
    <s v="CUST-0137"/>
    <s v="PROD-022"/>
    <x v="5"/>
    <n v="1"/>
    <n v="2270"/>
    <n v="12.4"/>
    <n v="1988.52"/>
    <s v="Completed"/>
    <s v="Mumbai"/>
    <x v="2"/>
    <x v="2"/>
  </r>
  <r>
    <s v="ORD-01083"/>
    <x v="110"/>
    <s v="CUST-0108"/>
    <s v="PROD-033"/>
    <x v="28"/>
    <n v="10"/>
    <n v="2030"/>
    <n v="4"/>
    <n v="19488"/>
    <s v="Completed"/>
    <s v="Bengaluru"/>
    <x v="3"/>
    <x v="2"/>
  </r>
  <r>
    <s v="ORD-01084"/>
    <x v="303"/>
    <s v="CUST-0126"/>
    <s v="PROD-040"/>
    <x v="13"/>
    <n v="9"/>
    <n v="1080"/>
    <n v="19.2"/>
    <n v="7853.76"/>
    <s v="Pending"/>
    <s v="Mumbai"/>
    <x v="3"/>
    <x v="3"/>
  </r>
  <r>
    <s v="ORD-01085"/>
    <x v="113"/>
    <s v="CUST-0107"/>
    <s v="PROD-055"/>
    <x v="5"/>
    <n v="5"/>
    <n v="2860"/>
    <n v="25"/>
    <n v="10725"/>
    <s v="Pending"/>
    <s v="Pune"/>
    <x v="1"/>
    <x v="2"/>
  </r>
  <r>
    <s v="ORD-01086"/>
    <x v="276"/>
    <s v="CUST-0071"/>
    <s v="PROD-024"/>
    <x v="27"/>
    <n v="6"/>
    <n v="2270"/>
    <n v="9.3000000000000007"/>
    <n v="12353.34"/>
    <s v="Completed"/>
    <s v="Delhi"/>
    <x v="2"/>
    <x v="1"/>
  </r>
  <r>
    <s v="ORD-01087"/>
    <x v="60"/>
    <s v="CUST-0238"/>
    <s v="PROD-015"/>
    <x v="6"/>
    <n v="1"/>
    <n v="2720"/>
    <n v="15.2"/>
    <n v="2306.56"/>
    <s v="Completed"/>
    <s v="Delhi"/>
    <x v="0"/>
    <x v="2"/>
  </r>
  <r>
    <s v="ORD-01088"/>
    <x v="198"/>
    <s v="CUST-0022"/>
    <s v="PROD-004"/>
    <x v="1"/>
    <n v="10"/>
    <n v="3870"/>
    <n v="4.9000000000000004"/>
    <n v="36803.699999999997"/>
    <s v="Cancelled"/>
    <s v="Bengaluru"/>
    <x v="4"/>
    <x v="0"/>
  </r>
  <r>
    <s v="ORD-01089"/>
    <x v="10"/>
    <s v="CUST-0100"/>
    <s v="PROD-011"/>
    <x v="7"/>
    <n v="8"/>
    <n v="3450"/>
    <n v="20.6"/>
    <n v="21914.400000000001"/>
    <s v="Completed"/>
    <s v="Hyderabad"/>
    <x v="0"/>
    <x v="3"/>
  </r>
  <r>
    <s v="ORD-01090"/>
    <x v="5"/>
    <s v="CUST-0263"/>
    <s v="PROD-053"/>
    <x v="25"/>
    <n v="1"/>
    <n v="470"/>
    <n v="5.4"/>
    <n v="444.62"/>
    <s v="Refunded"/>
    <s v="Mumbai"/>
    <x v="1"/>
    <x v="0"/>
  </r>
  <r>
    <s v="ORD-01091"/>
    <x v="171"/>
    <s v="CUST-0032"/>
    <s v="PROD-006"/>
    <x v="18"/>
    <n v="5"/>
    <n v="3970"/>
    <n v="5.8"/>
    <n v="18698.7"/>
    <s v="Completed"/>
    <s v="Hyderabad"/>
    <x v="4"/>
    <x v="1"/>
  </r>
  <r>
    <s v="ORD-01092"/>
    <x v="277"/>
    <s v="CUST-0227"/>
    <s v="PROD-048"/>
    <x v="27"/>
    <n v="2"/>
    <n v="5100"/>
    <n v="19.899999999999999"/>
    <n v="8170.2"/>
    <s v="Completed"/>
    <s v="Bengaluru"/>
    <x v="5"/>
    <x v="1"/>
  </r>
  <r>
    <s v="ORD-01093"/>
    <x v="165"/>
    <s v="CUST-0124"/>
    <s v="PROD-047"/>
    <x v="19"/>
    <n v="6"/>
    <n v="3450"/>
    <n v="13"/>
    <n v="18009"/>
    <s v="Completed"/>
    <s v="Pune"/>
    <x v="5"/>
    <x v="0"/>
  </r>
  <r>
    <s v="ORD-01094"/>
    <x v="168"/>
    <s v="CUST-0276"/>
    <s v="PROD-031"/>
    <x v="27"/>
    <n v="9"/>
    <n v="3730"/>
    <n v="15.5"/>
    <n v="28366.65"/>
    <s v="Completed"/>
    <s v="Chennai"/>
    <x v="3"/>
    <x v="1"/>
  </r>
  <r>
    <s v="ORD-01095"/>
    <x v="242"/>
    <s v="CUST-0100"/>
    <s v="PROD-049"/>
    <x v="16"/>
    <n v="5"/>
    <n v="960"/>
    <n v="9.3000000000000007"/>
    <n v="4353.6000000000004"/>
    <s v="Completed"/>
    <s v="Hyderabad"/>
    <x v="5"/>
    <x v="3"/>
  </r>
  <r>
    <s v="ORD-01096"/>
    <x v="187"/>
    <s v="CUST-0221"/>
    <s v="PROD-034"/>
    <x v="4"/>
    <n v="3"/>
    <n v="5080"/>
    <n v="17.399999999999999"/>
    <n v="12588.24"/>
    <s v="Cancelled"/>
    <s v="Delhi"/>
    <x v="3"/>
    <x v="0"/>
  </r>
  <r>
    <s v="ORD-01097"/>
    <x v="212"/>
    <s v="CUST-0266"/>
    <s v="PROD-004"/>
    <x v="11"/>
    <n v="4"/>
    <n v="3870"/>
    <n v="20.5"/>
    <n v="12306.6"/>
    <s v="Pending"/>
    <s v="Pune"/>
    <x v="4"/>
    <x v="0"/>
  </r>
  <r>
    <s v="ORD-01098"/>
    <x v="72"/>
    <s v="CUST-0210"/>
    <s v="PROD-059"/>
    <x v="6"/>
    <n v="1"/>
    <n v="3780"/>
    <n v="21.5"/>
    <n v="2967.3"/>
    <s v="Completed"/>
    <s v="Pune"/>
    <x v="1"/>
    <x v="2"/>
  </r>
  <r>
    <s v="ORD-01099"/>
    <x v="81"/>
    <s v="CUST-0293"/>
    <s v="PROD-004"/>
    <x v="21"/>
    <n v="3"/>
    <n v="3870"/>
    <n v="21.9"/>
    <n v="9067.41"/>
    <s v="Pending"/>
    <s v="Bengaluru"/>
    <x v="4"/>
    <x v="3"/>
  </r>
  <r>
    <s v="ORD-01100"/>
    <x v="113"/>
    <s v="CUST-0291"/>
    <s v="PROD-033"/>
    <x v="18"/>
    <n v="4"/>
    <n v="2030"/>
    <n v="23.4"/>
    <n v="6219.92"/>
    <s v="Completed"/>
    <s v="Pune"/>
    <x v="3"/>
    <x v="1"/>
  </r>
  <r>
    <s v="ORD-01101"/>
    <x v="192"/>
    <s v="CUST-0295"/>
    <s v="PROD-029"/>
    <x v="11"/>
    <n v="6"/>
    <n v="2210"/>
    <n v="9.1"/>
    <n v="12053.34"/>
    <s v="Completed"/>
    <s v="Delhi"/>
    <x v="2"/>
    <x v="0"/>
  </r>
  <r>
    <s v="ORD-01102"/>
    <x v="180"/>
    <s v="CUST-0123"/>
    <s v="PROD-041"/>
    <x v="21"/>
    <n v="5"/>
    <n v="1540"/>
    <n v="18.100000000000001"/>
    <n v="6306.3"/>
    <s v="Completed"/>
    <s v="Chennai"/>
    <x v="5"/>
    <x v="3"/>
  </r>
  <r>
    <s v="ORD-01103"/>
    <x v="274"/>
    <s v="CUST-0167"/>
    <s v="PROD-054"/>
    <x v="23"/>
    <n v="1"/>
    <n v="1010"/>
    <n v="7.3"/>
    <n v="936.27"/>
    <s v="Completed"/>
    <s v="Delhi"/>
    <x v="1"/>
    <x v="1"/>
  </r>
  <r>
    <s v="ORD-01104"/>
    <x v="107"/>
    <s v="CUST-0247"/>
    <s v="PROD-001"/>
    <x v="15"/>
    <n v="10"/>
    <n v="5330"/>
    <n v="27.3"/>
    <n v="38749.1"/>
    <s v="Completed"/>
    <s v="Pune"/>
    <x v="4"/>
    <x v="1"/>
  </r>
  <r>
    <s v="ORD-01105"/>
    <x v="289"/>
    <s v="CUST-0224"/>
    <s v="PROD-003"/>
    <x v="24"/>
    <n v="7"/>
    <n v="3570"/>
    <n v="24.3"/>
    <n v="18917.43"/>
    <s v="Completed"/>
    <s v="Chennai"/>
    <x v="4"/>
    <x v="3"/>
  </r>
  <r>
    <s v="ORD-01106"/>
    <x v="28"/>
    <s v="CUST-0102"/>
    <s v="PROD-043"/>
    <x v="21"/>
    <n v="1"/>
    <n v="3350"/>
    <n v="14.9"/>
    <n v="2850.85"/>
    <s v="Completed"/>
    <s v="Chennai"/>
    <x v="5"/>
    <x v="3"/>
  </r>
  <r>
    <s v="ORD-01107"/>
    <x v="110"/>
    <s v="CUST-0151"/>
    <s v="PROD-017"/>
    <x v="12"/>
    <n v="2"/>
    <n v="2510"/>
    <n v="10.6"/>
    <n v="4487.88"/>
    <s v="Completed"/>
    <s v="Mumbai"/>
    <x v="0"/>
    <x v="3"/>
  </r>
  <r>
    <s v="ORD-01108"/>
    <x v="264"/>
    <s v="CUST-0182"/>
    <s v="PROD-030"/>
    <x v="5"/>
    <n v="5"/>
    <n v="970"/>
    <n v="6.8"/>
    <n v="4520.2"/>
    <s v="Pending"/>
    <s v="Mumbai"/>
    <x v="2"/>
    <x v="2"/>
  </r>
  <r>
    <s v="ORD-01109"/>
    <x v="281"/>
    <s v="CUST-0152"/>
    <s v="PROD-027"/>
    <x v="25"/>
    <n v="5"/>
    <n v="3780"/>
    <n v="16.600000000000001"/>
    <n v="15762.6"/>
    <s v="Completed"/>
    <s v="Bengaluru"/>
    <x v="2"/>
    <x v="0"/>
  </r>
  <r>
    <s v="ORD-01110"/>
    <x v="229"/>
    <s v="CUST-0247"/>
    <s v="PROD-017"/>
    <x v="0"/>
    <n v="3"/>
    <n v="2510"/>
    <n v="24.9"/>
    <n v="5655.03"/>
    <s v="Cancelled"/>
    <s v="Pune"/>
    <x v="0"/>
    <x v="0"/>
  </r>
  <r>
    <s v="ORD-01111"/>
    <x v="289"/>
    <s v="CUST-0220"/>
    <s v="PROD-033"/>
    <x v="4"/>
    <n v="3"/>
    <n v="2030"/>
    <n v="3.8"/>
    <n v="5858.58"/>
    <s v="Completed"/>
    <s v="Chennai"/>
    <x v="3"/>
    <x v="0"/>
  </r>
  <r>
    <s v="ORD-01112"/>
    <x v="35"/>
    <s v="CUST-0206"/>
    <s v="PROD-060"/>
    <x v="2"/>
    <n v="9"/>
    <n v="190"/>
    <n v="5.4"/>
    <n v="1617.66"/>
    <s v="Completed"/>
    <s v="Mumbai"/>
    <x v="1"/>
    <x v="1"/>
  </r>
  <r>
    <s v="ORD-01113"/>
    <x v="200"/>
    <s v="CUST-0219"/>
    <s v="PROD-029"/>
    <x v="16"/>
    <n v="6"/>
    <n v="2210"/>
    <n v="29.4"/>
    <n v="9361.56"/>
    <s v="Completed"/>
    <s v="Chennai"/>
    <x v="2"/>
    <x v="3"/>
  </r>
  <r>
    <s v="ORD-01114"/>
    <x v="14"/>
    <s v="CUST-0298"/>
    <s v="PROD-013"/>
    <x v="1"/>
    <n v="4"/>
    <n v="3640"/>
    <n v="0.6"/>
    <n v="14472.64"/>
    <s v="Completed"/>
    <s v="Delhi"/>
    <x v="0"/>
    <x v="0"/>
  </r>
  <r>
    <s v="ORD-01115"/>
    <x v="17"/>
    <s v="CUST-0254"/>
    <s v="PROD-009"/>
    <x v="18"/>
    <n v="9"/>
    <n v="1220"/>
    <n v="24.1"/>
    <n v="8333.82"/>
    <s v="Completed"/>
    <s v="Bengaluru"/>
    <x v="4"/>
    <x v="1"/>
  </r>
  <r>
    <s v="ORD-01116"/>
    <x v="73"/>
    <s v="CUST-0085"/>
    <s v="PROD-056"/>
    <x v="18"/>
    <n v="2"/>
    <n v="6940"/>
    <n v="27"/>
    <n v="10132.4"/>
    <s v="Completed"/>
    <s v="Chennai"/>
    <x v="1"/>
    <x v="1"/>
  </r>
  <r>
    <s v="ORD-01117"/>
    <x v="117"/>
    <s v="CUST-0181"/>
    <s v="PROD-055"/>
    <x v="9"/>
    <n v="6"/>
    <n v="2860"/>
    <n v="6.6"/>
    <n v="16027.44"/>
    <s v="Completed"/>
    <s v="Delhi"/>
    <x v="1"/>
    <x v="1"/>
  </r>
  <r>
    <s v="ORD-01118"/>
    <x v="182"/>
    <s v="CUST-0143"/>
    <s v="PROD-015"/>
    <x v="26"/>
    <n v="5"/>
    <n v="2720"/>
    <n v="21.4"/>
    <n v="10689.6"/>
    <s v="Completed"/>
    <s v="Chennai"/>
    <x v="0"/>
    <x v="3"/>
  </r>
  <r>
    <s v="ORD-01119"/>
    <x v="338"/>
    <s v="CUST-0263"/>
    <s v="PROD-020"/>
    <x v="3"/>
    <n v="5"/>
    <n v="820"/>
    <n v="28.6"/>
    <n v="2927.4"/>
    <s v="Completed"/>
    <s v="Mumbai"/>
    <x v="0"/>
    <x v="0"/>
  </r>
  <r>
    <s v="ORD-01120"/>
    <x v="135"/>
    <s v="CUST-0105"/>
    <s v="PROD-042"/>
    <x v="24"/>
    <n v="6"/>
    <n v="2290"/>
    <n v="18.8"/>
    <n v="11156.88"/>
    <s v="Completed"/>
    <s v="Chennai"/>
    <x v="5"/>
    <x v="3"/>
  </r>
  <r>
    <s v="ORD-01121"/>
    <x v="18"/>
    <s v="CUST-0256"/>
    <s v="PROD-047"/>
    <x v="13"/>
    <n v="6"/>
    <n v="3450"/>
    <n v="28.4"/>
    <n v="14821.2"/>
    <s v="Completed"/>
    <s v="Hyderabad"/>
    <x v="5"/>
    <x v="3"/>
  </r>
  <r>
    <s v="ORD-01122"/>
    <x v="1"/>
    <s v="CUST-0260"/>
    <s v="PROD-033"/>
    <x v="25"/>
    <n v="10"/>
    <n v="2030"/>
    <n v="8"/>
    <n v="18676"/>
    <s v="Completed"/>
    <s v="Bengaluru"/>
    <x v="3"/>
    <x v="0"/>
  </r>
  <r>
    <s v="ORD-01123"/>
    <x v="239"/>
    <s v="CUST-0233"/>
    <s v="PROD-058"/>
    <x v="24"/>
    <n v="1"/>
    <n v="2400"/>
    <n v="9.6999999999999993"/>
    <n v="2167.1999999999998"/>
    <s v="Completed"/>
    <s v="Mumbai"/>
    <x v="1"/>
    <x v="3"/>
  </r>
  <r>
    <s v="ORD-01124"/>
    <x v="264"/>
    <s v="CUST-0183"/>
    <s v="PROD-033"/>
    <x v="2"/>
    <n v="4"/>
    <n v="2030"/>
    <n v="24.8"/>
    <n v="6106.24"/>
    <s v="Pending"/>
    <s v="Mumbai"/>
    <x v="3"/>
    <x v="1"/>
  </r>
  <r>
    <s v="ORD-01125"/>
    <x v="191"/>
    <s v="CUST-0142"/>
    <s v="PROD-025"/>
    <x v="25"/>
    <n v="5"/>
    <n v="4060"/>
    <n v="9.1"/>
    <n v="18452.7"/>
    <s v="Pending"/>
    <s v="Chennai"/>
    <x v="2"/>
    <x v="0"/>
  </r>
  <r>
    <s v="ORD-01126"/>
    <x v="334"/>
    <s v="CUST-0150"/>
    <s v="PROD-033"/>
    <x v="22"/>
    <n v="9"/>
    <n v="2030"/>
    <n v="15.9"/>
    <n v="15365.07"/>
    <s v="Pending"/>
    <s v="Pune"/>
    <x v="3"/>
    <x v="1"/>
  </r>
  <r>
    <s v="ORD-01127"/>
    <x v="201"/>
    <s v="CUST-0001"/>
    <s v="PROD-043"/>
    <x v="2"/>
    <n v="1"/>
    <n v="3350"/>
    <n v="23.2"/>
    <n v="2572.8000000000002"/>
    <s v="Refunded"/>
    <s v="Pune"/>
    <x v="5"/>
    <x v="1"/>
  </r>
  <r>
    <s v="ORD-01128"/>
    <x v="287"/>
    <s v="CUST-0104"/>
    <s v="PROD-037"/>
    <x v="3"/>
    <n v="4"/>
    <n v="660"/>
    <n v="27.1"/>
    <n v="1924.56"/>
    <s v="Completed"/>
    <s v="Hyderabad"/>
    <x v="3"/>
    <x v="0"/>
  </r>
  <r>
    <s v="ORD-01129"/>
    <x v="236"/>
    <s v="CUST-0261"/>
    <s v="PROD-045"/>
    <x v="2"/>
    <n v="3"/>
    <n v="3020"/>
    <n v="7.2"/>
    <n v="8407.68"/>
    <s v="Completed"/>
    <s v="Delhi"/>
    <x v="5"/>
    <x v="1"/>
  </r>
  <r>
    <s v="ORD-01130"/>
    <x v="132"/>
    <s v="CUST-0010"/>
    <s v="PROD-008"/>
    <x v="3"/>
    <n v="3"/>
    <n v="2660"/>
    <n v="0.2"/>
    <n v="7964.04"/>
    <s v="Completed"/>
    <s v="Mumbai"/>
    <x v="4"/>
    <x v="0"/>
  </r>
  <r>
    <s v="ORD-01131"/>
    <x v="181"/>
    <s v="CUST-0237"/>
    <s v="PROD-054"/>
    <x v="3"/>
    <n v="4"/>
    <n v="1010"/>
    <n v="3.1"/>
    <n v="3914.76"/>
    <s v="Completed"/>
    <s v="Mumbai"/>
    <x v="1"/>
    <x v="0"/>
  </r>
  <r>
    <s v="ORD-01132"/>
    <x v="82"/>
    <s v="CUST-0128"/>
    <s v="PROD-038"/>
    <x v="21"/>
    <n v="5"/>
    <n v="5490"/>
    <n v="3.6"/>
    <n v="26461.8"/>
    <s v="Completed"/>
    <s v="Hyderabad"/>
    <x v="3"/>
    <x v="3"/>
  </r>
  <r>
    <s v="ORD-01133"/>
    <x v="94"/>
    <s v="CUST-0182"/>
    <s v="PROD-058"/>
    <x v="7"/>
    <n v="1"/>
    <n v="2400"/>
    <n v="24.3"/>
    <n v="1816.8"/>
    <s v="Completed"/>
    <s v="Mumbai"/>
    <x v="1"/>
    <x v="3"/>
  </r>
  <r>
    <s v="ORD-01134"/>
    <x v="147"/>
    <s v="CUST-0131"/>
    <s v="PROD-037"/>
    <x v="18"/>
    <n v="8"/>
    <n v="660"/>
    <n v="19.8"/>
    <n v="4234.5600000000004"/>
    <s v="Completed"/>
    <s v="Delhi"/>
    <x v="3"/>
    <x v="1"/>
  </r>
  <r>
    <s v="ORD-01135"/>
    <x v="172"/>
    <s v="CUST-0023"/>
    <s v="PROD-001"/>
    <x v="29"/>
    <n v="9"/>
    <n v="5330"/>
    <n v="16.5"/>
    <n v="40054.949999999997"/>
    <s v="Completed"/>
    <s v="Chennai"/>
    <x v="4"/>
    <x v="1"/>
  </r>
  <r>
    <s v="ORD-01136"/>
    <x v="340"/>
    <s v="CUST-0171"/>
    <s v="PROD-002"/>
    <x v="0"/>
    <n v="5"/>
    <n v="2600"/>
    <n v="0.3"/>
    <n v="12961"/>
    <s v="Completed"/>
    <s v="Chennai"/>
    <x v="4"/>
    <x v="0"/>
  </r>
  <r>
    <s v="ORD-01137"/>
    <x v="32"/>
    <s v="CUST-0116"/>
    <s v="PROD-034"/>
    <x v="26"/>
    <n v="4"/>
    <n v="5080"/>
    <n v="13.8"/>
    <n v="17515.84"/>
    <s v="Pending"/>
    <s v="Bengaluru"/>
    <x v="3"/>
    <x v="3"/>
  </r>
  <r>
    <s v="ORD-01138"/>
    <x v="100"/>
    <s v="CUST-0021"/>
    <s v="PROD-023"/>
    <x v="25"/>
    <n v="7"/>
    <n v="2380"/>
    <n v="15.5"/>
    <n v="14077.7"/>
    <s v="Completed"/>
    <s v="Pune"/>
    <x v="2"/>
    <x v="0"/>
  </r>
  <r>
    <s v="ORD-01139"/>
    <x v="83"/>
    <s v="CUST-0234"/>
    <s v="PROD-046"/>
    <x v="3"/>
    <n v="3"/>
    <n v="4880"/>
    <n v="6.1"/>
    <n v="13746.96"/>
    <s v="Completed"/>
    <s v="Bengaluru"/>
    <x v="5"/>
    <x v="0"/>
  </r>
  <r>
    <s v="ORD-01140"/>
    <x v="36"/>
    <s v="CUST-0225"/>
    <s v="PROD-043"/>
    <x v="18"/>
    <n v="2"/>
    <n v="3350"/>
    <n v="17.2"/>
    <n v="5547.6"/>
    <s v="Completed"/>
    <s v="Chennai"/>
    <x v="5"/>
    <x v="1"/>
  </r>
  <r>
    <s v="ORD-01141"/>
    <x v="238"/>
    <s v="CUST-0268"/>
    <s v="PROD-030"/>
    <x v="6"/>
    <n v="5"/>
    <n v="970"/>
    <n v="23.6"/>
    <n v="3705.4"/>
    <s v="Completed"/>
    <s v="Chennai"/>
    <x v="2"/>
    <x v="2"/>
  </r>
  <r>
    <s v="ORD-01142"/>
    <x v="215"/>
    <s v="CUST-0248"/>
    <s v="PROD-005"/>
    <x v="24"/>
    <n v="5"/>
    <n v="300"/>
    <n v="3.8"/>
    <n v="1443"/>
    <s v="Completed"/>
    <s v="Chennai"/>
    <x v="4"/>
    <x v="3"/>
  </r>
  <r>
    <s v="ORD-01143"/>
    <x v="243"/>
    <s v="CUST-0026"/>
    <s v="PROD-006"/>
    <x v="1"/>
    <n v="9"/>
    <n v="3970"/>
    <n v="0.8"/>
    <n v="35444.160000000003"/>
    <s v="Completed"/>
    <s v="Pune"/>
    <x v="4"/>
    <x v="0"/>
  </r>
  <r>
    <s v="ORD-01144"/>
    <x v="242"/>
    <s v="CUST-0257"/>
    <s v="PROD-015"/>
    <x v="22"/>
    <n v="4"/>
    <n v="2720"/>
    <n v="12.7"/>
    <n v="9498.24"/>
    <s v="Completed"/>
    <s v="Mumbai"/>
    <x v="0"/>
    <x v="1"/>
  </r>
  <r>
    <s v="ORD-01145"/>
    <x v="249"/>
    <s v="CUST-0258"/>
    <s v="PROD-016"/>
    <x v="13"/>
    <n v="3"/>
    <n v="620"/>
    <n v="5.5"/>
    <n v="1757.7"/>
    <s v="Completed"/>
    <s v="Pune"/>
    <x v="0"/>
    <x v="3"/>
  </r>
  <r>
    <s v="ORD-01146"/>
    <x v="319"/>
    <s v="CUST-0142"/>
    <s v="PROD-041"/>
    <x v="6"/>
    <n v="2"/>
    <n v="1540"/>
    <n v="2.2000000000000002"/>
    <n v="3012.24"/>
    <s v="Pending"/>
    <s v="Chennai"/>
    <x v="5"/>
    <x v="2"/>
  </r>
  <r>
    <s v="ORD-01147"/>
    <x v="166"/>
    <s v="CUST-0020"/>
    <s v="PROD-042"/>
    <x v="17"/>
    <n v="1"/>
    <n v="2290"/>
    <n v="24.4"/>
    <n v="1731.24"/>
    <s v="Cancelled"/>
    <s v="Hyderabad"/>
    <x v="5"/>
    <x v="2"/>
  </r>
  <r>
    <s v="ORD-01148"/>
    <x v="343"/>
    <s v="CUST-0016"/>
    <s v="PROD-015"/>
    <x v="26"/>
    <n v="8"/>
    <n v="2720"/>
    <n v="1.7"/>
    <n v="21390.080000000002"/>
    <s v="Completed"/>
    <s v="Delhi"/>
    <x v="0"/>
    <x v="3"/>
  </r>
  <r>
    <s v="ORD-01149"/>
    <x v="69"/>
    <s v="CUST-0288"/>
    <s v="PROD-025"/>
    <x v="12"/>
    <n v="4"/>
    <n v="4060"/>
    <n v="19.600000000000001"/>
    <n v="13056.96"/>
    <s v="Cancelled"/>
    <s v="Hyderabad"/>
    <x v="2"/>
    <x v="3"/>
  </r>
  <r>
    <s v="ORD-01150"/>
    <x v="43"/>
    <s v="CUST-0133"/>
    <s v="PROD-003"/>
    <x v="29"/>
    <n v="8"/>
    <n v="3570"/>
    <n v="10.8"/>
    <n v="25475.52"/>
    <s v="Completed"/>
    <s v="Chennai"/>
    <x v="4"/>
    <x v="1"/>
  </r>
  <r>
    <s v="ORD-01151"/>
    <x v="258"/>
    <s v="CUST-0192"/>
    <s v="PROD-051"/>
    <x v="10"/>
    <n v="10"/>
    <n v="3450"/>
    <n v="13.5"/>
    <n v="29842.5"/>
    <s v="Pending"/>
    <s v="Bengaluru"/>
    <x v="1"/>
    <x v="0"/>
  </r>
  <r>
    <s v="ORD-01152"/>
    <x v="277"/>
    <s v="CUST-0298"/>
    <s v="PROD-010"/>
    <x v="0"/>
    <n v="10"/>
    <n v="2640"/>
    <n v="29.8"/>
    <n v="18532.8"/>
    <s v="Completed"/>
    <s v="Delhi"/>
    <x v="4"/>
    <x v="0"/>
  </r>
  <r>
    <s v="ORD-01153"/>
    <x v="204"/>
    <s v="CUST-0088"/>
    <s v="PROD-032"/>
    <x v="18"/>
    <n v="3"/>
    <n v="370"/>
    <n v="25.5"/>
    <n v="826.95"/>
    <s v="Completed"/>
    <s v="Chennai"/>
    <x v="3"/>
    <x v="1"/>
  </r>
  <r>
    <s v="ORD-01154"/>
    <x v="180"/>
    <s v="CUST-0274"/>
    <s v="PROD-009"/>
    <x v="14"/>
    <n v="3"/>
    <n v="1220"/>
    <n v="7.7"/>
    <n v="3378.18"/>
    <s v="Pending"/>
    <s v="Bengaluru"/>
    <x v="4"/>
    <x v="2"/>
  </r>
  <r>
    <s v="ORD-01155"/>
    <x v="59"/>
    <s v="CUST-0165"/>
    <s v="PROD-010"/>
    <x v="24"/>
    <n v="1"/>
    <n v="2640"/>
    <n v="23.6"/>
    <n v="2016.96"/>
    <s v="Completed"/>
    <s v="Pune"/>
    <x v="4"/>
    <x v="3"/>
  </r>
  <r>
    <s v="ORD-01156"/>
    <x v="232"/>
    <s v="CUST-0275"/>
    <s v="PROD-048"/>
    <x v="23"/>
    <n v="9"/>
    <n v="5100"/>
    <n v="9.5"/>
    <n v="41539.5"/>
    <s v="Completed"/>
    <s v="Mumbai"/>
    <x v="5"/>
    <x v="1"/>
  </r>
  <r>
    <s v="ORD-01157"/>
    <x v="347"/>
    <s v="CUST-0225"/>
    <s v="PROD-050"/>
    <x v="4"/>
    <n v="7"/>
    <n v="6080"/>
    <n v="17.5"/>
    <n v="35112"/>
    <s v="Completed"/>
    <s v="Chennai"/>
    <x v="5"/>
    <x v="0"/>
  </r>
  <r>
    <s v="ORD-01158"/>
    <x v="341"/>
    <s v="CUST-0059"/>
    <s v="PROD-005"/>
    <x v="17"/>
    <n v="1"/>
    <n v="300"/>
    <n v="26.9"/>
    <n v="219.3"/>
    <s v="Completed"/>
    <s v="Pune"/>
    <x v="4"/>
    <x v="2"/>
  </r>
  <r>
    <s v="ORD-01159"/>
    <x v="181"/>
    <s v="CUST-0149"/>
    <s v="PROD-045"/>
    <x v="16"/>
    <n v="6"/>
    <n v="3020"/>
    <n v="28.5"/>
    <n v="12955.8"/>
    <s v="Completed"/>
    <s v="Hyderabad"/>
    <x v="5"/>
    <x v="3"/>
  </r>
  <r>
    <s v="ORD-01160"/>
    <x v="137"/>
    <s v="CUST-0283"/>
    <s v="PROD-005"/>
    <x v="26"/>
    <n v="8"/>
    <n v="300"/>
    <n v="1.2"/>
    <n v="2371.1999999999998"/>
    <s v="Completed"/>
    <s v="Delhi"/>
    <x v="4"/>
    <x v="3"/>
  </r>
  <r>
    <s v="ORD-01161"/>
    <x v="271"/>
    <s v="CUST-0039"/>
    <s v="PROD-043"/>
    <x v="23"/>
    <n v="9"/>
    <n v="3350"/>
    <n v="0.6"/>
    <n v="29969.1"/>
    <s v="Refunded"/>
    <s v="Bengaluru"/>
    <x v="5"/>
    <x v="1"/>
  </r>
  <r>
    <s v="ORD-01162"/>
    <x v="319"/>
    <s v="CUST-0046"/>
    <s v="PROD-026"/>
    <x v="6"/>
    <n v="4"/>
    <n v="4070"/>
    <n v="10.1"/>
    <n v="14635.72"/>
    <s v="Completed"/>
    <s v="Delhi"/>
    <x v="2"/>
    <x v="2"/>
  </r>
  <r>
    <s v="ORD-01163"/>
    <x v="105"/>
    <s v="CUST-0105"/>
    <s v="PROD-059"/>
    <x v="6"/>
    <n v="9"/>
    <n v="3780"/>
    <n v="27.8"/>
    <n v="24562.44"/>
    <s v="Cancelled"/>
    <s v="Chennai"/>
    <x v="1"/>
    <x v="2"/>
  </r>
  <r>
    <s v="ORD-01164"/>
    <x v="192"/>
    <s v="CUST-0006"/>
    <s v="PROD-040"/>
    <x v="14"/>
    <n v="6"/>
    <n v="1080"/>
    <n v="17.5"/>
    <n v="5346"/>
    <s v="Completed"/>
    <s v="Pune"/>
    <x v="3"/>
    <x v="2"/>
  </r>
  <r>
    <s v="ORD-01165"/>
    <x v="348"/>
    <s v="CUST-0192"/>
    <s v="PROD-002"/>
    <x v="12"/>
    <n v="3"/>
    <n v="2600"/>
    <n v="1.9"/>
    <n v="7651.8"/>
    <s v="Completed"/>
    <s v="Bengaluru"/>
    <x v="4"/>
    <x v="3"/>
  </r>
  <r>
    <s v="ORD-01166"/>
    <x v="67"/>
    <s v="CUST-0290"/>
    <s v="PROD-015"/>
    <x v="4"/>
    <n v="5"/>
    <n v="2720"/>
    <n v="1.8"/>
    <n v="13355.2"/>
    <s v="Cancelled"/>
    <s v="Delhi"/>
    <x v="0"/>
    <x v="0"/>
  </r>
  <r>
    <s v="ORD-01167"/>
    <x v="270"/>
    <s v="CUST-0287"/>
    <s v="PROD-028"/>
    <x v="27"/>
    <n v="8"/>
    <n v="3660"/>
    <n v="29.5"/>
    <n v="20642.400000000001"/>
    <s v="Completed"/>
    <s v="Chennai"/>
    <x v="2"/>
    <x v="1"/>
  </r>
  <r>
    <s v="ORD-01168"/>
    <x v="237"/>
    <s v="CUST-0025"/>
    <s v="PROD-044"/>
    <x v="1"/>
    <n v="9"/>
    <n v="1650"/>
    <n v="19.8"/>
    <n v="11909.7"/>
    <s v="Refunded"/>
    <s v="Bengaluru"/>
    <x v="5"/>
    <x v="0"/>
  </r>
  <r>
    <s v="ORD-01169"/>
    <x v="349"/>
    <s v="CUST-0139"/>
    <s v="PROD-055"/>
    <x v="7"/>
    <n v="3"/>
    <n v="2860"/>
    <n v="22.7"/>
    <n v="6632.34"/>
    <s v="Completed"/>
    <s v="Hyderabad"/>
    <x v="1"/>
    <x v="3"/>
  </r>
  <r>
    <s v="ORD-01170"/>
    <x v="335"/>
    <s v="CUST-0278"/>
    <s v="PROD-051"/>
    <x v="5"/>
    <n v="4"/>
    <n v="3450"/>
    <n v="9.1999999999999993"/>
    <n v="12530.4"/>
    <s v="Completed"/>
    <s v="Hyderabad"/>
    <x v="1"/>
    <x v="2"/>
  </r>
  <r>
    <s v="ORD-01171"/>
    <x v="171"/>
    <s v="CUST-0258"/>
    <s v="PROD-033"/>
    <x v="11"/>
    <n v="4"/>
    <n v="2030"/>
    <n v="17.100000000000001"/>
    <n v="6731.48"/>
    <s v="Completed"/>
    <s v="Pune"/>
    <x v="3"/>
    <x v="0"/>
  </r>
  <r>
    <s v="ORD-01172"/>
    <x v="24"/>
    <s v="CUST-0106"/>
    <s v="PROD-022"/>
    <x v="29"/>
    <n v="4"/>
    <n v="2270"/>
    <n v="27.3"/>
    <n v="6601.16"/>
    <s v="Completed"/>
    <s v="Pune"/>
    <x v="2"/>
    <x v="1"/>
  </r>
  <r>
    <s v="ORD-01173"/>
    <x v="41"/>
    <s v="CUST-0009"/>
    <s v="PROD-034"/>
    <x v="22"/>
    <n v="9"/>
    <n v="5080"/>
    <n v="10.9"/>
    <n v="40736.519999999997"/>
    <s v="Completed"/>
    <s v="Mumbai"/>
    <x v="3"/>
    <x v="1"/>
  </r>
  <r>
    <s v="ORD-01174"/>
    <x v="341"/>
    <s v="CUST-0209"/>
    <s v="PROD-026"/>
    <x v="20"/>
    <n v="8"/>
    <n v="4070"/>
    <n v="17.7"/>
    <n v="26796.880000000001"/>
    <s v="Completed"/>
    <s v="Pune"/>
    <x v="2"/>
    <x v="2"/>
  </r>
  <r>
    <s v="ORD-01175"/>
    <x v="332"/>
    <s v="CUST-0111"/>
    <s v="PROD-041"/>
    <x v="1"/>
    <n v="1"/>
    <n v="1540"/>
    <n v="0.9"/>
    <n v="1526.14"/>
    <s v="Completed"/>
    <s v="Chennai"/>
    <x v="5"/>
    <x v="0"/>
  </r>
  <r>
    <s v="ORD-01176"/>
    <x v="104"/>
    <s v="CUST-0014"/>
    <s v="PROD-048"/>
    <x v="6"/>
    <n v="10"/>
    <n v="5100"/>
    <n v="3"/>
    <n v="49470"/>
    <s v="Completed"/>
    <s v="Bengaluru"/>
    <x v="5"/>
    <x v="2"/>
  </r>
  <r>
    <s v="ORD-01177"/>
    <x v="165"/>
    <s v="CUST-0073"/>
    <s v="PROD-014"/>
    <x v="3"/>
    <n v="6"/>
    <n v="3620"/>
    <n v="20.2"/>
    <n v="17332.560000000001"/>
    <s v="Completed"/>
    <s v="Pune"/>
    <x v="0"/>
    <x v="0"/>
  </r>
  <r>
    <s v="ORD-01178"/>
    <x v="258"/>
    <s v="CUST-0147"/>
    <s v="PROD-046"/>
    <x v="11"/>
    <n v="7"/>
    <n v="4880"/>
    <n v="5"/>
    <n v="32452"/>
    <s v="Completed"/>
    <s v="Pune"/>
    <x v="5"/>
    <x v="0"/>
  </r>
  <r>
    <s v="ORD-01179"/>
    <x v="22"/>
    <s v="CUST-0006"/>
    <s v="PROD-010"/>
    <x v="6"/>
    <n v="1"/>
    <n v="2640"/>
    <n v="4.0999999999999996"/>
    <n v="2531.7600000000002"/>
    <s v="Completed"/>
    <s v="Pune"/>
    <x v="4"/>
    <x v="2"/>
  </r>
  <r>
    <s v="ORD-01180"/>
    <x v="118"/>
    <s v="CUST-0031"/>
    <s v="PROD-026"/>
    <x v="16"/>
    <n v="9"/>
    <n v="4070"/>
    <n v="4.4000000000000004"/>
    <n v="35018.28"/>
    <s v="Completed"/>
    <s v="Hyderabad"/>
    <x v="2"/>
    <x v="3"/>
  </r>
  <r>
    <s v="ORD-01181"/>
    <x v="7"/>
    <s v="CUST-0084"/>
    <s v="PROD-003"/>
    <x v="5"/>
    <n v="9"/>
    <n v="3570"/>
    <n v="24.8"/>
    <n v="24161.759999999998"/>
    <s v="Completed"/>
    <s v="Chennai"/>
    <x v="4"/>
    <x v="2"/>
  </r>
  <r>
    <s v="ORD-01182"/>
    <x v="19"/>
    <s v="CUST-0203"/>
    <s v="PROD-043"/>
    <x v="1"/>
    <n v="10"/>
    <n v="3350"/>
    <n v="25.1"/>
    <n v="25091.5"/>
    <s v="Cancelled"/>
    <s v="Chennai"/>
    <x v="5"/>
    <x v="0"/>
  </r>
  <r>
    <s v="ORD-01183"/>
    <x v="246"/>
    <s v="CUST-0138"/>
    <s v="PROD-059"/>
    <x v="5"/>
    <n v="3"/>
    <n v="3780"/>
    <n v="3.8"/>
    <n v="10909.08"/>
    <s v="Completed"/>
    <s v="Chennai"/>
    <x v="1"/>
    <x v="2"/>
  </r>
  <r>
    <s v="ORD-01184"/>
    <x v="330"/>
    <s v="CUST-0157"/>
    <s v="PROD-003"/>
    <x v="4"/>
    <n v="4"/>
    <n v="3570"/>
    <n v="0.9"/>
    <n v="14151.48"/>
    <s v="Pending"/>
    <s v="Pune"/>
    <x v="4"/>
    <x v="0"/>
  </r>
  <r>
    <s v="ORD-01185"/>
    <x v="295"/>
    <s v="CUST-0298"/>
    <s v="PROD-055"/>
    <x v="6"/>
    <n v="5"/>
    <n v="2860"/>
    <n v="20.100000000000001"/>
    <n v="11425.7"/>
    <s v="Completed"/>
    <s v="Delhi"/>
    <x v="1"/>
    <x v="2"/>
  </r>
  <r>
    <s v="ORD-01186"/>
    <x v="79"/>
    <s v="CUST-0132"/>
    <s v="PROD-016"/>
    <x v="11"/>
    <n v="1"/>
    <n v="620"/>
    <n v="1.1000000000000001"/>
    <n v="613.17999999999995"/>
    <s v="Cancelled"/>
    <s v="Delhi"/>
    <x v="0"/>
    <x v="0"/>
  </r>
  <r>
    <s v="ORD-01187"/>
    <x v="39"/>
    <s v="CUST-0006"/>
    <s v="PROD-003"/>
    <x v="27"/>
    <n v="1"/>
    <n v="3570"/>
    <n v="11.1"/>
    <n v="3173.73"/>
    <s v="Cancelled"/>
    <s v="Pune"/>
    <x v="4"/>
    <x v="1"/>
  </r>
  <r>
    <s v="ORD-01188"/>
    <x v="317"/>
    <s v="CUST-0011"/>
    <s v="PROD-001"/>
    <x v="27"/>
    <n v="1"/>
    <n v="5330"/>
    <n v="3.5"/>
    <n v="5143.45"/>
    <s v="Completed"/>
    <s v="Chennai"/>
    <x v="4"/>
    <x v="1"/>
  </r>
  <r>
    <s v="ORD-01189"/>
    <x v="333"/>
    <s v="CUST-0170"/>
    <s v="PROD-052"/>
    <x v="26"/>
    <n v="7"/>
    <n v="5410"/>
    <n v="26.2"/>
    <n v="27948.06"/>
    <s v="Completed"/>
    <s v="Mumbai"/>
    <x v="1"/>
    <x v="3"/>
  </r>
  <r>
    <s v="ORD-01190"/>
    <x v="163"/>
    <s v="CUST-0109"/>
    <s v="PROD-034"/>
    <x v="29"/>
    <n v="10"/>
    <n v="5080"/>
    <n v="3.7"/>
    <n v="48920.4"/>
    <s v="Pending"/>
    <s v="Pune"/>
    <x v="3"/>
    <x v="1"/>
  </r>
  <r>
    <s v="ORD-01191"/>
    <x v="43"/>
    <s v="CUST-0066"/>
    <s v="PROD-003"/>
    <x v="1"/>
    <n v="9"/>
    <n v="3570"/>
    <n v="5.6"/>
    <n v="30330.720000000001"/>
    <s v="Completed"/>
    <s v="Delhi"/>
    <x v="4"/>
    <x v="0"/>
  </r>
  <r>
    <s v="ORD-01192"/>
    <x v="165"/>
    <s v="CUST-0055"/>
    <s v="PROD-030"/>
    <x v="24"/>
    <n v="9"/>
    <n v="970"/>
    <n v="19.5"/>
    <n v="7027.65"/>
    <s v="Completed"/>
    <s v="Bengaluru"/>
    <x v="2"/>
    <x v="3"/>
  </r>
  <r>
    <s v="ORD-01193"/>
    <x v="298"/>
    <s v="CUST-0298"/>
    <s v="PROD-005"/>
    <x v="18"/>
    <n v="10"/>
    <n v="300"/>
    <n v="23"/>
    <n v="2310"/>
    <s v="Cancelled"/>
    <s v="Delhi"/>
    <x v="4"/>
    <x v="1"/>
  </r>
  <r>
    <s v="ORD-01194"/>
    <x v="319"/>
    <s v="CUST-0024"/>
    <s v="PROD-050"/>
    <x v="11"/>
    <n v="10"/>
    <n v="6080"/>
    <n v="3.9"/>
    <n v="58428.800000000003"/>
    <s v="Completed"/>
    <s v="Chennai"/>
    <x v="5"/>
    <x v="0"/>
  </r>
  <r>
    <s v="ORD-01195"/>
    <x v="149"/>
    <s v="CUST-0008"/>
    <s v="PROD-048"/>
    <x v="23"/>
    <n v="2"/>
    <n v="5100"/>
    <n v="11"/>
    <n v="9078"/>
    <s v="Completed"/>
    <s v="Pune"/>
    <x v="5"/>
    <x v="1"/>
  </r>
  <r>
    <s v="ORD-01196"/>
    <x v="18"/>
    <s v="CUST-0070"/>
    <s v="PROD-011"/>
    <x v="7"/>
    <n v="9"/>
    <n v="3450"/>
    <n v="23.7"/>
    <n v="23691.15"/>
    <s v="Completed"/>
    <s v="Mumbai"/>
    <x v="0"/>
    <x v="3"/>
  </r>
  <r>
    <s v="ORD-01197"/>
    <x v="164"/>
    <s v="CUST-0270"/>
    <s v="PROD-019"/>
    <x v="23"/>
    <n v="5"/>
    <n v="2480"/>
    <n v="20.399999999999999"/>
    <n v="9870.4"/>
    <s v="Completed"/>
    <s v="Bengaluru"/>
    <x v="0"/>
    <x v="1"/>
  </r>
  <r>
    <s v="ORD-01198"/>
    <x v="323"/>
    <s v="CUST-0175"/>
    <s v="PROD-060"/>
    <x v="9"/>
    <n v="4"/>
    <n v="190"/>
    <n v="2.6"/>
    <n v="740.24"/>
    <s v="Completed"/>
    <s v="Delhi"/>
    <x v="1"/>
    <x v="1"/>
  </r>
  <r>
    <s v="ORD-01199"/>
    <x v="212"/>
    <s v="CUST-0227"/>
    <s v="PROD-022"/>
    <x v="16"/>
    <n v="4"/>
    <n v="2270"/>
    <n v="8.1"/>
    <n v="8344.52"/>
    <s v="Pending"/>
    <s v="Bengaluru"/>
    <x v="2"/>
    <x v="3"/>
  </r>
  <r>
    <s v="ORD-01200"/>
    <x v="169"/>
    <s v="CUST-0041"/>
    <s v="PROD-017"/>
    <x v="8"/>
    <n v="7"/>
    <n v="2510"/>
    <n v="25.5"/>
    <n v="13089.65"/>
    <s v="Completed"/>
    <s v="Bengaluru"/>
    <x v="0"/>
    <x v="2"/>
  </r>
  <r>
    <s v="ORD-01201"/>
    <x v="318"/>
    <s v="CUST-0147"/>
    <s v="PROD-059"/>
    <x v="10"/>
    <n v="3"/>
    <n v="3780"/>
    <n v="16.8"/>
    <n v="9434.8799999999992"/>
    <s v="Completed"/>
    <s v="Pune"/>
    <x v="1"/>
    <x v="0"/>
  </r>
  <r>
    <s v="ORD-01202"/>
    <x v="79"/>
    <s v="CUST-0185"/>
    <s v="PROD-003"/>
    <x v="9"/>
    <n v="7"/>
    <n v="3570"/>
    <n v="23.7"/>
    <n v="19067.37"/>
    <s v="Completed"/>
    <s v="Hyderabad"/>
    <x v="4"/>
    <x v="1"/>
  </r>
  <r>
    <s v="ORD-01203"/>
    <x v="115"/>
    <s v="CUST-0210"/>
    <s v="PROD-037"/>
    <x v="23"/>
    <n v="4"/>
    <n v="660"/>
    <n v="3.6"/>
    <n v="2544.96"/>
    <s v="Completed"/>
    <s v="Pune"/>
    <x v="3"/>
    <x v="1"/>
  </r>
  <r>
    <s v="ORD-01204"/>
    <x v="350"/>
    <s v="CUST-0289"/>
    <s v="PROD-030"/>
    <x v="9"/>
    <n v="7"/>
    <n v="970"/>
    <n v="23.7"/>
    <n v="5180.7700000000004"/>
    <s v="Completed"/>
    <s v="Mumbai"/>
    <x v="2"/>
    <x v="1"/>
  </r>
  <r>
    <s v="ORD-01205"/>
    <x v="200"/>
    <s v="CUST-0017"/>
    <s v="PROD-024"/>
    <x v="3"/>
    <n v="8"/>
    <n v="2270"/>
    <n v="6.8"/>
    <n v="16925.12"/>
    <s v="Completed"/>
    <s v="Delhi"/>
    <x v="2"/>
    <x v="0"/>
  </r>
  <r>
    <s v="ORD-01206"/>
    <x v="65"/>
    <s v="CUST-0115"/>
    <s v="PROD-058"/>
    <x v="27"/>
    <n v="1"/>
    <n v="2400"/>
    <n v="26.5"/>
    <n v="1764"/>
    <s v="Completed"/>
    <s v="Mumbai"/>
    <x v="1"/>
    <x v="1"/>
  </r>
  <r>
    <s v="ORD-01207"/>
    <x v="283"/>
    <s v="CUST-0183"/>
    <s v="PROD-034"/>
    <x v="9"/>
    <n v="5"/>
    <n v="5080"/>
    <n v="29.6"/>
    <n v="17881.599999999999"/>
    <s v="Completed"/>
    <s v="Mumbai"/>
    <x v="3"/>
    <x v="1"/>
  </r>
  <r>
    <s v="ORD-01208"/>
    <x v="116"/>
    <s v="CUST-0193"/>
    <s v="PROD-043"/>
    <x v="2"/>
    <n v="9"/>
    <n v="3350"/>
    <n v="6.2"/>
    <n v="28280.7"/>
    <s v="Completed"/>
    <s v="Bengaluru"/>
    <x v="5"/>
    <x v="1"/>
  </r>
  <r>
    <s v="ORD-01209"/>
    <x v="9"/>
    <s v="CUST-0019"/>
    <s v="PROD-041"/>
    <x v="19"/>
    <n v="4"/>
    <n v="1540"/>
    <n v="22.2"/>
    <n v="4792.4799999999996"/>
    <s v="Completed"/>
    <s v="Chennai"/>
    <x v="5"/>
    <x v="0"/>
  </r>
  <r>
    <s v="ORD-01210"/>
    <x v="313"/>
    <s v="CUST-0097"/>
    <s v="PROD-034"/>
    <x v="25"/>
    <n v="10"/>
    <n v="5080"/>
    <n v="11.8"/>
    <n v="44805.599999999999"/>
    <s v="Completed"/>
    <s v="Mumbai"/>
    <x v="3"/>
    <x v="0"/>
  </r>
  <r>
    <s v="ORD-01211"/>
    <x v="197"/>
    <s v="CUST-0237"/>
    <s v="PROD-018"/>
    <x v="27"/>
    <n v="9"/>
    <n v="3560"/>
    <n v="15.9"/>
    <n v="26945.64"/>
    <s v="Completed"/>
    <s v="Mumbai"/>
    <x v="0"/>
    <x v="1"/>
  </r>
  <r>
    <s v="ORD-01212"/>
    <x v="98"/>
    <s v="CUST-0252"/>
    <s v="PROD-040"/>
    <x v="18"/>
    <n v="2"/>
    <n v="1080"/>
    <n v="21.1"/>
    <n v="1704.24"/>
    <s v="Completed"/>
    <s v="Bengaluru"/>
    <x v="3"/>
    <x v="1"/>
  </r>
  <r>
    <s v="ORD-01213"/>
    <x v="202"/>
    <s v="CUST-0216"/>
    <s v="PROD-023"/>
    <x v="26"/>
    <n v="5"/>
    <n v="2380"/>
    <n v="20.5"/>
    <n v="9460.5"/>
    <s v="Completed"/>
    <s v="Mumbai"/>
    <x v="2"/>
    <x v="3"/>
  </r>
  <r>
    <s v="ORD-01214"/>
    <x v="71"/>
    <s v="CUST-0248"/>
    <s v="PROD-019"/>
    <x v="5"/>
    <n v="9"/>
    <n v="2480"/>
    <n v="1.2"/>
    <n v="22052.16"/>
    <s v="Completed"/>
    <s v="Chennai"/>
    <x v="0"/>
    <x v="2"/>
  </r>
  <r>
    <s v="ORD-01215"/>
    <x v="333"/>
    <s v="CUST-0044"/>
    <s v="PROD-042"/>
    <x v="27"/>
    <n v="9"/>
    <n v="2290"/>
    <n v="0.9"/>
    <n v="20424.509999999998"/>
    <s v="Completed"/>
    <s v="Hyderabad"/>
    <x v="5"/>
    <x v="1"/>
  </r>
  <r>
    <s v="ORD-01216"/>
    <x v="143"/>
    <s v="CUST-0251"/>
    <s v="PROD-011"/>
    <x v="23"/>
    <n v="3"/>
    <n v="3450"/>
    <n v="29.5"/>
    <n v="7296.75"/>
    <s v="Completed"/>
    <s v="Mumbai"/>
    <x v="0"/>
    <x v="1"/>
  </r>
  <r>
    <s v="ORD-01217"/>
    <x v="28"/>
    <s v="CUST-0280"/>
    <s v="PROD-047"/>
    <x v="6"/>
    <n v="9"/>
    <n v="3450"/>
    <n v="19.399999999999999"/>
    <n v="25026.3"/>
    <s v="Completed"/>
    <s v="Delhi"/>
    <x v="5"/>
    <x v="2"/>
  </r>
  <r>
    <s v="ORD-01218"/>
    <x v="340"/>
    <s v="CUST-0108"/>
    <s v="PROD-002"/>
    <x v="14"/>
    <n v="2"/>
    <n v="2600"/>
    <n v="20.2"/>
    <n v="4149.6000000000004"/>
    <s v="Cancelled"/>
    <s v="Bengaluru"/>
    <x v="4"/>
    <x v="2"/>
  </r>
  <r>
    <s v="ORD-01219"/>
    <x v="281"/>
    <s v="CUST-0058"/>
    <s v="PROD-021"/>
    <x v="5"/>
    <n v="1"/>
    <n v="2760"/>
    <n v="9.5"/>
    <n v="2497.8000000000002"/>
    <s v="Completed"/>
    <s v="Bengaluru"/>
    <x v="2"/>
    <x v="2"/>
  </r>
  <r>
    <s v="ORD-01220"/>
    <x v="106"/>
    <s v="CUST-0090"/>
    <s v="PROD-039"/>
    <x v="11"/>
    <n v="4"/>
    <n v="4610"/>
    <n v="14.8"/>
    <n v="15710.88"/>
    <s v="Completed"/>
    <s v="Bengaluru"/>
    <x v="3"/>
    <x v="0"/>
  </r>
  <r>
    <s v="ORD-01221"/>
    <x v="147"/>
    <s v="CUST-0204"/>
    <s v="PROD-019"/>
    <x v="6"/>
    <n v="3"/>
    <n v="2480"/>
    <n v="3.7"/>
    <n v="7164.72"/>
    <s v="Completed"/>
    <s v="Hyderabad"/>
    <x v="0"/>
    <x v="2"/>
  </r>
  <r>
    <s v="ORD-01222"/>
    <x v="294"/>
    <s v="CUST-0044"/>
    <s v="PROD-056"/>
    <x v="23"/>
    <n v="5"/>
    <n v="6940"/>
    <n v="0.3"/>
    <n v="34595.9"/>
    <s v="Completed"/>
    <s v="Hyderabad"/>
    <x v="1"/>
    <x v="1"/>
  </r>
  <r>
    <s v="ORD-01223"/>
    <x v="9"/>
    <s v="CUST-0068"/>
    <s v="PROD-022"/>
    <x v="12"/>
    <n v="8"/>
    <n v="2270"/>
    <n v="15.6"/>
    <n v="15327.04"/>
    <s v="Pending"/>
    <s v="Delhi"/>
    <x v="2"/>
    <x v="3"/>
  </r>
  <r>
    <s v="ORD-01224"/>
    <x v="313"/>
    <s v="CUST-0127"/>
    <s v="PROD-048"/>
    <x v="14"/>
    <n v="5"/>
    <n v="5100"/>
    <n v="9.5"/>
    <n v="23077.5"/>
    <s v="Completed"/>
    <s v="Bengaluru"/>
    <x v="5"/>
    <x v="2"/>
  </r>
  <r>
    <s v="ORD-01225"/>
    <x v="345"/>
    <s v="CUST-0191"/>
    <s v="PROD-036"/>
    <x v="23"/>
    <n v="5"/>
    <n v="3250"/>
    <n v="8.1"/>
    <n v="14933.75"/>
    <s v="Completed"/>
    <s v="Hyderabad"/>
    <x v="3"/>
    <x v="1"/>
  </r>
  <r>
    <s v="ORD-01226"/>
    <x v="303"/>
    <s v="CUST-0028"/>
    <s v="PROD-006"/>
    <x v="11"/>
    <n v="6"/>
    <n v="3970"/>
    <n v="18.8"/>
    <n v="19341.84"/>
    <s v="Pending"/>
    <s v="Bengaluru"/>
    <x v="4"/>
    <x v="0"/>
  </r>
  <r>
    <s v="ORD-01227"/>
    <x v="14"/>
    <s v="CUST-0027"/>
    <s v="PROD-001"/>
    <x v="5"/>
    <n v="4"/>
    <n v="5330"/>
    <n v="19.7"/>
    <n v="17119.96"/>
    <s v="Completed"/>
    <s v="Hyderabad"/>
    <x v="4"/>
    <x v="2"/>
  </r>
  <r>
    <s v="ORD-01228"/>
    <x v="84"/>
    <s v="CUST-0193"/>
    <s v="PROD-008"/>
    <x v="10"/>
    <n v="7"/>
    <n v="2660"/>
    <n v="8.5"/>
    <n v="17037.3"/>
    <s v="Completed"/>
    <s v="Bengaluru"/>
    <x v="4"/>
    <x v="0"/>
  </r>
  <r>
    <s v="ORD-01229"/>
    <x v="124"/>
    <s v="CUST-0202"/>
    <s v="PROD-012"/>
    <x v="20"/>
    <n v="5"/>
    <n v="3160"/>
    <n v="13.4"/>
    <n v="13682.8"/>
    <s v="Pending"/>
    <s v="Chennai"/>
    <x v="0"/>
    <x v="2"/>
  </r>
  <r>
    <s v="ORD-01230"/>
    <x v="287"/>
    <s v="CUST-0230"/>
    <s v="PROD-054"/>
    <x v="7"/>
    <n v="10"/>
    <n v="1010"/>
    <n v="14"/>
    <n v="8686"/>
    <s v="Completed"/>
    <s v="Pune"/>
    <x v="1"/>
    <x v="3"/>
  </r>
  <r>
    <s v="ORD-01231"/>
    <x v="351"/>
    <s v="CUST-0280"/>
    <s v="PROD-041"/>
    <x v="11"/>
    <n v="3"/>
    <n v="1540"/>
    <n v="13.7"/>
    <n v="3987.06"/>
    <s v="Pending"/>
    <s v="Delhi"/>
    <x v="5"/>
    <x v="0"/>
  </r>
  <r>
    <s v="ORD-01232"/>
    <x v="343"/>
    <s v="CUST-0196"/>
    <s v="PROD-048"/>
    <x v="18"/>
    <n v="10"/>
    <n v="5100"/>
    <n v="13.8"/>
    <n v="43962"/>
    <s v="Completed"/>
    <s v="Chennai"/>
    <x v="5"/>
    <x v="1"/>
  </r>
  <r>
    <s v="ORD-01233"/>
    <x v="136"/>
    <s v="CUST-0019"/>
    <s v="PROD-007"/>
    <x v="14"/>
    <n v="3"/>
    <n v="1430"/>
    <n v="1.5"/>
    <n v="4225.6499999999996"/>
    <s v="Completed"/>
    <s v="Chennai"/>
    <x v="4"/>
    <x v="2"/>
  </r>
  <r>
    <s v="ORD-01234"/>
    <x v="247"/>
    <s v="CUST-0201"/>
    <s v="PROD-038"/>
    <x v="22"/>
    <n v="8"/>
    <n v="5490"/>
    <n v="23.2"/>
    <n v="33730.559999999998"/>
    <s v="Completed"/>
    <s v="Hyderabad"/>
    <x v="3"/>
    <x v="1"/>
  </r>
  <r>
    <s v="ORD-01235"/>
    <x v="185"/>
    <s v="CUST-0146"/>
    <s v="PROD-044"/>
    <x v="4"/>
    <n v="6"/>
    <n v="1650"/>
    <n v="16.8"/>
    <n v="8236.7999999999993"/>
    <s v="Completed"/>
    <s v="Hyderabad"/>
    <x v="5"/>
    <x v="0"/>
  </r>
  <r>
    <s v="ORD-01236"/>
    <x v="151"/>
    <s v="CUST-0199"/>
    <s v="PROD-045"/>
    <x v="26"/>
    <n v="3"/>
    <n v="3020"/>
    <n v="14.5"/>
    <n v="7746.3"/>
    <s v="Completed"/>
    <s v="Hyderabad"/>
    <x v="5"/>
    <x v="3"/>
  </r>
  <r>
    <s v="ORD-01237"/>
    <x v="334"/>
    <s v="CUST-0099"/>
    <s v="PROD-041"/>
    <x v="11"/>
    <n v="5"/>
    <n v="1540"/>
    <n v="27.2"/>
    <n v="5605.6"/>
    <s v="Completed"/>
    <s v="Bengaluru"/>
    <x v="5"/>
    <x v="0"/>
  </r>
  <r>
    <s v="ORD-00372"/>
    <x v="246"/>
    <s v="CUST-0094"/>
    <s v="PROD-056"/>
    <x v="12"/>
    <n v="4"/>
    <n v="6940"/>
    <n v="3.2"/>
    <n v="26871.68"/>
    <s v="Completed"/>
    <s v="Pune"/>
    <x v="1"/>
    <x v="3"/>
  </r>
  <r>
    <s v="ORD-01239"/>
    <x v="25"/>
    <s v="CUST-0275"/>
    <s v="PROD-048"/>
    <x v="21"/>
    <n v="2"/>
    <n v="5100"/>
    <n v="18.100000000000001"/>
    <n v="8353.7999999999993"/>
    <s v="Completed"/>
    <s v="Mumbai"/>
    <x v="5"/>
    <x v="3"/>
  </r>
  <r>
    <s v="ORD-01240"/>
    <x v="189"/>
    <s v="CUST-0230"/>
    <s v="PROD-001"/>
    <x v="29"/>
    <n v="6"/>
    <n v="5330"/>
    <n v="0.3"/>
    <n v="31884.06"/>
    <s v="Pending"/>
    <s v="Pune"/>
    <x v="4"/>
    <x v="1"/>
  </r>
  <r>
    <s v="ORD-01241"/>
    <x v="121"/>
    <s v="CUST-0227"/>
    <s v="PROD-057"/>
    <x v="20"/>
    <n v="5"/>
    <n v="960"/>
    <n v="16.600000000000001"/>
    <n v="4003.2"/>
    <s v="Completed"/>
    <s v="Bengaluru"/>
    <x v="1"/>
    <x v="2"/>
  </r>
  <r>
    <s v="ORD-01365"/>
    <x v="214"/>
    <s v="CUST-0200"/>
    <s v="PROD-014"/>
    <x v="24"/>
    <n v="7"/>
    <n v="3620"/>
    <n v="5.4"/>
    <n v="23971.64"/>
    <s v="Completed"/>
    <s v="Hyderabad"/>
    <x v="0"/>
    <x v="3"/>
  </r>
  <r>
    <s v="ORD-01243"/>
    <x v="213"/>
    <s v="CUST-0268"/>
    <s v="PROD-002"/>
    <x v="3"/>
    <n v="6"/>
    <n v="2600"/>
    <n v="25.9"/>
    <n v="11559.6"/>
    <s v="Completed"/>
    <s v="Chennai"/>
    <x v="4"/>
    <x v="0"/>
  </r>
  <r>
    <s v="ORD-01244"/>
    <x v="129"/>
    <s v="CUST-0163"/>
    <s v="PROD-008"/>
    <x v="22"/>
    <n v="7"/>
    <n v="2660"/>
    <n v="20.2"/>
    <n v="14858.76"/>
    <s v="Completed"/>
    <s v="Pune"/>
    <x v="4"/>
    <x v="1"/>
  </r>
  <r>
    <s v="ORD-01245"/>
    <x v="22"/>
    <s v="CUST-0233"/>
    <s v="PROD-019"/>
    <x v="24"/>
    <n v="9"/>
    <n v="2480"/>
    <n v="14.7"/>
    <n v="19038.96"/>
    <s v="Completed"/>
    <s v="Mumbai"/>
    <x v="0"/>
    <x v="3"/>
  </r>
  <r>
    <s v="ORD-01246"/>
    <x v="296"/>
    <s v="CUST-0181"/>
    <s v="PROD-008"/>
    <x v="15"/>
    <n v="4"/>
    <n v="2660"/>
    <n v="8.9"/>
    <n v="9693.0400000000009"/>
    <s v="Completed"/>
    <s v="Delhi"/>
    <x v="4"/>
    <x v="1"/>
  </r>
  <r>
    <s v="ORD-01247"/>
    <x v="326"/>
    <s v="CUST-0254"/>
    <s v="PROD-001"/>
    <x v="9"/>
    <n v="1"/>
    <n v="5330"/>
    <n v="26.8"/>
    <n v="3901.56"/>
    <s v="Completed"/>
    <s v="Bengaluru"/>
    <x v="4"/>
    <x v="1"/>
  </r>
  <r>
    <s v="ORD-01248"/>
    <x v="227"/>
    <s v="CUST-0116"/>
    <s v="PROD-051"/>
    <x v="28"/>
    <n v="6"/>
    <n v="3450"/>
    <n v="19.2"/>
    <n v="16725.599999999999"/>
    <s v="Pending"/>
    <s v="Bengaluru"/>
    <x v="1"/>
    <x v="2"/>
  </r>
  <r>
    <s v="ORD-01249"/>
    <x v="323"/>
    <s v="CUST-0259"/>
    <s v="PROD-060"/>
    <x v="5"/>
    <n v="10"/>
    <n v="190"/>
    <n v="18.100000000000001"/>
    <n v="1556.1"/>
    <s v="Completed"/>
    <s v="Mumbai"/>
    <x v="1"/>
    <x v="2"/>
  </r>
  <r>
    <s v="ORD-01250"/>
    <x v="241"/>
    <s v="CUST-0198"/>
    <s v="PROD-006"/>
    <x v="18"/>
    <n v="9"/>
    <n v="3970"/>
    <n v="18.2"/>
    <n v="29227.14"/>
    <s v="Pending"/>
    <s v="Chennai"/>
    <x v="4"/>
    <x v="1"/>
  </r>
  <r>
    <s v="ORD-01251"/>
    <x v="280"/>
    <s v="CUST-0204"/>
    <s v="PROD-039"/>
    <x v="25"/>
    <n v="4"/>
    <n v="4610"/>
    <n v="15.1"/>
    <n v="15655.56"/>
    <s v="Cancelled"/>
    <s v="Hyderabad"/>
    <x v="3"/>
    <x v="0"/>
  </r>
  <r>
    <s v="ORD-01252"/>
    <x v="233"/>
    <s v="CUST-0216"/>
    <s v="PROD-016"/>
    <x v="5"/>
    <n v="2"/>
    <n v="620"/>
    <n v="3.3"/>
    <n v="1199.08"/>
    <s v="Completed"/>
    <s v="Mumbai"/>
    <x v="0"/>
    <x v="2"/>
  </r>
  <r>
    <s v="ORD-01253"/>
    <x v="214"/>
    <s v="CUST-0030"/>
    <s v="PROD-041"/>
    <x v="5"/>
    <n v="7"/>
    <n v="1540"/>
    <n v="27.5"/>
    <n v="7815.5"/>
    <s v="Completed"/>
    <s v="Bengaluru"/>
    <x v="5"/>
    <x v="2"/>
  </r>
  <r>
    <s v="ORD-01254"/>
    <x v="178"/>
    <s v="CUST-0019"/>
    <s v="PROD-053"/>
    <x v="21"/>
    <n v="10"/>
    <n v="470"/>
    <n v="3.9"/>
    <n v="4516.7"/>
    <s v="Completed"/>
    <s v="Chennai"/>
    <x v="1"/>
    <x v="3"/>
  </r>
  <r>
    <s v="ORD-01255"/>
    <x v="348"/>
    <s v="CUST-0034"/>
    <s v="PROD-046"/>
    <x v="25"/>
    <n v="5"/>
    <n v="4880"/>
    <n v="27.4"/>
    <n v="17714.400000000001"/>
    <s v="Completed"/>
    <s v="Delhi"/>
    <x v="5"/>
    <x v="0"/>
  </r>
  <r>
    <s v="ORD-01256"/>
    <x v="289"/>
    <s v="CUST-0063"/>
    <s v="PROD-052"/>
    <x v="20"/>
    <n v="1"/>
    <n v="5410"/>
    <n v="8.3000000000000007"/>
    <n v="4960.97"/>
    <s v="Completed"/>
    <s v="Mumbai"/>
    <x v="1"/>
    <x v="2"/>
  </r>
  <r>
    <s v="ORD-01257"/>
    <x v="337"/>
    <s v="CUST-0203"/>
    <s v="PROD-004"/>
    <x v="24"/>
    <n v="8"/>
    <n v="3870"/>
    <n v="9.3000000000000007"/>
    <n v="28080.720000000001"/>
    <s v="Pending"/>
    <s v="Chennai"/>
    <x v="4"/>
    <x v="3"/>
  </r>
  <r>
    <s v="ORD-01258"/>
    <x v="136"/>
    <s v="CUST-0016"/>
    <s v="PROD-010"/>
    <x v="21"/>
    <n v="10"/>
    <n v="2640"/>
    <n v="19.899999999999999"/>
    <n v="21146.400000000001"/>
    <s v="Completed"/>
    <s v="Delhi"/>
    <x v="4"/>
    <x v="3"/>
  </r>
  <r>
    <s v="ORD-01259"/>
    <x v="118"/>
    <s v="CUST-0198"/>
    <s v="PROD-034"/>
    <x v="0"/>
    <n v="1"/>
    <n v="5080"/>
    <n v="8.6"/>
    <n v="4643.12"/>
    <s v="Completed"/>
    <s v="Chennai"/>
    <x v="3"/>
    <x v="0"/>
  </r>
  <r>
    <s v="ORD-01260"/>
    <x v="342"/>
    <s v="CUST-0212"/>
    <s v="PROD-036"/>
    <x v="26"/>
    <n v="9"/>
    <n v="3250"/>
    <n v="18.2"/>
    <n v="23926.5"/>
    <s v="Pending"/>
    <s v="Chennai"/>
    <x v="3"/>
    <x v="3"/>
  </r>
  <r>
    <s v="ORD-01261"/>
    <x v="84"/>
    <s v="CUST-0265"/>
    <s v="PROD-006"/>
    <x v="25"/>
    <n v="8"/>
    <n v="3970"/>
    <n v="22.4"/>
    <n v="24645.759999999998"/>
    <s v="Completed"/>
    <s v="Chennai"/>
    <x v="4"/>
    <x v="0"/>
  </r>
  <r>
    <s v="ORD-01262"/>
    <x v="192"/>
    <s v="CUST-0165"/>
    <s v="PROD-037"/>
    <x v="21"/>
    <n v="3"/>
    <n v="660"/>
    <n v="3.1"/>
    <n v="1918.62"/>
    <s v="Completed"/>
    <s v="Pune"/>
    <x v="3"/>
    <x v="3"/>
  </r>
  <r>
    <s v="ORD-01263"/>
    <x v="298"/>
    <s v="CUST-0109"/>
    <s v="PROD-002"/>
    <x v="24"/>
    <n v="7"/>
    <n v="2600"/>
    <n v="15.4"/>
    <n v="15397.2"/>
    <s v="Completed"/>
    <s v="Pune"/>
    <x v="4"/>
    <x v="3"/>
  </r>
  <r>
    <s v="ORD-01264"/>
    <x v="45"/>
    <s v="CUST-0155"/>
    <s v="PROD-037"/>
    <x v="15"/>
    <n v="9"/>
    <n v="660"/>
    <n v="23.7"/>
    <n v="4532.22"/>
    <s v="Completed"/>
    <s v="Pune"/>
    <x v="3"/>
    <x v="1"/>
  </r>
  <r>
    <s v="ORD-01265"/>
    <x v="183"/>
    <s v="CUST-0194"/>
    <s v="PROD-023"/>
    <x v="13"/>
    <n v="3"/>
    <n v="2380"/>
    <n v="19.5"/>
    <n v="5747.7"/>
    <s v="Cancelled"/>
    <s v="Delhi"/>
    <x v="2"/>
    <x v="3"/>
  </r>
  <r>
    <s v="ORD-01266"/>
    <x v="207"/>
    <s v="CUST-0084"/>
    <s v="PROD-044"/>
    <x v="9"/>
    <n v="9"/>
    <n v="1650"/>
    <n v="2.5"/>
    <n v="14478.75"/>
    <s v="Completed"/>
    <s v="Chennai"/>
    <x v="5"/>
    <x v="1"/>
  </r>
  <r>
    <s v="ORD-01267"/>
    <x v="181"/>
    <s v="CUST-9684"/>
    <s v="PROD-010"/>
    <x v="3"/>
    <n v="8"/>
    <n v="2640"/>
    <n v="24.4"/>
    <n v="15966.72"/>
    <s v="Completed"/>
    <s v="Mumbai"/>
    <x v="4"/>
    <x v="0"/>
  </r>
  <r>
    <s v="ORD-01268"/>
    <x v="43"/>
    <s v="CUST-0218"/>
    <s v="PROD-023"/>
    <x v="22"/>
    <n v="8"/>
    <n v="2380"/>
    <n v="24.2"/>
    <n v="14432.32"/>
    <s v="Completed"/>
    <s v="Mumbai"/>
    <x v="2"/>
    <x v="1"/>
  </r>
  <r>
    <s v="ORD-01269"/>
    <x v="41"/>
    <s v="CUST-0194"/>
    <s v="PROD-029"/>
    <x v="0"/>
    <n v="10"/>
    <n v="2210"/>
    <n v="3.6"/>
    <n v="21304.400000000001"/>
    <s v="Completed"/>
    <s v="Delhi"/>
    <x v="2"/>
    <x v="0"/>
  </r>
  <r>
    <s v="ORD-01270"/>
    <x v="139"/>
    <s v="CUST-0037"/>
    <s v="PROD-050"/>
    <x v="26"/>
    <n v="9"/>
    <n v="6080"/>
    <n v="17.2"/>
    <n v="45308.160000000003"/>
    <s v="Pending"/>
    <s v="Bengaluru"/>
    <x v="5"/>
    <x v="3"/>
  </r>
  <r>
    <s v="ORD-01271"/>
    <x v="10"/>
    <s v="CUST-0245"/>
    <s v="PROD-054"/>
    <x v="24"/>
    <n v="8"/>
    <n v="1010"/>
    <n v="12.3"/>
    <n v="7086.16"/>
    <s v="Completed"/>
    <s v="Hyderabad"/>
    <x v="1"/>
    <x v="3"/>
  </r>
  <r>
    <s v="ORD-01272"/>
    <x v="329"/>
    <s v="CUST-0266"/>
    <s v="PROD-028"/>
    <x v="23"/>
    <n v="8"/>
    <n v="3660"/>
    <n v="8.4"/>
    <n v="26820.48"/>
    <s v="Completed"/>
    <s v="Pune"/>
    <x v="2"/>
    <x v="1"/>
  </r>
  <r>
    <s v="ORD-01273"/>
    <x v="68"/>
    <s v="CUST-0058"/>
    <s v="PROD-039"/>
    <x v="20"/>
    <n v="8"/>
    <n v="4610"/>
    <n v="15.4"/>
    <n v="31200.48"/>
    <s v="Cancelled"/>
    <s v="Bengaluru"/>
    <x v="3"/>
    <x v="2"/>
  </r>
  <r>
    <s v="ORD-01274"/>
    <x v="283"/>
    <s v="CUST-0058"/>
    <s v="PROD-048"/>
    <x v="3"/>
    <n v="9"/>
    <n v="5100"/>
    <n v="25.2"/>
    <n v="34333.199999999997"/>
    <s v="Cancelled"/>
    <s v="Bengaluru"/>
    <x v="5"/>
    <x v="0"/>
  </r>
  <r>
    <s v="ORD-01275"/>
    <x v="312"/>
    <s v="CUST-0028"/>
    <s v="PROD-045"/>
    <x v="7"/>
    <n v="5"/>
    <n v="3020"/>
    <n v="23"/>
    <n v="11627"/>
    <s v="Completed"/>
    <s v="Bengaluru"/>
    <x v="5"/>
    <x v="3"/>
  </r>
  <r>
    <s v="ORD-01276"/>
    <x v="3"/>
    <s v="CUST-0262"/>
    <s v="PROD-059"/>
    <x v="15"/>
    <n v="8"/>
    <n v="3780"/>
    <n v="17.100000000000001"/>
    <n v="25068.959999999999"/>
    <s v="Completed"/>
    <s v="Mumbai"/>
    <x v="1"/>
    <x v="1"/>
  </r>
  <r>
    <s v="ORD-01277"/>
    <x v="352"/>
    <s v="CUST-0241"/>
    <s v="PROD-029"/>
    <x v="19"/>
    <n v="10"/>
    <n v="2210"/>
    <n v="8.5"/>
    <n v="20221.5"/>
    <s v="Completed"/>
    <s v="Pune"/>
    <x v="2"/>
    <x v="0"/>
  </r>
  <r>
    <s v="ORD-01278"/>
    <x v="117"/>
    <s v="CUST-0109"/>
    <s v="PROD-029"/>
    <x v="15"/>
    <n v="4"/>
    <n v="2210"/>
    <n v="3.1"/>
    <n v="8565.9599999999991"/>
    <s v="Completed"/>
    <s v="Pune"/>
    <x v="2"/>
    <x v="1"/>
  </r>
  <r>
    <s v="ORD-01279"/>
    <x v="326"/>
    <s v="CUST-0228"/>
    <s v="PROD-044"/>
    <x v="15"/>
    <n v="1"/>
    <n v="1650"/>
    <n v="10"/>
    <n v="1485"/>
    <s v="Completed"/>
    <s v="Pune"/>
    <x v="5"/>
    <x v="1"/>
  </r>
  <r>
    <s v="ORD-01280"/>
    <x v="100"/>
    <s v="CUST-0239"/>
    <s v="PROD-060"/>
    <x v="1"/>
    <n v="6"/>
    <n v="190"/>
    <n v="3.5"/>
    <n v="1100.0999999999999"/>
    <s v="Cancelled"/>
    <s v="Mumbai"/>
    <x v="1"/>
    <x v="0"/>
  </r>
  <r>
    <s v="ORD-01281"/>
    <x v="55"/>
    <s v="CUST-0092"/>
    <s v="PROD-055"/>
    <x v="28"/>
    <n v="8"/>
    <n v="2860"/>
    <n v="14.7"/>
    <n v="19516.64"/>
    <s v="Completed"/>
    <s v="Bengaluru"/>
    <x v="1"/>
    <x v="2"/>
  </r>
  <r>
    <s v="ORD-01282"/>
    <x v="120"/>
    <s v="CUST-0283"/>
    <s v="PROD-005"/>
    <x v="14"/>
    <n v="9"/>
    <n v="300"/>
    <n v="19.5"/>
    <n v="2173.5"/>
    <s v="Completed"/>
    <s v="Delhi"/>
    <x v="4"/>
    <x v="2"/>
  </r>
  <r>
    <s v="ORD-01283"/>
    <x v="170"/>
    <s v="CUST-0206"/>
    <s v="PROD-049"/>
    <x v="0"/>
    <n v="10"/>
    <n v="960"/>
    <n v="9.6999999999999993"/>
    <n v="8668.7999999999993"/>
    <s v="Completed"/>
    <s v="Mumbai"/>
    <x v="5"/>
    <x v="0"/>
  </r>
  <r>
    <s v="ORD-01284"/>
    <x v="292"/>
    <s v="CUST-0174"/>
    <s v="PROD-020"/>
    <x v="22"/>
    <n v="5"/>
    <n v="820"/>
    <n v="0.5"/>
    <n v="4079.5"/>
    <s v="Completed"/>
    <s v="Pune"/>
    <x v="0"/>
    <x v="1"/>
  </r>
  <r>
    <s v="ORD-01285"/>
    <x v="266"/>
    <s v="CUST-0040"/>
    <s v="PROD-032"/>
    <x v="10"/>
    <n v="2"/>
    <n v="370"/>
    <n v="10.5"/>
    <n v="662.3"/>
    <s v="Pending"/>
    <s v="Chennai"/>
    <x v="3"/>
    <x v="0"/>
  </r>
  <r>
    <s v="ORD-01286"/>
    <x v="99"/>
    <s v="CUST-0153"/>
    <s v="PROD-038"/>
    <x v="12"/>
    <n v="9"/>
    <n v="5490"/>
    <n v="14.2"/>
    <n v="42393.78"/>
    <s v="Cancelled"/>
    <s v="Mumbai"/>
    <x v="3"/>
    <x v="3"/>
  </r>
  <r>
    <s v="ORD-01287"/>
    <x v="62"/>
    <s v="CUST-0236"/>
    <s v="PROD-032"/>
    <x v="26"/>
    <n v="3"/>
    <n v="370"/>
    <n v="18.399999999999999"/>
    <n v="905.76"/>
    <s v="Completed"/>
    <s v="Hyderabad"/>
    <x v="3"/>
    <x v="3"/>
  </r>
  <r>
    <s v="ORD-01288"/>
    <x v="241"/>
    <s v="CUST-0295"/>
    <s v="PROD-060"/>
    <x v="26"/>
    <n v="6"/>
    <n v="190"/>
    <n v="12.9"/>
    <n v="992.94"/>
    <s v="Completed"/>
    <s v="Delhi"/>
    <x v="1"/>
    <x v="3"/>
  </r>
  <r>
    <s v="ORD-01289"/>
    <x v="245"/>
    <s v="CUST-0145"/>
    <s v="PROD-029"/>
    <x v="12"/>
    <n v="8"/>
    <n v="2210"/>
    <n v="9.8000000000000007"/>
    <n v="15947.36"/>
    <s v="Completed"/>
    <s v="Bengaluru"/>
    <x v="2"/>
    <x v="3"/>
  </r>
  <r>
    <s v="ORD-01290"/>
    <x v="99"/>
    <s v="CUST-0192"/>
    <s v="PROD-044"/>
    <x v="18"/>
    <n v="7"/>
    <n v="1650"/>
    <n v="8.4"/>
    <n v="10579.8"/>
    <s v="Completed"/>
    <s v="Bengaluru"/>
    <x v="5"/>
    <x v="1"/>
  </r>
  <r>
    <s v="ORD-01291"/>
    <x v="353"/>
    <s v="CUST-0148"/>
    <s v="PROD-037"/>
    <x v="22"/>
    <n v="8"/>
    <n v="660"/>
    <n v="7.5"/>
    <n v="4884"/>
    <s v="Completed"/>
    <s v="Chennai"/>
    <x v="3"/>
    <x v="1"/>
  </r>
  <r>
    <s v="ORD-01292"/>
    <x v="128"/>
    <s v="CUST-0227"/>
    <s v="PROD-039"/>
    <x v="10"/>
    <n v="3"/>
    <n v="4610"/>
    <n v="29.6"/>
    <n v="9736.32"/>
    <s v="Completed"/>
    <s v="Bengaluru"/>
    <x v="3"/>
    <x v="0"/>
  </r>
  <r>
    <s v="ORD-01293"/>
    <x v="354"/>
    <s v="CUST-0170"/>
    <s v="PROD-029"/>
    <x v="5"/>
    <n v="6"/>
    <n v="2210"/>
    <n v="9.5"/>
    <n v="12000.3"/>
    <s v="Completed"/>
    <s v="Mumbai"/>
    <x v="2"/>
    <x v="2"/>
  </r>
  <r>
    <s v="ORD-01294"/>
    <x v="80"/>
    <s v="CUST-0102"/>
    <s v="PROD-042"/>
    <x v="21"/>
    <n v="4"/>
    <n v="2290"/>
    <n v="3.3"/>
    <n v="8857.7199999999993"/>
    <s v="Completed"/>
    <s v="Chennai"/>
    <x v="5"/>
    <x v="3"/>
  </r>
  <r>
    <s v="ORD-01295"/>
    <x v="264"/>
    <s v="CUST-0071"/>
    <s v="PROD-040"/>
    <x v="17"/>
    <n v="5"/>
    <n v="1080"/>
    <n v="26.1"/>
    <n v="3990.6"/>
    <s v="Completed"/>
    <s v="Delhi"/>
    <x v="3"/>
    <x v="2"/>
  </r>
  <r>
    <s v="ORD-01296"/>
    <x v="42"/>
    <s v="CUST-0080"/>
    <s v="PROD-057"/>
    <x v="9"/>
    <n v="7"/>
    <n v="960"/>
    <n v="17.7"/>
    <n v="5530.56"/>
    <s v="Completed"/>
    <s v="Pune"/>
    <x v="1"/>
    <x v="1"/>
  </r>
  <r>
    <s v="ORD-01297"/>
    <x v="338"/>
    <s v="CUST-0272"/>
    <s v="PROD-058"/>
    <x v="4"/>
    <n v="1"/>
    <n v="2400"/>
    <n v="29.9"/>
    <n v="1682.4"/>
    <s v="Completed"/>
    <s v="Mumbai"/>
    <x v="1"/>
    <x v="0"/>
  </r>
  <r>
    <s v="ORD-01298"/>
    <x v="184"/>
    <s v="CUST-0076"/>
    <s v="PROD-042"/>
    <x v="9"/>
    <n v="9"/>
    <n v="2290"/>
    <n v="28.8"/>
    <n v="14674.32"/>
    <s v="Completed"/>
    <s v="Mumbai"/>
    <x v="5"/>
    <x v="1"/>
  </r>
  <r>
    <s v="ORD-01299"/>
    <x v="137"/>
    <s v="CUST-0222"/>
    <s v="PROD-040"/>
    <x v="26"/>
    <n v="9"/>
    <n v="1080"/>
    <n v="10.3"/>
    <n v="8718.84"/>
    <s v="Completed"/>
    <s v="Chennai"/>
    <x v="3"/>
    <x v="3"/>
  </r>
  <r>
    <s v="ORD-01300"/>
    <x v="121"/>
    <s v="CUST-0091"/>
    <s v="PROD-035"/>
    <x v="10"/>
    <n v="1"/>
    <n v="1090"/>
    <n v="5.8"/>
    <n v="1026.78"/>
    <s v="Cancelled"/>
    <s v="Delhi"/>
    <x v="3"/>
    <x v="0"/>
  </r>
  <r>
    <s v="ORD-01301"/>
    <x v="9"/>
    <s v="CUST-0126"/>
    <s v="PROD-029"/>
    <x v="26"/>
    <n v="3"/>
    <n v="2210"/>
    <n v="18.2"/>
    <n v="5423.34"/>
    <s v="Pending"/>
    <s v="Mumbai"/>
    <x v="2"/>
    <x v="3"/>
  </r>
  <r>
    <s v="ORD-01302"/>
    <x v="276"/>
    <s v="CUST-0241"/>
    <s v="PROD-014"/>
    <x v="15"/>
    <n v="8"/>
    <n v="3620"/>
    <n v="1.4"/>
    <n v="28554.560000000001"/>
    <s v="Completed"/>
    <s v="Pune"/>
    <x v="0"/>
    <x v="1"/>
  </r>
  <r>
    <s v="ORD-01303"/>
    <x v="107"/>
    <s v="CUST-0118"/>
    <s v="PROD-033"/>
    <x v="23"/>
    <n v="7"/>
    <n v="2030"/>
    <n v="27.7"/>
    <n v="10273.83"/>
    <s v="Completed"/>
    <s v="Hyderabad"/>
    <x v="3"/>
    <x v="1"/>
  </r>
  <r>
    <s v="ORD-01304"/>
    <x v="309"/>
    <s v="CUST-0090"/>
    <s v="PROD-004"/>
    <x v="12"/>
    <n v="1"/>
    <n v="3870"/>
    <n v="29.6"/>
    <n v="2724.48"/>
    <s v="Completed"/>
    <s v="Bengaluru"/>
    <x v="4"/>
    <x v="3"/>
  </r>
  <r>
    <s v="ORD-01305"/>
    <x v="258"/>
    <s v="CUST-0037"/>
    <s v="PROD-003"/>
    <x v="2"/>
    <n v="5"/>
    <n v="3570"/>
    <n v="11.8"/>
    <n v="15743.7"/>
    <s v="Refunded"/>
    <s v="Bengaluru"/>
    <x v="4"/>
    <x v="1"/>
  </r>
  <r>
    <s v="ORD-01306"/>
    <x v="181"/>
    <s v="CUST-0083"/>
    <s v="PROD-001"/>
    <x v="7"/>
    <n v="7"/>
    <n v="5330"/>
    <n v="8.1999999999999993"/>
    <n v="34250.58"/>
    <s v="Completed"/>
    <s v="Bengaluru"/>
    <x v="4"/>
    <x v="3"/>
  </r>
  <r>
    <s v="ORD-01307"/>
    <x v="148"/>
    <s v="CUST-0154"/>
    <s v="PROD-009"/>
    <x v="18"/>
    <n v="5"/>
    <n v="1220"/>
    <n v="17.8"/>
    <n v="5014.2"/>
    <s v="Refunded"/>
    <s v="Pune"/>
    <x v="4"/>
    <x v="1"/>
  </r>
  <r>
    <s v="ORD-01308"/>
    <x v="78"/>
    <s v="CUST-0265"/>
    <s v="PROD-011"/>
    <x v="7"/>
    <n v="7"/>
    <n v="3450"/>
    <n v="29.3"/>
    <n v="17074.05"/>
    <s v="Completed"/>
    <s v="Chennai"/>
    <x v="0"/>
    <x v="3"/>
  </r>
  <r>
    <s v="ORD-01309"/>
    <x v="152"/>
    <s v="CUST-0115"/>
    <s v="PROD-018"/>
    <x v="22"/>
    <n v="6"/>
    <n v="3560"/>
    <n v="9.4"/>
    <n v="19352.16"/>
    <s v="Pending"/>
    <s v="Mumbai"/>
    <x v="0"/>
    <x v="1"/>
  </r>
  <r>
    <s v="ORD-01310"/>
    <x v="217"/>
    <s v="CUST-0274"/>
    <s v="PROD-032"/>
    <x v="1"/>
    <n v="4"/>
    <n v="370"/>
    <n v="4.9000000000000004"/>
    <n v="1407.48"/>
    <s v="Completed"/>
    <s v="Bengaluru"/>
    <x v="3"/>
    <x v="0"/>
  </r>
  <r>
    <s v="ORD-01311"/>
    <x v="262"/>
    <s v="CUST-0269"/>
    <s v="PROD-009"/>
    <x v="11"/>
    <n v="1"/>
    <n v="1220"/>
    <n v="15.2"/>
    <n v="1034.56"/>
    <s v="Completed"/>
    <s v="Pune"/>
    <x v="4"/>
    <x v="0"/>
  </r>
  <r>
    <s v="ORD-01312"/>
    <x v="12"/>
    <s v="CUST-0045"/>
    <s v="PROD-013"/>
    <x v="3"/>
    <n v="3"/>
    <n v="3640"/>
    <n v="12.3"/>
    <n v="9576.84"/>
    <s v="Pending"/>
    <s v="Chennai"/>
    <x v="0"/>
    <x v="0"/>
  </r>
  <r>
    <s v="ORD-01313"/>
    <x v="115"/>
    <s v="CUST-0054"/>
    <s v="PROD-045"/>
    <x v="9"/>
    <n v="8"/>
    <n v="3020"/>
    <n v="28.2"/>
    <n v="17346.88"/>
    <s v="Pending"/>
    <s v="Mumbai"/>
    <x v="5"/>
    <x v="1"/>
  </r>
  <r>
    <s v="ORD-01314"/>
    <x v="277"/>
    <s v="CUST-0160"/>
    <s v="PROD-048"/>
    <x v="4"/>
    <n v="3"/>
    <n v="5100"/>
    <n v="7.8"/>
    <n v="14106.6"/>
    <s v="Completed"/>
    <s v="Hyderabad"/>
    <x v="5"/>
    <x v="0"/>
  </r>
  <r>
    <s v="ORD-01315"/>
    <x v="192"/>
    <s v="CUST-0163"/>
    <s v="PROD-005"/>
    <x v="19"/>
    <n v="9"/>
    <n v="300"/>
    <n v="19"/>
    <n v="2187"/>
    <s v="Completed"/>
    <s v="Pune"/>
    <x v="4"/>
    <x v="0"/>
  </r>
  <r>
    <s v="ORD-01316"/>
    <x v="287"/>
    <s v="CUST-0006"/>
    <s v="PROD-042"/>
    <x v="0"/>
    <n v="10"/>
    <n v="2290"/>
    <n v="27.7"/>
    <n v="16556.7"/>
    <s v="Completed"/>
    <s v="Pune"/>
    <x v="5"/>
    <x v="0"/>
  </r>
  <r>
    <s v="ORD-01317"/>
    <x v="253"/>
    <s v="CUST-0142"/>
    <s v="PROD-013"/>
    <x v="6"/>
    <n v="9"/>
    <n v="3640"/>
    <n v="20.100000000000001"/>
    <n v="26175.24"/>
    <s v="Completed"/>
    <s v="Chennai"/>
    <x v="0"/>
    <x v="2"/>
  </r>
  <r>
    <s v="ORD-01318"/>
    <x v="45"/>
    <s v="CUST-0262"/>
    <s v="PROD-020"/>
    <x v="24"/>
    <n v="4"/>
    <n v="820"/>
    <n v="7.6"/>
    <n v="3030.72"/>
    <s v="Completed"/>
    <s v="Mumbai"/>
    <x v="0"/>
    <x v="3"/>
  </r>
  <r>
    <s v="ORD-01319"/>
    <x v="68"/>
    <s v="CUST-0049"/>
    <s v="PROD-030"/>
    <x v="2"/>
    <n v="1"/>
    <n v="970"/>
    <n v="1.7"/>
    <n v="953.51"/>
    <s v="Completed"/>
    <s v="Mumbai"/>
    <x v="2"/>
    <x v="1"/>
  </r>
  <r>
    <s v="ORD-01320"/>
    <x v="125"/>
    <s v="CUST-0204"/>
    <s v="PROD-018"/>
    <x v="7"/>
    <n v="5"/>
    <n v="3560"/>
    <n v="10.5"/>
    <n v="15931"/>
    <s v="Completed"/>
    <s v="Hyderabad"/>
    <x v="0"/>
    <x v="3"/>
  </r>
  <r>
    <s v="ORD-01321"/>
    <x v="231"/>
    <s v="CUST-0164"/>
    <s v="PROD-035"/>
    <x v="18"/>
    <n v="6"/>
    <n v="1090"/>
    <n v="2.4"/>
    <n v="6383.04"/>
    <s v="Pending"/>
    <s v="Chennai"/>
    <x v="3"/>
    <x v="1"/>
  </r>
  <r>
    <s v="ORD-01322"/>
    <x v="141"/>
    <s v="CUST-0003"/>
    <s v="PROD-008"/>
    <x v="21"/>
    <n v="6"/>
    <n v="2660"/>
    <n v="6.4"/>
    <n v="14938.56"/>
    <s v="Completed"/>
    <s v="Mumbai"/>
    <x v="4"/>
    <x v="3"/>
  </r>
  <r>
    <s v="ORD-01323"/>
    <x v="39"/>
    <s v="CUST-0032"/>
    <s v="PROD-006"/>
    <x v="19"/>
    <n v="5"/>
    <n v="3970"/>
    <n v="18.8"/>
    <n v="16118.2"/>
    <s v="Pending"/>
    <s v="Hyderabad"/>
    <x v="4"/>
    <x v="0"/>
  </r>
  <r>
    <s v="ORD-01324"/>
    <x v="264"/>
    <s v="CUST-0208"/>
    <s v="PROD-056"/>
    <x v="13"/>
    <n v="7"/>
    <n v="6940"/>
    <n v="23.8"/>
    <n v="37017.96"/>
    <s v="Refunded"/>
    <s v="Mumbai"/>
    <x v="1"/>
    <x v="3"/>
  </r>
  <r>
    <s v="ORD-01325"/>
    <x v="227"/>
    <s v="CUST-0183"/>
    <s v="PROD-058"/>
    <x v="10"/>
    <n v="3"/>
    <n v="2400"/>
    <n v="9.8000000000000007"/>
    <n v="6494.4"/>
    <s v="Completed"/>
    <s v="Mumbai"/>
    <x v="1"/>
    <x v="0"/>
  </r>
  <r>
    <s v="ORD-01326"/>
    <x v="183"/>
    <s v="CUST-0021"/>
    <s v="PROD-051"/>
    <x v="12"/>
    <n v="8"/>
    <n v="3450"/>
    <n v="26.6"/>
    <n v="20258.400000000001"/>
    <s v="Cancelled"/>
    <s v="Pune"/>
    <x v="1"/>
    <x v="3"/>
  </r>
  <r>
    <s v="ORD-01327"/>
    <x v="44"/>
    <s v="CUST-0080"/>
    <s v="PROD-009"/>
    <x v="10"/>
    <n v="4"/>
    <n v="1220"/>
    <n v="5.5"/>
    <n v="4611.6000000000004"/>
    <s v="Completed"/>
    <s v="Pune"/>
    <x v="4"/>
    <x v="0"/>
  </r>
  <r>
    <s v="ORD-01328"/>
    <x v="355"/>
    <s v="CUST-0286"/>
    <s v="PROD-016"/>
    <x v="0"/>
    <n v="1"/>
    <n v="620"/>
    <n v="22.3"/>
    <n v="481.74"/>
    <s v="Pending"/>
    <s v="Delhi"/>
    <x v="0"/>
    <x v="0"/>
  </r>
  <r>
    <s v="ORD-01329"/>
    <x v="333"/>
    <s v="CUST-0152"/>
    <s v="PROD-005"/>
    <x v="12"/>
    <n v="1"/>
    <n v="300"/>
    <n v="12.5"/>
    <n v="262.5"/>
    <s v="Completed"/>
    <s v="Bengaluru"/>
    <x v="4"/>
    <x v="3"/>
  </r>
  <r>
    <s v="ORD-01330"/>
    <x v="349"/>
    <s v="CUST-0254"/>
    <s v="PROD-054"/>
    <x v="16"/>
    <n v="3"/>
    <n v="1010"/>
    <n v="14.1"/>
    <n v="2602.77"/>
    <s v="Completed"/>
    <s v="Bengaluru"/>
    <x v="1"/>
    <x v="3"/>
  </r>
  <r>
    <s v="ORD-01331"/>
    <x v="77"/>
    <s v="CUST-0290"/>
    <s v="PROD-034"/>
    <x v="28"/>
    <n v="2"/>
    <n v="5080"/>
    <n v="16.8"/>
    <n v="8453.1200000000008"/>
    <s v="Completed"/>
    <s v="Delhi"/>
    <x v="3"/>
    <x v="2"/>
  </r>
  <r>
    <s v="ORD-01332"/>
    <x v="104"/>
    <s v="CUST-0101"/>
    <s v="PROD-012"/>
    <x v="28"/>
    <n v="2"/>
    <n v="3160"/>
    <n v="21.4"/>
    <n v="4967.5200000000004"/>
    <s v="Completed"/>
    <s v="Hyderabad"/>
    <x v="0"/>
    <x v="2"/>
  </r>
  <r>
    <s v="ORD-01333"/>
    <x v="275"/>
    <s v="CUST-0058"/>
    <s v="PROD-047"/>
    <x v="29"/>
    <n v="7"/>
    <n v="3450"/>
    <n v="21.3"/>
    <n v="19006.05"/>
    <s v="Completed"/>
    <s v="Bengaluru"/>
    <x v="5"/>
    <x v="1"/>
  </r>
  <r>
    <s v="ORD-01334"/>
    <x v="94"/>
    <s v="CUST-0296"/>
    <s v="PROD-001"/>
    <x v="3"/>
    <n v="2"/>
    <n v="5330"/>
    <n v="4.3"/>
    <n v="10201.620000000001"/>
    <s v="Completed"/>
    <s v="Delhi"/>
    <x v="4"/>
    <x v="0"/>
  </r>
  <r>
    <s v="ORD-01335"/>
    <x v="17"/>
    <s v="CUST-0249"/>
    <s v="PROD-056"/>
    <x v="2"/>
    <n v="5"/>
    <n v="6940"/>
    <n v="2.9"/>
    <n v="33693.699999999997"/>
    <s v="Completed"/>
    <s v="Mumbai"/>
    <x v="1"/>
    <x v="1"/>
  </r>
  <r>
    <s v="ORD-01336"/>
    <x v="166"/>
    <s v="CUST-0055"/>
    <s v="PROD-037"/>
    <x v="8"/>
    <n v="5"/>
    <n v="660"/>
    <n v="15.8"/>
    <n v="2778.6"/>
    <s v="Completed"/>
    <s v="Bengaluru"/>
    <x v="3"/>
    <x v="2"/>
  </r>
  <r>
    <s v="ORD-01337"/>
    <x v="281"/>
    <s v="CUST-0005"/>
    <s v="PROD-048"/>
    <x v="22"/>
    <n v="9"/>
    <n v="5100"/>
    <n v="0.4"/>
    <n v="45716.4"/>
    <s v="Completed"/>
    <s v="Chennai"/>
    <x v="5"/>
    <x v="1"/>
  </r>
  <r>
    <s v="ORD-01338"/>
    <x v="162"/>
    <s v="CUST-9595"/>
    <s v="PROD-044"/>
    <x v="2"/>
    <n v="5"/>
    <n v="1650"/>
    <n v="0.8"/>
    <n v="8184"/>
    <s v="Pending"/>
    <s v="Chennai"/>
    <x v="5"/>
    <x v="1"/>
  </r>
  <r>
    <s v="ORD-01339"/>
    <x v="286"/>
    <s v="CUST-0138"/>
    <s v="PROD-013"/>
    <x v="26"/>
    <n v="7"/>
    <n v="3640"/>
    <n v="25.5"/>
    <n v="18982.599999999999"/>
    <s v="Completed"/>
    <s v="Chennai"/>
    <x v="0"/>
    <x v="3"/>
  </r>
  <r>
    <s v="ORD-01340"/>
    <x v="175"/>
    <s v="CUST-0112"/>
    <s v="PROD-046"/>
    <x v="20"/>
    <n v="6"/>
    <n v="4880"/>
    <n v="12.6"/>
    <n v="25590.720000000001"/>
    <s v="Cancelled"/>
    <s v="Hyderabad"/>
    <x v="5"/>
    <x v="2"/>
  </r>
  <r>
    <s v="ORD-01341"/>
    <x v="124"/>
    <s v="CUST-0254"/>
    <s v="PROD-001"/>
    <x v="8"/>
    <n v="4"/>
    <n v="5330"/>
    <n v="16.2"/>
    <n v="17866.16"/>
    <s v="Completed"/>
    <s v="Bengaluru"/>
    <x v="4"/>
    <x v="2"/>
  </r>
  <r>
    <s v="ORD-01342"/>
    <x v="169"/>
    <s v="CUST-0087"/>
    <s v="PROD-038"/>
    <x v="12"/>
    <n v="3"/>
    <n v="5490"/>
    <n v="26.7"/>
    <n v="12072.51"/>
    <s v="Completed"/>
    <s v="Pune"/>
    <x v="3"/>
    <x v="3"/>
  </r>
  <r>
    <s v="ORD-01343"/>
    <x v="148"/>
    <s v="CUST-0142"/>
    <s v="PROD-060"/>
    <x v="25"/>
    <n v="7"/>
    <n v="190"/>
    <n v="11.6"/>
    <n v="1175.72"/>
    <s v="Completed"/>
    <s v="Chennai"/>
    <x v="1"/>
    <x v="0"/>
  </r>
  <r>
    <s v="ORD-01344"/>
    <x v="352"/>
    <s v="CUST-0293"/>
    <s v="PROD-012"/>
    <x v="29"/>
    <n v="5"/>
    <n v="3160"/>
    <n v="24.1"/>
    <n v="11992.2"/>
    <s v="Completed"/>
    <s v="Bengaluru"/>
    <x v="0"/>
    <x v="1"/>
  </r>
  <r>
    <s v="ORD-01345"/>
    <x v="183"/>
    <s v="CUST-0025"/>
    <s v="PROD-035"/>
    <x v="12"/>
    <n v="1"/>
    <n v="1090"/>
    <n v="9.6"/>
    <n v="985.36"/>
    <s v="Refunded"/>
    <s v="Bengaluru"/>
    <x v="3"/>
    <x v="3"/>
  </r>
  <r>
    <s v="ORD-01346"/>
    <x v="130"/>
    <s v="CUST-0096"/>
    <s v="PROD-032"/>
    <x v="10"/>
    <n v="9"/>
    <n v="370"/>
    <n v="4"/>
    <n v="3196.8"/>
    <s v="Completed"/>
    <s v="Delhi"/>
    <x v="3"/>
    <x v="0"/>
  </r>
  <r>
    <s v="ORD-01347"/>
    <x v="212"/>
    <s v="CUST-0069"/>
    <s v="PROD-008"/>
    <x v="25"/>
    <n v="5"/>
    <n v="2660"/>
    <n v="24.6"/>
    <n v="10028.200000000001"/>
    <s v="Cancelled"/>
    <s v="Chennai"/>
    <x v="4"/>
    <x v="0"/>
  </r>
  <r>
    <s v="ORD-01348"/>
    <x v="322"/>
    <s v="CUST-0220"/>
    <s v="PROD-018"/>
    <x v="26"/>
    <n v="4"/>
    <n v="3560"/>
    <n v="25.7"/>
    <n v="10580.32"/>
    <s v="Completed"/>
    <s v="Chennai"/>
    <x v="0"/>
    <x v="3"/>
  </r>
  <r>
    <s v="ORD-01349"/>
    <x v="306"/>
    <s v="CUST-0005"/>
    <s v="PROD-049"/>
    <x v="1"/>
    <n v="8"/>
    <n v="960"/>
    <n v="0.1"/>
    <n v="7672.32"/>
    <s v="Completed"/>
    <s v="Chennai"/>
    <x v="5"/>
    <x v="0"/>
  </r>
  <r>
    <s v="ORD-01350"/>
    <x v="128"/>
    <s v="CUST-0222"/>
    <s v="PROD-032"/>
    <x v="6"/>
    <n v="10"/>
    <n v="370"/>
    <n v="16.399999999999999"/>
    <n v="3093.2"/>
    <s v="Cancelled"/>
    <s v="Chennai"/>
    <x v="3"/>
    <x v="2"/>
  </r>
  <r>
    <s v="ORD-01351"/>
    <x v="342"/>
    <s v="CUST-0039"/>
    <s v="PROD-015"/>
    <x v="20"/>
    <n v="4"/>
    <n v="2720"/>
    <n v="3.1"/>
    <n v="10542.72"/>
    <s v="Completed"/>
    <s v="Bengaluru"/>
    <x v="0"/>
    <x v="2"/>
  </r>
  <r>
    <s v="ORD-01352"/>
    <x v="236"/>
    <s v="CUST-0224"/>
    <s v="PROD-034"/>
    <x v="1"/>
    <n v="10"/>
    <n v="5080"/>
    <n v="6.8"/>
    <n v="47345.599999999999"/>
    <s v="Completed"/>
    <s v="Chennai"/>
    <x v="3"/>
    <x v="0"/>
  </r>
  <r>
    <s v="ORD-01353"/>
    <x v="229"/>
    <s v="CUST-0288"/>
    <s v="PROD-042"/>
    <x v="4"/>
    <n v="6"/>
    <n v="2290"/>
    <n v="22.6"/>
    <n v="10634.76"/>
    <s v="Completed"/>
    <s v="Hyderabad"/>
    <x v="5"/>
    <x v="0"/>
  </r>
  <r>
    <s v="ORD-01354"/>
    <x v="349"/>
    <s v="CUST-0002"/>
    <s v="PROD-021"/>
    <x v="3"/>
    <n v="4"/>
    <n v="2760"/>
    <n v="27.2"/>
    <n v="8037.12"/>
    <s v="Refunded"/>
    <s v="Pune"/>
    <x v="2"/>
    <x v="0"/>
  </r>
  <r>
    <s v="ORD-01355"/>
    <x v="12"/>
    <s v="CUST-0172"/>
    <s v="PROD-024"/>
    <x v="28"/>
    <n v="9"/>
    <n v="2270"/>
    <n v="5.2"/>
    <n v="19367.64"/>
    <s v="Completed"/>
    <s v="Pune"/>
    <x v="2"/>
    <x v="2"/>
  </r>
  <r>
    <s v="ORD-01356"/>
    <x v="66"/>
    <s v="CUST-0287"/>
    <s v="PROD-017"/>
    <x v="4"/>
    <n v="3"/>
    <n v="2510"/>
    <n v="16.399999999999999"/>
    <n v="6295.08"/>
    <s v="Completed"/>
    <s v="Chennai"/>
    <x v="0"/>
    <x v="0"/>
  </r>
  <r>
    <s v="ORD-01357"/>
    <x v="186"/>
    <s v="CUST-0020"/>
    <s v="PROD-023"/>
    <x v="27"/>
    <n v="1"/>
    <n v="2380"/>
    <n v="23.5"/>
    <n v="1820.7"/>
    <s v="Completed"/>
    <s v="Hyderabad"/>
    <x v="2"/>
    <x v="1"/>
  </r>
  <r>
    <s v="ORD-01358"/>
    <x v="130"/>
    <s v="CUST-0039"/>
    <s v="PROD-059"/>
    <x v="7"/>
    <n v="2"/>
    <n v="3780"/>
    <n v="29.1"/>
    <n v="5360.04"/>
    <s v="Completed"/>
    <s v="Bengaluru"/>
    <x v="1"/>
    <x v="3"/>
  </r>
  <r>
    <s v="ORD-01359"/>
    <x v="14"/>
    <s v="CUST-0128"/>
    <s v="PROD-011"/>
    <x v="17"/>
    <n v="1"/>
    <n v="3450"/>
    <n v="17.8"/>
    <n v="2835.9"/>
    <s v="Completed"/>
    <s v="Hyderabad"/>
    <x v="0"/>
    <x v="2"/>
  </r>
  <r>
    <s v="ORD-01360"/>
    <x v="310"/>
    <s v="CUST-0149"/>
    <s v="PROD-046"/>
    <x v="3"/>
    <n v="6"/>
    <n v="4880"/>
    <n v="15.6"/>
    <n v="24712.32"/>
    <s v="Pending"/>
    <s v="Hyderabad"/>
    <x v="5"/>
    <x v="0"/>
  </r>
  <r>
    <s v="ORD-01361"/>
    <x v="273"/>
    <s v="CUST-0101"/>
    <s v="PROD-049"/>
    <x v="29"/>
    <n v="6"/>
    <n v="960"/>
    <n v="7.5"/>
    <n v="5328"/>
    <s v="Pending"/>
    <s v="Hyderabad"/>
    <x v="5"/>
    <x v="1"/>
  </r>
  <r>
    <s v="ORD-01362"/>
    <x v="147"/>
    <s v="CUST-0106"/>
    <s v="PROD-018"/>
    <x v="12"/>
    <n v="1"/>
    <n v="3560"/>
    <n v="12.9"/>
    <n v="3100.76"/>
    <s v="Completed"/>
    <s v="Pune"/>
    <x v="0"/>
    <x v="3"/>
  </r>
  <r>
    <s v="ORD-01363"/>
    <x v="12"/>
    <s v="CUST-0085"/>
    <s v="PROD-025"/>
    <x v="1"/>
    <n v="5"/>
    <n v="4060"/>
    <n v="18.100000000000001"/>
    <n v="16625.7"/>
    <s v="Pending"/>
    <s v="Chennai"/>
    <x v="2"/>
    <x v="0"/>
  </r>
  <r>
    <s v="ORD-01364"/>
    <x v="182"/>
    <s v="CUST-0071"/>
    <s v="PROD-015"/>
    <x v="16"/>
    <n v="10"/>
    <n v="2720"/>
    <n v="23.2"/>
    <n v="20889.599999999999"/>
    <s v="Completed"/>
    <s v="Delhi"/>
    <x v="0"/>
    <x v="3"/>
  </r>
  <r>
    <s v="ORD-01365"/>
    <x v="74"/>
    <s v="CUST-0185"/>
    <s v="PROD-029"/>
    <x v="24"/>
    <n v="1"/>
    <n v="2210"/>
    <n v="5.8"/>
    <n v="2081.8200000000002"/>
    <s v="Pending"/>
    <s v="Hyderabad"/>
    <x v="2"/>
    <x v="3"/>
  </r>
  <r>
    <s v="ORD-01366"/>
    <x v="74"/>
    <s v="CUST-0182"/>
    <s v="PROD-047"/>
    <x v="22"/>
    <n v="5"/>
    <n v="3450"/>
    <n v="27.9"/>
    <n v="12437.25"/>
    <s v="Pending"/>
    <s v="Mumbai"/>
    <x v="5"/>
    <x v="1"/>
  </r>
  <r>
    <s v="ORD-01367"/>
    <x v="269"/>
    <s v="CUST-0177"/>
    <s v="PROD-023"/>
    <x v="12"/>
    <n v="9"/>
    <n v="2380"/>
    <n v="15.2"/>
    <n v="18164.16"/>
    <s v="Refunded"/>
    <s v="Mumbai"/>
    <x v="2"/>
    <x v="3"/>
  </r>
  <r>
    <s v="ORD-01368"/>
    <x v="317"/>
    <s v="CUST-0253"/>
    <s v="PROD-023"/>
    <x v="25"/>
    <n v="2"/>
    <n v="2380"/>
    <n v="24.3"/>
    <n v="3603.32"/>
    <s v="Completed"/>
    <s v="Delhi"/>
    <x v="2"/>
    <x v="0"/>
  </r>
  <r>
    <s v="ORD-01369"/>
    <x v="9"/>
    <s v="CUST-0071"/>
    <s v="PROD-018"/>
    <x v="27"/>
    <n v="9"/>
    <n v="3560"/>
    <n v="6.6"/>
    <n v="29925.360000000001"/>
    <s v="Refunded"/>
    <s v="Delhi"/>
    <x v="0"/>
    <x v="1"/>
  </r>
  <r>
    <s v="ORD-01370"/>
    <x v="259"/>
    <s v="CUST-0240"/>
    <s v="PROD-009"/>
    <x v="26"/>
    <n v="7"/>
    <n v="1220"/>
    <n v="29.4"/>
    <n v="6029.24"/>
    <s v="Completed"/>
    <s v="Chennai"/>
    <x v="4"/>
    <x v="3"/>
  </r>
  <r>
    <s v="ORD-01371"/>
    <x v="9"/>
    <s v="CUST-0050"/>
    <s v="PROD-056"/>
    <x v="21"/>
    <n v="7"/>
    <n v="6940"/>
    <n v="9.6"/>
    <n v="43916.32"/>
    <s v="Completed"/>
    <s v="Mumbai"/>
    <x v="1"/>
    <x v="3"/>
  </r>
  <r>
    <s v="ORD-01372"/>
    <x v="183"/>
    <s v="CUST-0089"/>
    <s v="PROD-035"/>
    <x v="24"/>
    <n v="2"/>
    <n v="1090"/>
    <n v="17"/>
    <n v="1809.4"/>
    <s v="Completed"/>
    <s v="Mumbai"/>
    <x v="3"/>
    <x v="3"/>
  </r>
  <r>
    <s v="ORD-01373"/>
    <x v="97"/>
    <s v="CUST-0209"/>
    <s v="PROD-023"/>
    <x v="8"/>
    <n v="4"/>
    <n v="2380"/>
    <n v="18.899999999999999"/>
    <n v="7720.72"/>
    <s v="Pending"/>
    <s v="Pune"/>
    <x v="2"/>
    <x v="2"/>
  </r>
  <r>
    <s v="ORD-01374"/>
    <x v="344"/>
    <s v="CUST-0089"/>
    <s v="PROD-024"/>
    <x v="10"/>
    <n v="6"/>
    <n v="2270"/>
    <n v="20.9"/>
    <n v="10773.42"/>
    <s v="Pending"/>
    <s v="Mumbai"/>
    <x v="2"/>
    <x v="0"/>
  </r>
  <r>
    <s v="ORD-01375"/>
    <x v="248"/>
    <s v="CUST-0093"/>
    <s v="PROD-033"/>
    <x v="7"/>
    <n v="10"/>
    <n v="2030"/>
    <n v="25"/>
    <n v="15225"/>
    <s v="Completed"/>
    <s v="Pune"/>
    <x v="3"/>
    <x v="3"/>
  </r>
  <r>
    <s v="ORD-01376"/>
    <x v="118"/>
    <s v="CUST-0018"/>
    <s v="PROD-035"/>
    <x v="28"/>
    <n v="3"/>
    <n v="1090"/>
    <n v="12.1"/>
    <n v="2874.33"/>
    <s v="Completed"/>
    <s v="Pune"/>
    <x v="3"/>
    <x v="2"/>
  </r>
  <r>
    <s v="ORD-01377"/>
    <x v="291"/>
    <s v="CUST-0089"/>
    <s v="PROD-017"/>
    <x v="21"/>
    <n v="3"/>
    <n v="2510"/>
    <n v="28.7"/>
    <n v="5368.89"/>
    <s v="Completed"/>
    <s v="Mumbai"/>
    <x v="0"/>
    <x v="3"/>
  </r>
  <r>
    <s v="ORD-01378"/>
    <x v="249"/>
    <s v="CUST-0116"/>
    <s v="PROD-024"/>
    <x v="17"/>
    <n v="9"/>
    <n v="2270"/>
    <n v="25.4"/>
    <n v="15240.78"/>
    <s v="Pending"/>
    <s v="Bengaluru"/>
    <x v="2"/>
    <x v="2"/>
  </r>
  <r>
    <s v="ORD-01379"/>
    <x v="169"/>
    <s v="CUST-0071"/>
    <s v="PROD-006"/>
    <x v="20"/>
    <n v="9"/>
    <n v="3970"/>
    <n v="10.1"/>
    <n v="32121.27"/>
    <s v="Cancelled"/>
    <s v="Delhi"/>
    <x v="4"/>
    <x v="2"/>
  </r>
  <r>
    <s v="ORD-01380"/>
    <x v="23"/>
    <s v="CUST-0115"/>
    <s v="PROD-029"/>
    <x v="2"/>
    <n v="6"/>
    <n v="2210"/>
    <n v="7.4"/>
    <n v="12278.76"/>
    <s v="Completed"/>
    <s v="Mumbai"/>
    <x v="2"/>
    <x v="1"/>
  </r>
  <r>
    <s v="ORD-01381"/>
    <x v="107"/>
    <s v="CUST-0258"/>
    <s v="PROD-041"/>
    <x v="21"/>
    <n v="7"/>
    <n v="1540"/>
    <n v="20.6"/>
    <n v="8559.32"/>
    <s v="Completed"/>
    <s v="Pune"/>
    <x v="5"/>
    <x v="3"/>
  </r>
  <r>
    <s v="ORD-01382"/>
    <x v="323"/>
    <s v="CUST-0290"/>
    <s v="PROD-039"/>
    <x v="28"/>
    <n v="9"/>
    <n v="4610"/>
    <n v="2.1"/>
    <n v="40618.71"/>
    <s v="Completed"/>
    <s v="Delhi"/>
    <x v="3"/>
    <x v="2"/>
  </r>
  <r>
    <s v="ORD-01383"/>
    <x v="159"/>
    <s v="CUST-0279"/>
    <s v="PROD-006"/>
    <x v="25"/>
    <n v="10"/>
    <n v="3970"/>
    <n v="13.3"/>
    <n v="34419.9"/>
    <s v="Pending"/>
    <s v="Mumbai"/>
    <x v="4"/>
    <x v="0"/>
  </r>
  <r>
    <s v="ORD-01384"/>
    <x v="166"/>
    <s v="CUST-0132"/>
    <s v="PROD-008"/>
    <x v="4"/>
    <n v="8"/>
    <n v="2660"/>
    <n v="16.8"/>
    <n v="17704.96"/>
    <s v="Completed"/>
    <s v="Delhi"/>
    <x v="4"/>
    <x v="0"/>
  </r>
  <r>
    <s v="ORD-01385"/>
    <x v="90"/>
    <s v="CUST-0029"/>
    <s v="PROD-047"/>
    <x v="13"/>
    <n v="6"/>
    <n v="3450"/>
    <n v="23.4"/>
    <n v="15856.2"/>
    <s v="Completed"/>
    <s v="Chennai"/>
    <x v="5"/>
    <x v="3"/>
  </r>
  <r>
    <s v="ORD-01386"/>
    <x v="356"/>
    <s v="CUST-0295"/>
    <s v="PROD-053"/>
    <x v="0"/>
    <n v="10"/>
    <n v="470"/>
    <n v="21.2"/>
    <n v="3703.6"/>
    <s v="Completed"/>
    <s v="Delhi"/>
    <x v="1"/>
    <x v="0"/>
  </r>
  <r>
    <s v="ORD-00168"/>
    <x v="323"/>
    <s v="CUST-0106"/>
    <s v="PROD-059"/>
    <x v="24"/>
    <n v="7"/>
    <n v="3780"/>
    <n v="10.1"/>
    <n v="23787.54"/>
    <s v="Completed"/>
    <s v="Pune"/>
    <x v="1"/>
    <x v="3"/>
  </r>
  <r>
    <s v="ORD-01388"/>
    <x v="258"/>
    <s v="CUST-0127"/>
    <s v="PROD-014"/>
    <x v="28"/>
    <n v="3"/>
    <n v="3620"/>
    <n v="4.2"/>
    <n v="10403.879999999999"/>
    <s v="Completed"/>
    <s v="Bengaluru"/>
    <x v="0"/>
    <x v="2"/>
  </r>
  <r>
    <s v="ORD-01389"/>
    <x v="110"/>
    <s v="CUST-0031"/>
    <s v="PROD-049"/>
    <x v="8"/>
    <n v="7"/>
    <n v="960"/>
    <n v="9"/>
    <n v="6115.2"/>
    <s v="Completed"/>
    <s v="Hyderabad"/>
    <x v="5"/>
    <x v="2"/>
  </r>
  <r>
    <s v="ORD-01390"/>
    <x v="112"/>
    <s v="CUST-0256"/>
    <s v="PROD-043"/>
    <x v="0"/>
    <n v="10"/>
    <n v="3350"/>
    <n v="1.2"/>
    <n v="33098"/>
    <s v="Cancelled"/>
    <s v="Hyderabad"/>
    <x v="5"/>
    <x v="0"/>
  </r>
  <r>
    <s v="ORD-01391"/>
    <x v="321"/>
    <s v="CUST-0131"/>
    <s v="PROD-058"/>
    <x v="14"/>
    <n v="3"/>
    <n v="2400"/>
    <n v="15.4"/>
    <n v="6091.2"/>
    <s v="Completed"/>
    <s v="Delhi"/>
    <x v="1"/>
    <x v="2"/>
  </r>
  <r>
    <s v="ORD-01392"/>
    <x v="192"/>
    <s v="CUST-0270"/>
    <s v="PROD-055"/>
    <x v="25"/>
    <n v="2"/>
    <n v="2860"/>
    <n v="10.5"/>
    <n v="5119.3999999999996"/>
    <s v="Completed"/>
    <s v="Bengaluru"/>
    <x v="1"/>
    <x v="0"/>
  </r>
  <r>
    <s v="ORD-01393"/>
    <x v="247"/>
    <s v="CUST-0212"/>
    <s v="PROD-042"/>
    <x v="4"/>
    <n v="4"/>
    <n v="2290"/>
    <n v="5.9"/>
    <n v="8619.56"/>
    <s v="Completed"/>
    <s v="Chennai"/>
    <x v="5"/>
    <x v="0"/>
  </r>
  <r>
    <s v="ORD-01394"/>
    <x v="59"/>
    <s v="CUST-0216"/>
    <s v="PROD-001"/>
    <x v="12"/>
    <n v="7"/>
    <n v="5330"/>
    <n v="3.5"/>
    <n v="36004.15"/>
    <s v="Cancelled"/>
    <s v="Mumbai"/>
    <x v="4"/>
    <x v="3"/>
  </r>
  <r>
    <s v="ORD-01395"/>
    <x v="65"/>
    <s v="CUST-0189"/>
    <s v="PROD-013"/>
    <x v="26"/>
    <n v="10"/>
    <n v="3640"/>
    <n v="20.100000000000001"/>
    <n v="29083.599999999999"/>
    <s v="Completed"/>
    <s v="Chennai"/>
    <x v="0"/>
    <x v="3"/>
  </r>
  <r>
    <s v="ORD-01396"/>
    <x v="142"/>
    <s v="CUST-0064"/>
    <s v="PROD-034"/>
    <x v="6"/>
    <n v="10"/>
    <n v="5080"/>
    <n v="2.1"/>
    <n v="49733.2"/>
    <s v="Completed"/>
    <s v="Hyderabad"/>
    <x v="3"/>
    <x v="2"/>
  </r>
  <r>
    <s v="ORD-01397"/>
    <x v="25"/>
    <s v="CUST-0016"/>
    <s v="PROD-035"/>
    <x v="26"/>
    <n v="4"/>
    <n v="1090"/>
    <n v="18.5"/>
    <n v="3553.4"/>
    <s v="Refunded"/>
    <s v="Delhi"/>
    <x v="3"/>
    <x v="3"/>
  </r>
  <r>
    <s v="ORD-01398"/>
    <x v="218"/>
    <s v="CUST-0296"/>
    <s v="PROD-047"/>
    <x v="14"/>
    <n v="10"/>
    <n v="3450"/>
    <n v="26.5"/>
    <n v="25357.5"/>
    <s v="Refunded"/>
    <s v="Delhi"/>
    <x v="5"/>
    <x v="2"/>
  </r>
  <r>
    <s v="ORD-01399"/>
    <x v="64"/>
    <s v="CUST-0031"/>
    <s v="PROD-052"/>
    <x v="18"/>
    <n v="9"/>
    <n v="5410"/>
    <n v="11.5"/>
    <n v="43090.65"/>
    <s v="Completed"/>
    <s v="Hyderabad"/>
    <x v="1"/>
    <x v="1"/>
  </r>
  <r>
    <s v="ORD-01400"/>
    <x v="338"/>
    <s v="CUST-0207"/>
    <s v="PROD-011"/>
    <x v="14"/>
    <n v="9"/>
    <n v="3450"/>
    <n v="0.3"/>
    <n v="30956.85"/>
    <s v="Refunded"/>
    <s v="Hyderabad"/>
    <x v="0"/>
    <x v="2"/>
  </r>
  <r>
    <s v="ORD-01401"/>
    <x v="105"/>
    <s v="CUST-0165"/>
    <s v="PROD-012"/>
    <x v="5"/>
    <n v="10"/>
    <n v="3160"/>
    <n v="13.6"/>
    <n v="27302.400000000001"/>
    <s v="Completed"/>
    <s v="Pune"/>
    <x v="0"/>
    <x v="2"/>
  </r>
  <r>
    <s v="ORD-01402"/>
    <x v="301"/>
    <s v="CUST-0281"/>
    <s v="PROD-041"/>
    <x v="17"/>
    <n v="3"/>
    <n v="1540"/>
    <n v="21.2"/>
    <n v="3640.56"/>
    <s v="Completed"/>
    <s v="Bengaluru"/>
    <x v="5"/>
    <x v="2"/>
  </r>
  <r>
    <s v="ORD-01403"/>
    <x v="73"/>
    <s v="CUST-0018"/>
    <s v="PROD-013"/>
    <x v="24"/>
    <n v="5"/>
    <n v="3640"/>
    <n v="17.5"/>
    <n v="15015"/>
    <s v="Completed"/>
    <s v="Pune"/>
    <x v="0"/>
    <x v="3"/>
  </r>
  <r>
    <s v="ORD-01404"/>
    <x v="272"/>
    <s v="CUST-0204"/>
    <s v="PROD-059"/>
    <x v="25"/>
    <n v="4"/>
    <n v="3780"/>
    <n v="9"/>
    <n v="13759.2"/>
    <s v="Pending"/>
    <s v="Hyderabad"/>
    <x v="1"/>
    <x v="0"/>
  </r>
  <r>
    <s v="ORD-01405"/>
    <x v="357"/>
    <s v="CUST-0028"/>
    <s v="PROD-015"/>
    <x v="5"/>
    <n v="9"/>
    <n v="2720"/>
    <n v="8.9"/>
    <n v="22301.279999999999"/>
    <s v="Completed"/>
    <s v="Bengaluru"/>
    <x v="0"/>
    <x v="2"/>
  </r>
  <r>
    <s v="ORD-01406"/>
    <x v="83"/>
    <s v="CUST-0144"/>
    <s v="PROD-014"/>
    <x v="10"/>
    <n v="4"/>
    <n v="3620"/>
    <n v="8"/>
    <n v="13321.6"/>
    <s v="Pending"/>
    <s v="Chennai"/>
    <x v="0"/>
    <x v="0"/>
  </r>
  <r>
    <s v="ORD-01407"/>
    <x v="354"/>
    <s v="CUST-0043"/>
    <s v="PROD-011"/>
    <x v="10"/>
    <n v="1"/>
    <n v="3450"/>
    <n v="0.2"/>
    <n v="3443.1"/>
    <s v="Completed"/>
    <s v="Hyderabad"/>
    <x v="0"/>
    <x v="0"/>
  </r>
  <r>
    <s v="ORD-01408"/>
    <x v="93"/>
    <s v="CUST-0246"/>
    <s v="PROD-013"/>
    <x v="2"/>
    <n v="7"/>
    <n v="3640"/>
    <n v="4.5999999999999996"/>
    <n v="24307.919999999998"/>
    <s v="Completed"/>
    <s v="Delhi"/>
    <x v="0"/>
    <x v="1"/>
  </r>
  <r>
    <s v="ORD-01409"/>
    <x v="318"/>
    <s v="CUST-0156"/>
    <s v="PROD-016"/>
    <x v="12"/>
    <n v="9"/>
    <n v="620"/>
    <n v="8.5"/>
    <n v="5105.7"/>
    <s v="Completed"/>
    <s v="Mumbai"/>
    <x v="0"/>
    <x v="3"/>
  </r>
  <r>
    <s v="ORD-01410"/>
    <x v="318"/>
    <s v="CUST-0066"/>
    <s v="PROD-059"/>
    <x v="29"/>
    <n v="10"/>
    <n v="3780"/>
    <n v="5.8"/>
    <n v="35607.599999999999"/>
    <s v="Completed"/>
    <s v="Delhi"/>
    <x v="1"/>
    <x v="1"/>
  </r>
  <r>
    <s v="ORD-01411"/>
    <x v="79"/>
    <s v="CUST-0121"/>
    <s v="PROD-003"/>
    <x v="18"/>
    <n v="7"/>
    <n v="3570"/>
    <n v="26.1"/>
    <n v="18467.61"/>
    <s v="Completed"/>
    <s v="Delhi"/>
    <x v="4"/>
    <x v="1"/>
  </r>
  <r>
    <s v="ORD-01412"/>
    <x v="141"/>
    <s v="CUST-0066"/>
    <s v="PROD-044"/>
    <x v="25"/>
    <n v="2"/>
    <n v="1650"/>
    <n v="3.8"/>
    <n v="3174.6"/>
    <s v="Completed"/>
    <s v="Delhi"/>
    <x v="5"/>
    <x v="0"/>
  </r>
  <r>
    <s v="ORD-01413"/>
    <x v="63"/>
    <s v="CUST-0099"/>
    <s v="PROD-049"/>
    <x v="27"/>
    <n v="2"/>
    <n v="960"/>
    <n v="6.8"/>
    <n v="1789.44"/>
    <s v="Completed"/>
    <s v="Bengaluru"/>
    <x v="5"/>
    <x v="1"/>
  </r>
  <r>
    <s v="ORD-01414"/>
    <x v="351"/>
    <s v="CUST-0054"/>
    <s v="PROD-005"/>
    <x v="3"/>
    <n v="2"/>
    <n v="300"/>
    <n v="2.8"/>
    <n v="583.20000000000005"/>
    <s v="Completed"/>
    <s v="Mumbai"/>
    <x v="4"/>
    <x v="0"/>
  </r>
  <r>
    <s v="ORD-01415"/>
    <x v="230"/>
    <s v="CUST-0124"/>
    <s v="PROD-025"/>
    <x v="28"/>
    <n v="10"/>
    <n v="4060"/>
    <n v="15.1"/>
    <n v="34469.4"/>
    <s v="Completed"/>
    <s v="Pune"/>
    <x v="2"/>
    <x v="2"/>
  </r>
  <r>
    <s v="ORD-01416"/>
    <x v="153"/>
    <s v="CUST-0211"/>
    <s v="PROD-001"/>
    <x v="24"/>
    <n v="6"/>
    <n v="5330"/>
    <n v="2"/>
    <n v="31340.400000000001"/>
    <s v="Completed"/>
    <s v="Bengaluru"/>
    <x v="4"/>
    <x v="3"/>
  </r>
  <r>
    <s v="ORD-01417"/>
    <x v="160"/>
    <s v="CUST-0298"/>
    <s v="PROD-031"/>
    <x v="13"/>
    <n v="9"/>
    <n v="3730"/>
    <n v="24.5"/>
    <n v="25345.35"/>
    <s v="Refunded"/>
    <s v="Delhi"/>
    <x v="3"/>
    <x v="3"/>
  </r>
  <r>
    <s v="ORD-01418"/>
    <x v="4"/>
    <s v="CUST-0164"/>
    <s v="PROD-050"/>
    <x v="14"/>
    <n v="1"/>
    <n v="6080"/>
    <n v="4.4000000000000004"/>
    <n v="5812.48"/>
    <s v="Cancelled"/>
    <s v="Chennai"/>
    <x v="5"/>
    <x v="2"/>
  </r>
  <r>
    <s v="ORD-01419"/>
    <x v="111"/>
    <s v="CUST-0003"/>
    <s v="PROD-015"/>
    <x v="5"/>
    <n v="5"/>
    <n v="2720"/>
    <n v="9.1999999999999993"/>
    <n v="12348.8"/>
    <s v="Completed"/>
    <s v="Mumbai"/>
    <x v="0"/>
    <x v="2"/>
  </r>
  <r>
    <s v="ORD-01420"/>
    <x v="334"/>
    <s v="CUST-0239"/>
    <s v="PROD-011"/>
    <x v="12"/>
    <n v="1"/>
    <n v="3450"/>
    <n v="15.6"/>
    <n v="2911.8"/>
    <s v="Completed"/>
    <s v="Mumbai"/>
    <x v="0"/>
    <x v="3"/>
  </r>
  <r>
    <s v="ORD-01421"/>
    <x v="285"/>
    <s v="CUST-0116"/>
    <s v="PROD-035"/>
    <x v="24"/>
    <n v="2"/>
    <n v="1090"/>
    <n v="0.4"/>
    <n v="2171.2800000000002"/>
    <s v="Refunded"/>
    <s v="Bengaluru"/>
    <x v="3"/>
    <x v="3"/>
  </r>
  <r>
    <s v="ORD-01422"/>
    <x v="175"/>
    <s v="CUST-0232"/>
    <s v="PROD-003"/>
    <x v="21"/>
    <n v="2"/>
    <n v="3570"/>
    <n v="9"/>
    <n v="6497.4"/>
    <s v="Completed"/>
    <s v="Hyderabad"/>
    <x v="4"/>
    <x v="3"/>
  </r>
  <r>
    <s v="ORD-01423"/>
    <x v="352"/>
    <s v="CUST-0121"/>
    <s v="PROD-019"/>
    <x v="2"/>
    <n v="9"/>
    <n v="2480"/>
    <n v="3.6"/>
    <n v="21516.48"/>
    <s v="Pending"/>
    <s v="Delhi"/>
    <x v="0"/>
    <x v="1"/>
  </r>
  <r>
    <s v="ORD-01424"/>
    <x v="291"/>
    <s v="CUST-0178"/>
    <s v="PROD-027"/>
    <x v="24"/>
    <n v="9"/>
    <n v="3780"/>
    <n v="4.5"/>
    <n v="32489.1"/>
    <s v="Completed"/>
    <s v="Hyderabad"/>
    <x v="2"/>
    <x v="3"/>
  </r>
  <r>
    <s v="ORD-01425"/>
    <x v="252"/>
    <s v="CUST-0131"/>
    <s v="PROD-025"/>
    <x v="9"/>
    <n v="5"/>
    <n v="4060"/>
    <n v="2.7"/>
    <n v="19751.900000000001"/>
    <s v="Completed"/>
    <s v="Delhi"/>
    <x v="2"/>
    <x v="1"/>
  </r>
  <r>
    <s v="ORD-01426"/>
    <x v="148"/>
    <s v="CUST-0155"/>
    <s v="PROD-005"/>
    <x v="25"/>
    <n v="8"/>
    <n v="300"/>
    <n v="19.8"/>
    <n v="1924.8"/>
    <s v="Cancelled"/>
    <s v="Pune"/>
    <x v="4"/>
    <x v="0"/>
  </r>
  <r>
    <s v="ORD-01427"/>
    <x v="253"/>
    <s v="CUST-0170"/>
    <s v="PROD-036"/>
    <x v="25"/>
    <n v="10"/>
    <n v="3250"/>
    <n v="21.3"/>
    <n v="25577.5"/>
    <s v="Cancelled"/>
    <s v="Mumbai"/>
    <x v="3"/>
    <x v="0"/>
  </r>
  <r>
    <s v="ORD-01428"/>
    <x v="48"/>
    <s v="CUST-0180"/>
    <s v="PROD-055"/>
    <x v="18"/>
    <n v="2"/>
    <n v="2860"/>
    <n v="13.7"/>
    <n v="4936.3599999999997"/>
    <s v="Completed"/>
    <s v="Chennai"/>
    <x v="1"/>
    <x v="1"/>
  </r>
  <r>
    <s v="ORD-01429"/>
    <x v="271"/>
    <s v="CUST-0066"/>
    <s v="PROD-009"/>
    <x v="21"/>
    <n v="10"/>
    <n v="1220"/>
    <n v="15.4"/>
    <n v="10321.200000000001"/>
    <s v="Completed"/>
    <s v="Delhi"/>
    <x v="4"/>
    <x v="3"/>
  </r>
  <r>
    <s v="ORD-01430"/>
    <x v="96"/>
    <s v="CUST-0267"/>
    <s v="PROD-027"/>
    <x v="9"/>
    <n v="3"/>
    <n v="3780"/>
    <n v="1.9"/>
    <n v="11124.54"/>
    <s v="Completed"/>
    <s v="Hyderabad"/>
    <x v="2"/>
    <x v="1"/>
  </r>
  <r>
    <s v="ORD-01431"/>
    <x v="133"/>
    <s v="CUST-0034"/>
    <s v="PROD-038"/>
    <x v="26"/>
    <n v="6"/>
    <n v="5490"/>
    <n v="0.5"/>
    <n v="32775.300000000003"/>
    <s v="Pending"/>
    <s v="Delhi"/>
    <x v="3"/>
    <x v="3"/>
  </r>
  <r>
    <s v="ORD-01432"/>
    <x v="185"/>
    <s v="CUST-0029"/>
    <s v="PROD-022"/>
    <x v="20"/>
    <n v="6"/>
    <n v="2270"/>
    <n v="21.5"/>
    <n v="10691.7"/>
    <s v="Completed"/>
    <s v="Chennai"/>
    <x v="2"/>
    <x v="2"/>
  </r>
  <r>
    <s v="ORD-01433"/>
    <x v="77"/>
    <s v="CUST-0224"/>
    <s v="PROD-029"/>
    <x v="12"/>
    <n v="7"/>
    <n v="2210"/>
    <n v="10.3"/>
    <n v="13876.59"/>
    <s v="Completed"/>
    <s v="Chennai"/>
    <x v="2"/>
    <x v="3"/>
  </r>
  <r>
    <s v="ORD-01434"/>
    <x v="150"/>
    <s v="CUST-9889"/>
    <s v="PROD-035"/>
    <x v="18"/>
    <n v="8"/>
    <n v="1090"/>
    <n v="21.7"/>
    <n v="6827.76"/>
    <s v="Completed"/>
    <s v="Pune"/>
    <x v="3"/>
    <x v="1"/>
  </r>
  <r>
    <s v="ORD-01435"/>
    <x v="311"/>
    <s v="CUST-0130"/>
    <s v="PROD-018"/>
    <x v="25"/>
    <n v="5"/>
    <n v="3560"/>
    <n v="19.399999999999999"/>
    <n v="14346.8"/>
    <s v="Pending"/>
    <s v="Bengaluru"/>
    <x v="0"/>
    <x v="0"/>
  </r>
  <r>
    <s v="ORD-01436"/>
    <x v="358"/>
    <s v="CUST-0060"/>
    <s v="PROD-054"/>
    <x v="8"/>
    <n v="7"/>
    <n v="1010"/>
    <n v="28.2"/>
    <n v="5076.26"/>
    <s v="Completed"/>
    <s v="Pune"/>
    <x v="1"/>
    <x v="2"/>
  </r>
  <r>
    <s v="ORD-01437"/>
    <x v="19"/>
    <s v="CUST-0299"/>
    <s v="PROD-033"/>
    <x v="15"/>
    <n v="2"/>
    <n v="2030"/>
    <n v="27.3"/>
    <n v="2951.62"/>
    <s v="Refunded"/>
    <s v="Mumbai"/>
    <x v="3"/>
    <x v="1"/>
  </r>
  <r>
    <s v="ORD-01438"/>
    <x v="154"/>
    <s v="CUST-0013"/>
    <s v="PROD-001"/>
    <x v="27"/>
    <n v="6"/>
    <n v="5330"/>
    <n v="0.6"/>
    <n v="31788.12"/>
    <s v="Completed"/>
    <s v="Delhi"/>
    <x v="4"/>
    <x v="1"/>
  </r>
  <r>
    <s v="ORD-01439"/>
    <x v="282"/>
    <s v="CUST-0193"/>
    <s v="PROD-010"/>
    <x v="0"/>
    <n v="2"/>
    <n v="2640"/>
    <n v="26"/>
    <n v="3907.2"/>
    <s v="Pending"/>
    <s v="Bengaluru"/>
    <x v="4"/>
    <x v="0"/>
  </r>
  <r>
    <s v="ORD-01440"/>
    <x v="130"/>
    <s v="CUST-0170"/>
    <s v="PROD-008"/>
    <x v="27"/>
    <n v="8"/>
    <n v="2660"/>
    <n v="2.9"/>
    <n v="20662.88"/>
    <s v="Completed"/>
    <s v="Mumbai"/>
    <x v="4"/>
    <x v="1"/>
  </r>
  <r>
    <s v="ORD-01441"/>
    <x v="69"/>
    <s v="CUST-0063"/>
    <s v="PROD-036"/>
    <x v="12"/>
    <n v="6"/>
    <n v="3250"/>
    <n v="11.1"/>
    <n v="17335.5"/>
    <s v="Completed"/>
    <s v="Mumbai"/>
    <x v="3"/>
    <x v="3"/>
  </r>
  <r>
    <s v="ORD-01442"/>
    <x v="246"/>
    <s v="CUST-0168"/>
    <s v="PROD-029"/>
    <x v="10"/>
    <n v="1"/>
    <n v="2210"/>
    <n v="3.5"/>
    <n v="2132.65"/>
    <s v="Completed"/>
    <s v="Pune"/>
    <x v="2"/>
    <x v="0"/>
  </r>
  <r>
    <s v="ORD-01443"/>
    <x v="39"/>
    <s v="CUST-0124"/>
    <s v="PROD-032"/>
    <x v="7"/>
    <n v="9"/>
    <n v="370"/>
    <n v="12.4"/>
    <n v="2917.08"/>
    <s v="Completed"/>
    <s v="Pune"/>
    <x v="3"/>
    <x v="3"/>
  </r>
  <r>
    <s v="ORD-01444"/>
    <x v="99"/>
    <s v="CUST-0138"/>
    <s v="PROD-059"/>
    <x v="24"/>
    <n v="3"/>
    <n v="3780"/>
    <n v="8.5"/>
    <n v="10376.1"/>
    <s v="Pending"/>
    <s v="Chennai"/>
    <x v="1"/>
    <x v="3"/>
  </r>
  <r>
    <s v="ORD-01445"/>
    <x v="245"/>
    <s v="CUST-0146"/>
    <s v="PROD-054"/>
    <x v="25"/>
    <n v="2"/>
    <n v="1010"/>
    <n v="2.7"/>
    <n v="1965.46"/>
    <s v="Completed"/>
    <s v="Hyderabad"/>
    <x v="1"/>
    <x v="0"/>
  </r>
  <r>
    <s v="ORD-01446"/>
    <x v="167"/>
    <s v="CUST-0244"/>
    <s v="PROD-020"/>
    <x v="27"/>
    <n v="2"/>
    <n v="820"/>
    <n v="13.2"/>
    <n v="1423.52"/>
    <s v="Pending"/>
    <s v="Bengaluru"/>
    <x v="0"/>
    <x v="1"/>
  </r>
  <r>
    <s v="ORD-01447"/>
    <x v="337"/>
    <s v="CUST-0291"/>
    <s v="PROD-028"/>
    <x v="27"/>
    <n v="1"/>
    <n v="3660"/>
    <n v="14"/>
    <n v="3147.6"/>
    <s v="Refunded"/>
    <s v="Pune"/>
    <x v="2"/>
    <x v="1"/>
  </r>
  <r>
    <s v="ORD-01448"/>
    <x v="130"/>
    <s v="CUST-0222"/>
    <s v="PROD-022"/>
    <x v="21"/>
    <n v="6"/>
    <n v="2270"/>
    <n v="16"/>
    <n v="11440.8"/>
    <s v="Completed"/>
    <s v="Chennai"/>
    <x v="2"/>
    <x v="3"/>
  </r>
  <r>
    <s v="ORD-01449"/>
    <x v="311"/>
    <s v="CUST-0137"/>
    <s v="PROD-049"/>
    <x v="7"/>
    <n v="7"/>
    <n v="960"/>
    <n v="28.8"/>
    <n v="4784.6400000000003"/>
    <s v="Refunded"/>
    <s v="Mumbai"/>
    <x v="5"/>
    <x v="3"/>
  </r>
  <r>
    <s v="ORD-01450"/>
    <x v="218"/>
    <s v="CUST-0150"/>
    <s v="PROD-033"/>
    <x v="5"/>
    <n v="9"/>
    <n v="2030"/>
    <n v="3.4"/>
    <n v="17648.82"/>
    <s v="Completed"/>
    <s v="Pune"/>
    <x v="3"/>
    <x v="2"/>
  </r>
  <r>
    <s v="ORD-01451"/>
    <x v="193"/>
    <s v="CUST-0058"/>
    <s v="PROD-023"/>
    <x v="1"/>
    <n v="6"/>
    <n v="2380"/>
    <n v="13.2"/>
    <n v="12395.04"/>
    <s v="Completed"/>
    <s v="Bengaluru"/>
    <x v="2"/>
    <x v="0"/>
  </r>
  <r>
    <s v="ORD-01452"/>
    <x v="231"/>
    <s v="CUST-0187"/>
    <s v="PROD-047"/>
    <x v="18"/>
    <n v="10"/>
    <n v="3450"/>
    <n v="8.6999999999999993"/>
    <n v="31498.5"/>
    <s v="Completed"/>
    <s v="Chennai"/>
    <x v="5"/>
    <x v="1"/>
  </r>
  <r>
    <s v="ORD-01453"/>
    <x v="173"/>
    <s v="CUST-0116"/>
    <s v="PROD-049"/>
    <x v="13"/>
    <n v="6"/>
    <n v="960"/>
    <n v="20.6"/>
    <n v="4573.4399999999996"/>
    <s v="Pending"/>
    <s v="Bengaluru"/>
    <x v="5"/>
    <x v="3"/>
  </r>
  <r>
    <s v="ORD-01454"/>
    <x v="123"/>
    <s v="CUST-0290"/>
    <s v="PROD-018"/>
    <x v="22"/>
    <n v="10"/>
    <n v="3560"/>
    <n v="1.4"/>
    <n v="35101.599999999999"/>
    <s v="Pending"/>
    <s v="Delhi"/>
    <x v="0"/>
    <x v="1"/>
  </r>
  <r>
    <s v="ORD-01455"/>
    <x v="20"/>
    <s v="CUST-0053"/>
    <s v="PROD-015"/>
    <x v="2"/>
    <n v="4"/>
    <n v="2720"/>
    <n v="19.399999999999999"/>
    <n v="8769.2800000000007"/>
    <s v="Refunded"/>
    <s v="Delhi"/>
    <x v="0"/>
    <x v="1"/>
  </r>
  <r>
    <s v="ORD-01456"/>
    <x v="86"/>
    <s v="CUST-0044"/>
    <s v="PROD-009"/>
    <x v="20"/>
    <n v="5"/>
    <n v="1220"/>
    <n v="15.6"/>
    <n v="5148.3999999999996"/>
    <s v="Completed"/>
    <s v="Hyderabad"/>
    <x v="4"/>
    <x v="2"/>
  </r>
  <r>
    <s v="ORD-01457"/>
    <x v="234"/>
    <s v="CUST-0267"/>
    <s v="PROD-035"/>
    <x v="17"/>
    <n v="5"/>
    <n v="1090"/>
    <n v="15"/>
    <n v="4632.5"/>
    <s v="Completed"/>
    <s v="Hyderabad"/>
    <x v="3"/>
    <x v="2"/>
  </r>
  <r>
    <s v="ORD-01458"/>
    <x v="221"/>
    <s v="CUST-0179"/>
    <s v="PROD-032"/>
    <x v="20"/>
    <n v="9"/>
    <n v="370"/>
    <n v="25.4"/>
    <n v="2484.1799999999998"/>
    <s v="Completed"/>
    <s v="Mumbai"/>
    <x v="3"/>
    <x v="2"/>
  </r>
  <r>
    <s v="ORD-01459"/>
    <x v="145"/>
    <s v="CUST-0089"/>
    <s v="PROD-055"/>
    <x v="0"/>
    <n v="7"/>
    <n v="2860"/>
    <n v="14"/>
    <n v="17217.2"/>
    <s v="Completed"/>
    <s v="Mumbai"/>
    <x v="1"/>
    <x v="0"/>
  </r>
  <r>
    <s v="ORD-01460"/>
    <x v="156"/>
    <s v="CUST-0090"/>
    <s v="PROD-029"/>
    <x v="17"/>
    <n v="1"/>
    <n v="2210"/>
    <n v="1.7"/>
    <n v="2172.4299999999998"/>
    <s v="Completed"/>
    <s v="Bengaluru"/>
    <x v="2"/>
    <x v="2"/>
  </r>
  <r>
    <s v="ORD-01461"/>
    <x v="241"/>
    <s v="CUST-0135"/>
    <s v="PROD-030"/>
    <x v="5"/>
    <n v="3"/>
    <n v="970"/>
    <n v="20.3"/>
    <n v="2319.27"/>
    <s v="Pending"/>
    <s v="Pune"/>
    <x v="2"/>
    <x v="2"/>
  </r>
  <r>
    <s v="ORD-01462"/>
    <x v="233"/>
    <s v="CUST-0252"/>
    <s v="PROD-018"/>
    <x v="13"/>
    <n v="5"/>
    <n v="3560"/>
    <n v="17.100000000000001"/>
    <n v="14756.2"/>
    <s v="Completed"/>
    <s v="Bengaluru"/>
    <x v="0"/>
    <x v="3"/>
  </r>
  <r>
    <s v="ORD-01463"/>
    <x v="244"/>
    <s v="CUST-0086"/>
    <s v="PROD-040"/>
    <x v="12"/>
    <n v="10"/>
    <n v="1080"/>
    <n v="12.8"/>
    <n v="9417.6"/>
    <s v="Completed"/>
    <s v="Hyderabad"/>
    <x v="3"/>
    <x v="3"/>
  </r>
  <r>
    <s v="ORD-01464"/>
    <x v="258"/>
    <s v="CUST-0264"/>
    <s v="PROD-009"/>
    <x v="23"/>
    <n v="3"/>
    <n v="1220"/>
    <n v="1.9"/>
    <n v="3590.46"/>
    <s v="Completed"/>
    <s v="Pune"/>
    <x v="4"/>
    <x v="1"/>
  </r>
  <r>
    <s v="ORD-01465"/>
    <x v="319"/>
    <s v="CUST-9851"/>
    <s v="PROD-031"/>
    <x v="18"/>
    <n v="1"/>
    <n v="3730"/>
    <n v="14.7"/>
    <n v="3181.69"/>
    <s v="Pending"/>
    <s v="Pune"/>
    <x v="3"/>
    <x v="1"/>
  </r>
  <r>
    <s v="ORD-01466"/>
    <x v="108"/>
    <s v="CUST-0143"/>
    <s v="PROD-007"/>
    <x v="19"/>
    <n v="3"/>
    <n v="1430"/>
    <n v="13.2"/>
    <n v="3723.72"/>
    <s v="Completed"/>
    <s v="Chennai"/>
    <x v="4"/>
    <x v="0"/>
  </r>
  <r>
    <s v="ORD-01467"/>
    <x v="3"/>
    <s v="CUST-0086"/>
    <s v="PROD-050"/>
    <x v="26"/>
    <n v="2"/>
    <n v="6080"/>
    <n v="21.8"/>
    <n v="9509.1200000000008"/>
    <s v="Cancelled"/>
    <s v="Hyderabad"/>
    <x v="5"/>
    <x v="3"/>
  </r>
  <r>
    <s v="ORD-01468"/>
    <x v="30"/>
    <s v="CUST-0196"/>
    <s v="PROD-048"/>
    <x v="15"/>
    <n v="9"/>
    <n v="5100"/>
    <n v="29.3"/>
    <n v="32451.3"/>
    <s v="Completed"/>
    <s v="Chennai"/>
    <x v="5"/>
    <x v="1"/>
  </r>
  <r>
    <s v="ORD-01469"/>
    <x v="75"/>
    <s v="CUST-0089"/>
    <s v="PROD-011"/>
    <x v="2"/>
    <n v="5"/>
    <n v="3450"/>
    <n v="5.3"/>
    <n v="16335.75"/>
    <s v="Completed"/>
    <s v="Mumbai"/>
    <x v="0"/>
    <x v="1"/>
  </r>
  <r>
    <s v="ORD-01470"/>
    <x v="215"/>
    <s v="CUST-0149"/>
    <s v="PROD-003"/>
    <x v="25"/>
    <n v="6"/>
    <n v="3570"/>
    <n v="17.3"/>
    <n v="17714.34"/>
    <s v="Completed"/>
    <s v="Hyderabad"/>
    <x v="4"/>
    <x v="0"/>
  </r>
  <r>
    <s v="ORD-01471"/>
    <x v="328"/>
    <s v="CUST-0161"/>
    <s v="PROD-031"/>
    <x v="26"/>
    <n v="6"/>
    <n v="3730"/>
    <n v="1"/>
    <n v="22156.2"/>
    <s v="Completed"/>
    <s v="Chennai"/>
    <x v="3"/>
    <x v="3"/>
  </r>
  <r>
    <s v="ORD-01472"/>
    <x v="182"/>
    <s v="CUST-0022"/>
    <s v="PROD-059"/>
    <x v="7"/>
    <n v="4"/>
    <n v="3780"/>
    <n v="13.1"/>
    <n v="13139.28"/>
    <s v="Completed"/>
    <s v="Bengaluru"/>
    <x v="1"/>
    <x v="3"/>
  </r>
  <r>
    <s v="ORD-01473"/>
    <x v="187"/>
    <s v="CUST-0169"/>
    <s v="PROD-017"/>
    <x v="23"/>
    <n v="1"/>
    <n v="2510"/>
    <n v="27.8"/>
    <n v="1812.22"/>
    <s v="Cancelled"/>
    <s v="Bengaluru"/>
    <x v="0"/>
    <x v="1"/>
  </r>
  <r>
    <s v="ORD-01474"/>
    <x v="251"/>
    <s v="CUST-0290"/>
    <s v="PROD-037"/>
    <x v="0"/>
    <n v="9"/>
    <n v="660"/>
    <n v="29.3"/>
    <n v="4199.58"/>
    <s v="Completed"/>
    <s v="Delhi"/>
    <x v="3"/>
    <x v="0"/>
  </r>
  <r>
    <s v="ORD-01475"/>
    <x v="11"/>
    <s v="CUST-0156"/>
    <s v="PROD-013"/>
    <x v="14"/>
    <n v="7"/>
    <n v="3640"/>
    <n v="11.6"/>
    <n v="22524.32"/>
    <s v="Completed"/>
    <s v="Mumbai"/>
    <x v="0"/>
    <x v="2"/>
  </r>
  <r>
    <s v="ORD-01476"/>
    <x v="209"/>
    <s v="CUST-0005"/>
    <s v="PROD-052"/>
    <x v="7"/>
    <n v="8"/>
    <n v="5410"/>
    <n v="25.6"/>
    <n v="32200.32"/>
    <s v="Completed"/>
    <s v="Chennai"/>
    <x v="1"/>
    <x v="3"/>
  </r>
  <r>
    <s v="ORD-01477"/>
    <x v="305"/>
    <s v="CUST-0206"/>
    <s v="PROD-058"/>
    <x v="4"/>
    <n v="4"/>
    <n v="2400"/>
    <n v="10.4"/>
    <n v="8601.6"/>
    <s v="Completed"/>
    <s v="Mumbai"/>
    <x v="1"/>
    <x v="0"/>
  </r>
  <r>
    <s v="ORD-01478"/>
    <x v="144"/>
    <s v="CUST-0240"/>
    <s v="PROD-038"/>
    <x v="8"/>
    <n v="2"/>
    <n v="5490"/>
    <n v="5.4"/>
    <n v="10387.08"/>
    <s v="Completed"/>
    <s v="Chennai"/>
    <x v="3"/>
    <x v="2"/>
  </r>
  <r>
    <s v="ORD-01479"/>
    <x v="340"/>
    <s v="CUST-0109"/>
    <s v="PROD-041"/>
    <x v="29"/>
    <n v="6"/>
    <n v="1540"/>
    <n v="0.6"/>
    <n v="9184.56"/>
    <s v="Completed"/>
    <s v="Pune"/>
    <x v="5"/>
    <x v="1"/>
  </r>
  <r>
    <s v="ORD-01480"/>
    <x v="30"/>
    <s v="CUST-0201"/>
    <s v="PROD-001"/>
    <x v="19"/>
    <n v="3"/>
    <n v="5330"/>
    <n v="1"/>
    <n v="15830.1"/>
    <s v="Pending"/>
    <s v="Hyderabad"/>
    <x v="4"/>
    <x v="0"/>
  </r>
  <r>
    <s v="ORD-01481"/>
    <x v="190"/>
    <s v="CUST-0100"/>
    <s v="PROD-055"/>
    <x v="27"/>
    <n v="6"/>
    <n v="2860"/>
    <n v="13.3"/>
    <n v="14877.72"/>
    <s v="Completed"/>
    <s v="Hyderabad"/>
    <x v="1"/>
    <x v="1"/>
  </r>
  <r>
    <s v="ORD-01482"/>
    <x v="359"/>
    <s v="CUST-0262"/>
    <s v="PROD-046"/>
    <x v="3"/>
    <n v="3"/>
    <n v="4880"/>
    <n v="12.1"/>
    <n v="12868.56"/>
    <s v="Completed"/>
    <s v="Mumbai"/>
    <x v="5"/>
    <x v="0"/>
  </r>
  <r>
    <s v="ORD-01483"/>
    <x v="177"/>
    <s v="CUST-0067"/>
    <s v="PROD-017"/>
    <x v="1"/>
    <n v="5"/>
    <n v="2510"/>
    <n v="2.9"/>
    <n v="12186.05"/>
    <s v="Pending"/>
    <s v="Delhi"/>
    <x v="0"/>
    <x v="0"/>
  </r>
  <r>
    <s v="ORD-01484"/>
    <x v="283"/>
    <s v="CUST-9844"/>
    <s v="PROD-006"/>
    <x v="16"/>
    <n v="9"/>
    <n v="3970"/>
    <n v="28"/>
    <n v="25725.599999999999"/>
    <s v="Completed"/>
    <s v="Pune"/>
    <x v="4"/>
    <x v="3"/>
  </r>
  <r>
    <s v="ORD-01485"/>
    <x v="106"/>
    <s v="CUST-0122"/>
    <s v="PROD-053"/>
    <x v="28"/>
    <n v="4"/>
    <n v="470"/>
    <n v="19.100000000000001"/>
    <n v="1520.92"/>
    <s v="Pending"/>
    <s v="Mumbai"/>
    <x v="1"/>
    <x v="2"/>
  </r>
  <r>
    <s v="ORD-01486"/>
    <x v="269"/>
    <s v="CUST-0129"/>
    <s v="PROD-001"/>
    <x v="5"/>
    <n v="7"/>
    <n v="5330"/>
    <n v="17.2"/>
    <n v="30892.68"/>
    <s v="Cancelled"/>
    <s v="Hyderabad"/>
    <x v="4"/>
    <x v="2"/>
  </r>
  <r>
    <s v="ORD-01487"/>
    <x v="187"/>
    <s v="CUST-0056"/>
    <s v="PROD-035"/>
    <x v="27"/>
    <n v="4"/>
    <n v="1090"/>
    <n v="4.9000000000000004"/>
    <n v="4146.3599999999997"/>
    <s v="Cancelled"/>
    <s v="Bengaluru"/>
    <x v="3"/>
    <x v="1"/>
  </r>
  <r>
    <s v="ORD-01488"/>
    <x v="145"/>
    <s v="CUST-0080"/>
    <s v="PROD-054"/>
    <x v="18"/>
    <n v="2"/>
    <n v="1010"/>
    <n v="14"/>
    <n v="1737.2"/>
    <s v="Completed"/>
    <s v="Pune"/>
    <x v="1"/>
    <x v="1"/>
  </r>
  <r>
    <s v="ORD-01489"/>
    <x v="30"/>
    <s v="CUST-0155"/>
    <s v="PROD-004"/>
    <x v="29"/>
    <n v="9"/>
    <n v="3870"/>
    <n v="8.1999999999999993"/>
    <n v="31973.94"/>
    <s v="Completed"/>
    <s v="Pune"/>
    <x v="4"/>
    <x v="1"/>
  </r>
  <r>
    <s v="ORD-01490"/>
    <x v="304"/>
    <s v="CUST-0278"/>
    <s v="PROD-008"/>
    <x v="22"/>
    <n v="7"/>
    <n v="2660"/>
    <n v="15.9"/>
    <n v="15659.42"/>
    <s v="Completed"/>
    <s v="Hyderabad"/>
    <x v="4"/>
    <x v="1"/>
  </r>
  <r>
    <s v="ORD-01491"/>
    <x v="204"/>
    <s v="CUST-0075"/>
    <s v="PROD-007"/>
    <x v="7"/>
    <n v="4"/>
    <n v="1430"/>
    <n v="25.6"/>
    <n v="4255.68"/>
    <s v="Completed"/>
    <s v="Mumbai"/>
    <x v="4"/>
    <x v="3"/>
  </r>
  <r>
    <s v="ORD-01492"/>
    <x v="163"/>
    <s v="CUST-0274"/>
    <s v="PROD-046"/>
    <x v="12"/>
    <n v="4"/>
    <n v="4880"/>
    <n v="19.399999999999999"/>
    <n v="15733.12"/>
    <s v="Cancelled"/>
    <s v="Bengaluru"/>
    <x v="5"/>
    <x v="3"/>
  </r>
  <r>
    <s v="ORD-01493"/>
    <x v="286"/>
    <s v="CUST-0197"/>
    <s v="PROD-060"/>
    <x v="19"/>
    <n v="2"/>
    <n v="190"/>
    <n v="9"/>
    <n v="345.8"/>
    <s v="Completed"/>
    <s v="Bengaluru"/>
    <x v="1"/>
    <x v="0"/>
  </r>
  <r>
    <s v="ORD-01494"/>
    <x v="209"/>
    <s v="CUST-0294"/>
    <s v="PROD-045"/>
    <x v="7"/>
    <n v="1"/>
    <n v="3020"/>
    <n v="3.6"/>
    <n v="2911.28"/>
    <s v="Refunded"/>
    <s v="Delhi"/>
    <x v="5"/>
    <x v="3"/>
  </r>
  <r>
    <s v="ORD-01495"/>
    <x v="131"/>
    <s v="CUST-0281"/>
    <s v="PROD-046"/>
    <x v="7"/>
    <n v="2"/>
    <n v="4880"/>
    <n v="2"/>
    <n v="9564.7999999999993"/>
    <s v="Cancelled"/>
    <s v="Bengaluru"/>
    <x v="5"/>
    <x v="3"/>
  </r>
  <r>
    <s v="ORD-01496"/>
    <x v="158"/>
    <s v="CUST-0130"/>
    <s v="PROD-058"/>
    <x v="28"/>
    <n v="4"/>
    <n v="2400"/>
    <n v="11.5"/>
    <n v="8496"/>
    <s v="Completed"/>
    <s v="Bengaluru"/>
    <x v="1"/>
    <x v="2"/>
  </r>
  <r>
    <s v="ORD-01497"/>
    <x v="298"/>
    <s v="CUST-0097"/>
    <s v="PROD-050"/>
    <x v="25"/>
    <n v="2"/>
    <n v="6080"/>
    <n v="0.5"/>
    <n v="12099.2"/>
    <s v="Cancelled"/>
    <s v="Mumbai"/>
    <x v="5"/>
    <x v="0"/>
  </r>
  <r>
    <s v="ORD-01498"/>
    <x v="360"/>
    <s v="CUST-0148"/>
    <s v="PROD-023"/>
    <x v="12"/>
    <n v="7"/>
    <n v="2380"/>
    <n v="12.3"/>
    <n v="14610.82"/>
    <s v="Completed"/>
    <s v="Chennai"/>
    <x v="2"/>
    <x v="3"/>
  </r>
  <r>
    <s v="ORD-01499"/>
    <x v="89"/>
    <s v="CUST-0102"/>
    <s v="PROD-041"/>
    <x v="19"/>
    <n v="10"/>
    <n v="1540"/>
    <n v="20.6"/>
    <n v="12227.6"/>
    <s v="Completed"/>
    <s v="Chennai"/>
    <x v="5"/>
    <x v="0"/>
  </r>
  <r>
    <s v="ORD-01500"/>
    <x v="226"/>
    <s v="CUST-0265"/>
    <s v="PROD-004"/>
    <x v="8"/>
    <n v="7"/>
    <n v="3870"/>
    <n v="6.1"/>
    <n v="25437.51"/>
    <s v="Completed"/>
    <s v="Chennai"/>
    <x v="4"/>
    <x v="2"/>
  </r>
  <r>
    <s v="ORD-01501"/>
    <x v="266"/>
    <s v="CUST-0073"/>
    <s v="PROD-032"/>
    <x v="13"/>
    <n v="3"/>
    <n v="370"/>
    <n v="13.7"/>
    <n v="957.93"/>
    <s v="Completed"/>
    <s v="Pune"/>
    <x v="3"/>
    <x v="3"/>
  </r>
  <r>
    <s v="ORD-01502"/>
    <x v="60"/>
    <s v="CUST-0070"/>
    <s v="PROD-060"/>
    <x v="28"/>
    <n v="8"/>
    <n v="190"/>
    <n v="0.2"/>
    <n v="1516.96"/>
    <s v="Completed"/>
    <s v="Mumbai"/>
    <x v="1"/>
    <x v="2"/>
  </r>
  <r>
    <s v="ORD-01503"/>
    <x v="350"/>
    <s v="CUST-0202"/>
    <s v="PROD-007"/>
    <x v="23"/>
    <n v="6"/>
    <n v="1430"/>
    <n v="0.1"/>
    <n v="8571.42"/>
    <s v="Completed"/>
    <s v="Chennai"/>
    <x v="4"/>
    <x v="1"/>
  </r>
  <r>
    <s v="ORD-01504"/>
    <x v="63"/>
    <s v="CUST-0240"/>
    <s v="PROD-053"/>
    <x v="16"/>
    <n v="4"/>
    <n v="470"/>
    <n v="3"/>
    <n v="1823.6"/>
    <s v="Completed"/>
    <s v="Chennai"/>
    <x v="1"/>
    <x v="3"/>
  </r>
  <r>
    <s v="ORD-01505"/>
    <x v="225"/>
    <s v="CUST-0163"/>
    <s v="PROD-018"/>
    <x v="10"/>
    <n v="4"/>
    <n v="3560"/>
    <n v="1.1000000000000001"/>
    <n v="14083.36"/>
    <s v="Completed"/>
    <s v="Pune"/>
    <x v="0"/>
    <x v="0"/>
  </r>
  <r>
    <s v="ORD-01506"/>
    <x v="126"/>
    <s v="CUST-0238"/>
    <s v="PROD-046"/>
    <x v="27"/>
    <n v="5"/>
    <n v="4880"/>
    <n v="17"/>
    <n v="20252"/>
    <s v="Completed"/>
    <s v="Delhi"/>
    <x v="5"/>
    <x v="1"/>
  </r>
  <r>
    <s v="ORD-01507"/>
    <x v="64"/>
    <s v="CUST-0196"/>
    <s v="PROD-003"/>
    <x v="18"/>
    <n v="9"/>
    <n v="3570"/>
    <n v="12"/>
    <n v="28274.400000000001"/>
    <s v="Completed"/>
    <s v="Chennai"/>
    <x v="4"/>
    <x v="1"/>
  </r>
  <r>
    <s v="ORD-01508"/>
    <x v="43"/>
    <s v="CUST-0220"/>
    <s v="PROD-051"/>
    <x v="5"/>
    <n v="6"/>
    <n v="3450"/>
    <n v="22.7"/>
    <n v="16001.1"/>
    <s v="Cancelled"/>
    <s v="Chennai"/>
    <x v="1"/>
    <x v="2"/>
  </r>
  <r>
    <s v="ORD-01509"/>
    <x v="145"/>
    <s v="CUST-0142"/>
    <s v="PROD-040"/>
    <x v="25"/>
    <n v="10"/>
    <n v="1080"/>
    <n v="27.4"/>
    <n v="7840.8"/>
    <s v="Completed"/>
    <s v="Chennai"/>
    <x v="3"/>
    <x v="0"/>
  </r>
  <r>
    <s v="ORD-01510"/>
    <x v="150"/>
    <s v="CUST-0217"/>
    <s v="PROD-041"/>
    <x v="5"/>
    <n v="6"/>
    <n v="1540"/>
    <n v="17.100000000000001"/>
    <n v="7659.96"/>
    <s v="Completed"/>
    <s v="Pune"/>
    <x v="5"/>
    <x v="2"/>
  </r>
  <r>
    <s v="ORD-01511"/>
    <x v="361"/>
    <s v="CUST-9582"/>
    <s v="PROD-015"/>
    <x v="22"/>
    <n v="6"/>
    <n v="2720"/>
    <n v="28.1"/>
    <n v="11734.08"/>
    <s v="Completed"/>
    <s v="Mumbai"/>
    <x v="0"/>
    <x v="1"/>
  </r>
  <r>
    <s v="ORD-01512"/>
    <x v="28"/>
    <s v="CUST-0267"/>
    <s v="PROD-034"/>
    <x v="1"/>
    <n v="2"/>
    <n v="5080"/>
    <n v="11.1"/>
    <n v="9032.24"/>
    <s v="Completed"/>
    <s v="Hyderabad"/>
    <x v="3"/>
    <x v="0"/>
  </r>
  <r>
    <s v="ORD-01513"/>
    <x v="90"/>
    <s v="CUST-9565"/>
    <s v="PROD-016"/>
    <x v="4"/>
    <n v="5"/>
    <n v="620"/>
    <n v="10.9"/>
    <n v="2762.1"/>
    <s v="Pending"/>
    <s v="Chennai"/>
    <x v="0"/>
    <x v="0"/>
  </r>
  <r>
    <s v="ORD-01514"/>
    <x v="312"/>
    <s v="CUST-0051"/>
    <s v="PROD-019"/>
    <x v="11"/>
    <n v="3"/>
    <n v="2480"/>
    <n v="5"/>
    <n v="7068"/>
    <s v="Completed"/>
    <s v="Pune"/>
    <x v="0"/>
    <x v="0"/>
  </r>
  <r>
    <s v="ORD-01515"/>
    <x v="205"/>
    <s v="CUST-0075"/>
    <s v="PROD-054"/>
    <x v="1"/>
    <n v="9"/>
    <n v="1010"/>
    <n v="21.9"/>
    <n v="7099.29"/>
    <s v="Completed"/>
    <s v="Mumbai"/>
    <x v="1"/>
    <x v="0"/>
  </r>
  <r>
    <s v="ORD-01516"/>
    <x v="269"/>
    <s v="CUST-0106"/>
    <s v="PROD-040"/>
    <x v="10"/>
    <n v="2"/>
    <n v="1080"/>
    <n v="8.5"/>
    <n v="1976.4"/>
    <s v="Completed"/>
    <s v="Pune"/>
    <x v="3"/>
    <x v="0"/>
  </r>
  <r>
    <s v="ORD-01517"/>
    <x v="354"/>
    <s v="CUST-0053"/>
    <s v="PROD-053"/>
    <x v="5"/>
    <n v="5"/>
    <n v="470"/>
    <n v="8"/>
    <n v="2162"/>
    <s v="Completed"/>
    <s v="Delhi"/>
    <x v="1"/>
    <x v="2"/>
  </r>
  <r>
    <s v="ORD-01518"/>
    <x v="67"/>
    <s v="CUST-0042"/>
    <s v="PROD-006"/>
    <x v="16"/>
    <n v="9"/>
    <n v="3970"/>
    <n v="18.5"/>
    <n v="29119.95"/>
    <s v="Completed"/>
    <s v="Pune"/>
    <x v="4"/>
    <x v="3"/>
  </r>
  <r>
    <s v="ORD-01519"/>
    <x v="105"/>
    <s v="CUST-0120"/>
    <s v="PROD-044"/>
    <x v="9"/>
    <n v="9"/>
    <n v="1650"/>
    <n v="19.5"/>
    <n v="11954.25"/>
    <s v="Completed"/>
    <s v="Mumbai"/>
    <x v="5"/>
    <x v="1"/>
  </r>
  <r>
    <s v="ORD-01520"/>
    <x v="234"/>
    <s v="CUST-0166"/>
    <s v="PROD-043"/>
    <x v="3"/>
    <n v="9"/>
    <n v="3350"/>
    <n v="4.0999999999999996"/>
    <n v="28913.85"/>
    <s v="Completed"/>
    <s v="Hyderabad"/>
    <x v="5"/>
    <x v="0"/>
  </r>
  <r>
    <s v="ORD-01521"/>
    <x v="305"/>
    <s v="CUST-0175"/>
    <s v="PROD-006"/>
    <x v="12"/>
    <n v="7"/>
    <n v="3970"/>
    <n v="15.6"/>
    <n v="23454.76"/>
    <s v="Completed"/>
    <s v="Delhi"/>
    <x v="4"/>
    <x v="3"/>
  </r>
  <r>
    <s v="ORD-01522"/>
    <x v="253"/>
    <s v="CUST-0001"/>
    <s v="PROD-027"/>
    <x v="26"/>
    <n v="7"/>
    <n v="3780"/>
    <n v="18.7"/>
    <n v="21511.98"/>
    <s v="Completed"/>
    <s v="Pune"/>
    <x v="2"/>
    <x v="3"/>
  </r>
  <r>
    <s v="ORD-01523"/>
    <x v="327"/>
    <s v="CUST-0238"/>
    <s v="PROD-020"/>
    <x v="22"/>
    <n v="4"/>
    <n v="820"/>
    <n v="18.8"/>
    <n v="2663.36"/>
    <s v="Cancelled"/>
    <s v="Delhi"/>
    <x v="0"/>
    <x v="1"/>
  </r>
  <r>
    <s v="ORD-01524"/>
    <x v="77"/>
    <s v="CUST-0279"/>
    <s v="PROD-044"/>
    <x v="24"/>
    <n v="1"/>
    <n v="1650"/>
    <n v="18.8"/>
    <n v="1339.8"/>
    <s v="Cancelled"/>
    <s v="Mumbai"/>
    <x v="5"/>
    <x v="3"/>
  </r>
  <r>
    <s v="ORD-01525"/>
    <x v="245"/>
    <s v="CUST-0042"/>
    <s v="PROD-027"/>
    <x v="13"/>
    <n v="2"/>
    <n v="3780"/>
    <n v="1"/>
    <n v="7484.4"/>
    <s v="Refunded"/>
    <s v="Pune"/>
    <x v="2"/>
    <x v="3"/>
  </r>
  <r>
    <s v="ORD-01526"/>
    <x v="53"/>
    <s v="CUST-0137"/>
    <s v="PROD-029"/>
    <x v="28"/>
    <n v="5"/>
    <n v="2210"/>
    <n v="16.600000000000001"/>
    <n v="9215.7000000000007"/>
    <s v="Completed"/>
    <s v="Mumbai"/>
    <x v="2"/>
    <x v="2"/>
  </r>
  <r>
    <s v="ORD-01527"/>
    <x v="173"/>
    <s v="CUST-0160"/>
    <s v="PROD-056"/>
    <x v="9"/>
    <n v="10"/>
    <n v="6940"/>
    <n v="10.6"/>
    <n v="62043.6"/>
    <s v="Completed"/>
    <s v="Hyderabad"/>
    <x v="1"/>
    <x v="1"/>
  </r>
  <r>
    <s v="ORD-01528"/>
    <x v="253"/>
    <s v="CUST-0102"/>
    <s v="PROD-042"/>
    <x v="1"/>
    <n v="8"/>
    <n v="2290"/>
    <n v="12.2"/>
    <n v="16084.96"/>
    <s v="Completed"/>
    <s v="Chennai"/>
    <x v="5"/>
    <x v="0"/>
  </r>
  <r>
    <s v="ORD-01529"/>
    <x v="201"/>
    <s v="CUST-0133"/>
    <s v="PROD-033"/>
    <x v="5"/>
    <n v="5"/>
    <n v="2030"/>
    <n v="23.8"/>
    <n v="7734.3"/>
    <s v="Cancelled"/>
    <s v="Chennai"/>
    <x v="3"/>
    <x v="2"/>
  </r>
  <r>
    <s v="ORD-01530"/>
    <x v="14"/>
    <s v="CUST-0080"/>
    <s v="PROD-006"/>
    <x v="20"/>
    <n v="3"/>
    <n v="3970"/>
    <n v="7.7"/>
    <n v="10992.93"/>
    <s v="Completed"/>
    <s v="Pune"/>
    <x v="4"/>
    <x v="2"/>
  </r>
  <r>
    <s v="ORD-01821"/>
    <x v="214"/>
    <s v="CUST-0299"/>
    <s v="PROD-020"/>
    <x v="29"/>
    <n v="1"/>
    <n v="820"/>
    <n v="5.4"/>
    <n v="775.72"/>
    <s v="Completed"/>
    <s v="Mumbai"/>
    <x v="0"/>
    <x v="1"/>
  </r>
  <r>
    <s v="ORD-01532"/>
    <x v="22"/>
    <s v="CUST-0078"/>
    <s v="PROD-004"/>
    <x v="5"/>
    <n v="3"/>
    <n v="3870"/>
    <n v="1.9"/>
    <n v="11389.41"/>
    <s v="Completed"/>
    <s v="Delhi"/>
    <x v="4"/>
    <x v="2"/>
  </r>
  <r>
    <s v="ORD-01533"/>
    <x v="197"/>
    <s v="CUST-0251"/>
    <s v="PROD-030"/>
    <x v="24"/>
    <n v="6"/>
    <n v="970"/>
    <n v="27.1"/>
    <n v="4242.78"/>
    <s v="Completed"/>
    <s v="Mumbai"/>
    <x v="2"/>
    <x v="3"/>
  </r>
  <r>
    <s v="ORD-01534"/>
    <x v="237"/>
    <s v="CUST-0191"/>
    <s v="PROD-046"/>
    <x v="5"/>
    <n v="1"/>
    <n v="4880"/>
    <n v="26.8"/>
    <n v="3572.16"/>
    <s v="Completed"/>
    <s v="Hyderabad"/>
    <x v="5"/>
    <x v="2"/>
  </r>
  <r>
    <s v="ORD-01535"/>
    <x v="186"/>
    <s v="CUST-0130"/>
    <s v="PROD-022"/>
    <x v="12"/>
    <n v="1"/>
    <n v="2270"/>
    <n v="22.2"/>
    <n v="1766.06"/>
    <s v="Completed"/>
    <s v="Bengaluru"/>
    <x v="2"/>
    <x v="3"/>
  </r>
  <r>
    <s v="ORD-01536"/>
    <x v="351"/>
    <s v="CUST-0056"/>
    <s v="PROD-047"/>
    <x v="17"/>
    <n v="10"/>
    <n v="3450"/>
    <n v="21.9"/>
    <n v="26944.5"/>
    <s v="Completed"/>
    <s v="Bengaluru"/>
    <x v="5"/>
    <x v="2"/>
  </r>
  <r>
    <s v="ORD-01537"/>
    <x v="48"/>
    <s v="CUST-0185"/>
    <s v="PROD-022"/>
    <x v="23"/>
    <n v="3"/>
    <n v="2270"/>
    <n v="19.100000000000001"/>
    <n v="5509.29"/>
    <s v="Cancelled"/>
    <s v="Hyderabad"/>
    <x v="2"/>
    <x v="1"/>
  </r>
  <r>
    <s v="ORD-01538"/>
    <x v="107"/>
    <s v="CUST-0195"/>
    <s v="PROD-029"/>
    <x v="14"/>
    <n v="10"/>
    <n v="2210"/>
    <n v="22.3"/>
    <n v="17171.7"/>
    <s v="Completed"/>
    <s v="Bengaluru"/>
    <x v="2"/>
    <x v="2"/>
  </r>
  <r>
    <s v="ORD-01539"/>
    <x v="57"/>
    <s v="CUST-0067"/>
    <s v="PROD-033"/>
    <x v="23"/>
    <n v="9"/>
    <n v="2030"/>
    <n v="24.8"/>
    <n v="13739.04"/>
    <s v="Completed"/>
    <s v="Delhi"/>
    <x v="3"/>
    <x v="1"/>
  </r>
  <r>
    <s v="ORD-01540"/>
    <x v="82"/>
    <s v="CUST-0149"/>
    <s v="PROD-043"/>
    <x v="12"/>
    <n v="5"/>
    <n v="3350"/>
    <n v="18.2"/>
    <n v="13701.5"/>
    <s v="Completed"/>
    <s v="Hyderabad"/>
    <x v="5"/>
    <x v="3"/>
  </r>
  <r>
    <s v="ORD-01541"/>
    <x v="243"/>
    <s v="CUST-0268"/>
    <s v="PROD-013"/>
    <x v="4"/>
    <n v="7"/>
    <n v="3640"/>
    <n v="14.4"/>
    <n v="21810.880000000001"/>
    <s v="Completed"/>
    <s v="Chennai"/>
    <x v="0"/>
    <x v="0"/>
  </r>
  <r>
    <s v="ORD-01542"/>
    <x v="217"/>
    <s v="CUST-0126"/>
    <s v="PROD-051"/>
    <x v="26"/>
    <n v="9"/>
    <n v="3450"/>
    <n v="20.100000000000001"/>
    <n v="24808.95"/>
    <s v="Completed"/>
    <s v="Mumbai"/>
    <x v="1"/>
    <x v="3"/>
  </r>
  <r>
    <s v="ORD-01543"/>
    <x v="68"/>
    <s v="CUST-0017"/>
    <s v="PROD-047"/>
    <x v="11"/>
    <n v="6"/>
    <n v="3450"/>
    <n v="19.899999999999999"/>
    <n v="16580.7"/>
    <s v="Pending"/>
    <s v="Delhi"/>
    <x v="5"/>
    <x v="0"/>
  </r>
  <r>
    <s v="ORD-01544"/>
    <x v="37"/>
    <s v="CUST-0250"/>
    <s v="PROD-042"/>
    <x v="24"/>
    <n v="4"/>
    <n v="2290"/>
    <n v="4.8"/>
    <n v="8720.32"/>
    <s v="Pending"/>
    <s v="Delhi"/>
    <x v="5"/>
    <x v="3"/>
  </r>
  <r>
    <s v="ORD-01545"/>
    <x v="319"/>
    <s v="CUST-0245"/>
    <s v="PROD-057"/>
    <x v="9"/>
    <n v="9"/>
    <n v="960"/>
    <n v="2.4"/>
    <n v="8432.64"/>
    <s v="Completed"/>
    <s v="Hyderabad"/>
    <x v="1"/>
    <x v="1"/>
  </r>
  <r>
    <s v="ORD-01546"/>
    <x v="135"/>
    <s v="CUST-0016"/>
    <s v="PROD-039"/>
    <x v="5"/>
    <n v="9"/>
    <n v="4610"/>
    <n v="21.3"/>
    <n v="32652.63"/>
    <s v="Completed"/>
    <s v="Delhi"/>
    <x v="3"/>
    <x v="2"/>
  </r>
  <r>
    <s v="ORD-01547"/>
    <x v="282"/>
    <s v="CUST-0063"/>
    <s v="PROD-028"/>
    <x v="11"/>
    <n v="1"/>
    <n v="3660"/>
    <n v="15.6"/>
    <n v="3089.04"/>
    <s v="Completed"/>
    <s v="Mumbai"/>
    <x v="2"/>
    <x v="0"/>
  </r>
  <r>
    <s v="ORD-01548"/>
    <x v="168"/>
    <s v="CUST-0200"/>
    <s v="PROD-008"/>
    <x v="27"/>
    <n v="5"/>
    <n v="2660"/>
    <n v="20.399999999999999"/>
    <n v="10586.8"/>
    <s v="Completed"/>
    <s v="Hyderabad"/>
    <x v="4"/>
    <x v="1"/>
  </r>
  <r>
    <s v="ORD-01549"/>
    <x v="24"/>
    <s v="CUST-0017"/>
    <s v="PROD-041"/>
    <x v="17"/>
    <n v="8"/>
    <n v="1540"/>
    <n v="0.5"/>
    <n v="12258.4"/>
    <s v="Completed"/>
    <s v="Delhi"/>
    <x v="5"/>
    <x v="2"/>
  </r>
  <r>
    <s v="ORD-01550"/>
    <x v="356"/>
    <s v="CUST-0264"/>
    <s v="PROD-006"/>
    <x v="10"/>
    <n v="4"/>
    <n v="3970"/>
    <n v="22.5"/>
    <n v="12307"/>
    <s v="Completed"/>
    <s v="Pune"/>
    <x v="4"/>
    <x v="0"/>
  </r>
  <r>
    <s v="ORD-01551"/>
    <x v="213"/>
    <s v="CUST-0102"/>
    <s v="PROD-059"/>
    <x v="0"/>
    <n v="8"/>
    <n v="3780"/>
    <n v="3.8"/>
    <n v="29090.880000000001"/>
    <s v="Completed"/>
    <s v="Chennai"/>
    <x v="1"/>
    <x v="0"/>
  </r>
  <r>
    <s v="ORD-01552"/>
    <x v="269"/>
    <s v="CUST-0092"/>
    <s v="PROD-022"/>
    <x v="10"/>
    <n v="4"/>
    <n v="2270"/>
    <n v="3.8"/>
    <n v="8734.9599999999991"/>
    <s v="Cancelled"/>
    <s v="Bengaluru"/>
    <x v="2"/>
    <x v="0"/>
  </r>
  <r>
    <s v="ORD-01553"/>
    <x v="300"/>
    <s v="CUST-0139"/>
    <s v="PROD-009"/>
    <x v="18"/>
    <n v="10"/>
    <n v="1220"/>
    <n v="19.5"/>
    <n v="9821"/>
    <s v="Completed"/>
    <s v="Hyderabad"/>
    <x v="4"/>
    <x v="1"/>
  </r>
  <r>
    <s v="ORD-01554"/>
    <x v="188"/>
    <s v="CUST-0129"/>
    <s v="PROD-043"/>
    <x v="15"/>
    <n v="10"/>
    <n v="3350"/>
    <n v="7.8"/>
    <n v="30887"/>
    <s v="Completed"/>
    <s v="Hyderabad"/>
    <x v="5"/>
    <x v="1"/>
  </r>
  <r>
    <s v="ORD-01555"/>
    <x v="243"/>
    <s v="CUST-9841"/>
    <s v="PROD-043"/>
    <x v="14"/>
    <n v="7"/>
    <n v="3350"/>
    <n v="14.5"/>
    <n v="20049.75"/>
    <s v="Completed"/>
    <s v="Bengaluru"/>
    <x v="5"/>
    <x v="2"/>
  </r>
  <r>
    <s v="ORD-01556"/>
    <x v="242"/>
    <s v="CUST-0069"/>
    <s v="PROD-038"/>
    <x v="2"/>
    <n v="6"/>
    <n v="5490"/>
    <n v="8"/>
    <n v="30304.799999999999"/>
    <s v="Completed"/>
    <s v="Chennai"/>
    <x v="3"/>
    <x v="1"/>
  </r>
  <r>
    <s v="ORD-01557"/>
    <x v="221"/>
    <s v="CUST-0140"/>
    <s v="PROD-055"/>
    <x v="26"/>
    <n v="3"/>
    <n v="2860"/>
    <n v="19.899999999999999"/>
    <n v="6872.58"/>
    <s v="Completed"/>
    <s v="Hyderabad"/>
    <x v="1"/>
    <x v="3"/>
  </r>
  <r>
    <s v="ORD-01558"/>
    <x v="146"/>
    <s v="CUST-0138"/>
    <s v="PROD-010"/>
    <x v="6"/>
    <n v="3"/>
    <n v="2640"/>
    <n v="29.3"/>
    <n v="5599.44"/>
    <s v="Completed"/>
    <s v="Chennai"/>
    <x v="4"/>
    <x v="2"/>
  </r>
  <r>
    <s v="ORD-01559"/>
    <x v="360"/>
    <s v="CUST-0277"/>
    <s v="PROD-011"/>
    <x v="20"/>
    <n v="8"/>
    <n v="3450"/>
    <n v="15.2"/>
    <n v="23404.799999999999"/>
    <s v="Cancelled"/>
    <s v="Chennai"/>
    <x v="0"/>
    <x v="2"/>
  </r>
  <r>
    <s v="ORD-01560"/>
    <x v="134"/>
    <s v="CUST-0017"/>
    <s v="PROD-032"/>
    <x v="5"/>
    <n v="6"/>
    <n v="370"/>
    <n v="7"/>
    <n v="2064.6"/>
    <s v="Completed"/>
    <s v="Delhi"/>
    <x v="3"/>
    <x v="2"/>
  </r>
  <r>
    <s v="ORD-01561"/>
    <x v="96"/>
    <s v="CUST-0170"/>
    <s v="PROD-025"/>
    <x v="20"/>
    <n v="10"/>
    <n v="4060"/>
    <n v="4.7"/>
    <n v="38691.800000000003"/>
    <s v="Cancelled"/>
    <s v="Mumbai"/>
    <x v="2"/>
    <x v="2"/>
  </r>
  <r>
    <s v="ORD-01562"/>
    <x v="87"/>
    <s v="CUST-0022"/>
    <s v="PROD-004"/>
    <x v="6"/>
    <n v="1"/>
    <n v="3870"/>
    <n v="18.2"/>
    <n v="3165.66"/>
    <s v="Pending"/>
    <s v="Bengaluru"/>
    <x v="4"/>
    <x v="2"/>
  </r>
  <r>
    <s v="ORD-01563"/>
    <x v="217"/>
    <s v="CUST-0158"/>
    <s v="PROD-001"/>
    <x v="3"/>
    <n v="1"/>
    <n v="5330"/>
    <n v="3.9"/>
    <n v="5122.13"/>
    <s v="Refunded"/>
    <s v="Pune"/>
    <x v="4"/>
    <x v="0"/>
  </r>
  <r>
    <s v="ORD-01564"/>
    <x v="42"/>
    <s v="CUST-0160"/>
    <s v="PROD-032"/>
    <x v="16"/>
    <n v="8"/>
    <n v="370"/>
    <n v="1.3"/>
    <n v="2921.52"/>
    <s v="Completed"/>
    <s v="Hyderabad"/>
    <x v="3"/>
    <x v="3"/>
  </r>
  <r>
    <s v="ORD-01565"/>
    <x v="81"/>
    <s v="CUST-0009"/>
    <s v="PROD-005"/>
    <x v="16"/>
    <n v="7"/>
    <n v="300"/>
    <n v="7.1"/>
    <n v="1950.9"/>
    <s v="Completed"/>
    <s v="Mumbai"/>
    <x v="4"/>
    <x v="3"/>
  </r>
  <r>
    <s v="ORD-01566"/>
    <x v="118"/>
    <s v="CUST-0151"/>
    <s v="PROD-043"/>
    <x v="27"/>
    <n v="8"/>
    <n v="3350"/>
    <n v="11.2"/>
    <n v="23798.400000000001"/>
    <s v="Completed"/>
    <s v="Mumbai"/>
    <x v="5"/>
    <x v="1"/>
  </r>
  <r>
    <s v="ORD-01567"/>
    <x v="72"/>
    <s v="CUST-0105"/>
    <s v="PROD-056"/>
    <x v="18"/>
    <n v="6"/>
    <n v="6940"/>
    <n v="0.3"/>
    <n v="41515.08"/>
    <s v="Completed"/>
    <s v="Chennai"/>
    <x v="1"/>
    <x v="1"/>
  </r>
  <r>
    <s v="ORD-01568"/>
    <x v="64"/>
    <s v="CUST-0292"/>
    <s v="PROD-049"/>
    <x v="4"/>
    <n v="10"/>
    <n v="960"/>
    <n v="9.3000000000000007"/>
    <n v="8707.2000000000007"/>
    <s v="Cancelled"/>
    <s v="Bengaluru"/>
    <x v="5"/>
    <x v="0"/>
  </r>
  <r>
    <s v="ORD-01569"/>
    <x v="327"/>
    <s v="CUST-0076"/>
    <s v="PROD-021"/>
    <x v="13"/>
    <n v="10"/>
    <n v="2760"/>
    <n v="17.2"/>
    <n v="22852.799999999999"/>
    <s v="Completed"/>
    <s v="Mumbai"/>
    <x v="2"/>
    <x v="3"/>
  </r>
  <r>
    <s v="ORD-01570"/>
    <x v="243"/>
    <s v="CUST-0152"/>
    <s v="PROD-024"/>
    <x v="17"/>
    <n v="4"/>
    <n v="2270"/>
    <n v="26.8"/>
    <n v="6646.56"/>
    <s v="Completed"/>
    <s v="Bengaluru"/>
    <x v="2"/>
    <x v="2"/>
  </r>
  <r>
    <s v="ORD-01571"/>
    <x v="305"/>
    <s v="CUST-0146"/>
    <s v="PROD-002"/>
    <x v="13"/>
    <n v="2"/>
    <n v="2600"/>
    <n v="27"/>
    <n v="3796"/>
    <s v="Completed"/>
    <s v="Hyderabad"/>
    <x v="4"/>
    <x v="3"/>
  </r>
  <r>
    <s v="ORD-01572"/>
    <x v="300"/>
    <s v="CUST-0127"/>
    <s v="PROD-003"/>
    <x v="6"/>
    <n v="4"/>
    <n v="3570"/>
    <n v="12.3"/>
    <n v="12523.56"/>
    <s v="Completed"/>
    <s v="Bengaluru"/>
    <x v="4"/>
    <x v="2"/>
  </r>
  <r>
    <s v="ORD-01573"/>
    <x v="309"/>
    <s v="CUST-0173"/>
    <s v="PROD-034"/>
    <x v="29"/>
    <n v="5"/>
    <n v="5080"/>
    <n v="1.3"/>
    <n v="25069.8"/>
    <s v="Completed"/>
    <s v="Mumbai"/>
    <x v="3"/>
    <x v="1"/>
  </r>
  <r>
    <s v="ORD-01574"/>
    <x v="1"/>
    <s v="CUST-0206"/>
    <s v="PROD-049"/>
    <x v="29"/>
    <n v="5"/>
    <n v="960"/>
    <n v="25.2"/>
    <n v="3590.4"/>
    <s v="Completed"/>
    <s v="Mumbai"/>
    <x v="5"/>
    <x v="1"/>
  </r>
  <r>
    <s v="ORD-01575"/>
    <x v="117"/>
    <s v="CUST-0072"/>
    <s v="PROD-053"/>
    <x v="9"/>
    <n v="7"/>
    <n v="470"/>
    <n v="21.6"/>
    <n v="2579.36"/>
    <s v="Completed"/>
    <s v="Mumbai"/>
    <x v="1"/>
    <x v="1"/>
  </r>
  <r>
    <s v="ORD-01576"/>
    <x v="327"/>
    <s v="CUST-0004"/>
    <s v="PROD-009"/>
    <x v="28"/>
    <n v="4"/>
    <n v="1220"/>
    <n v="12.6"/>
    <n v="4265.12"/>
    <s v="Completed"/>
    <s v="Delhi"/>
    <x v="4"/>
    <x v="2"/>
  </r>
  <r>
    <s v="ORD-01577"/>
    <x v="174"/>
    <s v="CUST-0249"/>
    <s v="PROD-054"/>
    <x v="4"/>
    <n v="4"/>
    <n v="1010"/>
    <n v="11.3"/>
    <n v="3583.48"/>
    <s v="Completed"/>
    <s v="Mumbai"/>
    <x v="1"/>
    <x v="0"/>
  </r>
  <r>
    <s v="ORD-01578"/>
    <x v="253"/>
    <s v="CUST-0139"/>
    <s v="PROD-028"/>
    <x v="1"/>
    <n v="4"/>
    <n v="3660"/>
    <n v="7.2"/>
    <n v="13585.92"/>
    <s v="Completed"/>
    <s v="Hyderabad"/>
    <x v="2"/>
    <x v="0"/>
  </r>
  <r>
    <s v="ORD-01579"/>
    <x v="138"/>
    <s v="CUST-0019"/>
    <s v="PROD-038"/>
    <x v="9"/>
    <n v="4"/>
    <n v="5490"/>
    <n v="8"/>
    <n v="20203.2"/>
    <s v="Completed"/>
    <s v="Chennai"/>
    <x v="3"/>
    <x v="1"/>
  </r>
  <r>
    <s v="ORD-01580"/>
    <x v="218"/>
    <s v="CUST-0210"/>
    <s v="PROD-022"/>
    <x v="11"/>
    <n v="6"/>
    <n v="2270"/>
    <n v="17.100000000000001"/>
    <n v="11290.98"/>
    <s v="Completed"/>
    <s v="Pune"/>
    <x v="2"/>
    <x v="0"/>
  </r>
  <r>
    <s v="ORD-01581"/>
    <x v="276"/>
    <s v="CUST-0168"/>
    <s v="PROD-022"/>
    <x v="15"/>
    <n v="8"/>
    <n v="2270"/>
    <n v="11.9"/>
    <n v="15998.96"/>
    <s v="Pending"/>
    <s v="Pune"/>
    <x v="2"/>
    <x v="1"/>
  </r>
  <r>
    <s v="ORD-01582"/>
    <x v="95"/>
    <s v="CUST-0094"/>
    <s v="PROD-002"/>
    <x v="26"/>
    <n v="6"/>
    <n v="2600"/>
    <n v="5.0999999999999996"/>
    <n v="14804.4"/>
    <s v="Completed"/>
    <s v="Pune"/>
    <x v="4"/>
    <x v="3"/>
  </r>
  <r>
    <s v="ORD-01583"/>
    <x v="210"/>
    <s v="CUST-0259"/>
    <s v="PROD-004"/>
    <x v="28"/>
    <n v="9"/>
    <n v="3870"/>
    <n v="1.8"/>
    <n v="34203.06"/>
    <s v="Cancelled"/>
    <s v="Mumbai"/>
    <x v="4"/>
    <x v="2"/>
  </r>
  <r>
    <s v="ORD-01584"/>
    <x v="61"/>
    <s v="CUST-0150"/>
    <s v="PROD-006"/>
    <x v="3"/>
    <n v="3"/>
    <n v="3970"/>
    <n v="8.1999999999999993"/>
    <n v="10933.38"/>
    <s v="Completed"/>
    <s v="Pune"/>
    <x v="4"/>
    <x v="0"/>
  </r>
  <r>
    <s v="ORD-01585"/>
    <x v="334"/>
    <s v="CUST-0040"/>
    <s v="PROD-049"/>
    <x v="8"/>
    <n v="9"/>
    <n v="960"/>
    <n v="21.7"/>
    <n v="6765.12"/>
    <s v="Cancelled"/>
    <s v="Chennai"/>
    <x v="5"/>
    <x v="2"/>
  </r>
  <r>
    <s v="ORD-01586"/>
    <x v="215"/>
    <s v="CUST-0290"/>
    <s v="PROD-052"/>
    <x v="5"/>
    <n v="3"/>
    <n v="5410"/>
    <n v="20.3"/>
    <n v="12935.31"/>
    <s v="Completed"/>
    <s v="Delhi"/>
    <x v="1"/>
    <x v="2"/>
  </r>
  <r>
    <s v="ORD-01587"/>
    <x v="133"/>
    <s v="CUST-0123"/>
    <s v="PROD-011"/>
    <x v="1"/>
    <n v="3"/>
    <n v="3450"/>
    <n v="11.6"/>
    <n v="9149.4"/>
    <s v="Completed"/>
    <s v="Chennai"/>
    <x v="0"/>
    <x v="0"/>
  </r>
  <r>
    <s v="ORD-01588"/>
    <x v="40"/>
    <s v="CUST-0053"/>
    <s v="PROD-045"/>
    <x v="4"/>
    <n v="2"/>
    <n v="3020"/>
    <n v="20.8"/>
    <n v="4783.68"/>
    <s v="Pending"/>
    <s v="Delhi"/>
    <x v="5"/>
    <x v="0"/>
  </r>
  <r>
    <s v="ORD-01589"/>
    <x v="232"/>
    <s v="CUST-0179"/>
    <s v="PROD-060"/>
    <x v="25"/>
    <n v="3"/>
    <n v="190"/>
    <n v="10.7"/>
    <n v="509.01"/>
    <s v="Completed"/>
    <s v="Mumbai"/>
    <x v="1"/>
    <x v="0"/>
  </r>
  <r>
    <s v="ORD-01590"/>
    <x v="137"/>
    <s v="CUST-0006"/>
    <s v="PROD-031"/>
    <x v="27"/>
    <n v="4"/>
    <n v="3730"/>
    <n v="6.9"/>
    <n v="13890.52"/>
    <s v="Completed"/>
    <s v="Pune"/>
    <x v="3"/>
    <x v="1"/>
  </r>
  <r>
    <s v="ORD-01591"/>
    <x v="240"/>
    <s v="CUST-0272"/>
    <s v="PROD-051"/>
    <x v="5"/>
    <n v="9"/>
    <n v="3450"/>
    <n v="22.2"/>
    <n v="24156.9"/>
    <s v="Cancelled"/>
    <s v="Mumbai"/>
    <x v="1"/>
    <x v="2"/>
  </r>
  <r>
    <s v="ORD-01592"/>
    <x v="260"/>
    <s v="CUST-0274"/>
    <s v="PROD-006"/>
    <x v="25"/>
    <n v="3"/>
    <n v="3970"/>
    <n v="6.8"/>
    <n v="11100.12"/>
    <s v="Completed"/>
    <s v="Bengaluru"/>
    <x v="4"/>
    <x v="0"/>
  </r>
  <r>
    <s v="ORD-01593"/>
    <x v="32"/>
    <s v="CUST-0262"/>
    <s v="PROD-035"/>
    <x v="24"/>
    <n v="3"/>
    <n v="1090"/>
    <n v="23.7"/>
    <n v="2495.0100000000002"/>
    <s v="Completed"/>
    <s v="Mumbai"/>
    <x v="3"/>
    <x v="3"/>
  </r>
  <r>
    <s v="ORD-01594"/>
    <x v="212"/>
    <s v="CUST-0087"/>
    <s v="PROD-033"/>
    <x v="12"/>
    <n v="3"/>
    <n v="2030"/>
    <n v="18.8"/>
    <n v="4945.08"/>
    <s v="Completed"/>
    <s v="Pune"/>
    <x v="3"/>
    <x v="3"/>
  </r>
  <r>
    <s v="ORD-01595"/>
    <x v="27"/>
    <s v="CUST-0198"/>
    <s v="PROD-026"/>
    <x v="4"/>
    <n v="2"/>
    <n v="4070"/>
    <n v="14.3"/>
    <n v="6975.98"/>
    <s v="Completed"/>
    <s v="Chennai"/>
    <x v="2"/>
    <x v="0"/>
  </r>
  <r>
    <s v="ORD-01596"/>
    <x v="306"/>
    <s v="CUST-0065"/>
    <s v="PROD-014"/>
    <x v="8"/>
    <n v="3"/>
    <n v="3620"/>
    <n v="13.5"/>
    <n v="9393.9"/>
    <s v="Completed"/>
    <s v="Chennai"/>
    <x v="0"/>
    <x v="2"/>
  </r>
  <r>
    <s v="ORD-01597"/>
    <x v="235"/>
    <s v="CUST-0209"/>
    <s v="PROD-054"/>
    <x v="19"/>
    <n v="4"/>
    <n v="1010"/>
    <n v="3.3"/>
    <n v="3906.68"/>
    <s v="Completed"/>
    <s v="Pune"/>
    <x v="1"/>
    <x v="0"/>
  </r>
  <r>
    <s v="ORD-01598"/>
    <x v="304"/>
    <s v="CUST-0181"/>
    <s v="PROD-030"/>
    <x v="1"/>
    <n v="7"/>
    <n v="970"/>
    <n v="0.1"/>
    <n v="6783.21"/>
    <s v="Completed"/>
    <s v="Delhi"/>
    <x v="2"/>
    <x v="0"/>
  </r>
  <r>
    <s v="ORD-01599"/>
    <x v="297"/>
    <s v="CUST-0007"/>
    <s v="PROD-053"/>
    <x v="28"/>
    <n v="5"/>
    <n v="470"/>
    <n v="18.3"/>
    <n v="1919.95"/>
    <s v="Refunded"/>
    <s v="Bengaluru"/>
    <x v="1"/>
    <x v="2"/>
  </r>
  <r>
    <s v="ORD-01600"/>
    <x v="274"/>
    <s v="CUST-0050"/>
    <s v="PROD-011"/>
    <x v="9"/>
    <n v="8"/>
    <n v="3450"/>
    <n v="5.0999999999999996"/>
    <n v="26192.400000000001"/>
    <s v="Refunded"/>
    <s v="Mumbai"/>
    <x v="0"/>
    <x v="1"/>
  </r>
  <r>
    <s v="ORD-01601"/>
    <x v="57"/>
    <s v="CUST-0155"/>
    <s v="PROD-010"/>
    <x v="24"/>
    <n v="1"/>
    <n v="2640"/>
    <n v="5.9"/>
    <n v="2484.2399999999998"/>
    <s v="Completed"/>
    <s v="Pune"/>
    <x v="4"/>
    <x v="3"/>
  </r>
  <r>
    <s v="ORD-01602"/>
    <x v="20"/>
    <s v="CUST-0085"/>
    <s v="PROD-003"/>
    <x v="16"/>
    <n v="10"/>
    <n v="3570"/>
    <n v="21.5"/>
    <n v="28024.5"/>
    <s v="Completed"/>
    <s v="Chennai"/>
    <x v="4"/>
    <x v="3"/>
  </r>
  <r>
    <s v="ORD-01603"/>
    <x v="248"/>
    <s v="CUST-0285"/>
    <s v="PROD-007"/>
    <x v="29"/>
    <n v="10"/>
    <n v="1430"/>
    <n v="11.4"/>
    <n v="12669.8"/>
    <s v="Cancelled"/>
    <s v="Hyderabad"/>
    <x v="4"/>
    <x v="1"/>
  </r>
  <r>
    <s v="ORD-01604"/>
    <x v="175"/>
    <s v="CUST-0148"/>
    <s v="PROD-057"/>
    <x v="22"/>
    <n v="7"/>
    <n v="960"/>
    <n v="22.9"/>
    <n v="5181.12"/>
    <s v="Completed"/>
    <s v="Chennai"/>
    <x v="1"/>
    <x v="1"/>
  </r>
  <r>
    <s v="ORD-01605"/>
    <x v="38"/>
    <s v="CUST-0252"/>
    <s v="PROD-036"/>
    <x v="9"/>
    <n v="8"/>
    <n v="3250"/>
    <n v="1.9"/>
    <n v="25506"/>
    <s v="Completed"/>
    <s v="Bengaluru"/>
    <x v="3"/>
    <x v="1"/>
  </r>
  <r>
    <s v="ORD-01606"/>
    <x v="320"/>
    <s v="CUST-0141"/>
    <s v="PROD-051"/>
    <x v="26"/>
    <n v="9"/>
    <n v="3450"/>
    <n v="18"/>
    <n v="25461"/>
    <s v="Completed"/>
    <s v="Hyderabad"/>
    <x v="1"/>
    <x v="3"/>
  </r>
  <r>
    <s v="ORD-01607"/>
    <x v="30"/>
    <s v="CUST-0101"/>
    <s v="PROD-024"/>
    <x v="29"/>
    <n v="5"/>
    <n v="2270"/>
    <n v="11.5"/>
    <n v="10044.75"/>
    <s v="Completed"/>
    <s v="Hyderabad"/>
    <x v="2"/>
    <x v="1"/>
  </r>
  <r>
    <s v="ORD-01608"/>
    <x v="121"/>
    <s v="CUST-0223"/>
    <s v="PROD-045"/>
    <x v="7"/>
    <n v="6"/>
    <n v="3020"/>
    <n v="12.6"/>
    <n v="15836.88"/>
    <s v="Completed"/>
    <s v="Bengaluru"/>
    <x v="5"/>
    <x v="3"/>
  </r>
  <r>
    <s v="ORD-01609"/>
    <x v="58"/>
    <s v="CUST-0197"/>
    <s v="PROD-010"/>
    <x v="4"/>
    <n v="8"/>
    <n v="2640"/>
    <n v="14.5"/>
    <n v="18057.599999999999"/>
    <s v="Refunded"/>
    <s v="Bengaluru"/>
    <x v="4"/>
    <x v="0"/>
  </r>
  <r>
    <s v="ORD-01610"/>
    <x v="230"/>
    <s v="CUST-0260"/>
    <s v="PROD-024"/>
    <x v="28"/>
    <n v="2"/>
    <n v="2270"/>
    <n v="27"/>
    <n v="3314.2"/>
    <s v="Completed"/>
    <s v="Bengaluru"/>
    <x v="2"/>
    <x v="2"/>
  </r>
  <r>
    <s v="ORD-01611"/>
    <x v="184"/>
    <s v="CUST-0180"/>
    <s v="PROD-021"/>
    <x v="28"/>
    <n v="8"/>
    <n v="2760"/>
    <n v="18"/>
    <n v="18105.599999999999"/>
    <s v="Cancelled"/>
    <s v="Chennai"/>
    <x v="2"/>
    <x v="2"/>
  </r>
  <r>
    <s v="ORD-01612"/>
    <x v="62"/>
    <s v="CUST-0166"/>
    <s v="PROD-014"/>
    <x v="12"/>
    <n v="8"/>
    <n v="3620"/>
    <n v="7.1"/>
    <n v="26903.84"/>
    <s v="Completed"/>
    <s v="Hyderabad"/>
    <x v="0"/>
    <x v="3"/>
  </r>
  <r>
    <s v="ORD-01613"/>
    <x v="302"/>
    <s v="CUST-0062"/>
    <s v="PROD-042"/>
    <x v="13"/>
    <n v="8"/>
    <n v="2290"/>
    <n v="16.399999999999999"/>
    <n v="15315.52"/>
    <s v="Completed"/>
    <s v="Pune"/>
    <x v="5"/>
    <x v="3"/>
  </r>
  <r>
    <s v="ORD-01614"/>
    <x v="32"/>
    <s v="CUST-0130"/>
    <s v="PROD-044"/>
    <x v="7"/>
    <n v="3"/>
    <n v="1650"/>
    <n v="1.8"/>
    <n v="4860.8999999999996"/>
    <s v="Cancelled"/>
    <s v="Bengaluru"/>
    <x v="5"/>
    <x v="3"/>
  </r>
  <r>
    <s v="ORD-01615"/>
    <x v="362"/>
    <s v="CUST-0162"/>
    <s v="PROD-001"/>
    <x v="26"/>
    <n v="3"/>
    <n v="5330"/>
    <n v="22.2"/>
    <n v="12440.22"/>
    <s v="Completed"/>
    <s v="Mumbai"/>
    <x v="4"/>
    <x v="3"/>
  </r>
  <r>
    <s v="ORD-01616"/>
    <x v="166"/>
    <s v="CUST-0153"/>
    <s v="PROD-040"/>
    <x v="24"/>
    <n v="7"/>
    <n v="1080"/>
    <n v="17.899999999999999"/>
    <n v="6206.76"/>
    <s v="Completed"/>
    <s v="Mumbai"/>
    <x v="3"/>
    <x v="3"/>
  </r>
  <r>
    <s v="ORD-01617"/>
    <x v="151"/>
    <s v="CUST-0071"/>
    <s v="PROD-009"/>
    <x v="24"/>
    <n v="10"/>
    <n v="1220"/>
    <n v="5.7"/>
    <n v="11504.6"/>
    <s v="Completed"/>
    <s v="Delhi"/>
    <x v="4"/>
    <x v="3"/>
  </r>
  <r>
    <s v="ORD-01618"/>
    <x v="83"/>
    <s v="CUST-0200"/>
    <s v="PROD-037"/>
    <x v="14"/>
    <n v="10"/>
    <n v="660"/>
    <n v="7.5"/>
    <n v="6105"/>
    <s v="Completed"/>
    <s v="Hyderabad"/>
    <x v="3"/>
    <x v="2"/>
  </r>
  <r>
    <s v="ORD-01619"/>
    <x v="88"/>
    <s v="CUST-0266"/>
    <s v="PROD-040"/>
    <x v="16"/>
    <n v="6"/>
    <n v="1080"/>
    <n v="28.9"/>
    <n v="4607.28"/>
    <s v="Completed"/>
    <s v="Pune"/>
    <x v="3"/>
    <x v="3"/>
  </r>
  <r>
    <s v="ORD-01620"/>
    <x v="241"/>
    <s v="CUST-0171"/>
    <s v="PROD-022"/>
    <x v="16"/>
    <n v="7"/>
    <n v="2270"/>
    <n v="1.4"/>
    <n v="15667.54"/>
    <s v="Completed"/>
    <s v="Chennai"/>
    <x v="2"/>
    <x v="3"/>
  </r>
  <r>
    <s v="ORD-01621"/>
    <x v="206"/>
    <s v="CUST-0221"/>
    <s v="PROD-032"/>
    <x v="8"/>
    <n v="3"/>
    <n v="370"/>
    <n v="9.6"/>
    <n v="1003.44"/>
    <s v="Refunded"/>
    <s v="Delhi"/>
    <x v="3"/>
    <x v="2"/>
  </r>
  <r>
    <s v="ORD-01622"/>
    <x v="13"/>
    <s v="CUST-0038"/>
    <s v="PROD-030"/>
    <x v="18"/>
    <n v="9"/>
    <n v="970"/>
    <n v="29.7"/>
    <n v="6137.19"/>
    <s v="Completed"/>
    <s v="Mumbai"/>
    <x v="2"/>
    <x v="1"/>
  </r>
  <r>
    <s v="ORD-00613"/>
    <x v="171"/>
    <s v="CUST-0174"/>
    <s v="PROD-016"/>
    <x v="11"/>
    <n v="1"/>
    <n v="620"/>
    <n v="10.4"/>
    <n v="555.52"/>
    <s v="Cancelled"/>
    <s v="Pune"/>
    <x v="0"/>
    <x v="0"/>
  </r>
  <r>
    <s v="ORD-01624"/>
    <x v="80"/>
    <s v="CUST-0054"/>
    <s v="PROD-028"/>
    <x v="20"/>
    <n v="5"/>
    <n v="3660"/>
    <n v="8"/>
    <n v="16836"/>
    <s v="Completed"/>
    <s v="Mumbai"/>
    <x v="2"/>
    <x v="2"/>
  </r>
  <r>
    <s v="ORD-01625"/>
    <x v="108"/>
    <s v="CUST-0071"/>
    <s v="PROD-029"/>
    <x v="6"/>
    <n v="7"/>
    <n v="2210"/>
    <n v="13.7"/>
    <n v="13350.61"/>
    <s v="Refunded"/>
    <s v="Delhi"/>
    <x v="2"/>
    <x v="2"/>
  </r>
  <r>
    <s v="ORD-01626"/>
    <x v="252"/>
    <s v="CUST-0004"/>
    <s v="PROD-059"/>
    <x v="8"/>
    <n v="1"/>
    <n v="3780"/>
    <n v="11.5"/>
    <n v="3345.3"/>
    <s v="Completed"/>
    <s v="Delhi"/>
    <x v="1"/>
    <x v="2"/>
  </r>
  <r>
    <s v="ORD-01627"/>
    <x v="131"/>
    <s v="CUST-0033"/>
    <s v="PROD-002"/>
    <x v="1"/>
    <n v="10"/>
    <n v="2600"/>
    <n v="29.4"/>
    <n v="18356"/>
    <s v="Completed"/>
    <s v="Delhi"/>
    <x v="4"/>
    <x v="0"/>
  </r>
  <r>
    <s v="ORD-01628"/>
    <x v="13"/>
    <s v="CUST-0079"/>
    <s v="PROD-027"/>
    <x v="21"/>
    <n v="3"/>
    <n v="3780"/>
    <n v="14.4"/>
    <n v="9707.0400000000009"/>
    <s v="Completed"/>
    <s v="Mumbai"/>
    <x v="2"/>
    <x v="3"/>
  </r>
  <r>
    <s v="ORD-01629"/>
    <x v="292"/>
    <s v="CUST-0176"/>
    <s v="PROD-010"/>
    <x v="11"/>
    <n v="10"/>
    <n v="2640"/>
    <n v="26.8"/>
    <n v="19324.8"/>
    <s v="Pending"/>
    <s v="Bengaluru"/>
    <x v="4"/>
    <x v="0"/>
  </r>
  <r>
    <s v="ORD-01630"/>
    <x v="324"/>
    <s v="CUST-0254"/>
    <s v="PROD-035"/>
    <x v="22"/>
    <n v="3"/>
    <n v="1090"/>
    <n v="9.1"/>
    <n v="2972.43"/>
    <s v="Completed"/>
    <s v="Bengaluru"/>
    <x v="3"/>
    <x v="1"/>
  </r>
  <r>
    <s v="ORD-01631"/>
    <x v="308"/>
    <s v="CUST-0212"/>
    <s v="PROD-011"/>
    <x v="6"/>
    <n v="3"/>
    <n v="3450"/>
    <n v="23"/>
    <n v="7969.5"/>
    <s v="Pending"/>
    <s v="Chennai"/>
    <x v="0"/>
    <x v="2"/>
  </r>
  <r>
    <s v="ORD-01632"/>
    <x v="13"/>
    <s v="CUST-0109"/>
    <s v="PROD-049"/>
    <x v="15"/>
    <n v="1"/>
    <n v="960"/>
    <n v="1.1000000000000001"/>
    <n v="949.44"/>
    <s v="Completed"/>
    <s v="Pune"/>
    <x v="5"/>
    <x v="1"/>
  </r>
  <r>
    <s v="ORD-01633"/>
    <x v="251"/>
    <s v="CUST-0087"/>
    <s v="PROD-028"/>
    <x v="14"/>
    <n v="9"/>
    <n v="3660"/>
    <n v="9"/>
    <n v="29975.4"/>
    <s v="Completed"/>
    <s v="Pune"/>
    <x v="2"/>
    <x v="2"/>
  </r>
  <r>
    <s v="ORD-01634"/>
    <x v="103"/>
    <s v="CUST-0167"/>
    <s v="PROD-031"/>
    <x v="4"/>
    <n v="3"/>
    <n v="3730"/>
    <n v="15.8"/>
    <n v="9421.98"/>
    <s v="Completed"/>
    <s v="Delhi"/>
    <x v="3"/>
    <x v="0"/>
  </r>
  <r>
    <s v="ORD-01635"/>
    <x v="324"/>
    <s v="CUST-0079"/>
    <s v="PROD-026"/>
    <x v="10"/>
    <n v="6"/>
    <n v="4070"/>
    <n v="6.2"/>
    <n v="22905.96"/>
    <s v="Completed"/>
    <s v="Mumbai"/>
    <x v="2"/>
    <x v="0"/>
  </r>
  <r>
    <s v="ORD-01636"/>
    <x v="90"/>
    <s v="CUST-0115"/>
    <s v="PROD-008"/>
    <x v="24"/>
    <n v="1"/>
    <n v="2660"/>
    <n v="14.6"/>
    <n v="2271.64"/>
    <s v="Completed"/>
    <s v="Mumbai"/>
    <x v="4"/>
    <x v="3"/>
  </r>
  <r>
    <s v="ORD-01637"/>
    <x v="239"/>
    <s v="CUST-0184"/>
    <s v="PROD-033"/>
    <x v="11"/>
    <n v="3"/>
    <n v="2030"/>
    <n v="13.3"/>
    <n v="5280.03"/>
    <s v="Cancelled"/>
    <s v="Pune"/>
    <x v="3"/>
    <x v="0"/>
  </r>
  <r>
    <s v="ORD-01638"/>
    <x v="274"/>
    <s v="CUST-0084"/>
    <s v="PROD-028"/>
    <x v="19"/>
    <n v="4"/>
    <n v="3660"/>
    <n v="2.2000000000000002"/>
    <n v="14317.92"/>
    <s v="Completed"/>
    <s v="Chennai"/>
    <x v="2"/>
    <x v="0"/>
  </r>
  <r>
    <s v="ORD-01639"/>
    <x v="234"/>
    <s v="CUST-0186"/>
    <s v="PROD-008"/>
    <x v="3"/>
    <n v="2"/>
    <n v="2660"/>
    <n v="7.2"/>
    <n v="4936.96"/>
    <s v="Cancelled"/>
    <s v="Bengaluru"/>
    <x v="4"/>
    <x v="0"/>
  </r>
  <r>
    <s v="ORD-01640"/>
    <x v="207"/>
    <s v="CUST-0077"/>
    <s v="PROD-046"/>
    <x v="22"/>
    <n v="2"/>
    <n v="4880"/>
    <n v="23.8"/>
    <n v="7437.12"/>
    <s v="Completed"/>
    <s v="Hyderabad"/>
    <x v="5"/>
    <x v="1"/>
  </r>
  <r>
    <s v="ORD-01641"/>
    <x v="91"/>
    <s v="CUST-0093"/>
    <s v="PROD-011"/>
    <x v="23"/>
    <n v="1"/>
    <n v="3450"/>
    <n v="1.7"/>
    <n v="3391.35"/>
    <s v="Completed"/>
    <s v="Pune"/>
    <x v="0"/>
    <x v="1"/>
  </r>
  <r>
    <s v="ORD-01642"/>
    <x v="269"/>
    <s v="CUST-0018"/>
    <s v="PROD-045"/>
    <x v="12"/>
    <n v="4"/>
    <n v="3020"/>
    <n v="17.8"/>
    <n v="9929.76"/>
    <s v="Completed"/>
    <s v="Pune"/>
    <x v="5"/>
    <x v="3"/>
  </r>
  <r>
    <s v="ORD-01643"/>
    <x v="15"/>
    <s v="CUST-0034"/>
    <s v="PROD-056"/>
    <x v="13"/>
    <n v="6"/>
    <n v="6940"/>
    <n v="8.9"/>
    <n v="37934.04"/>
    <s v="Completed"/>
    <s v="Delhi"/>
    <x v="1"/>
    <x v="3"/>
  </r>
  <r>
    <s v="ORD-01644"/>
    <x v="271"/>
    <s v="CUST-0111"/>
    <s v="PROD-021"/>
    <x v="12"/>
    <n v="10"/>
    <n v="2760"/>
    <n v="8.9"/>
    <n v="25143.599999999999"/>
    <s v="Completed"/>
    <s v="Chennai"/>
    <x v="2"/>
    <x v="3"/>
  </r>
  <r>
    <s v="ORD-01645"/>
    <x v="202"/>
    <s v="CUST-0210"/>
    <s v="PROD-049"/>
    <x v="16"/>
    <n v="8"/>
    <n v="960"/>
    <n v="20.9"/>
    <n v="6074.88"/>
    <s v="Completed"/>
    <s v="Pune"/>
    <x v="5"/>
    <x v="3"/>
  </r>
  <r>
    <s v="ORD-01646"/>
    <x v="71"/>
    <s v="CUST-0037"/>
    <s v="PROD-049"/>
    <x v="27"/>
    <n v="4"/>
    <n v="960"/>
    <n v="29.1"/>
    <n v="2722.56"/>
    <s v="Completed"/>
    <s v="Bengaluru"/>
    <x v="5"/>
    <x v="1"/>
  </r>
  <r>
    <s v="ORD-01647"/>
    <x v="306"/>
    <s v="CUST-0192"/>
    <s v="PROD-030"/>
    <x v="13"/>
    <n v="1"/>
    <n v="970"/>
    <n v="8.4"/>
    <n v="888.52"/>
    <s v="Cancelled"/>
    <s v="Bengaluru"/>
    <x v="2"/>
    <x v="3"/>
  </r>
  <r>
    <s v="ORD-01648"/>
    <x v="169"/>
    <s v="CUST-0038"/>
    <s v="PROD-050"/>
    <x v="12"/>
    <n v="5"/>
    <n v="6080"/>
    <n v="17.600000000000001"/>
    <n v="25049.599999999999"/>
    <s v="Completed"/>
    <s v="Mumbai"/>
    <x v="5"/>
    <x v="3"/>
  </r>
  <r>
    <s v="ORD-01649"/>
    <x v="283"/>
    <s v="CUST-0034"/>
    <s v="PROD-028"/>
    <x v="22"/>
    <n v="4"/>
    <n v="3660"/>
    <n v="21.8"/>
    <n v="11448.48"/>
    <s v="Pending"/>
    <s v="Delhi"/>
    <x v="2"/>
    <x v="1"/>
  </r>
  <r>
    <s v="ORD-01650"/>
    <x v="32"/>
    <s v="CUST-0248"/>
    <s v="PROD-031"/>
    <x v="4"/>
    <n v="6"/>
    <n v="3730"/>
    <n v="13.3"/>
    <n v="19403.46"/>
    <s v="Cancelled"/>
    <s v="Chennai"/>
    <x v="3"/>
    <x v="0"/>
  </r>
  <r>
    <s v="ORD-01651"/>
    <x v="327"/>
    <s v="CUST-0194"/>
    <s v="PROD-004"/>
    <x v="20"/>
    <n v="8"/>
    <n v="3870"/>
    <n v="21.2"/>
    <n v="24396.48"/>
    <s v="Pending"/>
    <s v="Delhi"/>
    <x v="4"/>
    <x v="2"/>
  </r>
  <r>
    <s v="ORD-01652"/>
    <x v="69"/>
    <s v="CUST-0114"/>
    <s v="PROD-021"/>
    <x v="29"/>
    <n v="4"/>
    <n v="2760"/>
    <n v="14"/>
    <n v="9494.4"/>
    <s v="Completed"/>
    <s v="Bengaluru"/>
    <x v="2"/>
    <x v="1"/>
  </r>
  <r>
    <s v="ORD-01653"/>
    <x v="100"/>
    <s v="CUST-0118"/>
    <s v="PROD-023"/>
    <x v="16"/>
    <n v="5"/>
    <n v="2380"/>
    <n v="16.399999999999999"/>
    <n v="9948.4"/>
    <s v="Completed"/>
    <s v="Hyderabad"/>
    <x v="2"/>
    <x v="3"/>
  </r>
  <r>
    <s v="ORD-01654"/>
    <x v="246"/>
    <s v="CUST-9719"/>
    <s v="PROD-050"/>
    <x v="15"/>
    <n v="2"/>
    <n v="6080"/>
    <n v="20.100000000000001"/>
    <n v="9715.84"/>
    <s v="Cancelled"/>
    <s v="Mumbai"/>
    <x v="5"/>
    <x v="1"/>
  </r>
  <r>
    <s v="ORD-01655"/>
    <x v="296"/>
    <s v="CUST-0232"/>
    <s v="PROD-016"/>
    <x v="29"/>
    <n v="2"/>
    <n v="620"/>
    <n v="4.3"/>
    <n v="1186.68"/>
    <s v="Completed"/>
    <s v="Hyderabad"/>
    <x v="0"/>
    <x v="1"/>
  </r>
  <r>
    <s v="ORD-01656"/>
    <x v="16"/>
    <s v="CUST-0240"/>
    <s v="PROD-004"/>
    <x v="27"/>
    <n v="7"/>
    <n v="3870"/>
    <n v="5.9"/>
    <n v="25491.69"/>
    <s v="Completed"/>
    <s v="Chennai"/>
    <x v="4"/>
    <x v="1"/>
  </r>
  <r>
    <s v="ORD-01657"/>
    <x v="249"/>
    <s v="CUST-0227"/>
    <s v="PROD-003"/>
    <x v="16"/>
    <n v="8"/>
    <n v="3570"/>
    <n v="24.6"/>
    <n v="21534.240000000002"/>
    <s v="Completed"/>
    <s v="Bengaluru"/>
    <x v="4"/>
    <x v="3"/>
  </r>
  <r>
    <s v="ORD-01658"/>
    <x v="168"/>
    <s v="CUST-0234"/>
    <s v="PROD-026"/>
    <x v="9"/>
    <n v="1"/>
    <n v="4070"/>
    <n v="29.1"/>
    <n v="2885.63"/>
    <s v="Pending"/>
    <s v="Bengaluru"/>
    <x v="2"/>
    <x v="1"/>
  </r>
  <r>
    <s v="ORD-01659"/>
    <x v="296"/>
    <s v="CUST-0041"/>
    <s v="PROD-020"/>
    <x v="21"/>
    <n v="1"/>
    <n v="820"/>
    <n v="17.899999999999999"/>
    <n v="673.22"/>
    <s v="Completed"/>
    <s v="Bengaluru"/>
    <x v="0"/>
    <x v="3"/>
  </r>
  <r>
    <s v="ORD-01660"/>
    <x v="175"/>
    <s v="CUST-0129"/>
    <s v="PROD-045"/>
    <x v="20"/>
    <n v="5"/>
    <n v="3020"/>
    <n v="26.2"/>
    <n v="11143.8"/>
    <s v="Completed"/>
    <s v="Hyderabad"/>
    <x v="5"/>
    <x v="2"/>
  </r>
  <r>
    <s v="ORD-01661"/>
    <x v="91"/>
    <s v="CUST-0141"/>
    <s v="PROD-018"/>
    <x v="24"/>
    <n v="10"/>
    <n v="3560"/>
    <n v="15.4"/>
    <n v="30117.599999999999"/>
    <s v="Refunded"/>
    <s v="Hyderabad"/>
    <x v="0"/>
    <x v="3"/>
  </r>
  <r>
    <s v="ORD-01662"/>
    <x v="299"/>
    <s v="CUST-0282"/>
    <s v="PROD-043"/>
    <x v="19"/>
    <n v="3"/>
    <n v="3350"/>
    <n v="8.1"/>
    <n v="9235.9500000000007"/>
    <s v="Completed"/>
    <s v="Hyderabad"/>
    <x v="5"/>
    <x v="0"/>
  </r>
  <r>
    <s v="ORD-01663"/>
    <x v="176"/>
    <s v="CUST-0269"/>
    <s v="PROD-042"/>
    <x v="5"/>
    <n v="10"/>
    <n v="2290"/>
    <n v="7"/>
    <n v="21297"/>
    <s v="Completed"/>
    <s v="Pune"/>
    <x v="5"/>
    <x v="2"/>
  </r>
  <r>
    <s v="ORD-01664"/>
    <x v="64"/>
    <s v="CUST-0239"/>
    <s v="PROD-028"/>
    <x v="11"/>
    <n v="6"/>
    <n v="3660"/>
    <n v="29.9"/>
    <n v="15393.96"/>
    <s v="Completed"/>
    <s v="Mumbai"/>
    <x v="2"/>
    <x v="0"/>
  </r>
  <r>
    <s v="ORD-01665"/>
    <x v="87"/>
    <s v="CUST-0075"/>
    <s v="PROD-010"/>
    <x v="22"/>
    <n v="8"/>
    <n v="2640"/>
    <n v="4.2"/>
    <n v="20232.96"/>
    <s v="Refunded"/>
    <s v="Mumbai"/>
    <x v="4"/>
    <x v="1"/>
  </r>
  <r>
    <s v="ORD-01666"/>
    <x v="194"/>
    <s v="CUST-0184"/>
    <s v="PROD-032"/>
    <x v="3"/>
    <n v="5"/>
    <n v="370"/>
    <n v="6"/>
    <n v="1739"/>
    <s v="Completed"/>
    <s v="Pune"/>
    <x v="3"/>
    <x v="0"/>
  </r>
  <r>
    <s v="ORD-01667"/>
    <x v="312"/>
    <s v="CUST-0144"/>
    <s v="PROD-024"/>
    <x v="0"/>
    <n v="9"/>
    <n v="2270"/>
    <n v="4.7"/>
    <n v="19469.79"/>
    <s v="Completed"/>
    <s v="Chennai"/>
    <x v="2"/>
    <x v="0"/>
  </r>
  <r>
    <s v="ORD-01668"/>
    <x v="85"/>
    <s v="CUST-0039"/>
    <s v="PROD-037"/>
    <x v="23"/>
    <n v="5"/>
    <n v="660"/>
    <n v="21"/>
    <n v="2607"/>
    <s v="Completed"/>
    <s v="Bengaluru"/>
    <x v="3"/>
    <x v="1"/>
  </r>
  <r>
    <s v="ORD-01669"/>
    <x v="192"/>
    <s v="CUST-9765"/>
    <s v="PROD-057"/>
    <x v="11"/>
    <n v="2"/>
    <n v="960"/>
    <n v="7.3"/>
    <n v="1779.84"/>
    <s v="Completed"/>
    <s v="Bengaluru"/>
    <x v="1"/>
    <x v="0"/>
  </r>
  <r>
    <s v="ORD-01670"/>
    <x v="89"/>
    <s v="CUST-0159"/>
    <s v="PROD-048"/>
    <x v="18"/>
    <n v="3"/>
    <n v="5100"/>
    <n v="21"/>
    <n v="12087"/>
    <s v="Completed"/>
    <s v="Hyderabad"/>
    <x v="5"/>
    <x v="1"/>
  </r>
  <r>
    <s v="ORD-01671"/>
    <x v="286"/>
    <s v="CUST-0168"/>
    <s v="PROD-012"/>
    <x v="10"/>
    <n v="3"/>
    <n v="3160"/>
    <n v="13.5"/>
    <n v="8200.2000000000007"/>
    <s v="Completed"/>
    <s v="Pune"/>
    <x v="0"/>
    <x v="0"/>
  </r>
  <r>
    <s v="ORD-01672"/>
    <x v="111"/>
    <s v="CUST-9552"/>
    <s v="PROD-041"/>
    <x v="1"/>
    <n v="9"/>
    <n v="1540"/>
    <n v="18.2"/>
    <n v="11337.48"/>
    <s v="Cancelled"/>
    <s v="Bengaluru"/>
    <x v="5"/>
    <x v="0"/>
  </r>
  <r>
    <s v="ORD-01673"/>
    <x v="313"/>
    <s v="CUST-0056"/>
    <s v="PROD-047"/>
    <x v="6"/>
    <n v="4"/>
    <n v="3450"/>
    <n v="26.4"/>
    <n v="10156.799999999999"/>
    <s v="Pending"/>
    <s v="Bengaluru"/>
    <x v="5"/>
    <x v="2"/>
  </r>
  <r>
    <s v="ORD-01674"/>
    <x v="311"/>
    <s v="CUST-0239"/>
    <s v="PROD-023"/>
    <x v="17"/>
    <n v="4"/>
    <n v="2380"/>
    <n v="6.9"/>
    <n v="8863.1200000000008"/>
    <s v="Completed"/>
    <s v="Mumbai"/>
    <x v="2"/>
    <x v="2"/>
  </r>
  <r>
    <s v="ORD-01675"/>
    <x v="140"/>
    <s v="CUST-0168"/>
    <s v="PROD-031"/>
    <x v="11"/>
    <n v="2"/>
    <n v="3730"/>
    <n v="22.9"/>
    <n v="5751.66"/>
    <s v="Completed"/>
    <s v="Pune"/>
    <x v="3"/>
    <x v="0"/>
  </r>
  <r>
    <s v="ORD-01676"/>
    <x v="0"/>
    <s v="CUST-0012"/>
    <s v="PROD-036"/>
    <x v="25"/>
    <n v="7"/>
    <n v="3250"/>
    <n v="6"/>
    <n v="21385"/>
    <s v="Completed"/>
    <s v="Pune"/>
    <x v="3"/>
    <x v="0"/>
  </r>
  <r>
    <s v="ORD-01677"/>
    <x v="281"/>
    <s v="CUST-0057"/>
    <s v="PROD-053"/>
    <x v="16"/>
    <n v="9"/>
    <n v="470"/>
    <n v="11.6"/>
    <n v="3739.32"/>
    <s v="Completed"/>
    <s v="Pune"/>
    <x v="1"/>
    <x v="3"/>
  </r>
  <r>
    <s v="ORD-01678"/>
    <x v="308"/>
    <s v="CUST-0030"/>
    <s v="PROD-042"/>
    <x v="17"/>
    <n v="5"/>
    <n v="2290"/>
    <n v="27.6"/>
    <n v="8289.7999999999993"/>
    <s v="Completed"/>
    <s v="Bengaluru"/>
    <x v="5"/>
    <x v="2"/>
  </r>
  <r>
    <s v="ORD-01679"/>
    <x v="32"/>
    <s v="CUST-0166"/>
    <s v="PROD-007"/>
    <x v="20"/>
    <n v="6"/>
    <n v="1430"/>
    <n v="18.399999999999999"/>
    <n v="7001.28"/>
    <s v="Pending"/>
    <s v="Hyderabad"/>
    <x v="4"/>
    <x v="2"/>
  </r>
  <r>
    <s v="ORD-01680"/>
    <x v="260"/>
    <s v="CUST-0188"/>
    <s v="PROD-055"/>
    <x v="25"/>
    <n v="7"/>
    <n v="2860"/>
    <n v="19.5"/>
    <n v="16116.1"/>
    <s v="Completed"/>
    <s v="Bengaluru"/>
    <x v="1"/>
    <x v="0"/>
  </r>
  <r>
    <s v="ORD-01681"/>
    <x v="96"/>
    <s v="CUST-0097"/>
    <s v="PROD-047"/>
    <x v="16"/>
    <n v="8"/>
    <n v="3450"/>
    <n v="25.5"/>
    <n v="20562"/>
    <s v="Pending"/>
    <s v="Mumbai"/>
    <x v="5"/>
    <x v="3"/>
  </r>
  <r>
    <s v="ORD-01682"/>
    <x v="344"/>
    <s v="CUST-0026"/>
    <s v="PROD-052"/>
    <x v="7"/>
    <n v="7"/>
    <n v="5410"/>
    <n v="15.2"/>
    <n v="32113.759999999998"/>
    <s v="Cancelled"/>
    <s v="Pune"/>
    <x v="1"/>
    <x v="3"/>
  </r>
  <r>
    <s v="ORD-01683"/>
    <x v="276"/>
    <s v="CUST-0026"/>
    <s v="PROD-040"/>
    <x v="5"/>
    <n v="3"/>
    <n v="1080"/>
    <n v="26"/>
    <n v="2397.6"/>
    <s v="Completed"/>
    <s v="Pune"/>
    <x v="3"/>
    <x v="2"/>
  </r>
  <r>
    <s v="ORD-01684"/>
    <x v="20"/>
    <s v="CUST-0020"/>
    <s v="PROD-055"/>
    <x v="7"/>
    <n v="8"/>
    <n v="2860"/>
    <n v="14.8"/>
    <n v="19493.759999999998"/>
    <s v="Completed"/>
    <s v="Hyderabad"/>
    <x v="1"/>
    <x v="3"/>
  </r>
  <r>
    <s v="ORD-01685"/>
    <x v="10"/>
    <s v="CUST-9740"/>
    <s v="PROD-045"/>
    <x v="22"/>
    <n v="4"/>
    <n v="3020"/>
    <n v="8.1"/>
    <n v="11101.52"/>
    <s v="Completed"/>
    <s v="Hyderabad"/>
    <x v="5"/>
    <x v="1"/>
  </r>
  <r>
    <s v="ORD-01686"/>
    <x v="51"/>
    <s v="CUST-0095"/>
    <s v="PROD-057"/>
    <x v="5"/>
    <n v="4"/>
    <n v="960"/>
    <n v="6.4"/>
    <n v="3594.24"/>
    <s v="Cancelled"/>
    <s v="Mumbai"/>
    <x v="1"/>
    <x v="2"/>
  </r>
  <r>
    <s v="ORD-01687"/>
    <x v="102"/>
    <s v="CUST-0079"/>
    <s v="PROD-004"/>
    <x v="20"/>
    <n v="4"/>
    <n v="3870"/>
    <n v="15.9"/>
    <n v="13018.68"/>
    <s v="Completed"/>
    <s v="Mumbai"/>
    <x v="4"/>
    <x v="2"/>
  </r>
  <r>
    <s v="ORD-01688"/>
    <x v="239"/>
    <s v="CUST-0060"/>
    <s v="PROD-012"/>
    <x v="16"/>
    <n v="5"/>
    <n v="3160"/>
    <n v="29.8"/>
    <n v="11091.6"/>
    <s v="Completed"/>
    <s v="Pune"/>
    <x v="0"/>
    <x v="3"/>
  </r>
  <r>
    <s v="ORD-01689"/>
    <x v="210"/>
    <s v="CUST-0080"/>
    <s v="PROD-047"/>
    <x v="28"/>
    <n v="5"/>
    <n v="3450"/>
    <n v="29.4"/>
    <n v="12178.5"/>
    <s v="Completed"/>
    <s v="Pune"/>
    <x v="5"/>
    <x v="2"/>
  </r>
  <r>
    <s v="ORD-01690"/>
    <x v="275"/>
    <s v="CUST-0136"/>
    <s v="PROD-049"/>
    <x v="26"/>
    <n v="10"/>
    <n v="960"/>
    <n v="27"/>
    <n v="7008"/>
    <s v="Cancelled"/>
    <s v="Chennai"/>
    <x v="5"/>
    <x v="3"/>
  </r>
  <r>
    <s v="ORD-01691"/>
    <x v="335"/>
    <s v="CUST-0074"/>
    <s v="PROD-056"/>
    <x v="26"/>
    <n v="10"/>
    <n v="6940"/>
    <n v="20.100000000000001"/>
    <n v="55450.6"/>
    <s v="Completed"/>
    <s v="Bengaluru"/>
    <x v="1"/>
    <x v="3"/>
  </r>
  <r>
    <s v="ORD-01692"/>
    <x v="295"/>
    <s v="CUST-0090"/>
    <s v="PROD-058"/>
    <x v="18"/>
    <n v="9"/>
    <n v="2400"/>
    <n v="7.8"/>
    <n v="19915.2"/>
    <s v="Completed"/>
    <s v="Bengaluru"/>
    <x v="1"/>
    <x v="1"/>
  </r>
  <r>
    <s v="ORD-01693"/>
    <x v="245"/>
    <s v="CUST-0300"/>
    <s v="PROD-052"/>
    <x v="21"/>
    <n v="1"/>
    <n v="5410"/>
    <n v="22.8"/>
    <n v="4176.5200000000004"/>
    <s v="Completed"/>
    <s v="Mumbai"/>
    <x v="1"/>
    <x v="3"/>
  </r>
  <r>
    <s v="ORD-01694"/>
    <x v="98"/>
    <s v="CUST-0188"/>
    <s v="PROD-009"/>
    <x v="10"/>
    <n v="7"/>
    <n v="1220"/>
    <n v="18.8"/>
    <n v="6934.48"/>
    <s v="Pending"/>
    <s v="Bengaluru"/>
    <x v="4"/>
    <x v="0"/>
  </r>
  <r>
    <s v="ORD-01695"/>
    <x v="127"/>
    <s v="CUST-0250"/>
    <s v="PROD-035"/>
    <x v="7"/>
    <n v="1"/>
    <n v="1090"/>
    <n v="23.5"/>
    <n v="833.85"/>
    <s v="Completed"/>
    <s v="Delhi"/>
    <x v="3"/>
    <x v="3"/>
  </r>
  <r>
    <s v="ORD-01696"/>
    <x v="101"/>
    <s v="CUST-0195"/>
    <s v="PROD-021"/>
    <x v="12"/>
    <n v="2"/>
    <n v="2760"/>
    <n v="2.2999999999999998"/>
    <n v="5393.04"/>
    <s v="Completed"/>
    <s v="Bengaluru"/>
    <x v="2"/>
    <x v="3"/>
  </r>
  <r>
    <s v="ORD-01697"/>
    <x v="17"/>
    <s v="CUST-0185"/>
    <s v="PROD-003"/>
    <x v="17"/>
    <n v="3"/>
    <n v="3570"/>
    <n v="18.399999999999999"/>
    <n v="8739.36"/>
    <s v="Refunded"/>
    <s v="Hyderabad"/>
    <x v="4"/>
    <x v="2"/>
  </r>
  <r>
    <s v="ORD-01698"/>
    <x v="349"/>
    <s v="CUST-0256"/>
    <s v="PROD-009"/>
    <x v="10"/>
    <n v="7"/>
    <n v="1220"/>
    <n v="25.8"/>
    <n v="6336.68"/>
    <s v="Refunded"/>
    <s v="Hyderabad"/>
    <x v="4"/>
    <x v="0"/>
  </r>
  <r>
    <s v="ORD-01699"/>
    <x v="350"/>
    <s v="CUST-0060"/>
    <s v="PROD-051"/>
    <x v="20"/>
    <n v="6"/>
    <n v="3450"/>
    <n v="13.1"/>
    <n v="17988.3"/>
    <s v="Completed"/>
    <s v="Pune"/>
    <x v="1"/>
    <x v="2"/>
  </r>
  <r>
    <s v="ORD-01700"/>
    <x v="347"/>
    <s v="CUST-0275"/>
    <s v="PROD-029"/>
    <x v="10"/>
    <n v="10"/>
    <n v="2210"/>
    <n v="16.600000000000001"/>
    <n v="18431.400000000001"/>
    <s v="Completed"/>
    <s v="Mumbai"/>
    <x v="2"/>
    <x v="0"/>
  </r>
  <r>
    <s v="ORD-01701"/>
    <x v="146"/>
    <s v="CUST-0114"/>
    <s v="PROD-019"/>
    <x v="28"/>
    <n v="10"/>
    <n v="2480"/>
    <n v="17.5"/>
    <n v="20460"/>
    <s v="Completed"/>
    <s v="Bengaluru"/>
    <x v="0"/>
    <x v="2"/>
  </r>
  <r>
    <s v="ORD-01702"/>
    <x v="286"/>
    <s v="CUST-0060"/>
    <s v="PROD-036"/>
    <x v="7"/>
    <n v="9"/>
    <n v="3250"/>
    <n v="25.9"/>
    <n v="21674.25"/>
    <s v="Completed"/>
    <s v="Pune"/>
    <x v="3"/>
    <x v="3"/>
  </r>
  <r>
    <s v="ORD-01703"/>
    <x v="267"/>
    <s v="CUST-0039"/>
    <s v="PROD-058"/>
    <x v="4"/>
    <n v="3"/>
    <n v="2400"/>
    <n v="17.5"/>
    <n v="5940"/>
    <s v="Completed"/>
    <s v="Bengaluru"/>
    <x v="1"/>
    <x v="0"/>
  </r>
  <r>
    <s v="ORD-01704"/>
    <x v="332"/>
    <s v="CUST-0033"/>
    <s v="PROD-052"/>
    <x v="3"/>
    <n v="8"/>
    <n v="5410"/>
    <n v="8.3000000000000007"/>
    <n v="39687.760000000002"/>
    <s v="Completed"/>
    <s v="Delhi"/>
    <x v="1"/>
    <x v="0"/>
  </r>
  <r>
    <s v="ORD-01705"/>
    <x v="81"/>
    <s v="CUST-0037"/>
    <s v="PROD-002"/>
    <x v="26"/>
    <n v="1"/>
    <n v="2600"/>
    <n v="5.9"/>
    <n v="2446.6"/>
    <s v="Completed"/>
    <s v="Bengaluru"/>
    <x v="4"/>
    <x v="3"/>
  </r>
  <r>
    <s v="ORD-01706"/>
    <x v="348"/>
    <s v="CUST-0081"/>
    <s v="PROD-025"/>
    <x v="11"/>
    <n v="10"/>
    <n v="4060"/>
    <n v="2.2999999999999998"/>
    <n v="39666.199999999997"/>
    <s v="Completed"/>
    <s v="Mumbai"/>
    <x v="2"/>
    <x v="0"/>
  </r>
  <r>
    <s v="ORD-01707"/>
    <x v="279"/>
    <s v="CUST-0279"/>
    <s v="PROD-001"/>
    <x v="16"/>
    <n v="9"/>
    <n v="5330"/>
    <n v="23.5"/>
    <n v="36697.050000000003"/>
    <s v="Completed"/>
    <s v="Mumbai"/>
    <x v="4"/>
    <x v="3"/>
  </r>
  <r>
    <s v="ORD-01708"/>
    <x v="77"/>
    <s v="CUST-0129"/>
    <s v="PROD-043"/>
    <x v="5"/>
    <n v="7"/>
    <n v="3350"/>
    <n v="13.4"/>
    <n v="20307.7"/>
    <s v="Pending"/>
    <s v="Hyderabad"/>
    <x v="5"/>
    <x v="2"/>
  </r>
  <r>
    <s v="ORD-01709"/>
    <x v="252"/>
    <s v="CUST-0010"/>
    <s v="PROD-017"/>
    <x v="2"/>
    <n v="4"/>
    <n v="2510"/>
    <n v="26.6"/>
    <n v="7369.36"/>
    <s v="Completed"/>
    <s v="Mumbai"/>
    <x v="0"/>
    <x v="1"/>
  </r>
  <r>
    <s v="ORD-01710"/>
    <x v="145"/>
    <s v="CUST-0006"/>
    <s v="PROD-045"/>
    <x v="13"/>
    <n v="1"/>
    <n v="3020"/>
    <n v="15.2"/>
    <n v="2560.96"/>
    <s v="Cancelled"/>
    <s v="Pune"/>
    <x v="5"/>
    <x v="3"/>
  </r>
  <r>
    <s v="ORD-01711"/>
    <x v="149"/>
    <s v="CUST-0206"/>
    <s v="PROD-020"/>
    <x v="20"/>
    <n v="1"/>
    <n v="820"/>
    <n v="6.3"/>
    <n v="768.34"/>
    <s v="Completed"/>
    <s v="Mumbai"/>
    <x v="0"/>
    <x v="2"/>
  </r>
  <r>
    <s v="ORD-01712"/>
    <x v="56"/>
    <s v="CUST-0034"/>
    <s v="PROD-012"/>
    <x v="28"/>
    <n v="4"/>
    <n v="3160"/>
    <n v="3.6"/>
    <n v="12184.96"/>
    <s v="Pending"/>
    <s v="Delhi"/>
    <x v="0"/>
    <x v="2"/>
  </r>
  <r>
    <s v="ORD-01713"/>
    <x v="43"/>
    <s v="CUST-0121"/>
    <s v="PROD-028"/>
    <x v="27"/>
    <n v="1"/>
    <n v="3660"/>
    <n v="28.2"/>
    <n v="2627.88"/>
    <s v="Pending"/>
    <s v="Delhi"/>
    <x v="2"/>
    <x v="1"/>
  </r>
  <r>
    <s v="ORD-01714"/>
    <x v="18"/>
    <s v="CUST-0098"/>
    <s v="PROD-020"/>
    <x v="17"/>
    <n v="2"/>
    <n v="820"/>
    <n v="7"/>
    <n v="1525.2"/>
    <s v="Completed"/>
    <s v="Delhi"/>
    <x v="0"/>
    <x v="2"/>
  </r>
  <r>
    <s v="ORD-01715"/>
    <x v="225"/>
    <s v="CUST-0031"/>
    <s v="PROD-023"/>
    <x v="24"/>
    <n v="5"/>
    <n v="2380"/>
    <n v="23"/>
    <n v="9163"/>
    <s v="Completed"/>
    <s v="Hyderabad"/>
    <x v="2"/>
    <x v="3"/>
  </r>
  <r>
    <s v="ORD-01716"/>
    <x v="109"/>
    <s v="CUST-0185"/>
    <s v="PROD-004"/>
    <x v="22"/>
    <n v="1"/>
    <n v="3870"/>
    <n v="27.3"/>
    <n v="2813.49"/>
    <s v="Completed"/>
    <s v="Hyderabad"/>
    <x v="4"/>
    <x v="1"/>
  </r>
  <r>
    <s v="ORD-01717"/>
    <x v="114"/>
    <s v="CUST-0011"/>
    <s v="PROD-005"/>
    <x v="0"/>
    <n v="10"/>
    <n v="300"/>
    <n v="14.1"/>
    <n v="2577"/>
    <s v="Cancelled"/>
    <s v="Chennai"/>
    <x v="4"/>
    <x v="0"/>
  </r>
  <r>
    <s v="ORD-01718"/>
    <x v="262"/>
    <s v="CUST-0223"/>
    <s v="PROD-048"/>
    <x v="28"/>
    <n v="10"/>
    <n v="5100"/>
    <n v="12.7"/>
    <n v="44523"/>
    <s v="Completed"/>
    <s v="Bengaluru"/>
    <x v="5"/>
    <x v="2"/>
  </r>
  <r>
    <s v="ORD-01719"/>
    <x v="55"/>
    <s v="CUST-0126"/>
    <s v="PROD-021"/>
    <x v="22"/>
    <n v="1"/>
    <n v="2760"/>
    <n v="17.8"/>
    <n v="2268.7199999999998"/>
    <s v="Refunded"/>
    <s v="Mumbai"/>
    <x v="2"/>
    <x v="1"/>
  </r>
  <r>
    <s v="ORD-01720"/>
    <x v="143"/>
    <s v="CUST-0284"/>
    <s v="PROD-001"/>
    <x v="25"/>
    <n v="8"/>
    <n v="5330"/>
    <n v="16.399999999999999"/>
    <n v="35647.040000000001"/>
    <s v="Completed"/>
    <s v="Hyderabad"/>
    <x v="4"/>
    <x v="0"/>
  </r>
  <r>
    <s v="ORD-01721"/>
    <x v="136"/>
    <s v="CUST-0011"/>
    <s v="PROD-054"/>
    <x v="29"/>
    <n v="1"/>
    <n v="1010"/>
    <n v="20.399999999999999"/>
    <n v="803.96"/>
    <s v="Cancelled"/>
    <s v="Chennai"/>
    <x v="1"/>
    <x v="1"/>
  </r>
  <r>
    <s v="ORD-01722"/>
    <x v="351"/>
    <s v="CUST-0275"/>
    <s v="PROD-008"/>
    <x v="7"/>
    <n v="10"/>
    <n v="2660"/>
    <n v="29.3"/>
    <n v="18806.2"/>
    <s v="Completed"/>
    <s v="Mumbai"/>
    <x v="4"/>
    <x v="3"/>
  </r>
  <r>
    <s v="ORD-01723"/>
    <x v="47"/>
    <s v="CUST-0259"/>
    <s v="PROD-006"/>
    <x v="23"/>
    <n v="9"/>
    <n v="3970"/>
    <n v="10.4"/>
    <n v="32014.080000000002"/>
    <s v="Pending"/>
    <s v="Mumbai"/>
    <x v="4"/>
    <x v="1"/>
  </r>
  <r>
    <s v="ORD-01724"/>
    <x v="22"/>
    <s v="CUST-0089"/>
    <s v="PROD-014"/>
    <x v="4"/>
    <n v="3"/>
    <n v="3620"/>
    <n v="22"/>
    <n v="8470.7999999999993"/>
    <s v="Completed"/>
    <s v="Mumbai"/>
    <x v="0"/>
    <x v="0"/>
  </r>
  <r>
    <s v="ORD-01725"/>
    <x v="266"/>
    <s v="CUST-0232"/>
    <s v="PROD-022"/>
    <x v="26"/>
    <n v="6"/>
    <n v="2270"/>
    <n v="11.1"/>
    <n v="12108.18"/>
    <s v="Cancelled"/>
    <s v="Hyderabad"/>
    <x v="2"/>
    <x v="3"/>
  </r>
  <r>
    <s v="ORD-01726"/>
    <x v="363"/>
    <s v="CUST-0220"/>
    <s v="PROD-022"/>
    <x v="2"/>
    <n v="4"/>
    <n v="2270"/>
    <n v="27.2"/>
    <n v="6610.24"/>
    <s v="Pending"/>
    <s v="Chennai"/>
    <x v="2"/>
    <x v="1"/>
  </r>
  <r>
    <s v="ORD-01727"/>
    <x v="31"/>
    <s v="CUST-0137"/>
    <s v="PROD-039"/>
    <x v="27"/>
    <n v="8"/>
    <n v="4610"/>
    <n v="24.5"/>
    <n v="27844.400000000001"/>
    <s v="Completed"/>
    <s v="Mumbai"/>
    <x v="3"/>
    <x v="1"/>
  </r>
  <r>
    <s v="ORD-01728"/>
    <x v="250"/>
    <s v="CUST-0132"/>
    <s v="PROD-060"/>
    <x v="16"/>
    <n v="6"/>
    <n v="190"/>
    <n v="8.6999999999999993"/>
    <n v="1040.82"/>
    <s v="Cancelled"/>
    <s v="Delhi"/>
    <x v="1"/>
    <x v="3"/>
  </r>
  <r>
    <s v="ORD-01729"/>
    <x v="7"/>
    <s v="CUST-0226"/>
    <s v="PROD-033"/>
    <x v="17"/>
    <n v="5"/>
    <n v="2030"/>
    <n v="0.9"/>
    <n v="10058.65"/>
    <s v="Cancelled"/>
    <s v="Chennai"/>
    <x v="3"/>
    <x v="2"/>
  </r>
  <r>
    <s v="ORD-01730"/>
    <x v="105"/>
    <s v="CUST-0080"/>
    <s v="PROD-026"/>
    <x v="16"/>
    <n v="1"/>
    <n v="4070"/>
    <n v="9.3000000000000007"/>
    <n v="3691.49"/>
    <s v="Refunded"/>
    <s v="Pune"/>
    <x v="2"/>
    <x v="3"/>
  </r>
  <r>
    <s v="ORD-01731"/>
    <x v="151"/>
    <s v="CUST-0068"/>
    <s v="PROD-042"/>
    <x v="19"/>
    <n v="3"/>
    <n v="2290"/>
    <n v="12.1"/>
    <n v="6038.73"/>
    <s v="Completed"/>
    <s v="Delhi"/>
    <x v="5"/>
    <x v="0"/>
  </r>
  <r>
    <s v="ORD-01732"/>
    <x v="282"/>
    <s v="CUST-0146"/>
    <s v="PROD-031"/>
    <x v="16"/>
    <n v="7"/>
    <n v="3730"/>
    <n v="4.5"/>
    <n v="24935.05"/>
    <s v="Completed"/>
    <s v="Hyderabad"/>
    <x v="3"/>
    <x v="3"/>
  </r>
  <r>
    <s v="ORD-01733"/>
    <x v="141"/>
    <s v="CUST-0106"/>
    <s v="PROD-016"/>
    <x v="1"/>
    <n v="5"/>
    <n v="620"/>
    <n v="7.5"/>
    <n v="2867.5"/>
    <s v="Completed"/>
    <s v="Pune"/>
    <x v="0"/>
    <x v="0"/>
  </r>
  <r>
    <s v="ORD-01734"/>
    <x v="6"/>
    <s v="CUST-0096"/>
    <s v="PROD-010"/>
    <x v="9"/>
    <n v="8"/>
    <n v="2640"/>
    <n v="16.399999999999999"/>
    <n v="17656.32"/>
    <s v="Completed"/>
    <s v="Delhi"/>
    <x v="4"/>
    <x v="1"/>
  </r>
  <r>
    <s v="ORD-01735"/>
    <x v="148"/>
    <s v="CUST-0248"/>
    <s v="PROD-028"/>
    <x v="10"/>
    <n v="6"/>
    <n v="3660"/>
    <n v="6.2"/>
    <n v="20598.48"/>
    <s v="Completed"/>
    <s v="Chennai"/>
    <x v="2"/>
    <x v="0"/>
  </r>
  <r>
    <s v="ORD-01736"/>
    <x v="11"/>
    <s v="CUST-0297"/>
    <s v="PROD-020"/>
    <x v="16"/>
    <n v="2"/>
    <n v="820"/>
    <n v="25.4"/>
    <n v="1223.44"/>
    <s v="Completed"/>
    <s v="Hyderabad"/>
    <x v="0"/>
    <x v="3"/>
  </r>
  <r>
    <s v="ORD-01737"/>
    <x v="102"/>
    <s v="CUST-0120"/>
    <s v="PROD-019"/>
    <x v="13"/>
    <n v="3"/>
    <n v="2480"/>
    <n v="28.7"/>
    <n v="5304.72"/>
    <s v="Pending"/>
    <s v="Mumbai"/>
    <x v="0"/>
    <x v="3"/>
  </r>
  <r>
    <s v="ORD-01738"/>
    <x v="166"/>
    <s v="CUST-0148"/>
    <s v="PROD-050"/>
    <x v="8"/>
    <n v="10"/>
    <n v="6080"/>
    <n v="18.899999999999999"/>
    <n v="49308.800000000003"/>
    <s v="Completed"/>
    <s v="Chennai"/>
    <x v="5"/>
    <x v="2"/>
  </r>
  <r>
    <s v="ORD-01739"/>
    <x v="260"/>
    <s v="CUST-0008"/>
    <s v="PROD-060"/>
    <x v="24"/>
    <n v="1"/>
    <n v="190"/>
    <n v="5.7"/>
    <n v="179.17"/>
    <s v="Completed"/>
    <s v="Pune"/>
    <x v="1"/>
    <x v="3"/>
  </r>
  <r>
    <s v="ORD-01740"/>
    <x v="113"/>
    <s v="CUST-0013"/>
    <s v="PROD-059"/>
    <x v="17"/>
    <n v="2"/>
    <n v="3780"/>
    <n v="11.8"/>
    <n v="6667.92"/>
    <s v="Completed"/>
    <s v="Delhi"/>
    <x v="1"/>
    <x v="2"/>
  </r>
  <r>
    <s v="ORD-01741"/>
    <x v="341"/>
    <s v="CUST-0234"/>
    <s v="PROD-036"/>
    <x v="19"/>
    <n v="5"/>
    <n v="3250"/>
    <n v="19.899999999999999"/>
    <n v="13016.25"/>
    <s v="Completed"/>
    <s v="Bengaluru"/>
    <x v="3"/>
    <x v="0"/>
  </r>
  <r>
    <s v="ORD-01742"/>
    <x v="13"/>
    <s v="CUST-0207"/>
    <s v="PROD-033"/>
    <x v="4"/>
    <n v="7"/>
    <n v="2030"/>
    <n v="4.0999999999999996"/>
    <n v="13627.39"/>
    <s v="Completed"/>
    <s v="Hyderabad"/>
    <x v="3"/>
    <x v="0"/>
  </r>
  <r>
    <s v="ORD-01743"/>
    <x v="330"/>
    <s v="CUST-0245"/>
    <s v="PROD-046"/>
    <x v="27"/>
    <n v="5"/>
    <n v="4880"/>
    <n v="22.9"/>
    <n v="18812.400000000001"/>
    <s v="Completed"/>
    <s v="Hyderabad"/>
    <x v="5"/>
    <x v="1"/>
  </r>
  <r>
    <s v="ORD-01744"/>
    <x v="92"/>
    <s v="CUST-0044"/>
    <s v="PROD-043"/>
    <x v="16"/>
    <n v="3"/>
    <n v="3350"/>
    <n v="15.2"/>
    <n v="8522.4"/>
    <s v="Pending"/>
    <s v="Hyderabad"/>
    <x v="5"/>
    <x v="3"/>
  </r>
  <r>
    <s v="ORD-01745"/>
    <x v="54"/>
    <s v="CUST-0264"/>
    <s v="PROD-055"/>
    <x v="20"/>
    <n v="10"/>
    <n v="2860"/>
    <n v="15"/>
    <n v="24310"/>
    <s v="Completed"/>
    <s v="Pune"/>
    <x v="1"/>
    <x v="2"/>
  </r>
  <r>
    <s v="ORD-01746"/>
    <x v="328"/>
    <s v="CUST-0193"/>
    <s v="PROD-047"/>
    <x v="26"/>
    <n v="5"/>
    <n v="3450"/>
    <n v="2.2999999999999998"/>
    <n v="16853.25"/>
    <s v="Completed"/>
    <s v="Bengaluru"/>
    <x v="5"/>
    <x v="3"/>
  </r>
  <r>
    <s v="ORD-01747"/>
    <x v="245"/>
    <s v="CUST-0006"/>
    <s v="PROD-024"/>
    <x v="15"/>
    <n v="3"/>
    <n v="2270"/>
    <n v="2.8"/>
    <n v="6619.32"/>
    <s v="Pending"/>
    <s v="Pune"/>
    <x v="2"/>
    <x v="1"/>
  </r>
  <r>
    <s v="ORD-01748"/>
    <x v="20"/>
    <s v="CUST-0221"/>
    <s v="PROD-028"/>
    <x v="0"/>
    <n v="8"/>
    <n v="3660"/>
    <n v="16.8"/>
    <n v="24360.959999999999"/>
    <s v="Completed"/>
    <s v="Delhi"/>
    <x v="2"/>
    <x v="0"/>
  </r>
  <r>
    <s v="ORD-01749"/>
    <x v="277"/>
    <s v="CUST-0151"/>
    <s v="PROD-045"/>
    <x v="4"/>
    <n v="7"/>
    <n v="3020"/>
    <n v="17.8"/>
    <n v="17377.080000000002"/>
    <s v="Completed"/>
    <s v="Mumbai"/>
    <x v="5"/>
    <x v="0"/>
  </r>
  <r>
    <s v="ORD-01750"/>
    <x v="78"/>
    <s v="CUST-0188"/>
    <s v="PROD-040"/>
    <x v="2"/>
    <n v="7"/>
    <n v="1080"/>
    <n v="12.9"/>
    <n v="6584.76"/>
    <s v="Completed"/>
    <s v="Bengaluru"/>
    <x v="3"/>
    <x v="1"/>
  </r>
  <r>
    <s v="ORD-01751"/>
    <x v="315"/>
    <s v="CUST-0010"/>
    <s v="PROD-022"/>
    <x v="27"/>
    <n v="2"/>
    <n v="2270"/>
    <n v="8.6"/>
    <n v="4149.5600000000004"/>
    <s v="Cancelled"/>
    <s v="Mumbai"/>
    <x v="2"/>
    <x v="1"/>
  </r>
  <r>
    <s v="ORD-01752"/>
    <x v="338"/>
    <s v="CUST-0018"/>
    <s v="PROD-016"/>
    <x v="27"/>
    <n v="10"/>
    <n v="620"/>
    <n v="26.1"/>
    <n v="4581.8"/>
    <s v="Completed"/>
    <s v="Pune"/>
    <x v="0"/>
    <x v="1"/>
  </r>
  <r>
    <s v="ORD-01753"/>
    <x v="230"/>
    <s v="CUST-0262"/>
    <s v="PROD-025"/>
    <x v="15"/>
    <n v="2"/>
    <n v="4060"/>
    <n v="3.8"/>
    <n v="7811.44"/>
    <s v="Completed"/>
    <s v="Mumbai"/>
    <x v="2"/>
    <x v="1"/>
  </r>
  <r>
    <s v="ORD-01754"/>
    <x v="56"/>
    <s v="CUST-0282"/>
    <s v="PROD-027"/>
    <x v="27"/>
    <n v="1"/>
    <n v="3780"/>
    <n v="27.9"/>
    <n v="2725.38"/>
    <s v="Completed"/>
    <s v="Hyderabad"/>
    <x v="2"/>
    <x v="1"/>
  </r>
  <r>
    <s v="ORD-01755"/>
    <x v="7"/>
    <s v="CUST-0194"/>
    <s v="PROD-023"/>
    <x v="24"/>
    <n v="8"/>
    <n v="2380"/>
    <n v="3.8"/>
    <n v="18316.48"/>
    <s v="Completed"/>
    <s v="Delhi"/>
    <x v="2"/>
    <x v="3"/>
  </r>
  <r>
    <s v="ORD-01756"/>
    <x v="239"/>
    <s v="CUST-0161"/>
    <s v="PROD-026"/>
    <x v="6"/>
    <n v="7"/>
    <n v="4070"/>
    <n v="0.3"/>
    <n v="28404.53"/>
    <s v="Completed"/>
    <s v="Chennai"/>
    <x v="2"/>
    <x v="2"/>
  </r>
  <r>
    <s v="ORD-01757"/>
    <x v="61"/>
    <s v="CUST-0120"/>
    <s v="PROD-010"/>
    <x v="16"/>
    <n v="6"/>
    <n v="2640"/>
    <n v="3.4"/>
    <n v="15301.44"/>
    <s v="Completed"/>
    <s v="Mumbai"/>
    <x v="4"/>
    <x v="3"/>
  </r>
  <r>
    <s v="ORD-01758"/>
    <x v="312"/>
    <s v="CUST-0250"/>
    <s v="PROD-059"/>
    <x v="14"/>
    <n v="10"/>
    <n v="3780"/>
    <n v="13.3"/>
    <n v="32772.6"/>
    <s v="Completed"/>
    <s v="Delhi"/>
    <x v="1"/>
    <x v="2"/>
  </r>
  <r>
    <s v="ORD-01759"/>
    <x v="272"/>
    <s v="CUST-0054"/>
    <s v="PROD-043"/>
    <x v="18"/>
    <n v="9"/>
    <n v="3350"/>
    <n v="12.8"/>
    <n v="26290.799999999999"/>
    <s v="Completed"/>
    <s v="Mumbai"/>
    <x v="5"/>
    <x v="1"/>
  </r>
  <r>
    <s v="ORD-01760"/>
    <x v="61"/>
    <s v="CUST-0247"/>
    <s v="PROD-012"/>
    <x v="6"/>
    <n v="7"/>
    <n v="3160"/>
    <n v="15.3"/>
    <n v="18735.64"/>
    <s v="Completed"/>
    <s v="Pune"/>
    <x v="0"/>
    <x v="2"/>
  </r>
  <r>
    <s v="ORD-01761"/>
    <x v="49"/>
    <s v="CUST-0127"/>
    <s v="PROD-055"/>
    <x v="10"/>
    <n v="6"/>
    <n v="2860"/>
    <n v="17.5"/>
    <n v="14157"/>
    <s v="Completed"/>
    <s v="Bengaluru"/>
    <x v="1"/>
    <x v="0"/>
  </r>
  <r>
    <s v="ORD-01762"/>
    <x v="123"/>
    <s v="CUST-0030"/>
    <s v="PROD-005"/>
    <x v="9"/>
    <n v="9"/>
    <n v="300"/>
    <n v="25.2"/>
    <n v="2019.6"/>
    <s v="Completed"/>
    <s v="Bengaluru"/>
    <x v="4"/>
    <x v="1"/>
  </r>
  <r>
    <s v="ORD-01763"/>
    <x v="197"/>
    <s v="CUST-0205"/>
    <s v="PROD-060"/>
    <x v="16"/>
    <n v="5"/>
    <n v="190"/>
    <n v="1.8"/>
    <n v="932.9"/>
    <s v="Completed"/>
    <s v="Pune"/>
    <x v="1"/>
    <x v="3"/>
  </r>
  <r>
    <s v="ORD-01764"/>
    <x v="80"/>
    <s v="CUST-0172"/>
    <s v="PROD-054"/>
    <x v="13"/>
    <n v="7"/>
    <n v="1010"/>
    <n v="11.2"/>
    <n v="6278.16"/>
    <s v="Completed"/>
    <s v="Pune"/>
    <x v="1"/>
    <x v="3"/>
  </r>
  <r>
    <s v="ORD-01765"/>
    <x v="50"/>
    <s v="CUST-0283"/>
    <s v="PROD-051"/>
    <x v="19"/>
    <n v="8"/>
    <n v="3450"/>
    <n v="8.4"/>
    <n v="25281.599999999999"/>
    <s v="Completed"/>
    <s v="Delhi"/>
    <x v="1"/>
    <x v="0"/>
  </r>
  <r>
    <s v="ORD-01766"/>
    <x v="100"/>
    <s v="CUST-0005"/>
    <s v="PROD-005"/>
    <x v="19"/>
    <n v="3"/>
    <n v="300"/>
    <n v="7.5"/>
    <n v="832.5"/>
    <s v="Refunded"/>
    <s v="Chennai"/>
    <x v="4"/>
    <x v="0"/>
  </r>
  <r>
    <s v="ORD-01767"/>
    <x v="43"/>
    <s v="CUST-0095"/>
    <s v="PROD-031"/>
    <x v="26"/>
    <n v="4"/>
    <n v="3730"/>
    <n v="24.8"/>
    <n v="11219.84"/>
    <s v="Completed"/>
    <s v="Mumbai"/>
    <x v="3"/>
    <x v="3"/>
  </r>
  <r>
    <s v="ORD-01768"/>
    <x v="32"/>
    <s v="CUST-0142"/>
    <s v="PROD-058"/>
    <x v="16"/>
    <n v="5"/>
    <n v="2400"/>
    <n v="9.1999999999999993"/>
    <n v="10896"/>
    <s v="Completed"/>
    <s v="Chennai"/>
    <x v="1"/>
    <x v="3"/>
  </r>
  <r>
    <s v="ORD-01769"/>
    <x v="303"/>
    <s v="CUST-0028"/>
    <s v="PROD-021"/>
    <x v="19"/>
    <n v="3"/>
    <n v="2760"/>
    <n v="2.4"/>
    <n v="8081.28"/>
    <s v="Completed"/>
    <s v="Bengaluru"/>
    <x v="2"/>
    <x v="0"/>
  </r>
  <r>
    <s v="ORD-01770"/>
    <x v="289"/>
    <s v="CUST-0118"/>
    <s v="PROD-053"/>
    <x v="18"/>
    <n v="8"/>
    <n v="470"/>
    <n v="24.8"/>
    <n v="2827.52"/>
    <s v="Pending"/>
    <s v="Hyderabad"/>
    <x v="1"/>
    <x v="1"/>
  </r>
  <r>
    <s v="ORD-01771"/>
    <x v="142"/>
    <s v="CUST-0231"/>
    <s v="PROD-053"/>
    <x v="28"/>
    <n v="3"/>
    <n v="470"/>
    <n v="18.600000000000001"/>
    <n v="1147.74"/>
    <s v="Completed"/>
    <s v="Chennai"/>
    <x v="1"/>
    <x v="2"/>
  </r>
  <r>
    <s v="ORD-01772"/>
    <x v="228"/>
    <s v="CUST-0264"/>
    <s v="PROD-032"/>
    <x v="8"/>
    <n v="2"/>
    <n v="370"/>
    <n v="24"/>
    <n v="562.4"/>
    <s v="Completed"/>
    <s v="Pune"/>
    <x v="3"/>
    <x v="2"/>
  </r>
  <r>
    <s v="ORD-01773"/>
    <x v="90"/>
    <s v="CUST-0120"/>
    <s v="PROD-029"/>
    <x v="19"/>
    <n v="6"/>
    <n v="2210"/>
    <n v="28.3"/>
    <n v="9507.42"/>
    <s v="Cancelled"/>
    <s v="Mumbai"/>
    <x v="2"/>
    <x v="0"/>
  </r>
  <r>
    <s v="ORD-01774"/>
    <x v="0"/>
    <s v="CUST-0185"/>
    <s v="PROD-056"/>
    <x v="25"/>
    <n v="3"/>
    <n v="6940"/>
    <n v="27.2"/>
    <n v="15156.96"/>
    <s v="Refunded"/>
    <s v="Hyderabad"/>
    <x v="1"/>
    <x v="0"/>
  </r>
  <r>
    <s v="ORD-01775"/>
    <x v="318"/>
    <s v="CUST-0174"/>
    <s v="PROD-033"/>
    <x v="26"/>
    <n v="10"/>
    <n v="2030"/>
    <n v="25.6"/>
    <n v="15103.2"/>
    <s v="Completed"/>
    <s v="Pune"/>
    <x v="3"/>
    <x v="3"/>
  </r>
  <r>
    <s v="ORD-01776"/>
    <x v="80"/>
    <s v="CUST-0174"/>
    <s v="PROD-054"/>
    <x v="21"/>
    <n v="9"/>
    <n v="1010"/>
    <n v="9.3000000000000007"/>
    <n v="8244.6299999999992"/>
    <s v="Completed"/>
    <s v="Pune"/>
    <x v="1"/>
    <x v="3"/>
  </r>
  <r>
    <s v="ORD-01777"/>
    <x v="297"/>
    <s v="CUST-0084"/>
    <s v="PROD-017"/>
    <x v="25"/>
    <n v="5"/>
    <n v="2510"/>
    <n v="22.2"/>
    <n v="9763.9"/>
    <s v="Completed"/>
    <s v="Chennai"/>
    <x v="0"/>
    <x v="0"/>
  </r>
  <r>
    <s v="ORD-01778"/>
    <x v="236"/>
    <s v="CUST-0270"/>
    <s v="PROD-032"/>
    <x v="25"/>
    <n v="10"/>
    <n v="370"/>
    <n v="29"/>
    <n v="2627"/>
    <s v="Completed"/>
    <s v="Bengaluru"/>
    <x v="3"/>
    <x v="0"/>
  </r>
  <r>
    <s v="ORD-01779"/>
    <x v="210"/>
    <s v="CUST-0178"/>
    <s v="PROD-019"/>
    <x v="13"/>
    <n v="3"/>
    <n v="2480"/>
    <n v="9.6"/>
    <n v="6725.76"/>
    <s v="Completed"/>
    <s v="Hyderabad"/>
    <x v="0"/>
    <x v="3"/>
  </r>
  <r>
    <s v="ORD-01780"/>
    <x v="128"/>
    <s v="CUST-0019"/>
    <s v="PROD-010"/>
    <x v="21"/>
    <n v="3"/>
    <n v="2640"/>
    <n v="10.199999999999999"/>
    <n v="7112.16"/>
    <s v="Cancelled"/>
    <s v="Chennai"/>
    <x v="4"/>
    <x v="3"/>
  </r>
  <r>
    <s v="ORD-01781"/>
    <x v="172"/>
    <s v="CUST-0276"/>
    <s v="PROD-035"/>
    <x v="16"/>
    <n v="1"/>
    <n v="1090"/>
    <n v="21.6"/>
    <n v="854.56"/>
    <s v="Cancelled"/>
    <s v="Chennai"/>
    <x v="3"/>
    <x v="3"/>
  </r>
  <r>
    <s v="ORD-01782"/>
    <x v="38"/>
    <s v="CUST-0076"/>
    <s v="PROD-043"/>
    <x v="25"/>
    <n v="10"/>
    <n v="3350"/>
    <n v="12.1"/>
    <n v="29446.5"/>
    <s v="Completed"/>
    <s v="Mumbai"/>
    <x v="5"/>
    <x v="0"/>
  </r>
  <r>
    <s v="ORD-01783"/>
    <x v="254"/>
    <s v="CUST-0085"/>
    <s v="PROD-050"/>
    <x v="15"/>
    <n v="4"/>
    <n v="6080"/>
    <n v="26.7"/>
    <n v="17826.560000000001"/>
    <s v="Cancelled"/>
    <s v="Chennai"/>
    <x v="5"/>
    <x v="1"/>
  </r>
  <r>
    <s v="ORD-01784"/>
    <x v="332"/>
    <s v="CUST-0245"/>
    <s v="PROD-049"/>
    <x v="25"/>
    <n v="3"/>
    <n v="960"/>
    <n v="13.2"/>
    <n v="2499.84"/>
    <s v="Completed"/>
    <s v="Hyderabad"/>
    <x v="5"/>
    <x v="0"/>
  </r>
  <r>
    <s v="ORD-01785"/>
    <x v="294"/>
    <s v="CUST-0135"/>
    <s v="PROD-028"/>
    <x v="0"/>
    <n v="9"/>
    <n v="3660"/>
    <n v="9.3000000000000007"/>
    <n v="29876.58"/>
    <s v="Cancelled"/>
    <s v="Pune"/>
    <x v="2"/>
    <x v="0"/>
  </r>
  <r>
    <s v="ORD-01786"/>
    <x v="321"/>
    <s v="CUST-0224"/>
    <s v="PROD-047"/>
    <x v="7"/>
    <n v="6"/>
    <n v="3450"/>
    <n v="8.1999999999999993"/>
    <n v="19002.599999999999"/>
    <s v="Completed"/>
    <s v="Chennai"/>
    <x v="5"/>
    <x v="3"/>
  </r>
  <r>
    <s v="ORD-01787"/>
    <x v="292"/>
    <s v="CUST-0036"/>
    <s v="PROD-039"/>
    <x v="16"/>
    <n v="7"/>
    <n v="4610"/>
    <n v="10.4"/>
    <n v="28913.919999999998"/>
    <s v="Completed"/>
    <s v="Mumbai"/>
    <x v="3"/>
    <x v="3"/>
  </r>
  <r>
    <s v="ORD-01788"/>
    <x v="201"/>
    <s v="CUST-0197"/>
    <s v="PROD-057"/>
    <x v="18"/>
    <n v="2"/>
    <n v="960"/>
    <n v="16.5"/>
    <n v="1603.2"/>
    <s v="Completed"/>
    <s v="Bengaluru"/>
    <x v="1"/>
    <x v="1"/>
  </r>
  <r>
    <s v="ORD-01789"/>
    <x v="223"/>
    <s v="CUST-0111"/>
    <s v="PROD-032"/>
    <x v="12"/>
    <n v="7"/>
    <n v="370"/>
    <n v="1.4"/>
    <n v="2553.7399999999998"/>
    <s v="Refunded"/>
    <s v="Chennai"/>
    <x v="3"/>
    <x v="3"/>
  </r>
  <r>
    <s v="ORD-01790"/>
    <x v="275"/>
    <s v="CUST-0198"/>
    <s v="PROD-024"/>
    <x v="10"/>
    <n v="3"/>
    <n v="2270"/>
    <n v="12.6"/>
    <n v="5951.94"/>
    <s v="Completed"/>
    <s v="Chennai"/>
    <x v="2"/>
    <x v="0"/>
  </r>
  <r>
    <s v="ORD-00268"/>
    <x v="114"/>
    <s v="CUST-0049"/>
    <s v="PROD-036"/>
    <x v="2"/>
    <n v="1"/>
    <n v="3250"/>
    <n v="17.8"/>
    <n v="2671.5"/>
    <s v="Completed"/>
    <s v="Mumbai"/>
    <x v="3"/>
    <x v="1"/>
  </r>
  <r>
    <s v="ORD-01792"/>
    <x v="280"/>
    <s v="CUST-0029"/>
    <s v="PROD-016"/>
    <x v="26"/>
    <n v="5"/>
    <n v="620"/>
    <n v="19.399999999999999"/>
    <n v="2498.6"/>
    <s v="Pending"/>
    <s v="Chennai"/>
    <x v="0"/>
    <x v="3"/>
  </r>
  <r>
    <s v="ORD-01793"/>
    <x v="77"/>
    <s v="CUST-0018"/>
    <s v="PROD-008"/>
    <x v="1"/>
    <n v="6"/>
    <n v="2660"/>
    <n v="14.9"/>
    <n v="13581.96"/>
    <s v="Completed"/>
    <s v="Pune"/>
    <x v="4"/>
    <x v="0"/>
  </r>
  <r>
    <s v="ORD-01794"/>
    <x v="357"/>
    <s v="CUST-0007"/>
    <s v="PROD-014"/>
    <x v="19"/>
    <n v="5"/>
    <n v="3620"/>
    <n v="21"/>
    <n v="14299"/>
    <s v="Cancelled"/>
    <s v="Bengaluru"/>
    <x v="0"/>
    <x v="0"/>
  </r>
  <r>
    <s v="ORD-01795"/>
    <x v="228"/>
    <s v="CUST-0014"/>
    <s v="PROD-013"/>
    <x v="13"/>
    <n v="1"/>
    <n v="3640"/>
    <n v="15.8"/>
    <n v="3064.88"/>
    <s v="Completed"/>
    <s v="Bengaluru"/>
    <x v="0"/>
    <x v="3"/>
  </r>
  <r>
    <s v="ORD-01796"/>
    <x v="328"/>
    <s v="CUST-0215"/>
    <s v="PROD-009"/>
    <x v="0"/>
    <n v="1"/>
    <n v="1220"/>
    <n v="0.6"/>
    <n v="1212.68"/>
    <s v="Refunded"/>
    <s v="Hyderabad"/>
    <x v="4"/>
    <x v="0"/>
  </r>
  <r>
    <s v="ORD-01797"/>
    <x v="154"/>
    <s v="CUST-0056"/>
    <s v="PROD-019"/>
    <x v="25"/>
    <n v="10"/>
    <n v="2480"/>
    <n v="0.6"/>
    <n v="24651.200000000001"/>
    <s v="Completed"/>
    <s v="Bengaluru"/>
    <x v="0"/>
    <x v="0"/>
  </r>
  <r>
    <s v="ORD-01798"/>
    <x v="287"/>
    <s v="CUST-0231"/>
    <s v="PROD-044"/>
    <x v="28"/>
    <n v="9"/>
    <n v="1650"/>
    <n v="26.8"/>
    <n v="10870.2"/>
    <s v="Completed"/>
    <s v="Chennai"/>
    <x v="5"/>
    <x v="2"/>
  </r>
  <r>
    <s v="ORD-01799"/>
    <x v="9"/>
    <s v="CUST-0138"/>
    <s v="PROD-045"/>
    <x v="4"/>
    <n v="10"/>
    <n v="3020"/>
    <n v="2.6"/>
    <n v="29414.799999999999"/>
    <s v="Completed"/>
    <s v="Chennai"/>
    <x v="5"/>
    <x v="0"/>
  </r>
  <r>
    <s v="ORD-01800"/>
    <x v="227"/>
    <s v="CUST-0007"/>
    <s v="PROD-011"/>
    <x v="2"/>
    <n v="5"/>
    <n v="3450"/>
    <n v="25.3"/>
    <n v="12885.75"/>
    <s v="Completed"/>
    <s v="Bengaluru"/>
    <x v="0"/>
    <x v="1"/>
  </r>
  <r>
    <s v="ORD-01801"/>
    <x v="136"/>
    <s v="CUST-0118"/>
    <s v="PROD-009"/>
    <x v="7"/>
    <n v="7"/>
    <n v="1220"/>
    <n v="13.1"/>
    <n v="7421.26"/>
    <s v="Completed"/>
    <s v="Hyderabad"/>
    <x v="4"/>
    <x v="3"/>
  </r>
  <r>
    <s v="ORD-01802"/>
    <x v="344"/>
    <s v="CUST-0064"/>
    <s v="PROD-027"/>
    <x v="1"/>
    <n v="10"/>
    <n v="3780"/>
    <n v="23.7"/>
    <n v="28841.4"/>
    <s v="Completed"/>
    <s v="Hyderabad"/>
    <x v="2"/>
    <x v="0"/>
  </r>
  <r>
    <s v="ORD-01803"/>
    <x v="171"/>
    <s v="CUST-0298"/>
    <s v="PROD-008"/>
    <x v="25"/>
    <n v="8"/>
    <n v="2660"/>
    <n v="16.100000000000001"/>
    <n v="17853.919999999998"/>
    <s v="Completed"/>
    <s v="Delhi"/>
    <x v="4"/>
    <x v="0"/>
  </r>
  <r>
    <s v="ORD-01804"/>
    <x v="200"/>
    <s v="CUST-0020"/>
    <s v="PROD-035"/>
    <x v="4"/>
    <n v="6"/>
    <n v="1090"/>
    <n v="20"/>
    <n v="5232"/>
    <s v="Pending"/>
    <s v="Hyderabad"/>
    <x v="3"/>
    <x v="0"/>
  </r>
  <r>
    <s v="ORD-01805"/>
    <x v="258"/>
    <s v="CUST-9725"/>
    <s v="PROD-037"/>
    <x v="29"/>
    <n v="2"/>
    <n v="660"/>
    <n v="18.7"/>
    <n v="1073.1600000000001"/>
    <s v="Completed"/>
    <s v="Mumbai"/>
    <x v="3"/>
    <x v="1"/>
  </r>
  <r>
    <s v="ORD-01806"/>
    <x v="10"/>
    <s v="CUST-0063"/>
    <s v="PROD-035"/>
    <x v="15"/>
    <n v="7"/>
    <n v="1090"/>
    <n v="19.399999999999999"/>
    <n v="6149.78"/>
    <s v="Pending"/>
    <s v="Mumbai"/>
    <x v="3"/>
    <x v="1"/>
  </r>
  <r>
    <s v="ORD-01807"/>
    <x v="335"/>
    <s v="CUST-0193"/>
    <s v="PROD-029"/>
    <x v="15"/>
    <n v="3"/>
    <n v="2210"/>
    <n v="11"/>
    <n v="5900.7"/>
    <s v="Completed"/>
    <s v="Bengaluru"/>
    <x v="2"/>
    <x v="1"/>
  </r>
  <r>
    <s v="ORD-01808"/>
    <x v="103"/>
    <s v="CUST-0142"/>
    <s v="PROD-006"/>
    <x v="20"/>
    <n v="2"/>
    <n v="3970"/>
    <n v="24.9"/>
    <n v="5962.94"/>
    <s v="Completed"/>
    <s v="Chennai"/>
    <x v="4"/>
    <x v="2"/>
  </r>
  <r>
    <s v="ORD-01809"/>
    <x v="210"/>
    <s v="CUST-0264"/>
    <s v="PROD-039"/>
    <x v="13"/>
    <n v="7"/>
    <n v="4610"/>
    <n v="6.3"/>
    <n v="30236.99"/>
    <s v="Completed"/>
    <s v="Pune"/>
    <x v="3"/>
    <x v="3"/>
  </r>
  <r>
    <s v="ORD-01810"/>
    <x v="210"/>
    <s v="CUST-0121"/>
    <s v="PROD-049"/>
    <x v="17"/>
    <n v="10"/>
    <n v="960"/>
    <n v="14.6"/>
    <n v="8198.4"/>
    <s v="Completed"/>
    <s v="Delhi"/>
    <x v="5"/>
    <x v="2"/>
  </r>
  <r>
    <s v="ORD-01811"/>
    <x v="77"/>
    <s v="CUST-0152"/>
    <s v="PROD-045"/>
    <x v="29"/>
    <n v="8"/>
    <n v="3020"/>
    <n v="14.5"/>
    <n v="20656.8"/>
    <s v="Completed"/>
    <s v="Bengaluru"/>
    <x v="5"/>
    <x v="1"/>
  </r>
  <r>
    <s v="ORD-01812"/>
    <x v="98"/>
    <s v="CUST-0008"/>
    <s v="PROD-019"/>
    <x v="17"/>
    <n v="7"/>
    <n v="2480"/>
    <n v="17.3"/>
    <n v="14356.72"/>
    <s v="Completed"/>
    <s v="Pune"/>
    <x v="0"/>
    <x v="2"/>
  </r>
  <r>
    <s v="ORD-01813"/>
    <x v="259"/>
    <s v="CUST-0285"/>
    <s v="PROD-004"/>
    <x v="22"/>
    <n v="10"/>
    <n v="3870"/>
    <n v="22.4"/>
    <n v="30031.200000000001"/>
    <s v="Pending"/>
    <s v="Hyderabad"/>
    <x v="4"/>
    <x v="1"/>
  </r>
  <r>
    <s v="ORD-01814"/>
    <x v="317"/>
    <s v="CUST-0072"/>
    <s v="PROD-037"/>
    <x v="24"/>
    <n v="6"/>
    <n v="660"/>
    <n v="27.3"/>
    <n v="2878.92"/>
    <s v="Completed"/>
    <s v="Mumbai"/>
    <x v="3"/>
    <x v="3"/>
  </r>
  <r>
    <s v="ORD-01815"/>
    <x v="188"/>
    <s v="CUST-9630"/>
    <s v="PROD-004"/>
    <x v="17"/>
    <n v="3"/>
    <n v="3870"/>
    <n v="7.6"/>
    <n v="10727.64"/>
    <s v="Cancelled"/>
    <s v="Chennai"/>
    <x v="4"/>
    <x v="2"/>
  </r>
  <r>
    <s v="ORD-01816"/>
    <x v="176"/>
    <s v="CUST-0243"/>
    <s v="PROD-019"/>
    <x v="3"/>
    <n v="10"/>
    <n v="2480"/>
    <n v="21.5"/>
    <n v="19468"/>
    <s v="Pending"/>
    <s v="Pune"/>
    <x v="0"/>
    <x v="0"/>
  </r>
  <r>
    <s v="ORD-01817"/>
    <x v="175"/>
    <s v="CUST-0231"/>
    <s v="PROD-010"/>
    <x v="19"/>
    <n v="8"/>
    <n v="2640"/>
    <n v="22.3"/>
    <n v="16410.240000000002"/>
    <s v="Completed"/>
    <s v="Chennai"/>
    <x v="4"/>
    <x v="0"/>
  </r>
  <r>
    <s v="ORD-01818"/>
    <x v="115"/>
    <s v="CUST-0229"/>
    <s v="PROD-030"/>
    <x v="19"/>
    <n v="8"/>
    <n v="970"/>
    <n v="13.1"/>
    <n v="6743.44"/>
    <s v="Completed"/>
    <s v="Hyderabad"/>
    <x v="2"/>
    <x v="0"/>
  </r>
  <r>
    <s v="ORD-01819"/>
    <x v="104"/>
    <s v="CUST-0218"/>
    <s v="PROD-057"/>
    <x v="19"/>
    <n v="6"/>
    <n v="960"/>
    <n v="3.2"/>
    <n v="5575.68"/>
    <s v="Completed"/>
    <s v="Mumbai"/>
    <x v="1"/>
    <x v="0"/>
  </r>
  <r>
    <s v="ORD-01820"/>
    <x v="277"/>
    <s v="CUST-0015"/>
    <s v="PROD-033"/>
    <x v="4"/>
    <n v="9"/>
    <n v="2030"/>
    <n v="12.6"/>
    <n v="15967.98"/>
    <s v="Cancelled"/>
    <s v="Chennai"/>
    <x v="3"/>
    <x v="0"/>
  </r>
  <r>
    <s v="ORD-01821"/>
    <x v="244"/>
    <s v="CUST-0291"/>
    <s v="PROD-042"/>
    <x v="6"/>
    <n v="10"/>
    <n v="2290"/>
    <n v="22.2"/>
    <n v="17816.2"/>
    <s v="Completed"/>
    <s v="Pune"/>
    <x v="5"/>
    <x v="2"/>
  </r>
  <r>
    <s v="ORD-01822"/>
    <x v="41"/>
    <s v="CUST-0276"/>
    <s v="PROD-020"/>
    <x v="28"/>
    <n v="7"/>
    <n v="820"/>
    <n v="6.4"/>
    <n v="5372.64"/>
    <s v="Refunded"/>
    <s v="Chennai"/>
    <x v="0"/>
    <x v="2"/>
  </r>
  <r>
    <s v="ORD-01823"/>
    <x v="105"/>
    <s v="CUST-0139"/>
    <s v="PROD-040"/>
    <x v="14"/>
    <n v="5"/>
    <n v="1080"/>
    <n v="6"/>
    <n v="5076"/>
    <s v="Completed"/>
    <s v="Hyderabad"/>
    <x v="3"/>
    <x v="2"/>
  </r>
  <r>
    <s v="ORD-01824"/>
    <x v="202"/>
    <s v="CUST-0087"/>
    <s v="PROD-060"/>
    <x v="8"/>
    <n v="4"/>
    <n v="190"/>
    <n v="6.3"/>
    <n v="712.12"/>
    <s v="Refunded"/>
    <s v="Pune"/>
    <x v="1"/>
    <x v="2"/>
  </r>
  <r>
    <s v="ORD-01825"/>
    <x v="158"/>
    <s v="CUST-0203"/>
    <s v="PROD-017"/>
    <x v="20"/>
    <n v="6"/>
    <n v="2510"/>
    <n v="11.5"/>
    <n v="13328.1"/>
    <s v="Completed"/>
    <s v="Chennai"/>
    <x v="0"/>
    <x v="2"/>
  </r>
  <r>
    <s v="ORD-01826"/>
    <x v="193"/>
    <s v="CUST-0180"/>
    <s v="PROD-018"/>
    <x v="15"/>
    <n v="2"/>
    <n v="3560"/>
    <n v="10.5"/>
    <n v="6372.4"/>
    <s v="Completed"/>
    <s v="Chennai"/>
    <x v="0"/>
    <x v="1"/>
  </r>
  <r>
    <s v="ORD-01827"/>
    <x v="361"/>
    <s v="CUST-0130"/>
    <s v="PROD-020"/>
    <x v="22"/>
    <n v="3"/>
    <n v="820"/>
    <n v="13"/>
    <n v="2140.1999999999998"/>
    <s v="Cancelled"/>
    <s v="Bengaluru"/>
    <x v="0"/>
    <x v="1"/>
  </r>
  <r>
    <s v="ORD-01828"/>
    <x v="66"/>
    <s v="CUST-0049"/>
    <s v="PROD-013"/>
    <x v="11"/>
    <n v="6"/>
    <n v="3640"/>
    <n v="14"/>
    <n v="18782.400000000001"/>
    <s v="Completed"/>
    <s v="Mumbai"/>
    <x v="0"/>
    <x v="0"/>
  </r>
  <r>
    <s v="ORD-01829"/>
    <x v="43"/>
    <s v="CUST-0182"/>
    <s v="PROD-028"/>
    <x v="7"/>
    <n v="5"/>
    <n v="3660"/>
    <n v="28.7"/>
    <n v="13047.9"/>
    <s v="Completed"/>
    <s v="Mumbai"/>
    <x v="2"/>
    <x v="3"/>
  </r>
  <r>
    <s v="ORD-01830"/>
    <x v="126"/>
    <s v="CUST-0291"/>
    <s v="PROD-055"/>
    <x v="14"/>
    <n v="2"/>
    <n v="2860"/>
    <n v="21.1"/>
    <n v="4513.08"/>
    <s v="Completed"/>
    <s v="Pune"/>
    <x v="1"/>
    <x v="2"/>
  </r>
  <r>
    <s v="ORD-01831"/>
    <x v="214"/>
    <s v="CUST-0167"/>
    <s v="PROD-015"/>
    <x v="7"/>
    <n v="1"/>
    <n v="2720"/>
    <n v="22.1"/>
    <n v="2118.88"/>
    <s v="Completed"/>
    <s v="Delhi"/>
    <x v="0"/>
    <x v="3"/>
  </r>
  <r>
    <s v="ORD-01832"/>
    <x v="142"/>
    <s v="CUST-0223"/>
    <s v="PROD-055"/>
    <x v="10"/>
    <n v="6"/>
    <n v="2860"/>
    <n v="10.5"/>
    <n v="15358.2"/>
    <s v="Cancelled"/>
    <s v="Bengaluru"/>
    <x v="1"/>
    <x v="0"/>
  </r>
  <r>
    <s v="ORD-01833"/>
    <x v="359"/>
    <s v="CUST-0050"/>
    <s v="PROD-017"/>
    <x v="16"/>
    <n v="1"/>
    <n v="2510"/>
    <n v="12"/>
    <n v="2208.8000000000002"/>
    <s v="Completed"/>
    <s v="Mumbai"/>
    <x v="0"/>
    <x v="3"/>
  </r>
  <r>
    <s v="ORD-01834"/>
    <x v="106"/>
    <s v="CUST-0242"/>
    <s v="PROD-017"/>
    <x v="16"/>
    <n v="4"/>
    <n v="2510"/>
    <n v="23.2"/>
    <n v="7710.72"/>
    <s v="Completed"/>
    <s v="Chennai"/>
    <x v="0"/>
    <x v="3"/>
  </r>
  <r>
    <s v="ORD-01835"/>
    <x v="122"/>
    <s v="CUST-0144"/>
    <s v="PROD-049"/>
    <x v="1"/>
    <n v="8"/>
    <n v="960"/>
    <n v="20.3"/>
    <n v="6120.96"/>
    <s v="Pending"/>
    <s v="Chennai"/>
    <x v="5"/>
    <x v="0"/>
  </r>
  <r>
    <s v="ORD-01836"/>
    <x v="5"/>
    <s v="CUST-0140"/>
    <s v="PROD-038"/>
    <x v="9"/>
    <n v="3"/>
    <n v="5490"/>
    <n v="25.2"/>
    <n v="12319.56"/>
    <s v="Completed"/>
    <s v="Hyderabad"/>
    <x v="3"/>
    <x v="1"/>
  </r>
  <r>
    <s v="ORD-01837"/>
    <x v="262"/>
    <s v="CUST-0174"/>
    <s v="PROD-017"/>
    <x v="3"/>
    <n v="2"/>
    <n v="2510"/>
    <n v="28.2"/>
    <n v="3604.36"/>
    <s v="Completed"/>
    <s v="Pune"/>
    <x v="0"/>
    <x v="0"/>
  </r>
  <r>
    <s v="ORD-01838"/>
    <x v="194"/>
    <s v="CUST-0290"/>
    <s v="PROD-020"/>
    <x v="23"/>
    <n v="1"/>
    <n v="820"/>
    <n v="4.7"/>
    <n v="781.46"/>
    <s v="Completed"/>
    <s v="Delhi"/>
    <x v="0"/>
    <x v="1"/>
  </r>
  <r>
    <s v="ORD-01839"/>
    <x v="99"/>
    <s v="CUST-0170"/>
    <s v="PROD-005"/>
    <x v="26"/>
    <n v="6"/>
    <n v="300"/>
    <n v="13.3"/>
    <n v="1560.6"/>
    <s v="Completed"/>
    <s v="Mumbai"/>
    <x v="4"/>
    <x v="3"/>
  </r>
  <r>
    <s v="ORD-01840"/>
    <x v="155"/>
    <s v="CUST-0180"/>
    <s v="PROD-043"/>
    <x v="29"/>
    <n v="4"/>
    <n v="3350"/>
    <n v="5.8"/>
    <n v="12622.8"/>
    <s v="Pending"/>
    <s v="Chennai"/>
    <x v="5"/>
    <x v="1"/>
  </r>
  <r>
    <s v="ORD-01841"/>
    <x v="150"/>
    <s v="CUST-0286"/>
    <s v="PROD-036"/>
    <x v="5"/>
    <n v="3"/>
    <n v="3250"/>
    <n v="19.600000000000001"/>
    <n v="7839"/>
    <s v="Pending"/>
    <s v="Delhi"/>
    <x v="3"/>
    <x v="2"/>
  </r>
  <r>
    <s v="ORD-01842"/>
    <x v="112"/>
    <s v="CUST-0056"/>
    <s v="PROD-044"/>
    <x v="28"/>
    <n v="10"/>
    <n v="1650"/>
    <n v="22.5"/>
    <n v="12787.5"/>
    <s v="Cancelled"/>
    <s v="Bengaluru"/>
    <x v="5"/>
    <x v="2"/>
  </r>
  <r>
    <s v="ORD-01843"/>
    <x v="47"/>
    <s v="CUST-0292"/>
    <s v="PROD-009"/>
    <x v="17"/>
    <n v="2"/>
    <n v="1220"/>
    <n v="10.5"/>
    <n v="2183.8000000000002"/>
    <s v="Completed"/>
    <s v="Bengaluru"/>
    <x v="4"/>
    <x v="2"/>
  </r>
  <r>
    <s v="ORD-01844"/>
    <x v="126"/>
    <s v="CUST-0020"/>
    <s v="PROD-049"/>
    <x v="17"/>
    <n v="7"/>
    <n v="960"/>
    <n v="5.4"/>
    <n v="6357.12"/>
    <s v="Refunded"/>
    <s v="Hyderabad"/>
    <x v="5"/>
    <x v="2"/>
  </r>
  <r>
    <s v="ORD-01845"/>
    <x v="44"/>
    <s v="CUST-0089"/>
    <s v="PROD-046"/>
    <x v="2"/>
    <n v="3"/>
    <n v="4880"/>
    <n v="17.100000000000001"/>
    <n v="12136.56"/>
    <s v="Completed"/>
    <s v="Mumbai"/>
    <x v="5"/>
    <x v="1"/>
  </r>
  <r>
    <s v="ORD-01846"/>
    <x v="69"/>
    <s v="CUST-0242"/>
    <s v="PROD-024"/>
    <x v="8"/>
    <n v="5"/>
    <n v="2270"/>
    <n v="12.4"/>
    <n v="9942.6"/>
    <s v="Completed"/>
    <s v="Chennai"/>
    <x v="2"/>
    <x v="2"/>
  </r>
  <r>
    <s v="ORD-01847"/>
    <x v="3"/>
    <s v="CUST-0249"/>
    <s v="PROD-035"/>
    <x v="8"/>
    <n v="1"/>
    <n v="1090"/>
    <n v="17.3"/>
    <n v="901.43"/>
    <s v="Completed"/>
    <s v="Mumbai"/>
    <x v="3"/>
    <x v="2"/>
  </r>
  <r>
    <s v="ORD-01848"/>
    <x v="275"/>
    <s v="CUST-0032"/>
    <s v="PROD-034"/>
    <x v="20"/>
    <n v="8"/>
    <n v="5080"/>
    <n v="0.9"/>
    <n v="40274.239999999998"/>
    <s v="Completed"/>
    <s v="Hyderabad"/>
    <x v="3"/>
    <x v="2"/>
  </r>
  <r>
    <s v="ORD-01849"/>
    <x v="28"/>
    <s v="CUST-0217"/>
    <s v="PROD-039"/>
    <x v="21"/>
    <n v="7"/>
    <n v="4610"/>
    <n v="0.9"/>
    <n v="31979.57"/>
    <s v="Completed"/>
    <s v="Pune"/>
    <x v="3"/>
    <x v="3"/>
  </r>
  <r>
    <s v="ORD-01850"/>
    <x v="159"/>
    <s v="CUST-0284"/>
    <s v="PROD-045"/>
    <x v="8"/>
    <n v="1"/>
    <n v="3020"/>
    <n v="10.3"/>
    <n v="2708.94"/>
    <s v="Completed"/>
    <s v="Hyderabad"/>
    <x v="5"/>
    <x v="2"/>
  </r>
  <r>
    <s v="ORD-01851"/>
    <x v="99"/>
    <s v="CUST-0167"/>
    <s v="PROD-022"/>
    <x v="8"/>
    <n v="6"/>
    <n v="2270"/>
    <n v="23.1"/>
    <n v="10473.780000000001"/>
    <s v="Completed"/>
    <s v="Delhi"/>
    <x v="2"/>
    <x v="2"/>
  </r>
  <r>
    <s v="ORD-01852"/>
    <x v="150"/>
    <s v="CUST-0008"/>
    <s v="PROD-026"/>
    <x v="9"/>
    <n v="6"/>
    <n v="4070"/>
    <n v="28.9"/>
    <n v="17362.62"/>
    <s v="Completed"/>
    <s v="Pune"/>
    <x v="2"/>
    <x v="1"/>
  </r>
  <r>
    <s v="ORD-01853"/>
    <x v="181"/>
    <s v="CUST-0277"/>
    <s v="PROD-009"/>
    <x v="21"/>
    <n v="5"/>
    <n v="1220"/>
    <n v="18.7"/>
    <n v="4959.3"/>
    <s v="Completed"/>
    <s v="Chennai"/>
    <x v="4"/>
    <x v="3"/>
  </r>
  <r>
    <s v="ORD-01854"/>
    <x v="249"/>
    <s v="CUST-0025"/>
    <s v="PROD-019"/>
    <x v="6"/>
    <n v="8"/>
    <n v="2480"/>
    <n v="3.2"/>
    <n v="19205.12"/>
    <s v="Cancelled"/>
    <s v="Bengaluru"/>
    <x v="0"/>
    <x v="2"/>
  </r>
  <r>
    <s v="ORD-01855"/>
    <x v="211"/>
    <s v="CUST-0228"/>
    <s v="PROD-055"/>
    <x v="0"/>
    <n v="7"/>
    <n v="2860"/>
    <n v="8.4"/>
    <n v="18338.32"/>
    <s v="Completed"/>
    <s v="Pune"/>
    <x v="1"/>
    <x v="0"/>
  </r>
  <r>
    <s v="ORD-01856"/>
    <x v="13"/>
    <s v="CUST-0078"/>
    <s v="PROD-027"/>
    <x v="6"/>
    <n v="1"/>
    <n v="3780"/>
    <n v="16.3"/>
    <n v="3163.86"/>
    <s v="Cancelled"/>
    <s v="Delhi"/>
    <x v="2"/>
    <x v="2"/>
  </r>
  <r>
    <s v="ORD-01857"/>
    <x v="172"/>
    <s v="CUST-0205"/>
    <s v="PROD-055"/>
    <x v="5"/>
    <n v="6"/>
    <n v="2860"/>
    <n v="10.7"/>
    <n v="15323.88"/>
    <s v="Completed"/>
    <s v="Pune"/>
    <x v="1"/>
    <x v="2"/>
  </r>
  <r>
    <s v="ORD-01858"/>
    <x v="325"/>
    <s v="CUST-0044"/>
    <s v="PROD-058"/>
    <x v="28"/>
    <n v="3"/>
    <n v="2400"/>
    <n v="20.7"/>
    <n v="5709.6"/>
    <s v="Completed"/>
    <s v="Hyderabad"/>
    <x v="1"/>
    <x v="2"/>
  </r>
  <r>
    <s v="ORD-01859"/>
    <x v="259"/>
    <s v="CUST-0188"/>
    <s v="PROD-023"/>
    <x v="5"/>
    <n v="8"/>
    <n v="2380"/>
    <n v="22.3"/>
    <n v="14794.08"/>
    <s v="Refunded"/>
    <s v="Bengaluru"/>
    <x v="2"/>
    <x v="2"/>
  </r>
  <r>
    <s v="ORD-01860"/>
    <x v="80"/>
    <s v="CUST-0165"/>
    <s v="PROD-048"/>
    <x v="3"/>
    <n v="7"/>
    <n v="5100"/>
    <n v="22.9"/>
    <n v="27524.7"/>
    <s v="Cancelled"/>
    <s v="Pune"/>
    <x v="5"/>
    <x v="0"/>
  </r>
  <r>
    <s v="ORD-01861"/>
    <x v="113"/>
    <s v="CUST-0059"/>
    <s v="PROD-005"/>
    <x v="15"/>
    <n v="7"/>
    <n v="300"/>
    <n v="15.3"/>
    <n v="1778.7"/>
    <s v="Completed"/>
    <s v="Pune"/>
    <x v="4"/>
    <x v="1"/>
  </r>
  <r>
    <s v="ORD-01862"/>
    <x v="49"/>
    <s v="CUST-0280"/>
    <s v="PROD-051"/>
    <x v="9"/>
    <n v="5"/>
    <n v="3450"/>
    <n v="16.8"/>
    <n v="14352"/>
    <s v="Completed"/>
    <s v="Delhi"/>
    <x v="1"/>
    <x v="1"/>
  </r>
  <r>
    <s v="ORD-01863"/>
    <x v="287"/>
    <s v="CUST-0153"/>
    <s v="PROD-055"/>
    <x v="2"/>
    <n v="4"/>
    <n v="2860"/>
    <n v="14.3"/>
    <n v="9804.08"/>
    <s v="Completed"/>
    <s v="Mumbai"/>
    <x v="1"/>
    <x v="1"/>
  </r>
  <r>
    <s v="ORD-01864"/>
    <x v="180"/>
    <s v="CUST-0251"/>
    <s v="PROD-015"/>
    <x v="19"/>
    <n v="6"/>
    <n v="2720"/>
    <n v="25.1"/>
    <n v="12223.68"/>
    <s v="Cancelled"/>
    <s v="Mumbai"/>
    <x v="0"/>
    <x v="0"/>
  </r>
  <r>
    <s v="ORD-01865"/>
    <x v="335"/>
    <s v="CUST-0255"/>
    <s v="PROD-031"/>
    <x v="8"/>
    <n v="3"/>
    <n v="3730"/>
    <n v="24.8"/>
    <n v="8414.8799999999992"/>
    <s v="Completed"/>
    <s v="Chennai"/>
    <x v="3"/>
    <x v="2"/>
  </r>
  <r>
    <s v="ORD-01866"/>
    <x v="83"/>
    <s v="CUST-0076"/>
    <s v="PROD-025"/>
    <x v="25"/>
    <n v="2"/>
    <n v="4060"/>
    <n v="11.3"/>
    <n v="7202.44"/>
    <s v="Completed"/>
    <s v="Mumbai"/>
    <x v="2"/>
    <x v="0"/>
  </r>
  <r>
    <s v="ORD-01867"/>
    <x v="146"/>
    <s v="CUST-0195"/>
    <s v="PROD-042"/>
    <x v="26"/>
    <n v="6"/>
    <n v="2290"/>
    <n v="26.8"/>
    <n v="10057.68"/>
    <s v="Refunded"/>
    <s v="Bengaluru"/>
    <x v="5"/>
    <x v="3"/>
  </r>
  <r>
    <s v="ORD-01868"/>
    <x v="196"/>
    <s v="CUST-0164"/>
    <s v="PROD-056"/>
    <x v="22"/>
    <n v="1"/>
    <n v="6940"/>
    <n v="15.7"/>
    <n v="5850.42"/>
    <s v="Completed"/>
    <s v="Chennai"/>
    <x v="1"/>
    <x v="1"/>
  </r>
  <r>
    <s v="ORD-01869"/>
    <x v="235"/>
    <s v="CUST-0239"/>
    <s v="PROD-031"/>
    <x v="18"/>
    <n v="3"/>
    <n v="3730"/>
    <n v="18.100000000000001"/>
    <n v="9164.61"/>
    <s v="Completed"/>
    <s v="Mumbai"/>
    <x v="3"/>
    <x v="1"/>
  </r>
  <r>
    <s v="ORD-01870"/>
    <x v="72"/>
    <s v="CUST-0133"/>
    <s v="PROD-031"/>
    <x v="25"/>
    <n v="8"/>
    <n v="3730"/>
    <n v="12.5"/>
    <n v="26110"/>
    <s v="Completed"/>
    <s v="Chennai"/>
    <x v="3"/>
    <x v="0"/>
  </r>
  <r>
    <s v="ORD-01871"/>
    <x v="128"/>
    <s v="CUST-0286"/>
    <s v="PROD-023"/>
    <x v="15"/>
    <n v="9"/>
    <n v="2380"/>
    <n v="8.1"/>
    <n v="19684.98"/>
    <s v="Cancelled"/>
    <s v="Delhi"/>
    <x v="2"/>
    <x v="1"/>
  </r>
  <r>
    <s v="ORD-01872"/>
    <x v="206"/>
    <s v="CUST-0122"/>
    <s v="PROD-040"/>
    <x v="25"/>
    <n v="6"/>
    <n v="1080"/>
    <n v="8.8000000000000007"/>
    <n v="5909.76"/>
    <s v="Completed"/>
    <s v="Mumbai"/>
    <x v="3"/>
    <x v="0"/>
  </r>
  <r>
    <s v="ORD-01712"/>
    <x v="24"/>
    <s v="CUST-0285"/>
    <s v="PROD-053"/>
    <x v="22"/>
    <n v="5"/>
    <n v="470"/>
    <n v="1.3"/>
    <n v="2319.4499999999998"/>
    <s v="Completed"/>
    <s v="Hyderabad"/>
    <x v="1"/>
    <x v="1"/>
  </r>
  <r>
    <s v="ORD-01874"/>
    <x v="340"/>
    <s v="CUST-0174"/>
    <s v="PROD-032"/>
    <x v="17"/>
    <n v="4"/>
    <n v="370"/>
    <n v="13.1"/>
    <n v="1286.1199999999999"/>
    <s v="Completed"/>
    <s v="Pune"/>
    <x v="3"/>
    <x v="2"/>
  </r>
  <r>
    <s v="ORD-01875"/>
    <x v="25"/>
    <s v="CUST-0115"/>
    <s v="PROD-012"/>
    <x v="0"/>
    <n v="7"/>
    <n v="3160"/>
    <n v="12.3"/>
    <n v="19399.240000000002"/>
    <s v="Completed"/>
    <s v="Mumbai"/>
    <x v="0"/>
    <x v="0"/>
  </r>
  <r>
    <s v="ORD-01876"/>
    <x v="218"/>
    <s v="CUST-0028"/>
    <s v="PROD-018"/>
    <x v="6"/>
    <n v="5"/>
    <n v="3560"/>
    <n v="24"/>
    <n v="13528"/>
    <s v="Completed"/>
    <s v="Bengaluru"/>
    <x v="0"/>
    <x v="2"/>
  </r>
  <r>
    <s v="ORD-01877"/>
    <x v="53"/>
    <s v="CUST-0111"/>
    <s v="PROD-033"/>
    <x v="13"/>
    <n v="6"/>
    <n v="2030"/>
    <n v="20.5"/>
    <n v="9683.1"/>
    <s v="Completed"/>
    <s v="Chennai"/>
    <x v="3"/>
    <x v="3"/>
  </r>
  <r>
    <s v="ORD-01878"/>
    <x v="116"/>
    <s v="CUST-0240"/>
    <s v="PROD-010"/>
    <x v="26"/>
    <n v="5"/>
    <n v="2640"/>
    <n v="21.3"/>
    <n v="10388.4"/>
    <s v="Pending"/>
    <s v="Chennai"/>
    <x v="4"/>
    <x v="3"/>
  </r>
  <r>
    <s v="ORD-01879"/>
    <x v="98"/>
    <s v="CUST-0222"/>
    <s v="PROD-022"/>
    <x v="25"/>
    <n v="4"/>
    <n v="2270"/>
    <n v="15.8"/>
    <n v="7645.36"/>
    <s v="Completed"/>
    <s v="Chennai"/>
    <x v="2"/>
    <x v="0"/>
  </r>
  <r>
    <s v="ORD-01880"/>
    <x v="276"/>
    <s v="CUST-0251"/>
    <s v="PROD-032"/>
    <x v="25"/>
    <n v="1"/>
    <n v="370"/>
    <n v="27"/>
    <n v="270.10000000000002"/>
    <s v="Pending"/>
    <s v="Mumbai"/>
    <x v="3"/>
    <x v="0"/>
  </r>
  <r>
    <s v="ORD-01881"/>
    <x v="250"/>
    <s v="CUST-0203"/>
    <s v="PROD-048"/>
    <x v="21"/>
    <n v="9"/>
    <n v="5100"/>
    <n v="2.4"/>
    <n v="44798.400000000001"/>
    <s v="Completed"/>
    <s v="Chennai"/>
    <x v="5"/>
    <x v="3"/>
  </r>
  <r>
    <s v="ORD-01882"/>
    <x v="94"/>
    <s v="CUST-0285"/>
    <s v="PROD-032"/>
    <x v="12"/>
    <n v="6"/>
    <n v="370"/>
    <n v="18.7"/>
    <n v="1804.86"/>
    <s v="Cancelled"/>
    <s v="Hyderabad"/>
    <x v="3"/>
    <x v="3"/>
  </r>
  <r>
    <s v="ORD-01883"/>
    <x v="57"/>
    <s v="CUST-0135"/>
    <s v="PROD-030"/>
    <x v="10"/>
    <n v="6"/>
    <n v="970"/>
    <n v="21.6"/>
    <n v="4562.88"/>
    <s v="Completed"/>
    <s v="Pune"/>
    <x v="2"/>
    <x v="0"/>
  </r>
  <r>
    <s v="ORD-01884"/>
    <x v="81"/>
    <s v="CUST-9967"/>
    <s v="PROD-029"/>
    <x v="20"/>
    <n v="3"/>
    <n v="2210"/>
    <n v="8.5"/>
    <n v="6066.45"/>
    <s v="Completed"/>
    <s v="Delhi"/>
    <x v="2"/>
    <x v="2"/>
  </r>
  <r>
    <s v="ORD-01885"/>
    <x v="136"/>
    <s v="CUST-0096"/>
    <s v="PROD-044"/>
    <x v="25"/>
    <n v="1"/>
    <n v="1650"/>
    <n v="19.7"/>
    <n v="1324.95"/>
    <s v="Completed"/>
    <s v="Delhi"/>
    <x v="5"/>
    <x v="0"/>
  </r>
  <r>
    <s v="ORD-01886"/>
    <x v="178"/>
    <s v="CUST-0266"/>
    <s v="PROD-056"/>
    <x v="11"/>
    <n v="5"/>
    <n v="6940"/>
    <n v="7.7"/>
    <n v="32028.1"/>
    <s v="Completed"/>
    <s v="Pune"/>
    <x v="1"/>
    <x v="0"/>
  </r>
  <r>
    <s v="ORD-01887"/>
    <x v="40"/>
    <s v="CUST-0059"/>
    <s v="PROD-029"/>
    <x v="24"/>
    <n v="2"/>
    <n v="2210"/>
    <n v="5.6"/>
    <n v="4172.4799999999996"/>
    <s v="Cancelled"/>
    <s v="Pune"/>
    <x v="2"/>
    <x v="3"/>
  </r>
  <r>
    <s v="ORD-01888"/>
    <x v="82"/>
    <s v="CUST-0094"/>
    <s v="PROD-002"/>
    <x v="2"/>
    <n v="9"/>
    <n v="2600"/>
    <n v="3.1"/>
    <n v="22674.6"/>
    <s v="Completed"/>
    <s v="Pune"/>
    <x v="4"/>
    <x v="1"/>
  </r>
  <r>
    <s v="ORD-01889"/>
    <x v="315"/>
    <s v="CUST-0254"/>
    <s v="PROD-059"/>
    <x v="11"/>
    <n v="7"/>
    <n v="3780"/>
    <n v="13.3"/>
    <n v="22940.82"/>
    <s v="Completed"/>
    <s v="Bengaluru"/>
    <x v="1"/>
    <x v="0"/>
  </r>
  <r>
    <s v="ORD-01890"/>
    <x v="356"/>
    <s v="CUST-0022"/>
    <s v="PROD-058"/>
    <x v="22"/>
    <n v="4"/>
    <n v="2400"/>
    <n v="16.600000000000001"/>
    <n v="8006.4"/>
    <s v="Pending"/>
    <s v="Bengaluru"/>
    <x v="1"/>
    <x v="1"/>
  </r>
  <r>
    <s v="ORD-01891"/>
    <x v="348"/>
    <s v="CUST-0168"/>
    <s v="PROD-005"/>
    <x v="1"/>
    <n v="10"/>
    <n v="300"/>
    <n v="23.9"/>
    <n v="2283"/>
    <s v="Completed"/>
    <s v="Pune"/>
    <x v="4"/>
    <x v="0"/>
  </r>
  <r>
    <s v="ORD-01892"/>
    <x v="93"/>
    <s v="CUST-0175"/>
    <s v="PROD-028"/>
    <x v="9"/>
    <n v="1"/>
    <n v="3660"/>
    <n v="1.5"/>
    <n v="3605.1"/>
    <s v="Pending"/>
    <s v="Delhi"/>
    <x v="2"/>
    <x v="1"/>
  </r>
  <r>
    <s v="ORD-01893"/>
    <x v="166"/>
    <s v="CUST-0193"/>
    <s v="PROD-051"/>
    <x v="23"/>
    <n v="9"/>
    <n v="3450"/>
    <n v="21.8"/>
    <n v="24281.1"/>
    <s v="Completed"/>
    <s v="Bengaluru"/>
    <x v="1"/>
    <x v="1"/>
  </r>
  <r>
    <s v="ORD-01894"/>
    <x v="306"/>
    <s v="CUST-0284"/>
    <s v="PROD-011"/>
    <x v="0"/>
    <n v="10"/>
    <n v="3450"/>
    <n v="15.7"/>
    <n v="29083.5"/>
    <s v="Cancelled"/>
    <s v="Hyderabad"/>
    <x v="0"/>
    <x v="0"/>
  </r>
  <r>
    <s v="ORD-01895"/>
    <x v="249"/>
    <s v="CUST-0071"/>
    <s v="PROD-026"/>
    <x v="4"/>
    <n v="2"/>
    <n v="4070"/>
    <n v="10.8"/>
    <n v="7260.88"/>
    <s v="Completed"/>
    <s v="Delhi"/>
    <x v="2"/>
    <x v="0"/>
  </r>
  <r>
    <s v="ORD-01896"/>
    <x v="332"/>
    <s v="CUST-0102"/>
    <s v="PROD-059"/>
    <x v="12"/>
    <n v="4"/>
    <n v="3780"/>
    <n v="17.100000000000001"/>
    <n v="12534.48"/>
    <s v="Completed"/>
    <s v="Chennai"/>
    <x v="1"/>
    <x v="3"/>
  </r>
  <r>
    <s v="ORD-01897"/>
    <x v="81"/>
    <s v="CUST-0036"/>
    <s v="PROD-021"/>
    <x v="10"/>
    <n v="1"/>
    <n v="2760"/>
    <n v="2.5"/>
    <n v="2691"/>
    <s v="Cancelled"/>
    <s v="Mumbai"/>
    <x v="2"/>
    <x v="0"/>
  </r>
  <r>
    <s v="ORD-01898"/>
    <x v="293"/>
    <s v="CUST-0273"/>
    <s v="PROD-046"/>
    <x v="14"/>
    <n v="2"/>
    <n v="4880"/>
    <n v="11"/>
    <n v="8686.4"/>
    <s v="Completed"/>
    <s v="Hyderabad"/>
    <x v="5"/>
    <x v="2"/>
  </r>
  <r>
    <s v="ORD-01899"/>
    <x v="228"/>
    <s v="CUST-0262"/>
    <s v="PROD-023"/>
    <x v="24"/>
    <n v="10"/>
    <n v="2380"/>
    <n v="28.3"/>
    <n v="17064.599999999999"/>
    <s v="Completed"/>
    <s v="Mumbai"/>
    <x v="2"/>
    <x v="3"/>
  </r>
  <r>
    <s v="ORD-01900"/>
    <x v="121"/>
    <s v="CUST-0083"/>
    <s v="PROD-042"/>
    <x v="11"/>
    <n v="3"/>
    <n v="2290"/>
    <n v="11.1"/>
    <n v="6107.43"/>
    <s v="Cancelled"/>
    <s v="Bengaluru"/>
    <x v="5"/>
    <x v="0"/>
  </r>
  <r>
    <s v="ORD-01901"/>
    <x v="53"/>
    <s v="CUST-0273"/>
    <s v="PROD-021"/>
    <x v="10"/>
    <n v="6"/>
    <n v="2760"/>
    <n v="16.5"/>
    <n v="13827.6"/>
    <s v="Completed"/>
    <s v="Hyderabad"/>
    <x v="2"/>
    <x v="0"/>
  </r>
  <r>
    <s v="ORD-01902"/>
    <x v="271"/>
    <s v="CUST-0047"/>
    <s v="PROD-025"/>
    <x v="28"/>
    <n v="5"/>
    <n v="4060"/>
    <n v="22.5"/>
    <n v="15732.5"/>
    <s v="Completed"/>
    <s v="Pune"/>
    <x v="2"/>
    <x v="2"/>
  </r>
  <r>
    <s v="ORD-01903"/>
    <x v="27"/>
    <s v="CUST-0084"/>
    <s v="PROD-010"/>
    <x v="3"/>
    <n v="8"/>
    <n v="2640"/>
    <n v="11.8"/>
    <n v="18627.84"/>
    <s v="Completed"/>
    <s v="Chennai"/>
    <x v="4"/>
    <x v="0"/>
  </r>
  <r>
    <s v="ORD-01904"/>
    <x v="119"/>
    <s v="CUST-0093"/>
    <s v="PROD-039"/>
    <x v="1"/>
    <n v="2"/>
    <n v="4610"/>
    <n v="10.4"/>
    <n v="8261.1200000000008"/>
    <s v="Pending"/>
    <s v="Pune"/>
    <x v="3"/>
    <x v="0"/>
  </r>
  <r>
    <s v="ORD-01905"/>
    <x v="266"/>
    <s v="CUST-0282"/>
    <s v="PROD-029"/>
    <x v="8"/>
    <n v="6"/>
    <n v="2210"/>
    <n v="22.5"/>
    <n v="10276.5"/>
    <s v="Cancelled"/>
    <s v="Hyderabad"/>
    <x v="2"/>
    <x v="2"/>
  </r>
  <r>
    <s v="ORD-01906"/>
    <x v="103"/>
    <s v="CUST-0246"/>
    <s v="PROD-029"/>
    <x v="23"/>
    <n v="4"/>
    <n v="2210"/>
    <n v="21.5"/>
    <n v="6939.4"/>
    <s v="Pending"/>
    <s v="Delhi"/>
    <x v="2"/>
    <x v="1"/>
  </r>
  <r>
    <s v="ORD-01907"/>
    <x v="169"/>
    <s v="CUST-0243"/>
    <s v="PROD-035"/>
    <x v="22"/>
    <n v="6"/>
    <n v="1090"/>
    <n v="28.3"/>
    <n v="4689.18"/>
    <s v="Completed"/>
    <s v="Pune"/>
    <x v="3"/>
    <x v="1"/>
  </r>
  <r>
    <s v="ORD-01908"/>
    <x v="327"/>
    <s v="CUST-0298"/>
    <s v="PROD-032"/>
    <x v="11"/>
    <n v="9"/>
    <n v="370"/>
    <n v="13.8"/>
    <n v="2870.46"/>
    <s v="Completed"/>
    <s v="Delhi"/>
    <x v="3"/>
    <x v="0"/>
  </r>
  <r>
    <s v="ORD-01909"/>
    <x v="122"/>
    <s v="CUST-0124"/>
    <s v="PROD-003"/>
    <x v="5"/>
    <n v="10"/>
    <n v="3570"/>
    <n v="3"/>
    <n v="34629"/>
    <s v="Cancelled"/>
    <s v="Pune"/>
    <x v="4"/>
    <x v="2"/>
  </r>
  <r>
    <s v="ORD-01910"/>
    <x v="89"/>
    <s v="CUST-0070"/>
    <s v="PROD-036"/>
    <x v="29"/>
    <n v="10"/>
    <n v="3250"/>
    <n v="20.3"/>
    <n v="25902.5"/>
    <s v="Completed"/>
    <s v="Mumbai"/>
    <x v="3"/>
    <x v="1"/>
  </r>
  <r>
    <s v="ORD-01911"/>
    <x v="295"/>
    <s v="CUST-0054"/>
    <s v="PROD-036"/>
    <x v="8"/>
    <n v="6"/>
    <n v="3250"/>
    <n v="25.8"/>
    <n v="14469"/>
    <s v="Pending"/>
    <s v="Mumbai"/>
    <x v="3"/>
    <x v="2"/>
  </r>
  <r>
    <s v="ORD-01912"/>
    <x v="294"/>
    <s v="CUST-0208"/>
    <s v="PROD-057"/>
    <x v="6"/>
    <n v="9"/>
    <n v="960"/>
    <n v="29"/>
    <n v="6134.4"/>
    <s v="Completed"/>
    <s v="Mumbai"/>
    <x v="1"/>
    <x v="2"/>
  </r>
  <r>
    <s v="ORD-01913"/>
    <x v="275"/>
    <s v="CUST-0181"/>
    <s v="PROD-050"/>
    <x v="15"/>
    <n v="9"/>
    <n v="6080"/>
    <n v="21"/>
    <n v="43228.800000000003"/>
    <s v="Completed"/>
    <s v="Delhi"/>
    <x v="5"/>
    <x v="1"/>
  </r>
  <r>
    <s v="ORD-01914"/>
    <x v="250"/>
    <s v="CUST-0259"/>
    <s v="PROD-039"/>
    <x v="16"/>
    <n v="6"/>
    <n v="4610"/>
    <n v="13.5"/>
    <n v="23925.9"/>
    <s v="Completed"/>
    <s v="Mumbai"/>
    <x v="3"/>
    <x v="3"/>
  </r>
  <r>
    <s v="ORD-01915"/>
    <x v="225"/>
    <s v="CUST-0277"/>
    <s v="PROD-034"/>
    <x v="13"/>
    <n v="7"/>
    <n v="5080"/>
    <n v="25.4"/>
    <n v="26527.759999999998"/>
    <s v="Completed"/>
    <s v="Chennai"/>
    <x v="3"/>
    <x v="3"/>
  </r>
  <r>
    <s v="ORD-01916"/>
    <x v="269"/>
    <s v="CUST-0173"/>
    <s v="PROD-043"/>
    <x v="21"/>
    <n v="5"/>
    <n v="3350"/>
    <n v="2.2000000000000002"/>
    <n v="16381.5"/>
    <s v="Completed"/>
    <s v="Mumbai"/>
    <x v="5"/>
    <x v="3"/>
  </r>
  <r>
    <s v="ORD-01917"/>
    <x v="77"/>
    <s v="CUST-0091"/>
    <s v="PROD-027"/>
    <x v="2"/>
    <n v="1"/>
    <n v="3780"/>
    <n v="13.7"/>
    <n v="3262.14"/>
    <s v="Completed"/>
    <s v="Delhi"/>
    <x v="2"/>
    <x v="1"/>
  </r>
  <r>
    <s v="ORD-01918"/>
    <x v="279"/>
    <s v="CUST-0142"/>
    <s v="PROD-046"/>
    <x v="16"/>
    <n v="4"/>
    <n v="4880"/>
    <n v="11.6"/>
    <n v="17255.68"/>
    <s v="Completed"/>
    <s v="Chennai"/>
    <x v="5"/>
    <x v="3"/>
  </r>
  <r>
    <s v="ORD-01919"/>
    <x v="217"/>
    <s v="CUST-0011"/>
    <s v="PROD-048"/>
    <x v="20"/>
    <n v="3"/>
    <n v="5100"/>
    <n v="24.2"/>
    <n v="11597.4"/>
    <s v="Completed"/>
    <s v=" Chennai "/>
    <x v="5"/>
    <x v="2"/>
  </r>
  <r>
    <s v="ORD-01920"/>
    <x v="287"/>
    <s v="CUST-0074"/>
    <s v="PROD-008"/>
    <x v="12"/>
    <n v="5"/>
    <n v="2660"/>
    <n v="4.7"/>
    <n v="12674.9"/>
    <s v="Completed"/>
    <s v="Bengaluru"/>
    <x v="4"/>
    <x v="3"/>
  </r>
  <r>
    <s v="ORD-01921"/>
    <x v="328"/>
    <s v="CUST-0131"/>
    <s v="PROD-023"/>
    <x v="21"/>
    <n v="10"/>
    <n v="2380"/>
    <n v="1"/>
    <n v="23562"/>
    <s v="Completed"/>
    <s v="Delhi"/>
    <x v="2"/>
    <x v="3"/>
  </r>
  <r>
    <s v="ORD-01922"/>
    <x v="223"/>
    <s v="CUST-0093"/>
    <s v="PROD-046"/>
    <x v="25"/>
    <n v="9"/>
    <n v="4880"/>
    <n v="7.2"/>
    <n v="40757.760000000002"/>
    <s v="Completed"/>
    <s v="Pune"/>
    <x v="5"/>
    <x v="0"/>
  </r>
  <r>
    <s v="ORD-01923"/>
    <x v="91"/>
    <s v="CUST-0229"/>
    <s v="PROD-031"/>
    <x v="2"/>
    <n v="1"/>
    <n v="3730"/>
    <n v="15.3"/>
    <n v="3159.31"/>
    <s v="Completed"/>
    <s v="Hyderabad"/>
    <x v="3"/>
    <x v="1"/>
  </r>
  <r>
    <s v="ORD-01924"/>
    <x v="33"/>
    <s v="CUST-0293"/>
    <s v="PROD-059"/>
    <x v="11"/>
    <n v="10"/>
    <n v="3780"/>
    <n v="2.7"/>
    <n v="36779.4"/>
    <s v="Completed"/>
    <s v="Bengaluru"/>
    <x v="1"/>
    <x v="0"/>
  </r>
  <r>
    <s v="ORD-01925"/>
    <x v="257"/>
    <s v="CUST-0105"/>
    <s v="PROD-014"/>
    <x v="12"/>
    <n v="2"/>
    <n v="3620"/>
    <n v="23"/>
    <n v="5574.8"/>
    <s v="Completed"/>
    <s v="Chennai"/>
    <x v="0"/>
    <x v="3"/>
  </r>
  <r>
    <s v="ORD-01926"/>
    <x v="355"/>
    <s v="CUST-0003"/>
    <s v="PROD-034"/>
    <x v="13"/>
    <n v="9"/>
    <n v="5080"/>
    <n v="19.899999999999999"/>
    <n v="36621.72"/>
    <s v="Completed"/>
    <s v="Mumbai"/>
    <x v="3"/>
    <x v="3"/>
  </r>
  <r>
    <s v="ORD-01927"/>
    <x v="230"/>
    <s v="CUST-0092"/>
    <s v="PROD-018"/>
    <x v="6"/>
    <n v="2"/>
    <n v="3560"/>
    <n v="5.5"/>
    <n v="6728.4"/>
    <s v="Completed"/>
    <s v="Bengaluru"/>
    <x v="0"/>
    <x v="2"/>
  </r>
  <r>
    <s v="ORD-01928"/>
    <x v="134"/>
    <s v="CUST-0050"/>
    <s v="PROD-030"/>
    <x v="19"/>
    <n v="6"/>
    <n v="970"/>
    <n v="22.5"/>
    <n v="4510.5"/>
    <s v="Refunded"/>
    <s v="Mumbai"/>
    <x v="2"/>
    <x v="0"/>
  </r>
  <r>
    <s v="ORD-01929"/>
    <x v="181"/>
    <s v="CUST-0237"/>
    <s v="PROD-043"/>
    <x v="2"/>
    <n v="9"/>
    <n v="3350"/>
    <n v="5.0999999999999996"/>
    <n v="28612.35"/>
    <s v="Completed"/>
    <s v="Mumbai"/>
    <x v="5"/>
    <x v="1"/>
  </r>
  <r>
    <s v="ORD-01930"/>
    <x v="283"/>
    <s v="CUST-9905"/>
    <s v="PROD-032"/>
    <x v="23"/>
    <n v="6"/>
    <n v="370"/>
    <n v="17.8"/>
    <n v="1824.84"/>
    <s v="Completed"/>
    <s v="Mumbai"/>
    <x v="3"/>
    <x v="1"/>
  </r>
  <r>
    <s v="ORD-01931"/>
    <x v="13"/>
    <s v="CUST-0175"/>
    <s v="PROD-024"/>
    <x v="23"/>
    <n v="3"/>
    <n v="2270"/>
    <n v="8.4"/>
    <n v="6237.96"/>
    <s v="Pending"/>
    <s v="Delhi"/>
    <x v="2"/>
    <x v="1"/>
  </r>
  <r>
    <s v="ORD-01932"/>
    <x v="364"/>
    <s v="CUST-0271"/>
    <s v="PROD-051"/>
    <x v="13"/>
    <n v="3"/>
    <n v="3450"/>
    <n v="7.2"/>
    <n v="9604.7999999999993"/>
    <s v="Completed"/>
    <s v="Bengaluru"/>
    <x v="1"/>
    <x v="3"/>
  </r>
  <r>
    <s v="ORD-01933"/>
    <x v="142"/>
    <s v="CUST-0129"/>
    <s v="PROD-054"/>
    <x v="4"/>
    <n v="9"/>
    <n v="1010"/>
    <n v="17.8"/>
    <n v="7471.98"/>
    <s v="Completed"/>
    <s v="Hyderabad"/>
    <x v="1"/>
    <x v="0"/>
  </r>
  <r>
    <s v="ORD-01934"/>
    <x v="41"/>
    <s v="CUST-0156"/>
    <s v="PROD-039"/>
    <x v="11"/>
    <n v="5"/>
    <n v="4610"/>
    <n v="29.8"/>
    <n v="16181.1"/>
    <s v="Cancelled"/>
    <s v="Mumbai"/>
    <x v="3"/>
    <x v="0"/>
  </r>
  <r>
    <s v="ORD-01935"/>
    <x v="255"/>
    <s v="CUST-0048"/>
    <s v="PROD-032"/>
    <x v="11"/>
    <n v="6"/>
    <n v="370"/>
    <n v="17.899999999999999"/>
    <n v="1822.62"/>
    <s v="Completed"/>
    <s v="Delhi"/>
    <x v="3"/>
    <x v="0"/>
  </r>
  <r>
    <s v="ORD-01936"/>
    <x v="279"/>
    <s v="CUST-0224"/>
    <s v="PROD-023"/>
    <x v="17"/>
    <n v="6"/>
    <n v="2380"/>
    <n v="13.6"/>
    <n v="12337.92"/>
    <s v="Cancelled"/>
    <s v="Chennai"/>
    <x v="2"/>
    <x v="2"/>
  </r>
  <r>
    <s v="ORD-01937"/>
    <x v="229"/>
    <s v="CUST-0101"/>
    <s v="PROD-049"/>
    <x v="12"/>
    <n v="6"/>
    <n v="960"/>
    <n v="15"/>
    <n v="4896"/>
    <s v="Pending"/>
    <s v="Hyderabad"/>
    <x v="5"/>
    <x v="3"/>
  </r>
  <r>
    <s v="ORD-01938"/>
    <x v="124"/>
    <s v="CUST-0269"/>
    <s v="PROD-057"/>
    <x v="25"/>
    <n v="3"/>
    <n v="960"/>
    <n v="12.3"/>
    <n v="2525.7600000000002"/>
    <s v="Completed"/>
    <s v="Pune"/>
    <x v="1"/>
    <x v="0"/>
  </r>
  <r>
    <s v="ORD-01939"/>
    <x v="3"/>
    <s v="CUST-0097"/>
    <s v="PROD-016"/>
    <x v="20"/>
    <n v="7"/>
    <n v="620"/>
    <n v="5.8"/>
    <n v="4088.28"/>
    <s v="Completed"/>
    <s v="Mumbai"/>
    <x v="0"/>
    <x v="2"/>
  </r>
  <r>
    <s v="ORD-01940"/>
    <x v="299"/>
    <s v="CUST-0062"/>
    <s v="PROD-057"/>
    <x v="16"/>
    <n v="1"/>
    <n v="960"/>
    <n v="4.5999999999999996"/>
    <n v="915.84"/>
    <s v="Completed"/>
    <s v="Pune"/>
    <x v="1"/>
    <x v="3"/>
  </r>
  <r>
    <s v="ORD-01941"/>
    <x v="226"/>
    <s v="CUST-0124"/>
    <s v="PROD-047"/>
    <x v="8"/>
    <n v="4"/>
    <n v="3450"/>
    <n v="13.3"/>
    <n v="11964.6"/>
    <s v="Completed"/>
    <s v="Pune"/>
    <x v="5"/>
    <x v="2"/>
  </r>
  <r>
    <s v="ORD-01942"/>
    <x v="17"/>
    <s v="CUST-0185"/>
    <s v="PROD-015"/>
    <x v="7"/>
    <n v="10"/>
    <n v="2720"/>
    <n v="3.4"/>
    <n v="26275.200000000001"/>
    <s v="Completed"/>
    <s v="Hyderabad"/>
    <x v="0"/>
    <x v="3"/>
  </r>
  <r>
    <s v="ORD-01943"/>
    <x v="358"/>
    <s v="CUST-0115"/>
    <s v="PROD-047"/>
    <x v="7"/>
    <n v="1"/>
    <n v="3450"/>
    <n v="29.4"/>
    <n v="2435.6999999999998"/>
    <s v="Completed"/>
    <s v="Mumbai"/>
    <x v="5"/>
    <x v="3"/>
  </r>
  <r>
    <s v="ORD-01944"/>
    <x v="201"/>
    <s v="CUST-0097"/>
    <s v="PROD-044"/>
    <x v="6"/>
    <n v="5"/>
    <n v="1650"/>
    <n v="29.4"/>
    <n v="5824.5"/>
    <s v="Completed"/>
    <s v="Mumbai"/>
    <x v="5"/>
    <x v="2"/>
  </r>
  <r>
    <s v="ORD-01945"/>
    <x v="167"/>
    <s v="CUST-0221"/>
    <s v="PROD-014"/>
    <x v="18"/>
    <n v="2"/>
    <n v="3620"/>
    <n v="15.6"/>
    <n v="6110.56"/>
    <s v="Completed"/>
    <s v="Delhi"/>
    <x v="0"/>
    <x v="1"/>
  </r>
  <r>
    <s v="ORD-01946"/>
    <x v="95"/>
    <s v="CUST-0098"/>
    <s v="PROD-005"/>
    <x v="27"/>
    <n v="3"/>
    <n v="300"/>
    <n v="24.8"/>
    <n v="676.8"/>
    <s v="Completed"/>
    <s v="Delhi"/>
    <x v="4"/>
    <x v="1"/>
  </r>
  <r>
    <s v="ORD-01947"/>
    <x v="200"/>
    <s v="CUST-0203"/>
    <s v="PROD-041"/>
    <x v="19"/>
    <n v="3"/>
    <n v="1540"/>
    <n v="29.5"/>
    <n v="3257.1"/>
    <s v="Completed"/>
    <s v="Chennai"/>
    <x v="5"/>
    <x v="0"/>
  </r>
  <r>
    <s v="ORD-01948"/>
    <x v="317"/>
    <s v="CUST-0074"/>
    <s v="PROD-024"/>
    <x v="7"/>
    <n v="10"/>
    <n v="2270"/>
    <n v="5.5"/>
    <n v="21451.5"/>
    <s v="Cancelled"/>
    <s v="Bengaluru"/>
    <x v="2"/>
    <x v="3"/>
  </r>
  <r>
    <s v="ORD-01949"/>
    <x v="154"/>
    <s v="CUST-0217"/>
    <s v="PROD-010"/>
    <x v="4"/>
    <n v="3"/>
    <n v="2640"/>
    <n v="28.2"/>
    <n v="5686.56"/>
    <s v="Refunded"/>
    <s v="Pune"/>
    <x v="4"/>
    <x v="0"/>
  </r>
  <r>
    <s v="ORD-01950"/>
    <x v="11"/>
    <s v="CUST-0021"/>
    <s v="PROD-010"/>
    <x v="15"/>
    <n v="10"/>
    <n v="2640"/>
    <n v="25.9"/>
    <n v="19562.400000000001"/>
    <s v="Completed"/>
    <s v="Pune"/>
    <x v="4"/>
    <x v="1"/>
  </r>
  <r>
    <s v="ORD-01951"/>
    <x v="152"/>
    <s v="CUST-0004"/>
    <s v="PROD-007"/>
    <x v="14"/>
    <n v="2"/>
    <n v="1430"/>
    <n v="5"/>
    <n v="2717"/>
    <s v="Cancelled"/>
    <s v="Delhi"/>
    <x v="4"/>
    <x v="2"/>
  </r>
  <r>
    <s v="ORD-01952"/>
    <x v="221"/>
    <s v="CUST-0080"/>
    <s v="PROD-003"/>
    <x v="16"/>
    <n v="6"/>
    <n v="3570"/>
    <n v="28.5"/>
    <n v="15315.3"/>
    <s v="Cancelled"/>
    <s v="Pune"/>
    <x v="4"/>
    <x v="3"/>
  </r>
  <r>
    <s v="ORD-01953"/>
    <x v="328"/>
    <s v="CUST-0113"/>
    <s v="PROD-003"/>
    <x v="6"/>
    <n v="1"/>
    <n v="3570"/>
    <n v="7.7"/>
    <n v="3295.11"/>
    <s v="Completed"/>
    <s v="Delhi"/>
    <x v="4"/>
    <x v="2"/>
  </r>
  <r>
    <s v="ORD-01954"/>
    <x v="312"/>
    <s v="CUST-0023"/>
    <s v="PROD-004"/>
    <x v="14"/>
    <n v="9"/>
    <n v="3870"/>
    <n v="11.9"/>
    <n v="30685.23"/>
    <s v="Cancelled"/>
    <s v="Chennai"/>
    <x v="4"/>
    <x v="2"/>
  </r>
  <r>
    <s v="ORD-01955"/>
    <x v="50"/>
    <s v="CUST-0136"/>
    <s v="PROD-056"/>
    <x v="2"/>
    <n v="5"/>
    <n v="6940"/>
    <n v="17.399999999999999"/>
    <n v="28662.2"/>
    <s v="Completed"/>
    <s v="Chennai"/>
    <x v="1"/>
    <x v="1"/>
  </r>
  <r>
    <s v="ORD-01956"/>
    <x v="42"/>
    <s v="CUST-0031"/>
    <s v="PROD-032"/>
    <x v="17"/>
    <n v="6"/>
    <n v="370"/>
    <n v="8.1"/>
    <n v="2040.18"/>
    <s v="Cancelled"/>
    <s v="Hyderabad"/>
    <x v="3"/>
    <x v="2"/>
  </r>
  <r>
    <s v="ORD-01957"/>
    <x v="0"/>
    <s v="CUST-0175"/>
    <s v="PROD-018"/>
    <x v="28"/>
    <n v="8"/>
    <n v="3560"/>
    <n v="23.3"/>
    <n v="21844.16"/>
    <s v="Completed"/>
    <s v="Delhi"/>
    <x v="0"/>
    <x v="2"/>
  </r>
  <r>
    <s v="ORD-01958"/>
    <x v="142"/>
    <s v="CUST-0249"/>
    <s v="PROD-009"/>
    <x v="8"/>
    <n v="4"/>
    <n v="1220"/>
    <n v="2.7"/>
    <n v="4748.24"/>
    <s v="Completed"/>
    <s v="Mumbai"/>
    <x v="4"/>
    <x v="2"/>
  </r>
  <r>
    <s v="ORD-01959"/>
    <x v="311"/>
    <s v="CUST-0138"/>
    <s v="PROD-026"/>
    <x v="16"/>
    <n v="10"/>
    <n v="4070"/>
    <n v="11.6"/>
    <n v="35978.800000000003"/>
    <s v="Completed"/>
    <s v="Chennai"/>
    <x v="2"/>
    <x v="3"/>
  </r>
  <r>
    <s v="ORD-01960"/>
    <x v="260"/>
    <s v="CUST-0290"/>
    <s v="PROD-028"/>
    <x v="7"/>
    <n v="10"/>
    <n v="3660"/>
    <n v="28.8"/>
    <n v="26059.200000000001"/>
    <s v="Completed"/>
    <s v="Delhi"/>
    <x v="2"/>
    <x v="3"/>
  </r>
  <r>
    <s v="ORD-01961"/>
    <x v="121"/>
    <s v="CUST-0151"/>
    <s v="PROD-034"/>
    <x v="26"/>
    <n v="5"/>
    <n v="5080"/>
    <n v="12.1"/>
    <n v="22326.6"/>
    <s v="Completed"/>
    <s v="Mumbai"/>
    <x v="3"/>
    <x v="3"/>
  </r>
  <r>
    <s v="ORD-01962"/>
    <x v="200"/>
    <s v="CUST-0290"/>
    <s v="PROD-039"/>
    <x v="22"/>
    <n v="10"/>
    <n v="4610"/>
    <n v="22.5"/>
    <n v="35727.5"/>
    <s v="Completed"/>
    <s v="Delhi"/>
    <x v="3"/>
    <x v="1"/>
  </r>
  <r>
    <s v="ORD-01963"/>
    <x v="58"/>
    <s v="CUST-0074"/>
    <s v="PROD-008"/>
    <x v="0"/>
    <n v="3"/>
    <n v="2660"/>
    <n v="15"/>
    <n v="6783"/>
    <s v="Completed"/>
    <s v="Bengaluru"/>
    <x v="4"/>
    <x v="0"/>
  </r>
  <r>
    <s v="ORD-01964"/>
    <x v="360"/>
    <s v="CUST-0295"/>
    <s v="PROD-012"/>
    <x v="3"/>
    <n v="5"/>
    <n v="3160"/>
    <n v="1.3"/>
    <n v="15594.6"/>
    <s v="Completed"/>
    <s v="Delhi"/>
    <x v="0"/>
    <x v="0"/>
  </r>
  <r>
    <s v="ORD-01965"/>
    <x v="354"/>
    <s v="CUST-0132"/>
    <s v="PROD-032"/>
    <x v="10"/>
    <n v="10"/>
    <n v="370"/>
    <n v="29"/>
    <n v="2627"/>
    <s v="Completed"/>
    <s v="Delhi"/>
    <x v="3"/>
    <x v="0"/>
  </r>
  <r>
    <s v="ORD-01966"/>
    <x v="243"/>
    <s v="CUST-0289"/>
    <s v="PROD-054"/>
    <x v="4"/>
    <n v="10"/>
    <n v="1010"/>
    <n v="14.1"/>
    <n v="8675.9"/>
    <s v="Refunded"/>
    <s v="Mumbai"/>
    <x v="1"/>
    <x v="0"/>
  </r>
  <r>
    <s v="ORD-01967"/>
    <x v="261"/>
    <s v="CUST-0139"/>
    <s v="PROD-018"/>
    <x v="14"/>
    <n v="3"/>
    <n v="3560"/>
    <n v="23.6"/>
    <n v="8159.52"/>
    <s v="Completed"/>
    <s v="Hyderabad"/>
    <x v="0"/>
    <x v="2"/>
  </r>
  <r>
    <s v="ORD-01968"/>
    <x v="1"/>
    <s v="CUST-0032"/>
    <s v="PROD-009"/>
    <x v="8"/>
    <n v="9"/>
    <n v="1220"/>
    <n v="16.600000000000001"/>
    <n v="9157.32"/>
    <s v="Completed"/>
    <s v="Hyderabad"/>
    <x v="4"/>
    <x v="2"/>
  </r>
  <r>
    <s v="ORD-01969"/>
    <x v="30"/>
    <s v="CUST-0109"/>
    <s v="PROD-060"/>
    <x v="4"/>
    <n v="8"/>
    <n v="190"/>
    <n v="22.3"/>
    <n v="1181.04"/>
    <s v="Completed"/>
    <s v="Pune"/>
    <x v="1"/>
    <x v="0"/>
  </r>
  <r>
    <s v="ORD-01970"/>
    <x v="290"/>
    <s v="CUST-0224"/>
    <s v="PROD-054"/>
    <x v="25"/>
    <n v="2"/>
    <n v="1010"/>
    <n v="3.8"/>
    <n v="1943.24"/>
    <s v="Completed"/>
    <s v="Chennai"/>
    <x v="1"/>
    <x v="0"/>
  </r>
  <r>
    <s v="ORD-01971"/>
    <x v="96"/>
    <s v="CUST-0038"/>
    <s v="PROD-002"/>
    <x v="18"/>
    <n v="4"/>
    <n v="2600"/>
    <n v="29.1"/>
    <n v="7373.6"/>
    <s v="Completed"/>
    <s v="Mumbai"/>
    <x v="4"/>
    <x v="1"/>
  </r>
  <r>
    <s v="ORD-01972"/>
    <x v="25"/>
    <s v="CUST-0132"/>
    <s v="PROD-011"/>
    <x v="20"/>
    <n v="7"/>
    <n v="3450"/>
    <n v="4"/>
    <n v="23184"/>
    <s v="Completed"/>
    <s v="Delhi"/>
    <x v="0"/>
    <x v="2"/>
  </r>
  <r>
    <s v="ORD-01973"/>
    <x v="288"/>
    <s v="CUST-0226"/>
    <s v="PROD-017"/>
    <x v="7"/>
    <n v="6"/>
    <n v="2510"/>
    <n v="12.7"/>
    <n v="13147.38"/>
    <s v="Completed"/>
    <s v="Chennai"/>
    <x v="0"/>
    <x v="3"/>
  </r>
  <r>
    <s v="ORD-01974"/>
    <x v="9"/>
    <s v="CUST-0275"/>
    <s v="PROD-060"/>
    <x v="28"/>
    <n v="6"/>
    <n v="190"/>
    <n v="20"/>
    <n v="912"/>
    <s v="Cancelled"/>
    <s v="Mumbai"/>
    <x v="1"/>
    <x v="2"/>
  </r>
  <r>
    <s v="ORD-01975"/>
    <x v="201"/>
    <s v="CUST-0109"/>
    <s v="PROD-044"/>
    <x v="20"/>
    <n v="10"/>
    <n v="1650"/>
    <n v="21.5"/>
    <n v="12952.5"/>
    <s v="Completed"/>
    <s v="Pune"/>
    <x v="5"/>
    <x v="2"/>
  </r>
  <r>
    <s v="ORD-01976"/>
    <x v="112"/>
    <s v="CUST-0281"/>
    <s v="PROD-055"/>
    <x v="18"/>
    <n v="4"/>
    <n v="2860"/>
    <n v="15.2"/>
    <n v="9701.1200000000008"/>
    <s v="Completed"/>
    <s v="Bengaluru"/>
    <x v="1"/>
    <x v="1"/>
  </r>
  <r>
    <s v="ORD-01977"/>
    <x v="55"/>
    <s v="CUST-0174"/>
    <s v="PROD-053"/>
    <x v="8"/>
    <n v="3"/>
    <n v="470"/>
    <n v="14.2"/>
    <n v="1209.78"/>
    <s v="Completed"/>
    <s v="Pune"/>
    <x v="1"/>
    <x v="2"/>
  </r>
  <r>
    <s v="ORD-01978"/>
    <x v="277"/>
    <s v="CUST-0103"/>
    <s v="PROD-055"/>
    <x v="14"/>
    <n v="2"/>
    <n v="2860"/>
    <n v="17.899999999999999"/>
    <n v="4696.12"/>
    <s v="Completed"/>
    <s v="Hyderabad"/>
    <x v="1"/>
    <x v="2"/>
  </r>
  <r>
    <s v="ORD-01979"/>
    <x v="192"/>
    <s v="CUST-0076"/>
    <s v="PROD-019"/>
    <x v="26"/>
    <n v="2"/>
    <n v="2480"/>
    <n v="11.5"/>
    <n v="4389.6000000000004"/>
    <s v="Cancelled"/>
    <s v="Mumbai"/>
    <x v="0"/>
    <x v="3"/>
  </r>
  <r>
    <s v="ORD-01980"/>
    <x v="208"/>
    <s v="CUST-0227"/>
    <s v="PROD-033"/>
    <x v="3"/>
    <n v="10"/>
    <n v="2030"/>
    <n v="29.2"/>
    <n v="14372.4"/>
    <s v="Completed"/>
    <s v="Bengaluru"/>
    <x v="3"/>
    <x v="0"/>
  </r>
  <r>
    <s v="ORD-01981"/>
    <x v="135"/>
    <s v="CUST-0006"/>
    <s v="PROD-047"/>
    <x v="27"/>
    <n v="6"/>
    <n v="3450"/>
    <n v="3.5"/>
    <n v="19975.5"/>
    <s v="Refunded"/>
    <s v="Pune"/>
    <x v="5"/>
    <x v="1"/>
  </r>
  <r>
    <s v="ORD-01982"/>
    <x v="320"/>
    <s v="CUST-0231"/>
    <s v="PROD-007"/>
    <x v="23"/>
    <n v="10"/>
    <n v="1430"/>
    <n v="3.5"/>
    <n v="13799.5"/>
    <s v="Completed"/>
    <s v="Chennai"/>
    <x v="4"/>
    <x v="1"/>
  </r>
  <r>
    <s v="ORD-01983"/>
    <x v="124"/>
    <s v="CUST-0085"/>
    <s v="PROD-020"/>
    <x v="21"/>
    <n v="1"/>
    <n v="820"/>
    <n v="14.5"/>
    <n v="701.1"/>
    <s v="Cancelled"/>
    <s v="Chennai"/>
    <x v="0"/>
    <x v="3"/>
  </r>
  <r>
    <s v="ORD-01984"/>
    <x v="144"/>
    <s v="CUST-0022"/>
    <s v="PROD-046"/>
    <x v="12"/>
    <n v="5"/>
    <n v="4880"/>
    <n v="1.8"/>
    <n v="23960.799999999999"/>
    <s v="Completed"/>
    <s v="Bengaluru"/>
    <x v="5"/>
    <x v="3"/>
  </r>
  <r>
    <s v="ORD-01985"/>
    <x v="217"/>
    <s v="CUST-0275"/>
    <s v="PROD-043"/>
    <x v="29"/>
    <n v="8"/>
    <n v="3350"/>
    <n v="26.3"/>
    <n v="19751.599999999999"/>
    <s v="Cancelled"/>
    <s v="Mumbai"/>
    <x v="5"/>
    <x v="1"/>
  </r>
  <r>
    <s v="ORD-01986"/>
    <x v="129"/>
    <s v="CUST-0159"/>
    <s v="PROD-019"/>
    <x v="24"/>
    <n v="9"/>
    <n v="2480"/>
    <n v="24.3"/>
    <n v="16896.240000000002"/>
    <s v="Completed"/>
    <s v="Hyderabad"/>
    <x v="0"/>
    <x v="3"/>
  </r>
  <r>
    <s v="ORD-01987"/>
    <x v="66"/>
    <s v="CUST-0152"/>
    <s v="PROD-039"/>
    <x v="6"/>
    <n v="9"/>
    <n v="4610"/>
    <n v="10"/>
    <n v="37341"/>
    <s v="Completed"/>
    <s v="Bengaluru"/>
    <x v="3"/>
    <x v="2"/>
  </r>
  <r>
    <s v="ORD-01988"/>
    <x v="132"/>
    <s v="CUST-0289"/>
    <s v="PROD-027"/>
    <x v="10"/>
    <n v="1"/>
    <n v="3780"/>
    <n v="2.2000000000000002"/>
    <n v="3696.84"/>
    <s v="Completed"/>
    <s v="Mumbai"/>
    <x v="2"/>
    <x v="0"/>
  </r>
  <r>
    <s v="ORD-01989"/>
    <x v="24"/>
    <s v="CUST-0004"/>
    <s v="PROD-045"/>
    <x v="17"/>
    <n v="3"/>
    <n v="3020"/>
    <n v="21.4"/>
    <n v="7121.16"/>
    <s v="Cancelled"/>
    <s v="Delhi"/>
    <x v="5"/>
    <x v="2"/>
  </r>
  <r>
    <s v="ORD-01990"/>
    <x v="218"/>
    <s v="CUST-0159"/>
    <s v="PROD-035"/>
    <x v="3"/>
    <n v="10"/>
    <n v="1090"/>
    <n v="29.2"/>
    <n v="7717.2"/>
    <s v="Cancelled"/>
    <s v="Hyderabad"/>
    <x v="3"/>
    <x v="0"/>
  </r>
  <r>
    <s v="ORD-01991"/>
    <x v="48"/>
    <s v="CUST-0083"/>
    <s v="PROD-048"/>
    <x v="22"/>
    <n v="5"/>
    <n v="5100"/>
    <n v="28.4"/>
    <n v="18258"/>
    <s v="Completed"/>
    <s v="Bengaluru"/>
    <x v="5"/>
    <x v="1"/>
  </r>
  <r>
    <s v="ORD-01992"/>
    <x v="279"/>
    <s v="CUST-0242"/>
    <s v="PROD-046"/>
    <x v="4"/>
    <n v="6"/>
    <n v="4880"/>
    <n v="16.8"/>
    <n v="24360.959999999999"/>
    <s v="Completed"/>
    <s v="Chennai"/>
    <x v="5"/>
    <x v="0"/>
  </r>
  <r>
    <s v="ORD-01993"/>
    <x v="310"/>
    <s v="CUST-0245"/>
    <s v="PROD-001"/>
    <x v="28"/>
    <n v="1"/>
    <n v="5330"/>
    <n v="27.5"/>
    <n v="3864.25"/>
    <s v="Completed"/>
    <s v="Hyderabad"/>
    <x v="4"/>
    <x v="2"/>
  </r>
  <r>
    <s v="ORD-01994"/>
    <x v="302"/>
    <s v="CUST-0008"/>
    <s v="PROD-033"/>
    <x v="20"/>
    <n v="7"/>
    <n v="2030"/>
    <n v="5.3"/>
    <n v="13456.87"/>
    <s v="Cancelled"/>
    <s v="Pune"/>
    <x v="3"/>
    <x v="2"/>
  </r>
  <r>
    <s v="ORD-01995"/>
    <x v="107"/>
    <s v="CUST-0260"/>
    <s v="PROD-043"/>
    <x v="6"/>
    <n v="7"/>
    <n v="3350"/>
    <n v="0.4"/>
    <n v="23356.2"/>
    <s v="Completed"/>
    <s v="Bengaluru"/>
    <x v="5"/>
    <x v="2"/>
  </r>
  <r>
    <s v="ORD-01996"/>
    <x v="346"/>
    <s v="CUST-0265"/>
    <s v="PROD-031"/>
    <x v="15"/>
    <n v="6"/>
    <n v="3730"/>
    <n v="13.8"/>
    <n v="19291.560000000001"/>
    <s v="Completed"/>
    <s v="Chennai"/>
    <x v="3"/>
    <x v="1"/>
  </r>
  <r>
    <s v="ORD-01997"/>
    <x v="65"/>
    <s v="CUST-0135"/>
    <s v="PROD-006"/>
    <x v="21"/>
    <n v="6"/>
    <n v="3970"/>
    <n v="5.8"/>
    <n v="22438.44"/>
    <s v="Pending"/>
    <s v="Pune"/>
    <x v="4"/>
    <x v="3"/>
  </r>
  <r>
    <s v="ORD-01998"/>
    <x v="95"/>
    <s v="CUST-0030"/>
    <s v="PROD-029"/>
    <x v="23"/>
    <n v="4"/>
    <n v="2210"/>
    <n v="18.2"/>
    <n v="7231.12"/>
    <s v="Pending"/>
    <s v="Bengaluru"/>
    <x v="2"/>
    <x v="1"/>
  </r>
  <r>
    <s v="ORD-01999"/>
    <x v="43"/>
    <s v="CUST-0167"/>
    <s v="PROD-052"/>
    <x v="4"/>
    <n v="6"/>
    <n v="5410"/>
    <n v="15.5"/>
    <n v="27428.7"/>
    <s v="Completed"/>
    <s v="Delhi"/>
    <x v="1"/>
    <x v="0"/>
  </r>
  <r>
    <s v="ORD-02000"/>
    <x v="354"/>
    <s v="CUST-0238"/>
    <s v="PROD-034"/>
    <x v="12"/>
    <n v="6"/>
    <n v="5080"/>
    <n v="28.1"/>
    <n v="21915.119999999999"/>
    <s v="Completed"/>
    <s v="Delhi"/>
    <x v="3"/>
    <x v="3"/>
  </r>
  <r>
    <m/>
    <x v="365"/>
    <m/>
    <m/>
    <x v="30"/>
    <m/>
    <m/>
    <m/>
    <m/>
    <m/>
    <m/>
    <x v="6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ORD-00001"/>
    <x v="0"/>
    <s v="CUST-0243"/>
    <s v="PROD-014"/>
    <x v="0"/>
    <n v="8"/>
    <n v="3620"/>
    <n v="15.4"/>
    <n v="24500.16"/>
    <s v="Completed"/>
    <s v="Pune"/>
    <x v="0"/>
    <x v="0"/>
    <x v="0"/>
  </r>
  <r>
    <s v="ORD-00002"/>
    <x v="1"/>
    <s v="CUST-0202"/>
    <s v="PROD-020"/>
    <x v="1"/>
    <n v="2"/>
    <n v="820"/>
    <n v="10.8"/>
    <n v="1462.88"/>
    <s v="Pending"/>
    <s v="Chennai"/>
    <x v="0"/>
    <x v="0"/>
    <x v="1"/>
  </r>
  <r>
    <s v="ORD-00003"/>
    <x v="2"/>
    <s v="CUST-0098"/>
    <s v="PROD-053"/>
    <x v="2"/>
    <n v="8"/>
    <n v="470"/>
    <n v="3.3"/>
    <n v="3635.92"/>
    <s v="Pending"/>
    <s v="Delhi"/>
    <x v="1"/>
    <x v="1"/>
    <x v="2"/>
  </r>
  <r>
    <s v="ORD-00004"/>
    <x v="3"/>
    <s v="CUST-0071"/>
    <s v="PROD-028"/>
    <x v="3"/>
    <n v="1"/>
    <n v="3660"/>
    <n v="15.7"/>
    <n v="3085.38"/>
    <s v="Completed"/>
    <s v="Delhi"/>
    <x v="2"/>
    <x v="0"/>
    <x v="3"/>
  </r>
  <r>
    <s v="ORD-00005"/>
    <x v="4"/>
    <s v="CUST-0180"/>
    <s v="PROD-012"/>
    <x v="4"/>
    <n v="1"/>
    <n v="3160"/>
    <n v="26"/>
    <n v="2338.4"/>
    <s v="Completed"/>
    <s v="Chennai"/>
    <x v="0"/>
    <x v="0"/>
    <x v="4"/>
  </r>
  <r>
    <s v="ORD-00006"/>
    <x v="5"/>
    <s v="CUST-0275"/>
    <s v="PROD-032"/>
    <x v="5"/>
    <n v="4"/>
    <n v="370"/>
    <n v="29"/>
    <n v="1050.8"/>
    <s v="Completed"/>
    <s v="Mumbai"/>
    <x v="3"/>
    <x v="2"/>
    <x v="5"/>
  </r>
  <r>
    <s v="ORD-00007"/>
    <x v="6"/>
    <s v="CUST-0293"/>
    <s v="PROD-057"/>
    <x v="6"/>
    <n v="3"/>
    <n v="960"/>
    <n v="5.8"/>
    <n v="2712.96"/>
    <s v="Completed"/>
    <s v="Bengaluru"/>
    <x v="1"/>
    <x v="2"/>
    <x v="6"/>
  </r>
  <r>
    <s v="ORD-00008"/>
    <x v="7"/>
    <s v="CUST-0281"/>
    <s v="PROD-007"/>
    <x v="7"/>
    <n v="8"/>
    <n v="1430"/>
    <n v="2.4"/>
    <n v="11165.44"/>
    <s v="Completed"/>
    <s v="Bengaluru"/>
    <x v="4"/>
    <x v="3"/>
    <x v="4"/>
  </r>
  <r>
    <s v="ORD-00009"/>
    <x v="0"/>
    <s v="CUST-0260"/>
    <s v="PROD-038"/>
    <x v="4"/>
    <n v="3"/>
    <n v="5490"/>
    <n v="14.2"/>
    <n v="14131.26"/>
    <s v="Completed"/>
    <s v="Bengaluru"/>
    <x v="3"/>
    <x v="0"/>
    <x v="0"/>
  </r>
  <r>
    <s v="ORD-00010"/>
    <x v="8"/>
    <s v="CUST-0147"/>
    <s v="PROD-030"/>
    <x v="8"/>
    <n v="3"/>
    <n v="970"/>
    <n v="1.2"/>
    <n v="2875.08"/>
    <s v="Completed"/>
    <s v="Pune"/>
    <x v="2"/>
    <x v="2"/>
    <x v="5"/>
  </r>
  <r>
    <s v="ORD-00011"/>
    <x v="9"/>
    <s v="CUST-0204"/>
    <s v="PROD-024"/>
    <x v="9"/>
    <n v="7"/>
    <n v="2270"/>
    <n v="7.1"/>
    <n v="14761.81"/>
    <s v="Pending"/>
    <s v="Hyderabad"/>
    <x v="2"/>
    <x v="1"/>
    <x v="0"/>
  </r>
  <r>
    <s v="ORD-00012"/>
    <x v="10"/>
    <s v="CUST-0147"/>
    <s v="PROD-010"/>
    <x v="6"/>
    <n v="9"/>
    <n v="2640"/>
    <n v="21.7"/>
    <n v="18604.080000000002"/>
    <s v="Completed"/>
    <s v="Pune"/>
    <x v="4"/>
    <x v="2"/>
    <x v="1"/>
  </r>
  <r>
    <s v="ORD-00013"/>
    <x v="11"/>
    <s v="CUST-0280"/>
    <s v="PROD-002"/>
    <x v="10"/>
    <n v="3"/>
    <n v="2600"/>
    <n v="4.3"/>
    <n v="7464.6"/>
    <s v="Cancelled"/>
    <s v="Delhi"/>
    <x v="4"/>
    <x v="0"/>
    <x v="7"/>
  </r>
  <r>
    <s v="ORD-00014"/>
    <x v="12"/>
    <s v="CUST-0008"/>
    <s v="PROD-036"/>
    <x v="5"/>
    <n v="3"/>
    <n v="3250"/>
    <n v="14.1"/>
    <n v="8375.25"/>
    <s v="Refunded"/>
    <s v="Pune"/>
    <x v="3"/>
    <x v="2"/>
    <x v="6"/>
  </r>
  <r>
    <s v="ORD-00015"/>
    <x v="13"/>
    <s v="CUST-0052"/>
    <s v="PROD-060"/>
    <x v="11"/>
    <n v="1"/>
    <n v="190"/>
    <n v="20.7"/>
    <n v="150.66999999999999"/>
    <s v="Completed"/>
    <s v="Pune"/>
    <x v="1"/>
    <x v="0"/>
    <x v="2"/>
  </r>
  <r>
    <s v="ORD-00016"/>
    <x v="14"/>
    <s v="CUST-0184"/>
    <s v="PROD-058"/>
    <x v="2"/>
    <n v="7"/>
    <n v="2400"/>
    <n v="10.199999999999999"/>
    <n v="15086.4"/>
    <s v="Pending"/>
    <s v="Pune"/>
    <x v="1"/>
    <x v="1"/>
    <x v="0"/>
  </r>
  <r>
    <s v="ORD-00017"/>
    <x v="15"/>
    <s v="CUST-0056"/>
    <s v="PROD-028"/>
    <x v="12"/>
    <n v="4"/>
    <n v="3660"/>
    <n v="2.6"/>
    <n v="14259.36"/>
    <s v="Completed"/>
    <s v="Bengaluru"/>
    <x v="2"/>
    <x v="3"/>
    <x v="7"/>
  </r>
  <r>
    <s v="ORD-00018"/>
    <x v="16"/>
    <s v="CUST-0273"/>
    <s v="PROD-047"/>
    <x v="13"/>
    <n v="8"/>
    <n v="3450"/>
    <n v="18.5"/>
    <n v="22494"/>
    <s v="Completed"/>
    <s v="Hyderabad"/>
    <x v="5"/>
    <x v="3"/>
    <x v="8"/>
  </r>
  <r>
    <s v="ORD-00019"/>
    <x v="17"/>
    <s v="CUST-0182"/>
    <s v="PROD-051"/>
    <x v="12"/>
    <n v="5"/>
    <n v="3450"/>
    <n v="7.3"/>
    <n v="15990.75"/>
    <s v="Completed"/>
    <s v="Mumbai"/>
    <x v="1"/>
    <x v="3"/>
    <x v="4"/>
  </r>
  <r>
    <s v="ORD-00020"/>
    <x v="18"/>
    <s v="CUST-0265"/>
    <s v="PROD-040"/>
    <x v="12"/>
    <n v="8"/>
    <n v="1080"/>
    <n v="2.2000000000000002"/>
    <n v="8449.92"/>
    <s v="Completed"/>
    <s v="Chennai"/>
    <x v="3"/>
    <x v="3"/>
    <x v="5"/>
  </r>
  <r>
    <s v="ORD-00021"/>
    <x v="19"/>
    <s v="CUST-0159"/>
    <s v="PROD-019"/>
    <x v="3"/>
    <n v="7"/>
    <n v="2480"/>
    <n v="28.7"/>
    <n v="12377.68"/>
    <s v="Completed"/>
    <s v="Hyderabad"/>
    <x v="0"/>
    <x v="0"/>
    <x v="6"/>
  </r>
  <r>
    <s v="ORD-00022"/>
    <x v="20"/>
    <s v="CUST-0259"/>
    <s v="PROD-036"/>
    <x v="14"/>
    <n v="4"/>
    <n v="3250"/>
    <n v="24.6"/>
    <n v="9802"/>
    <s v="Completed"/>
    <s v="Mumbai"/>
    <x v="3"/>
    <x v="2"/>
    <x v="2"/>
  </r>
  <r>
    <s v="ORD-00023"/>
    <x v="21"/>
    <s v="CUST-0107"/>
    <s v="PROD-015"/>
    <x v="14"/>
    <n v="9"/>
    <n v="2720"/>
    <n v="26.2"/>
    <n v="18066.240000000002"/>
    <s v="Completed"/>
    <s v="Pune"/>
    <x v="0"/>
    <x v="2"/>
    <x v="7"/>
  </r>
  <r>
    <s v="ORD-00024"/>
    <x v="22"/>
    <s v="CUST-0101"/>
    <s v="PROD-044"/>
    <x v="11"/>
    <n v="2"/>
    <n v="1650"/>
    <n v="9.4"/>
    <n v="2989.8"/>
    <s v="Completed"/>
    <s v="Hyderabad"/>
    <x v="5"/>
    <x v="0"/>
    <x v="6"/>
  </r>
  <r>
    <s v="ORD-00025"/>
    <x v="18"/>
    <s v="CUST-0142"/>
    <s v="PROD-043"/>
    <x v="12"/>
    <n v="6"/>
    <n v="3350"/>
    <n v="6.1"/>
    <n v="18873.900000000001"/>
    <s v="Pending"/>
    <s v="Chennai"/>
    <x v="5"/>
    <x v="3"/>
    <x v="5"/>
  </r>
  <r>
    <s v="ORD-00026"/>
    <x v="23"/>
    <s v="CUST-0250"/>
    <s v="PROD-054"/>
    <x v="7"/>
    <n v="2"/>
    <n v="1010"/>
    <n v="16.5"/>
    <n v="1686.7"/>
    <s v="Cancelled"/>
    <s v="Delhi"/>
    <x v="1"/>
    <x v="3"/>
    <x v="9"/>
  </r>
  <r>
    <s v="ORD-00027"/>
    <x v="24"/>
    <s v="CUST-0098"/>
    <s v="PROD-046"/>
    <x v="3"/>
    <n v="5"/>
    <n v="4880"/>
    <n v="23.6"/>
    <n v="18641.599999999999"/>
    <s v="Completed"/>
    <s v="Delhi"/>
    <x v="5"/>
    <x v="0"/>
    <x v="5"/>
  </r>
  <r>
    <s v="ORD-00028"/>
    <x v="25"/>
    <s v="CUST-0143"/>
    <s v="PROD-003"/>
    <x v="15"/>
    <n v="7"/>
    <n v="3570"/>
    <n v="5.8"/>
    <n v="23540.58"/>
    <s v="Cancelled"/>
    <s v="Chennai"/>
    <x v="4"/>
    <x v="1"/>
    <x v="7"/>
  </r>
  <r>
    <s v="ORD-00029"/>
    <x v="26"/>
    <s v="CUST-0086"/>
    <s v="PROD-048"/>
    <x v="16"/>
    <n v="9"/>
    <n v="5100"/>
    <n v="16.7"/>
    <n v="38234.699999999997"/>
    <s v="Completed"/>
    <s v="Hyderabad"/>
    <x v="5"/>
    <x v="3"/>
    <x v="2"/>
  </r>
  <r>
    <s v="ORD-00030"/>
    <x v="27"/>
    <s v="CUST-0006"/>
    <s v="PROD-055"/>
    <x v="1"/>
    <n v="3"/>
    <n v="2860"/>
    <n v="25.8"/>
    <n v="6366.36"/>
    <s v="Completed"/>
    <s v="Pune"/>
    <x v="1"/>
    <x v="0"/>
    <x v="2"/>
  </r>
  <r>
    <s v="ORD-00031"/>
    <x v="28"/>
    <s v="CUST-0241"/>
    <s v="PROD-030"/>
    <x v="3"/>
    <n v="7"/>
    <n v="970"/>
    <n v="29.8"/>
    <n v="4766.58"/>
    <s v="Completed"/>
    <s v="Pune"/>
    <x v="2"/>
    <x v="0"/>
    <x v="9"/>
  </r>
  <r>
    <s v="ORD-00032"/>
    <x v="29"/>
    <s v="CUST-0035"/>
    <s v="PROD-021"/>
    <x v="17"/>
    <n v="4"/>
    <n v="2760"/>
    <n v="5.9"/>
    <n v="10388.64"/>
    <s v="Completed"/>
    <s v="Hyderabad"/>
    <x v="2"/>
    <x v="2"/>
    <x v="8"/>
  </r>
  <r>
    <s v="ORD-00033"/>
    <x v="30"/>
    <s v="CUST-0273"/>
    <s v="PROD-037"/>
    <x v="18"/>
    <n v="10"/>
    <n v="660"/>
    <n v="18.3"/>
    <n v="5392.2"/>
    <s v="Pending"/>
    <s v="Hyderabad"/>
    <x v="3"/>
    <x v="1"/>
    <x v="1"/>
  </r>
  <r>
    <s v="ORD-00034"/>
    <x v="31"/>
    <s v="CUST-0064"/>
    <s v="PROD-036"/>
    <x v="7"/>
    <n v="1"/>
    <n v="3250"/>
    <n v="10.7"/>
    <n v="2902.25"/>
    <s v="Completed"/>
    <s v="Hyderabad"/>
    <x v="3"/>
    <x v="3"/>
    <x v="9"/>
  </r>
  <r>
    <s v="ORD-00035"/>
    <x v="32"/>
    <s v="CUST-0118"/>
    <s v="PROD-048"/>
    <x v="7"/>
    <n v="8"/>
    <n v="5100"/>
    <n v="26.4"/>
    <n v="30028.799999999999"/>
    <s v="Cancelled"/>
    <s v="Hyderabad"/>
    <x v="5"/>
    <x v="3"/>
    <x v="6"/>
  </r>
  <r>
    <s v="ORD-00036"/>
    <x v="33"/>
    <s v="CUST-0013"/>
    <s v="PROD-040"/>
    <x v="13"/>
    <n v="1"/>
    <n v="1080"/>
    <n v="5.0999999999999996"/>
    <n v="1024.92"/>
    <s v="Completed"/>
    <s v="Delhi"/>
    <x v="3"/>
    <x v="3"/>
    <x v="3"/>
  </r>
  <r>
    <s v="ORD-00037"/>
    <x v="34"/>
    <s v="CUST-0177"/>
    <s v="PROD-038"/>
    <x v="18"/>
    <n v="2"/>
    <n v="5490"/>
    <n v="21.1"/>
    <n v="8663.2199999999993"/>
    <s v="Cancelled"/>
    <s v="Mumbai"/>
    <x v="3"/>
    <x v="1"/>
    <x v="8"/>
  </r>
  <r>
    <s v="ORD-00038"/>
    <x v="35"/>
    <s v="CUST-0186"/>
    <s v="PROD-060"/>
    <x v="19"/>
    <n v="7"/>
    <n v="190"/>
    <n v="28.7"/>
    <n v="948.29"/>
    <s v="Completed"/>
    <s v="Bengaluru"/>
    <x v="1"/>
    <x v="0"/>
    <x v="10"/>
  </r>
  <r>
    <s v="ORD-00039"/>
    <x v="36"/>
    <s v="CUST-0069"/>
    <s v="PROD-058"/>
    <x v="15"/>
    <n v="6"/>
    <n v="2400"/>
    <n v="2.7"/>
    <n v="14011.2"/>
    <s v="Completed"/>
    <s v="Chennai"/>
    <x v="1"/>
    <x v="1"/>
    <x v="2"/>
  </r>
  <r>
    <s v="ORD-00040"/>
    <x v="37"/>
    <s v="CUST-0283"/>
    <s v="PROD-044"/>
    <x v="12"/>
    <n v="9"/>
    <n v="1650"/>
    <n v="11.6"/>
    <n v="13127.4"/>
    <s v="Completed"/>
    <s v="Delhi"/>
    <x v="5"/>
    <x v="3"/>
    <x v="4"/>
  </r>
  <r>
    <s v="ORD-00041"/>
    <x v="38"/>
    <s v="CUST-9507"/>
    <s v="PROD-038"/>
    <x v="3"/>
    <n v="4"/>
    <n v="5490"/>
    <n v="12.8"/>
    <n v="19149.12"/>
    <s v="Cancelled"/>
    <s v="Chennai"/>
    <x v="3"/>
    <x v="0"/>
    <x v="4"/>
  </r>
  <r>
    <s v="ORD-00042"/>
    <x v="39"/>
    <s v="CUST-0053"/>
    <s v="PROD-046"/>
    <x v="2"/>
    <n v="10"/>
    <n v="4880"/>
    <n v="12.7"/>
    <n v="42602.400000000001"/>
    <s v="Completed"/>
    <s v="Delhi"/>
    <x v="5"/>
    <x v="1"/>
    <x v="3"/>
  </r>
  <r>
    <s v="ORD-00043"/>
    <x v="40"/>
    <s v="CUST-0222"/>
    <s v="PROD-031"/>
    <x v="7"/>
    <n v="2"/>
    <n v="3730"/>
    <n v="25.8"/>
    <n v="5535.32"/>
    <s v="Completed"/>
    <s v="Chennai"/>
    <x v="3"/>
    <x v="3"/>
    <x v="5"/>
  </r>
  <r>
    <s v="ORD-00044"/>
    <x v="8"/>
    <s v="CUST-0095"/>
    <s v="PROD-047"/>
    <x v="20"/>
    <n v="4"/>
    <n v="3450"/>
    <n v="20.7"/>
    <n v="10943.4"/>
    <s v="Completed"/>
    <s v="Mumbai"/>
    <x v="5"/>
    <x v="2"/>
    <x v="5"/>
  </r>
  <r>
    <s v="ORD-00045"/>
    <x v="41"/>
    <s v="CUST-0152"/>
    <s v="PROD-019"/>
    <x v="7"/>
    <n v="2"/>
    <n v="2480"/>
    <n v="17.3"/>
    <n v="4101.92"/>
    <s v="Completed"/>
    <s v="Bengaluru"/>
    <x v="0"/>
    <x v="3"/>
    <x v="2"/>
  </r>
  <r>
    <s v="ORD-00046"/>
    <x v="42"/>
    <s v="CUST-0291"/>
    <s v="PROD-027"/>
    <x v="15"/>
    <n v="9"/>
    <n v="3780"/>
    <n v="8.6999999999999993"/>
    <n v="31060.26"/>
    <s v="Pending"/>
    <s v="Pune"/>
    <x v="2"/>
    <x v="1"/>
    <x v="11"/>
  </r>
  <r>
    <s v="ORD-00047"/>
    <x v="1"/>
    <s v="CUST-0112"/>
    <s v="PROD-013"/>
    <x v="21"/>
    <n v="4"/>
    <n v="3640"/>
    <n v="20.7"/>
    <n v="11546.08"/>
    <s v="Completed"/>
    <s v="Hyderabad"/>
    <x v="0"/>
    <x v="3"/>
    <x v="1"/>
  </r>
  <r>
    <s v="ORD-00048"/>
    <x v="43"/>
    <s v="CUST-9800"/>
    <s v="PROD-050"/>
    <x v="11"/>
    <n v="8"/>
    <n v="6080"/>
    <n v="24.4"/>
    <n v="36771.839999999997"/>
    <s v="Completed"/>
    <s v="Pune"/>
    <x v="5"/>
    <x v="0"/>
    <x v="2"/>
  </r>
  <r>
    <s v="ORD-00049"/>
    <x v="44"/>
    <s v="CUST-0143"/>
    <s v="PROD-030"/>
    <x v="0"/>
    <n v="10"/>
    <n v="970"/>
    <n v="0.6"/>
    <n v="9641.7999999999993"/>
    <s v="Cancelled"/>
    <s v="Chennai"/>
    <x v="2"/>
    <x v="0"/>
    <x v="5"/>
  </r>
  <r>
    <s v="ORD-00050"/>
    <x v="45"/>
    <s v="CUST-0226"/>
    <s v="PROD-022"/>
    <x v="8"/>
    <n v="1"/>
    <n v="2270"/>
    <n v="11.5"/>
    <n v="2008.95"/>
    <s v="Pending"/>
    <s v="Chennai"/>
    <x v="2"/>
    <x v="2"/>
    <x v="0"/>
  </r>
  <r>
    <s v="ORD-00051"/>
    <x v="46"/>
    <s v="CUST-0234"/>
    <s v="PROD-004"/>
    <x v="12"/>
    <n v="7"/>
    <n v="3870"/>
    <n v="0.3"/>
    <n v="27008.73"/>
    <s v="Cancelled"/>
    <s v="Bengaluru"/>
    <x v="4"/>
    <x v="3"/>
    <x v="1"/>
  </r>
  <r>
    <s v="ORD-00052"/>
    <x v="47"/>
    <s v="CUST-0176"/>
    <s v="PROD-046"/>
    <x v="18"/>
    <n v="1"/>
    <n v="4880"/>
    <n v="23.9"/>
    <n v="3713.68"/>
    <s v="Pending"/>
    <s v="Bengaluru"/>
    <x v="5"/>
    <x v="1"/>
    <x v="7"/>
  </r>
  <r>
    <s v="ORD-00053"/>
    <x v="48"/>
    <s v="CUST-0180"/>
    <s v="PROD-027"/>
    <x v="22"/>
    <n v="5"/>
    <n v="3780"/>
    <n v="18.5"/>
    <n v="15403.5"/>
    <s v="Completed"/>
    <s v="Chennai"/>
    <x v="2"/>
    <x v="1"/>
    <x v="4"/>
  </r>
  <r>
    <s v="ORD-00054"/>
    <x v="49"/>
    <s v="CUST-0088"/>
    <s v="PROD-036"/>
    <x v="16"/>
    <n v="10"/>
    <n v="3250"/>
    <n v="25.5"/>
    <n v="24212.5"/>
    <s v="Completed"/>
    <s v="Chennai"/>
    <x v="3"/>
    <x v="3"/>
    <x v="3"/>
  </r>
  <r>
    <s v="ORD-00055"/>
    <x v="50"/>
    <s v="CUST-0267"/>
    <s v="PROD-013"/>
    <x v="0"/>
    <n v="4"/>
    <n v="3640"/>
    <n v="9.9"/>
    <n v="13118.56"/>
    <s v="Refunded"/>
    <s v="Hyderabad"/>
    <x v="0"/>
    <x v="0"/>
    <x v="7"/>
  </r>
  <r>
    <s v="ORD-00056"/>
    <x v="51"/>
    <s v="CUST-0194"/>
    <s v="PROD-041"/>
    <x v="12"/>
    <n v="4"/>
    <n v="1540"/>
    <n v="28.8"/>
    <n v="4385.92"/>
    <s v="Completed"/>
    <s v="Delhi"/>
    <x v="5"/>
    <x v="3"/>
    <x v="8"/>
  </r>
  <r>
    <s v="ORD-00057"/>
    <x v="48"/>
    <s v="CUST-0261"/>
    <s v="PROD-040"/>
    <x v="21"/>
    <n v="1"/>
    <n v="1080"/>
    <n v="23"/>
    <n v="831.6"/>
    <s v="Cancelled"/>
    <s v="Delhi"/>
    <x v="3"/>
    <x v="3"/>
    <x v="4"/>
  </r>
  <r>
    <s v="ORD-00058"/>
    <x v="52"/>
    <s v="CUST-0031"/>
    <s v="PROD-026"/>
    <x v="0"/>
    <n v="1"/>
    <n v="4070"/>
    <n v="6.7"/>
    <n v="3797.31"/>
    <s v="Completed"/>
    <s v="Hyderabad"/>
    <x v="2"/>
    <x v="0"/>
    <x v="9"/>
  </r>
  <r>
    <s v="ORD-00059"/>
    <x v="53"/>
    <s v="CUST-0175"/>
    <s v="PROD-009"/>
    <x v="14"/>
    <n v="2"/>
    <n v="1220"/>
    <n v="11.7"/>
    <n v="2154.52"/>
    <s v="Cancelled"/>
    <s v="Delhi"/>
    <x v="4"/>
    <x v="2"/>
    <x v="3"/>
  </r>
  <r>
    <s v="ORD-00060"/>
    <x v="54"/>
    <s v="CUST-0263"/>
    <s v="PROD-039"/>
    <x v="20"/>
    <n v="4"/>
    <n v="4610"/>
    <n v="26.9"/>
    <n v="13479.64"/>
    <s v="Pending"/>
    <s v="Mumbai"/>
    <x v="3"/>
    <x v="2"/>
    <x v="3"/>
  </r>
  <r>
    <s v="ORD-00061"/>
    <x v="55"/>
    <s v="CUST-0203"/>
    <s v="PROD-040"/>
    <x v="23"/>
    <n v="8"/>
    <n v="1080"/>
    <n v="28.4"/>
    <n v="6186.24"/>
    <s v="Completed"/>
    <s v="Chennai"/>
    <x v="3"/>
    <x v="1"/>
    <x v="9"/>
  </r>
  <r>
    <s v="ORD-00062"/>
    <x v="56"/>
    <s v="CUST-0258"/>
    <s v="PROD-045"/>
    <x v="3"/>
    <n v="10"/>
    <n v="3020"/>
    <n v="25.4"/>
    <n v="22529.200000000001"/>
    <s v="Completed"/>
    <s v="Pune"/>
    <x v="5"/>
    <x v="0"/>
    <x v="10"/>
  </r>
  <r>
    <s v="ORD-00063"/>
    <x v="57"/>
    <s v="CUST-0282"/>
    <s v="PROD-008"/>
    <x v="21"/>
    <n v="7"/>
    <n v="2660"/>
    <n v="5.3"/>
    <n v="17633.14"/>
    <s v="Completed"/>
    <s v="Hyderabad"/>
    <x v="4"/>
    <x v="3"/>
    <x v="6"/>
  </r>
  <r>
    <s v="ORD-00064"/>
    <x v="37"/>
    <s v="CUST-0168"/>
    <s v="PROD-005"/>
    <x v="11"/>
    <n v="9"/>
    <n v="300"/>
    <n v="25.3"/>
    <n v="2016.9"/>
    <s v="Completed"/>
    <s v="Pune"/>
    <x v="4"/>
    <x v="0"/>
    <x v="4"/>
  </r>
  <r>
    <s v="ORD-00065"/>
    <x v="58"/>
    <s v="CUST-0040"/>
    <s v="PROD-010"/>
    <x v="24"/>
    <n v="10"/>
    <n v="2640"/>
    <n v="18.7"/>
    <n v="21463.200000000001"/>
    <s v="Cancelled"/>
    <s v="Chennai"/>
    <x v="4"/>
    <x v="3"/>
    <x v="11"/>
  </r>
  <r>
    <s v="ORD-00066"/>
    <x v="32"/>
    <s v="CUST-0283"/>
    <s v="PROD-020"/>
    <x v="16"/>
    <n v="8"/>
    <n v="820"/>
    <n v="24"/>
    <n v="4985.6000000000004"/>
    <s v="Completed"/>
    <s v="Delhi"/>
    <x v="0"/>
    <x v="3"/>
    <x v="6"/>
  </r>
  <r>
    <s v="ORD-00067"/>
    <x v="59"/>
    <s v="CUST-0202"/>
    <s v="PROD-021"/>
    <x v="8"/>
    <n v="1"/>
    <n v="2760"/>
    <n v="4.8"/>
    <n v="2627.52"/>
    <s v="Completed"/>
    <s v="Chennai"/>
    <x v="2"/>
    <x v="2"/>
    <x v="10"/>
  </r>
  <r>
    <s v="ORD-00068"/>
    <x v="60"/>
    <s v="CUST-0161"/>
    <s v="PROD-014"/>
    <x v="21"/>
    <n v="2"/>
    <n v="3620"/>
    <n v="19.100000000000001"/>
    <n v="5857.16"/>
    <s v="Completed"/>
    <s v="Chennai"/>
    <x v="0"/>
    <x v="3"/>
    <x v="1"/>
  </r>
  <r>
    <s v="ORD-00069"/>
    <x v="61"/>
    <s v="CUST-0033"/>
    <s v="PROD-016"/>
    <x v="5"/>
    <n v="1"/>
    <n v="620"/>
    <n v="1"/>
    <n v="613.79999999999995"/>
    <s v="Completed"/>
    <s v="Delhi"/>
    <x v="0"/>
    <x v="2"/>
    <x v="6"/>
  </r>
  <r>
    <s v="ORD-00070"/>
    <x v="62"/>
    <s v="CUST-0191"/>
    <s v="PROD-033"/>
    <x v="14"/>
    <n v="1"/>
    <n v="2030"/>
    <n v="3.3"/>
    <n v="1963.01"/>
    <s v="Completed"/>
    <s v="Hyderabad"/>
    <x v="3"/>
    <x v="2"/>
    <x v="5"/>
  </r>
  <r>
    <s v="ORD-00071"/>
    <x v="19"/>
    <s v="CUST-0180"/>
    <s v="PROD-012"/>
    <x v="25"/>
    <n v="10"/>
    <n v="3160"/>
    <n v="15.8"/>
    <n v="26607.200000000001"/>
    <s v="Completed"/>
    <s v="Chennai"/>
    <x v="0"/>
    <x v="0"/>
    <x v="6"/>
  </r>
  <r>
    <s v="ORD-00072"/>
    <x v="63"/>
    <s v="CUST-0129"/>
    <s v="PROD-030"/>
    <x v="19"/>
    <n v="5"/>
    <n v="970"/>
    <n v="12.2"/>
    <n v="4258.3"/>
    <s v="Completed"/>
    <s v="Hyderabad"/>
    <x v="2"/>
    <x v="0"/>
    <x v="1"/>
  </r>
  <r>
    <s v="ORD-00073"/>
    <x v="64"/>
    <s v="CUST-0189"/>
    <s v="PROD-043"/>
    <x v="11"/>
    <n v="9"/>
    <n v="3350"/>
    <n v="25.8"/>
    <n v="22371.3"/>
    <s v="Pending"/>
    <s v="Chennai"/>
    <x v="5"/>
    <x v="0"/>
    <x v="10"/>
  </r>
  <r>
    <s v="ORD-00074"/>
    <x v="65"/>
    <s v="CUST-0194"/>
    <s v="PROD-032"/>
    <x v="26"/>
    <n v="1"/>
    <n v="370"/>
    <n v="28.9"/>
    <n v="263.07"/>
    <s v="Completed"/>
    <s v="Delhi"/>
    <x v="3"/>
    <x v="3"/>
    <x v="9"/>
  </r>
  <r>
    <s v="ORD-00075"/>
    <x v="66"/>
    <s v="CUST-0200"/>
    <s v="PROD-030"/>
    <x v="9"/>
    <n v="3"/>
    <n v="970"/>
    <n v="4.3"/>
    <n v="2784.87"/>
    <s v="Cancelled"/>
    <s v="Hyderabad"/>
    <x v="2"/>
    <x v="1"/>
    <x v="10"/>
  </r>
  <r>
    <s v="ORD-00076"/>
    <x v="67"/>
    <s v="CUST-0008"/>
    <s v="PROD-021"/>
    <x v="24"/>
    <n v="6"/>
    <n v="2760"/>
    <n v="19.899999999999999"/>
    <n v="13264.56"/>
    <s v="Pending"/>
    <s v="Pune"/>
    <x v="2"/>
    <x v="3"/>
    <x v="2"/>
  </r>
  <r>
    <s v="ORD-00077"/>
    <x v="68"/>
    <s v="CUST-0051"/>
    <s v="PROD-021"/>
    <x v="7"/>
    <n v="7"/>
    <n v="2760"/>
    <n v="25.2"/>
    <n v="14451.36"/>
    <s v="Completed"/>
    <s v="Pune"/>
    <x v="2"/>
    <x v="3"/>
    <x v="3"/>
  </r>
  <r>
    <s v="ORD-00078"/>
    <x v="69"/>
    <s v="CUST-0193"/>
    <s v="PROD-009"/>
    <x v="24"/>
    <n v="4"/>
    <n v="1220"/>
    <n v="8.4"/>
    <n v="4470.08"/>
    <s v="Completed"/>
    <s v="Bengaluru"/>
    <x v="4"/>
    <x v="3"/>
    <x v="5"/>
  </r>
  <r>
    <s v="ORD-00079"/>
    <x v="70"/>
    <s v="CUST-0020"/>
    <s v="PROD-002"/>
    <x v="8"/>
    <n v="2"/>
    <n v="2600"/>
    <n v="1.9"/>
    <n v="5101.2"/>
    <s v="Pending"/>
    <s v="Hyderabad"/>
    <x v="4"/>
    <x v="2"/>
    <x v="4"/>
  </r>
  <r>
    <s v="ORD-00080"/>
    <x v="71"/>
    <s v="CUST-0230"/>
    <s v="PROD-026"/>
    <x v="14"/>
    <n v="9"/>
    <n v="4070"/>
    <n v="28.8"/>
    <n v="26080.560000000001"/>
    <s v="Completed"/>
    <s v="Pune"/>
    <x v="2"/>
    <x v="2"/>
    <x v="10"/>
  </r>
  <r>
    <s v="ORD-00081"/>
    <x v="50"/>
    <s v="CUST-0094"/>
    <s v="PROD-024"/>
    <x v="1"/>
    <n v="2"/>
    <n v="2270"/>
    <n v="18"/>
    <n v="3722.8"/>
    <s v="Refunded"/>
    <s v="Pune"/>
    <x v="2"/>
    <x v="0"/>
    <x v="7"/>
  </r>
  <r>
    <s v="ORD-00082"/>
    <x v="72"/>
    <s v="CUST-0248"/>
    <s v="PROD-012"/>
    <x v="21"/>
    <n v="2"/>
    <n v="3160"/>
    <n v="18.3"/>
    <n v="5163.4399999999996"/>
    <s v="Completed"/>
    <s v="Chennai"/>
    <x v="0"/>
    <x v="3"/>
    <x v="7"/>
  </r>
  <r>
    <s v="ORD-00083"/>
    <x v="73"/>
    <s v="CUST-0082"/>
    <s v="PROD-019"/>
    <x v="0"/>
    <n v="4"/>
    <n v="2480"/>
    <n v="1.1000000000000001"/>
    <n v="9810.8799999999992"/>
    <s v="Pending"/>
    <s v="Hyderabad"/>
    <x v="0"/>
    <x v="0"/>
    <x v="5"/>
  </r>
  <r>
    <s v="ORD-00084"/>
    <x v="74"/>
    <s v="CUST-0078"/>
    <s v="PROD-008"/>
    <x v="17"/>
    <n v="1"/>
    <n v="2660"/>
    <n v="21"/>
    <n v="2101.4"/>
    <s v="Completed"/>
    <s v="Delhi"/>
    <x v="4"/>
    <x v="2"/>
    <x v="0"/>
  </r>
  <r>
    <s v="ORD-00085"/>
    <x v="75"/>
    <s v="CUST-0032"/>
    <s v="PROD-045"/>
    <x v="27"/>
    <n v="5"/>
    <n v="3020"/>
    <n v="22.2"/>
    <n v="11747.8"/>
    <s v="Completed"/>
    <s v="Hyderabad"/>
    <x v="5"/>
    <x v="1"/>
    <x v="3"/>
  </r>
  <r>
    <s v="ORD-00086"/>
    <x v="76"/>
    <s v="CUST-0006"/>
    <s v="PROD-016"/>
    <x v="14"/>
    <n v="9"/>
    <n v="620"/>
    <n v="23.3"/>
    <n v="4279.8599999999997"/>
    <s v="Completed"/>
    <s v="Pune"/>
    <x v="0"/>
    <x v="2"/>
    <x v="6"/>
  </r>
  <r>
    <s v="ORD-00087"/>
    <x v="77"/>
    <s v="CUST-0084"/>
    <s v="PROD-053"/>
    <x v="17"/>
    <n v="2"/>
    <n v="470"/>
    <n v="5.4"/>
    <n v="889.24"/>
    <s v="Completed"/>
    <s v="Chennai"/>
    <x v="1"/>
    <x v="2"/>
    <x v="4"/>
  </r>
  <r>
    <s v="ORD-00088"/>
    <x v="78"/>
    <s v="CUST-0107"/>
    <s v="PROD-007"/>
    <x v="9"/>
    <n v="3"/>
    <n v="1430"/>
    <n v="6.5"/>
    <n v="4011.15"/>
    <s v="Completed"/>
    <s v="Pune"/>
    <x v="4"/>
    <x v="1"/>
    <x v="9"/>
  </r>
  <r>
    <s v="ORD-00089"/>
    <x v="79"/>
    <s v="CUST-0108"/>
    <s v="PROD-016"/>
    <x v="10"/>
    <n v="6"/>
    <n v="620"/>
    <n v="2.6"/>
    <n v="3623.28"/>
    <s v="Completed"/>
    <s v="Bengaluru"/>
    <x v="0"/>
    <x v="0"/>
    <x v="7"/>
  </r>
  <r>
    <s v="ORD-00090"/>
    <x v="80"/>
    <s v="CUST-0139"/>
    <s v="PROD-003"/>
    <x v="27"/>
    <n v="4"/>
    <n v="3570"/>
    <n v="4.5"/>
    <n v="13637.4"/>
    <s v="Pending"/>
    <s v="Hyderabad"/>
    <x v="4"/>
    <x v="1"/>
    <x v="7"/>
  </r>
  <r>
    <s v="ORD-00091"/>
    <x v="81"/>
    <s v="CUST-0200"/>
    <s v="PROD-022"/>
    <x v="9"/>
    <n v="6"/>
    <n v="2270"/>
    <n v="2"/>
    <n v="13347.6"/>
    <s v="Completed"/>
    <s v="Hyderabad"/>
    <x v="2"/>
    <x v="1"/>
    <x v="4"/>
  </r>
  <r>
    <s v="ORD-00092"/>
    <x v="60"/>
    <s v="CUST-0208"/>
    <s v="PROD-015"/>
    <x v="2"/>
    <n v="7"/>
    <n v="2720"/>
    <n v="15.4"/>
    <n v="16107.84"/>
    <s v="Completed"/>
    <s v="Mumbai"/>
    <x v="0"/>
    <x v="1"/>
    <x v="1"/>
  </r>
  <r>
    <s v="ORD-00093"/>
    <x v="82"/>
    <s v="CUST-0161"/>
    <s v="PROD-029"/>
    <x v="19"/>
    <n v="9"/>
    <n v="2210"/>
    <n v="12.4"/>
    <n v="17423.64"/>
    <s v="Completed"/>
    <s v="Chennai"/>
    <x v="2"/>
    <x v="0"/>
    <x v="2"/>
  </r>
  <r>
    <s v="ORD-00094"/>
    <x v="83"/>
    <s v="CUST-0042"/>
    <s v="PROD-060"/>
    <x v="17"/>
    <n v="6"/>
    <n v="190"/>
    <n v="19.2"/>
    <n v="921.12"/>
    <s v="Completed"/>
    <s v="Pune"/>
    <x v="1"/>
    <x v="2"/>
    <x v="8"/>
  </r>
  <r>
    <s v="ORD-00095"/>
    <x v="84"/>
    <s v="CUST-0133"/>
    <s v="PROD-048"/>
    <x v="28"/>
    <n v="10"/>
    <n v="5100"/>
    <n v="25.4"/>
    <n v="38046"/>
    <s v="Refunded"/>
    <s v="Chennai"/>
    <x v="5"/>
    <x v="2"/>
    <x v="4"/>
  </r>
  <r>
    <s v="ORD-00096"/>
    <x v="85"/>
    <s v="CUST-0219"/>
    <s v="PROD-054"/>
    <x v="29"/>
    <n v="5"/>
    <n v="1010"/>
    <n v="1.6"/>
    <n v="4969.2"/>
    <s v="Completed"/>
    <s v="Chennai"/>
    <x v="1"/>
    <x v="1"/>
    <x v="3"/>
  </r>
  <r>
    <s v="ORD-00097"/>
    <x v="60"/>
    <s v="CUST-0031"/>
    <s v="PROD-031"/>
    <x v="5"/>
    <n v="1"/>
    <n v="3730"/>
    <n v="22.7"/>
    <n v="2883.29"/>
    <s v="Completed"/>
    <s v="Hyderabad"/>
    <x v="3"/>
    <x v="2"/>
    <x v="1"/>
  </r>
  <r>
    <s v="ORD-00098"/>
    <x v="41"/>
    <s v="CUST-0189"/>
    <s v="PROD-002"/>
    <x v="8"/>
    <n v="10"/>
    <n v="2600"/>
    <n v="20.7"/>
    <n v="20618"/>
    <s v="Completed"/>
    <s v="Chennai"/>
    <x v="4"/>
    <x v="2"/>
    <x v="2"/>
  </r>
  <r>
    <s v="ORD-00099"/>
    <x v="86"/>
    <s v="CUST-0170"/>
    <s v="PROD-025"/>
    <x v="3"/>
    <n v="4"/>
    <n v="4060"/>
    <n v="13.9"/>
    <n v="13982.64"/>
    <s v="Completed"/>
    <s v="Mumbai"/>
    <x v="2"/>
    <x v="0"/>
    <x v="6"/>
  </r>
  <r>
    <s v="ORD-00100"/>
    <x v="87"/>
    <s v="CUST-0164"/>
    <s v="PROD-050"/>
    <x v="28"/>
    <n v="6"/>
    <n v="6080"/>
    <n v="16.5"/>
    <n v="30460.799999999999"/>
    <s v="Completed"/>
    <s v="Chennai"/>
    <x v="5"/>
    <x v="2"/>
    <x v="3"/>
  </r>
  <r>
    <s v="ORD-00101"/>
    <x v="88"/>
    <s v="CUST-0006"/>
    <s v="PROD-017"/>
    <x v="8"/>
    <n v="6"/>
    <n v="2510"/>
    <n v="11.7"/>
    <n v="13297.98"/>
    <s v="Completed"/>
    <s v="Pune"/>
    <x v="0"/>
    <x v="2"/>
    <x v="0"/>
  </r>
  <r>
    <s v="ORD-00102"/>
    <x v="89"/>
    <s v="CUST-0181"/>
    <s v="PROD-036"/>
    <x v="17"/>
    <n v="5"/>
    <n v="3250"/>
    <n v="18.399999999999999"/>
    <n v="13260"/>
    <s v="Completed"/>
    <s v="Delhi"/>
    <x v="3"/>
    <x v="2"/>
    <x v="7"/>
  </r>
  <r>
    <s v="ORD-00103"/>
    <x v="90"/>
    <s v="CUST-0131"/>
    <s v="PROD-052"/>
    <x v="1"/>
    <n v="4"/>
    <n v="5410"/>
    <n v="9.8000000000000007"/>
    <n v="19519.28"/>
    <s v="Cancelled"/>
    <s v="Delhi"/>
    <x v="1"/>
    <x v="0"/>
    <x v="1"/>
  </r>
  <r>
    <s v="ORD-00104"/>
    <x v="91"/>
    <s v="CUST-0255"/>
    <s v="PROD-003"/>
    <x v="26"/>
    <n v="8"/>
    <n v="3570"/>
    <n v="11.1"/>
    <n v="25389.84"/>
    <s v="Completed"/>
    <s v="Chennai"/>
    <x v="4"/>
    <x v="3"/>
    <x v="5"/>
  </r>
  <r>
    <s v="ORD-00105"/>
    <x v="92"/>
    <s v="CUST-0170"/>
    <s v="PROD-001"/>
    <x v="11"/>
    <n v="10"/>
    <n v="5330"/>
    <n v="21.2"/>
    <n v="42000.4"/>
    <s v="Completed"/>
    <s v="Mumbai"/>
    <x v="4"/>
    <x v="0"/>
    <x v="11"/>
  </r>
  <r>
    <s v="ORD-00106"/>
    <x v="93"/>
    <s v="CUST-0081"/>
    <s v="PROD-023"/>
    <x v="21"/>
    <n v="4"/>
    <n v="2380"/>
    <n v="26.2"/>
    <n v="7025.76"/>
    <s v="Completed"/>
    <s v="Mumbai"/>
    <x v="2"/>
    <x v="3"/>
    <x v="8"/>
  </r>
  <r>
    <s v="ORD-00107"/>
    <x v="94"/>
    <s v="CUST-0102"/>
    <s v="PROD-054"/>
    <x v="28"/>
    <n v="1"/>
    <n v="1010"/>
    <n v="19.5"/>
    <n v="813.05"/>
    <s v="Cancelled"/>
    <s v="Chennai"/>
    <x v="1"/>
    <x v="2"/>
    <x v="11"/>
  </r>
  <r>
    <s v="ORD-00108"/>
    <x v="85"/>
    <s v="CUST-0070"/>
    <s v="PROD-028"/>
    <x v="5"/>
    <n v="1"/>
    <n v="3660"/>
    <n v="1.3"/>
    <n v="3612.42"/>
    <s v="Completed"/>
    <s v="Mumbai"/>
    <x v="2"/>
    <x v="2"/>
    <x v="3"/>
  </r>
  <r>
    <s v="ORD-00109"/>
    <x v="95"/>
    <s v="CUST-0012"/>
    <s v="PROD-026"/>
    <x v="22"/>
    <n v="2"/>
    <n v="4070"/>
    <n v="29"/>
    <n v="5779.4"/>
    <s v="Cancelled"/>
    <s v="Pune"/>
    <x v="2"/>
    <x v="1"/>
    <x v="9"/>
  </r>
  <r>
    <s v="ORD-00110"/>
    <x v="96"/>
    <s v="CUST-0086"/>
    <s v="PROD-037"/>
    <x v="20"/>
    <n v="6"/>
    <n v="660"/>
    <n v="20.2"/>
    <n v="3160.08"/>
    <s v="Pending"/>
    <s v="Hyderabad"/>
    <x v="3"/>
    <x v="2"/>
    <x v="3"/>
  </r>
  <r>
    <s v="ORD-00111"/>
    <x v="97"/>
    <s v="CUST-0145"/>
    <s v="PROD-040"/>
    <x v="6"/>
    <n v="3"/>
    <n v="1080"/>
    <n v="29.7"/>
    <n v="2277.7199999999998"/>
    <s v="Completed"/>
    <s v="Bengaluru"/>
    <x v="3"/>
    <x v="2"/>
    <x v="10"/>
  </r>
  <r>
    <s v="ORD-00112"/>
    <x v="98"/>
    <s v="CUST-0287"/>
    <s v="PROD-020"/>
    <x v="3"/>
    <n v="7"/>
    <n v="820"/>
    <n v="13.5"/>
    <n v="4965.1000000000004"/>
    <s v="Cancelled"/>
    <s v="Chennai"/>
    <x v="0"/>
    <x v="0"/>
    <x v="8"/>
  </r>
  <r>
    <s v="ORD-00113"/>
    <x v="18"/>
    <s v="CUST-0280"/>
    <s v="PROD-049"/>
    <x v="28"/>
    <n v="4"/>
    <n v="960"/>
    <n v="26"/>
    <n v="2841.6"/>
    <s v="Completed"/>
    <s v="Delhi"/>
    <x v="5"/>
    <x v="2"/>
    <x v="5"/>
  </r>
  <r>
    <s v="ORD-00114"/>
    <x v="99"/>
    <s v="CUST-0096"/>
    <s v="PROD-002"/>
    <x v="2"/>
    <n v="3"/>
    <n v="2600"/>
    <n v="18.2"/>
    <n v="6380.4"/>
    <s v="Completed"/>
    <s v="Delhi"/>
    <x v="4"/>
    <x v="1"/>
    <x v="6"/>
  </r>
  <r>
    <s v="ORD-00115"/>
    <x v="43"/>
    <s v="CUST-0184"/>
    <s v="PROD-033"/>
    <x v="20"/>
    <n v="9"/>
    <n v="2030"/>
    <n v="26.1"/>
    <n v="13501.53"/>
    <s v="Completed"/>
    <s v="Pune"/>
    <x v="3"/>
    <x v="2"/>
    <x v="2"/>
  </r>
  <r>
    <s v="ORD-00116"/>
    <x v="100"/>
    <s v="CUST-0025"/>
    <s v="PROD-042"/>
    <x v="8"/>
    <n v="8"/>
    <n v="2290"/>
    <n v="20.8"/>
    <n v="14509.44"/>
    <s v="Completed"/>
    <s v="Bengaluru"/>
    <x v="5"/>
    <x v="2"/>
    <x v="4"/>
  </r>
  <r>
    <s v="ORD-00117"/>
    <x v="101"/>
    <s v="CUST-0149"/>
    <s v="PROD-031"/>
    <x v="20"/>
    <n v="3"/>
    <n v="3730"/>
    <n v="7.9"/>
    <n v="10305.99"/>
    <s v="Completed"/>
    <s v="Hyderabad"/>
    <x v="3"/>
    <x v="2"/>
    <x v="7"/>
  </r>
  <r>
    <s v="ORD-00118"/>
    <x v="102"/>
    <s v="CUST-0018"/>
    <s v="PROD-005"/>
    <x v="2"/>
    <n v="1"/>
    <n v="300"/>
    <n v="16.899999999999999"/>
    <n v="249.3"/>
    <s v="Pending"/>
    <s v="Pune"/>
    <x v="4"/>
    <x v="1"/>
    <x v="9"/>
  </r>
  <r>
    <s v="ORD-00119"/>
    <x v="103"/>
    <s v="CUST-0216"/>
    <s v="PROD-005"/>
    <x v="27"/>
    <n v="3"/>
    <n v="300"/>
    <n v="0.6"/>
    <n v="894.6"/>
    <s v="Completed"/>
    <s v="Mumbai"/>
    <x v="4"/>
    <x v="1"/>
    <x v="3"/>
  </r>
  <r>
    <s v="ORD-00120"/>
    <x v="90"/>
    <s v="CUST-0092"/>
    <s v="PROD-043"/>
    <x v="0"/>
    <n v="6"/>
    <n v="3350"/>
    <n v="2.2999999999999998"/>
    <n v="19637.7"/>
    <s v="Cancelled"/>
    <s v="Bengaluru"/>
    <x v="5"/>
    <x v="0"/>
    <x v="1"/>
  </r>
  <r>
    <s v="ORD-00121"/>
    <x v="104"/>
    <s v="CUST-0056"/>
    <s v="PROD-001"/>
    <x v="11"/>
    <n v="4"/>
    <n v="5330"/>
    <n v="29.3"/>
    <n v="15073.24"/>
    <s v="Completed"/>
    <s v="Bengaluru"/>
    <x v="4"/>
    <x v="0"/>
    <x v="3"/>
  </r>
  <r>
    <s v="ORD-00122"/>
    <x v="105"/>
    <s v="CUST-0113"/>
    <s v="PROD-014"/>
    <x v="25"/>
    <n v="6"/>
    <n v="3620"/>
    <n v="10.8"/>
    <n v="19374.240000000002"/>
    <s v="Completed"/>
    <s v="Delhi"/>
    <x v="0"/>
    <x v="0"/>
    <x v="4"/>
  </r>
  <r>
    <s v="ORD-00123"/>
    <x v="106"/>
    <s v="CUST-0253"/>
    <s v="PROD-014"/>
    <x v="1"/>
    <n v="6"/>
    <n v="3620"/>
    <n v="21.7"/>
    <n v="17006.759999999998"/>
    <s v="Completed"/>
    <s v="Delhi"/>
    <x v="0"/>
    <x v="0"/>
    <x v="9"/>
  </r>
  <r>
    <s v="ORD-00124"/>
    <x v="107"/>
    <s v="CUST-0187"/>
    <s v="PROD-057"/>
    <x v="4"/>
    <n v="8"/>
    <n v="960"/>
    <n v="27.9"/>
    <n v="5537.28"/>
    <s v="Completed"/>
    <s v="Chennai"/>
    <x v="1"/>
    <x v="0"/>
    <x v="2"/>
  </r>
  <r>
    <s v="ORD-00125"/>
    <x v="108"/>
    <s v="CUST-0028"/>
    <s v="PROD-044"/>
    <x v="5"/>
    <n v="5"/>
    <n v="1650"/>
    <n v="4.9000000000000004"/>
    <n v="7845.75"/>
    <s v="Completed"/>
    <s v="Bengaluru"/>
    <x v="5"/>
    <x v="2"/>
    <x v="8"/>
  </r>
  <r>
    <s v="ORD-00126"/>
    <x v="95"/>
    <s v="CUST-0224"/>
    <s v="PROD-049"/>
    <x v="9"/>
    <n v="9"/>
    <n v="960"/>
    <n v="25.1"/>
    <n v="6471.36"/>
    <s v="Refunded"/>
    <s v="Chennai"/>
    <x v="5"/>
    <x v="1"/>
    <x v="9"/>
  </r>
  <r>
    <s v="ORD-00127"/>
    <x v="99"/>
    <s v="CUST-0150"/>
    <s v="PROD-006"/>
    <x v="11"/>
    <n v="7"/>
    <n v="3970"/>
    <n v="13.8"/>
    <n v="23954.98"/>
    <s v="Pending"/>
    <s v="Pune"/>
    <x v="4"/>
    <x v="0"/>
    <x v="6"/>
  </r>
  <r>
    <s v="ORD-00128"/>
    <x v="109"/>
    <s v="CUST-0129"/>
    <s v="PROD-030"/>
    <x v="1"/>
    <n v="7"/>
    <n v="970"/>
    <n v="21.6"/>
    <n v="5323.36"/>
    <s v="Pending"/>
    <s v="Hyderabad"/>
    <x v="2"/>
    <x v="0"/>
    <x v="4"/>
  </r>
  <r>
    <s v="ORD-00129"/>
    <x v="110"/>
    <s v="CUST-0239"/>
    <s v="PROD-033"/>
    <x v="19"/>
    <n v="10"/>
    <n v="2030"/>
    <n v="1.2"/>
    <n v="20056.400000000001"/>
    <s v="Completed"/>
    <s v="Mumbai"/>
    <x v="3"/>
    <x v="0"/>
    <x v="0"/>
  </r>
  <r>
    <s v="ORD-00130"/>
    <x v="93"/>
    <s v="CUST-0106"/>
    <s v="PROD-024"/>
    <x v="13"/>
    <n v="9"/>
    <n v="2270"/>
    <n v="13.2"/>
    <n v="17733.240000000002"/>
    <s v="Pending"/>
    <s v="Pune"/>
    <x v="2"/>
    <x v="3"/>
    <x v="8"/>
  </r>
  <r>
    <s v="ORD-00131"/>
    <x v="111"/>
    <s v="CUST-0273"/>
    <s v="PROD-046"/>
    <x v="11"/>
    <n v="8"/>
    <n v="4880"/>
    <n v="13.4"/>
    <n v="33808.639999999999"/>
    <s v="Completed"/>
    <s v="Hyderabad"/>
    <x v="5"/>
    <x v="0"/>
    <x v="7"/>
  </r>
  <r>
    <s v="ORD-00132"/>
    <x v="112"/>
    <s v="CUST-0114"/>
    <s v="PROD-004"/>
    <x v="23"/>
    <n v="10"/>
    <n v="3870"/>
    <n v="23.9"/>
    <n v="29450.7"/>
    <s v="Completed"/>
    <s v="Bengaluru"/>
    <x v="4"/>
    <x v="1"/>
    <x v="1"/>
  </r>
  <r>
    <s v="ORD-00133"/>
    <x v="113"/>
    <s v="CUST-0146"/>
    <s v="PROD-042"/>
    <x v="25"/>
    <n v="4"/>
    <n v="2290"/>
    <n v="15.2"/>
    <n v="7767.68"/>
    <s v="Completed"/>
    <s v="Hyderabad"/>
    <x v="5"/>
    <x v="0"/>
    <x v="6"/>
  </r>
  <r>
    <s v="ORD-00134"/>
    <x v="68"/>
    <s v="CUST-0298"/>
    <s v="PROD-023"/>
    <x v="16"/>
    <n v="8"/>
    <n v="2380"/>
    <n v="4.2"/>
    <n v="18240.32"/>
    <s v="Completed"/>
    <s v="Delhi"/>
    <x v="2"/>
    <x v="3"/>
    <x v="3"/>
  </r>
  <r>
    <s v="ORD-00135"/>
    <x v="114"/>
    <s v="CUST-0111"/>
    <s v="PROD-029"/>
    <x v="22"/>
    <n v="8"/>
    <n v="2210"/>
    <n v="11.5"/>
    <n v="15646.8"/>
    <s v="Completed"/>
    <s v="Chennai"/>
    <x v="2"/>
    <x v="1"/>
    <x v="11"/>
  </r>
  <r>
    <s v="ORD-01445"/>
    <x v="107"/>
    <s v="CUST-0291"/>
    <s v="PROD-001"/>
    <x v="24"/>
    <n v="4"/>
    <n v="5330"/>
    <n v="22.6"/>
    <n v="16501.68"/>
    <s v="Pending"/>
    <s v="Pune"/>
    <x v="4"/>
    <x v="3"/>
    <x v="2"/>
  </r>
  <r>
    <s v="ORD-00137"/>
    <x v="115"/>
    <s v="CUST-0024"/>
    <s v="PROD-006"/>
    <x v="24"/>
    <n v="8"/>
    <n v="3970"/>
    <n v="21.8"/>
    <n v="24836.32"/>
    <s v="Completed"/>
    <s v="Chennai"/>
    <x v="4"/>
    <x v="3"/>
    <x v="0"/>
  </r>
  <r>
    <s v="ORD-00138"/>
    <x v="14"/>
    <s v="CUST-0210"/>
    <s v="PROD-012"/>
    <x v="16"/>
    <n v="10"/>
    <n v="3160"/>
    <n v="16.100000000000001"/>
    <n v="26512.400000000001"/>
    <s v="Cancelled"/>
    <s v="Pune"/>
    <x v="0"/>
    <x v="3"/>
    <x v="0"/>
  </r>
  <r>
    <s v="ORD-00139"/>
    <x v="54"/>
    <s v="CUST-0192"/>
    <s v="PROD-060"/>
    <x v="18"/>
    <n v="5"/>
    <n v="190"/>
    <n v="14.8"/>
    <n v="809.4"/>
    <s v="Completed"/>
    <s v="Bengaluru"/>
    <x v="1"/>
    <x v="1"/>
    <x v="3"/>
  </r>
  <r>
    <s v="ORD-00140"/>
    <x v="116"/>
    <s v="CUST-0078"/>
    <s v="PROD-021"/>
    <x v="0"/>
    <n v="6"/>
    <n v="2760"/>
    <n v="19.8"/>
    <n v="13281.12"/>
    <s v="Completed"/>
    <s v="Delhi"/>
    <x v="2"/>
    <x v="0"/>
    <x v="1"/>
  </r>
  <r>
    <s v="ORD-00141"/>
    <x v="117"/>
    <s v="CUST-0070"/>
    <s v="PROD-022"/>
    <x v="7"/>
    <n v="9"/>
    <n v="2270"/>
    <n v="20.8"/>
    <n v="16180.56"/>
    <s v="Cancelled"/>
    <s v="Mumbai"/>
    <x v="2"/>
    <x v="3"/>
    <x v="4"/>
  </r>
  <r>
    <s v="ORD-00142"/>
    <x v="60"/>
    <s v="CUST-0159"/>
    <s v="PROD-052"/>
    <x v="19"/>
    <n v="8"/>
    <n v="5410"/>
    <n v="12.9"/>
    <n v="37696.879999999997"/>
    <s v="Completed"/>
    <s v="Hyderabad"/>
    <x v="1"/>
    <x v="0"/>
    <x v="1"/>
  </r>
  <r>
    <s v="ORD-00143"/>
    <x v="118"/>
    <s v="CUST-0294"/>
    <s v="PROD-024"/>
    <x v="18"/>
    <n v="9"/>
    <n v="2270"/>
    <n v="6.8"/>
    <n v="19040.759999999998"/>
    <s v="Completed"/>
    <s v="Delhi"/>
    <x v="2"/>
    <x v="1"/>
    <x v="7"/>
  </r>
  <r>
    <s v="ORD-00144"/>
    <x v="119"/>
    <s v="CUST-0280"/>
    <s v="PROD-012"/>
    <x v="19"/>
    <n v="3"/>
    <n v="3160"/>
    <n v="12.8"/>
    <n v="8266.56"/>
    <s v="Completed"/>
    <s v="Delhi"/>
    <x v="0"/>
    <x v="0"/>
    <x v="11"/>
  </r>
  <r>
    <s v="ORD-00145"/>
    <x v="120"/>
    <s v="CUST-0291"/>
    <s v="PROD-025"/>
    <x v="8"/>
    <n v="8"/>
    <n v="4060"/>
    <n v="20.9"/>
    <n v="25691.68"/>
    <s v="Completed"/>
    <s v="Pune"/>
    <x v="2"/>
    <x v="2"/>
    <x v="6"/>
  </r>
  <r>
    <s v="ORD-00146"/>
    <x v="121"/>
    <s v="CUST-9657"/>
    <s v="PROD-020"/>
    <x v="26"/>
    <n v="5"/>
    <n v="820"/>
    <n v="9.1"/>
    <n v="3726.9"/>
    <s v="Refunded"/>
    <s v="Pune"/>
    <x v="0"/>
    <x v="3"/>
    <x v="6"/>
  </r>
  <r>
    <s v="ORD-00147"/>
    <x v="122"/>
    <s v="CUST-0080"/>
    <s v="PROD-032"/>
    <x v="0"/>
    <n v="5"/>
    <n v="370"/>
    <n v="11.5"/>
    <n v="1637.25"/>
    <s v="Completed"/>
    <s v="Pune"/>
    <x v="3"/>
    <x v="0"/>
    <x v="0"/>
  </r>
  <r>
    <s v="ORD-00148"/>
    <x v="123"/>
    <s v="CUST-0172"/>
    <s v="PROD-034"/>
    <x v="25"/>
    <n v="9"/>
    <n v="5080"/>
    <n v="27.5"/>
    <n v="33147"/>
    <s v="Completed"/>
    <s v="Pune"/>
    <x v="3"/>
    <x v="0"/>
    <x v="1"/>
  </r>
  <r>
    <s v="ORD-00149"/>
    <x v="124"/>
    <s v="CUST-0051"/>
    <s v="PROD-026"/>
    <x v="27"/>
    <n v="6"/>
    <n v="4070"/>
    <n v="12.5"/>
    <n v="21367.5"/>
    <s v="Completed"/>
    <s v="Pune"/>
    <x v="2"/>
    <x v="1"/>
    <x v="3"/>
  </r>
  <r>
    <s v="ORD-00150"/>
    <x v="63"/>
    <s v="CUST-0080"/>
    <s v="PROD-005"/>
    <x v="6"/>
    <n v="5"/>
    <n v="300"/>
    <n v="25.8"/>
    <n v="1113"/>
    <s v="Completed"/>
    <s v="Pune"/>
    <x v="4"/>
    <x v="2"/>
    <x v="1"/>
  </r>
  <r>
    <s v="ORD-00151"/>
    <x v="125"/>
    <s v="CUST-0137"/>
    <s v="PROD-048"/>
    <x v="23"/>
    <n v="7"/>
    <n v="5100"/>
    <n v="28.8"/>
    <n v="25418.400000000001"/>
    <s v="Completed"/>
    <s v="Mumbai"/>
    <x v="5"/>
    <x v="1"/>
    <x v="11"/>
  </r>
  <r>
    <s v="ORD-00152"/>
    <x v="126"/>
    <s v="CUST-0222"/>
    <s v="PROD-038"/>
    <x v="27"/>
    <n v="2"/>
    <n v="5490"/>
    <n v="5.5"/>
    <n v="10376.1"/>
    <s v="Completed"/>
    <s v="Chennai"/>
    <x v="3"/>
    <x v="1"/>
    <x v="7"/>
  </r>
  <r>
    <s v="ORD-00153"/>
    <x v="127"/>
    <s v="CUST-0117"/>
    <s v="PROD-011"/>
    <x v="15"/>
    <n v="2"/>
    <n v="3450"/>
    <n v="1.2"/>
    <n v="6817.2"/>
    <s v="Completed"/>
    <s v="Delhi"/>
    <x v="0"/>
    <x v="1"/>
    <x v="9"/>
  </r>
  <r>
    <s v="ORD-00154"/>
    <x v="21"/>
    <s v="CUST-0104"/>
    <s v="PROD-029"/>
    <x v="25"/>
    <n v="10"/>
    <n v="2210"/>
    <n v="18.8"/>
    <n v="17945.2"/>
    <s v="Completed"/>
    <s v="Hyderabad"/>
    <x v="2"/>
    <x v="0"/>
    <x v="7"/>
  </r>
  <r>
    <s v="ORD-00155"/>
    <x v="128"/>
    <s v="CUST-0082"/>
    <s v="PROD-036"/>
    <x v="22"/>
    <n v="2"/>
    <n v="3250"/>
    <n v="26.2"/>
    <n v="4797"/>
    <s v="Completed"/>
    <s v="Hyderabad"/>
    <x v="3"/>
    <x v="1"/>
    <x v="8"/>
  </r>
  <r>
    <s v="ORD-00156"/>
    <x v="129"/>
    <s v="CUST-0165"/>
    <s v="PROD-012"/>
    <x v="19"/>
    <n v="5"/>
    <n v="3160"/>
    <n v="0.9"/>
    <n v="15657.8"/>
    <s v="Completed"/>
    <s v="Pune"/>
    <x v="0"/>
    <x v="0"/>
    <x v="11"/>
  </r>
  <r>
    <s v="ORD-00157"/>
    <x v="130"/>
    <s v="CUST-0150"/>
    <s v="PROD-004"/>
    <x v="14"/>
    <n v="4"/>
    <n v="3870"/>
    <n v="29.6"/>
    <n v="10897.92"/>
    <s v="Cancelled"/>
    <s v="Pune"/>
    <x v="4"/>
    <x v="2"/>
    <x v="6"/>
  </r>
  <r>
    <s v="ORD-00158"/>
    <x v="131"/>
    <s v="CUST-0228"/>
    <s v="PROD-059"/>
    <x v="24"/>
    <n v="4"/>
    <n v="3780"/>
    <n v="3.5"/>
    <n v="14590.8"/>
    <s v="Cancelled"/>
    <s v="Pune"/>
    <x v="1"/>
    <x v="3"/>
    <x v="4"/>
  </r>
  <r>
    <s v="ORD-00159"/>
    <x v="49"/>
    <s v="CUST-0197"/>
    <s v="PROD-045"/>
    <x v="13"/>
    <n v="4"/>
    <n v="3020"/>
    <n v="18.899999999999999"/>
    <n v="9796.8799999999992"/>
    <s v="Completed"/>
    <s v="Bengaluru"/>
    <x v="5"/>
    <x v="3"/>
    <x v="3"/>
  </r>
  <r>
    <s v="ORD-00160"/>
    <x v="132"/>
    <s v="CUST-0009"/>
    <s v="PROD-031"/>
    <x v="15"/>
    <n v="1"/>
    <n v="3730"/>
    <n v="10.8"/>
    <n v="3327.16"/>
    <s v="Refunded"/>
    <s v="Mumbai"/>
    <x v="3"/>
    <x v="1"/>
    <x v="5"/>
  </r>
  <r>
    <s v="ORD-00161"/>
    <x v="18"/>
    <s v="CUST-0139"/>
    <s v="PROD-046"/>
    <x v="26"/>
    <n v="8"/>
    <n v="4880"/>
    <n v="20.3"/>
    <n v="31114.880000000001"/>
    <s v="Completed"/>
    <s v="Hyderabad"/>
    <x v="5"/>
    <x v="3"/>
    <x v="5"/>
  </r>
  <r>
    <s v="ORD-00162"/>
    <x v="133"/>
    <s v="CUST-0184"/>
    <s v="PROD-030"/>
    <x v="17"/>
    <n v="9"/>
    <n v="970"/>
    <n v="18.2"/>
    <n v="7141.14"/>
    <s v="Completed"/>
    <s v="Pune"/>
    <x v="2"/>
    <x v="2"/>
    <x v="9"/>
  </r>
  <r>
    <s v="ORD-00163"/>
    <x v="33"/>
    <s v="CUST-0119"/>
    <s v="PROD-008"/>
    <x v="21"/>
    <n v="8"/>
    <n v="2660"/>
    <n v="17.600000000000001"/>
    <n v="17534.72"/>
    <s v="Completed"/>
    <s v="Bengaluru"/>
    <x v="4"/>
    <x v="3"/>
    <x v="3"/>
  </r>
  <r>
    <s v="ORD-00164"/>
    <x v="85"/>
    <s v="CUST-0280"/>
    <s v="PROD-020"/>
    <x v="15"/>
    <n v="2"/>
    <n v="820"/>
    <n v="18.100000000000001"/>
    <n v="1343.16"/>
    <s v="Cancelled"/>
    <s v="Delhi"/>
    <x v="0"/>
    <x v="1"/>
    <x v="3"/>
  </r>
  <r>
    <s v="ORD-00165"/>
    <x v="134"/>
    <s v="CUST-0240"/>
    <s v="PROD-033"/>
    <x v="18"/>
    <n v="7"/>
    <n v="2030"/>
    <n v="23.7"/>
    <n v="10842.23"/>
    <s v="Pending"/>
    <s v="Chennai"/>
    <x v="3"/>
    <x v="1"/>
    <x v="1"/>
  </r>
  <r>
    <s v="ORD-00166"/>
    <x v="80"/>
    <s v="CUST-0067"/>
    <s v="PROD-016"/>
    <x v="18"/>
    <n v="5"/>
    <n v="620"/>
    <n v="13.8"/>
    <n v="2672.2"/>
    <s v="Completed"/>
    <s v="Delhi"/>
    <x v="0"/>
    <x v="1"/>
    <x v="7"/>
  </r>
  <r>
    <s v="ORD-00167"/>
    <x v="135"/>
    <s v="CUST-0117"/>
    <s v="PROD-022"/>
    <x v="24"/>
    <n v="7"/>
    <n v="2270"/>
    <n v="5.5"/>
    <n v="15016.05"/>
    <s v="Completed"/>
    <s v="Delhi"/>
    <x v="2"/>
    <x v="3"/>
    <x v="10"/>
  </r>
  <r>
    <s v="ORD-00168"/>
    <x v="136"/>
    <s v="CUST-0101"/>
    <s v="PROD-053"/>
    <x v="29"/>
    <n v="1"/>
    <n v="470"/>
    <n v="13.7"/>
    <n v="405.61"/>
    <s v="Pending"/>
    <s v="Hyderabad"/>
    <x v="1"/>
    <x v="1"/>
    <x v="6"/>
  </r>
  <r>
    <s v="ORD-00169"/>
    <x v="131"/>
    <s v="CUST-0184"/>
    <s v="PROD-001"/>
    <x v="0"/>
    <n v="6"/>
    <n v="5330"/>
    <n v="17.899999999999999"/>
    <n v="26255.58"/>
    <s v="Completed"/>
    <s v="Pune"/>
    <x v="4"/>
    <x v="0"/>
    <x v="4"/>
  </r>
  <r>
    <s v="ORD-00170"/>
    <x v="137"/>
    <s v="CUST-0087"/>
    <s v="PROD-050"/>
    <x v="25"/>
    <n v="1"/>
    <n v="6080"/>
    <n v="25.5"/>
    <n v="4529.6000000000004"/>
    <s v="Completed"/>
    <s v="Pune"/>
    <x v="5"/>
    <x v="0"/>
    <x v="11"/>
  </r>
  <r>
    <s v="ORD-00171"/>
    <x v="138"/>
    <s v="CUST-0261"/>
    <s v="PROD-027"/>
    <x v="24"/>
    <n v="5"/>
    <n v="3780"/>
    <n v="28.6"/>
    <n v="13494.6"/>
    <s v="Completed"/>
    <s v="Delhi"/>
    <x v="2"/>
    <x v="3"/>
    <x v="1"/>
  </r>
  <r>
    <s v="ORD-00172"/>
    <x v="139"/>
    <s v="CUST-0027"/>
    <s v="PROD-016"/>
    <x v="9"/>
    <n v="5"/>
    <n v="620"/>
    <n v="6.9"/>
    <n v="2886.1"/>
    <s v="Cancelled"/>
    <s v="Hyderabad"/>
    <x v="0"/>
    <x v="1"/>
    <x v="5"/>
  </r>
  <r>
    <s v="ORD-00173"/>
    <x v="140"/>
    <s v="CUST-0210"/>
    <s v="PROD-017"/>
    <x v="28"/>
    <n v="8"/>
    <n v="2510"/>
    <n v="0.7"/>
    <n v="19939.439999999999"/>
    <s v="Completed"/>
    <s v="Pune"/>
    <x v="0"/>
    <x v="2"/>
    <x v="3"/>
  </r>
  <r>
    <s v="ORD-00174"/>
    <x v="141"/>
    <s v="CUST-0163"/>
    <s v="PROD-015"/>
    <x v="16"/>
    <n v="1"/>
    <n v="2720"/>
    <n v="13.7"/>
    <n v="2347.36"/>
    <s v="Completed"/>
    <s v="Pune"/>
    <x v="0"/>
    <x v="3"/>
    <x v="11"/>
  </r>
  <r>
    <s v="ORD-00175"/>
    <x v="14"/>
    <s v="CUST-0059"/>
    <s v="PROD-053"/>
    <x v="26"/>
    <n v="9"/>
    <n v="470"/>
    <n v="23.6"/>
    <n v="3231.72"/>
    <s v="Completed"/>
    <s v="Pune"/>
    <x v="1"/>
    <x v="3"/>
    <x v="0"/>
  </r>
  <r>
    <s v="ORD-00176"/>
    <x v="142"/>
    <s v="CUST-0020"/>
    <s v="PROD-036"/>
    <x v="26"/>
    <n v="10"/>
    <n v="3250"/>
    <n v="21"/>
    <n v="25675"/>
    <s v="Cancelled"/>
    <s v="Hyderabad"/>
    <x v="3"/>
    <x v="3"/>
    <x v="8"/>
  </r>
  <r>
    <s v="ORD-00177"/>
    <x v="51"/>
    <s v="CUST-0048"/>
    <s v="PROD-034"/>
    <x v="8"/>
    <n v="6"/>
    <n v="5080"/>
    <n v="16.8"/>
    <n v="25359.360000000001"/>
    <s v="Pending"/>
    <s v="Delhi"/>
    <x v="3"/>
    <x v="2"/>
    <x v="8"/>
  </r>
  <r>
    <s v="ORD-00178"/>
    <x v="42"/>
    <s v="CUST-0172"/>
    <s v="PROD-003"/>
    <x v="27"/>
    <n v="2"/>
    <n v="3570"/>
    <n v="6.7"/>
    <n v="6661.62"/>
    <s v="Cancelled"/>
    <s v="Pune"/>
    <x v="4"/>
    <x v="1"/>
    <x v="11"/>
  </r>
  <r>
    <s v="ORD-00179"/>
    <x v="143"/>
    <s v="CUST-0124"/>
    <s v="PROD-013"/>
    <x v="27"/>
    <n v="4"/>
    <n v="3640"/>
    <n v="18.399999999999999"/>
    <n v="11880.96"/>
    <s v="Completed"/>
    <s v="Pune"/>
    <x v="0"/>
    <x v="1"/>
    <x v="2"/>
  </r>
  <r>
    <s v="ORD-00180"/>
    <x v="111"/>
    <s v="CUST-0184"/>
    <s v="PROD-026"/>
    <x v="19"/>
    <n v="8"/>
    <n v="4070"/>
    <n v="6.6"/>
    <n v="30411.040000000001"/>
    <s v="Completed"/>
    <s v="Pune"/>
    <x v="2"/>
    <x v="0"/>
    <x v="7"/>
  </r>
  <r>
    <s v="ORD-00181"/>
    <x v="40"/>
    <s v="CUST-0259"/>
    <s v="PROD-011"/>
    <x v="27"/>
    <n v="6"/>
    <n v="3450"/>
    <n v="14.4"/>
    <n v="17719.2"/>
    <s v="Pending"/>
    <s v="Mumbai"/>
    <x v="0"/>
    <x v="1"/>
    <x v="5"/>
  </r>
  <r>
    <s v="ORD-00182"/>
    <x v="68"/>
    <s v="CUST-0204"/>
    <s v="PROD-034"/>
    <x v="20"/>
    <n v="7"/>
    <n v="5080"/>
    <n v="25.4"/>
    <n v="26527.759999999998"/>
    <s v="Pending"/>
    <s v="Hyderabad"/>
    <x v="3"/>
    <x v="2"/>
    <x v="3"/>
  </r>
  <r>
    <s v="ORD-00183"/>
    <x v="144"/>
    <s v="CUST-0032"/>
    <s v="PROD-021"/>
    <x v="8"/>
    <n v="10"/>
    <n v="2760"/>
    <n v="20.100000000000001"/>
    <n v="22052.400000000001"/>
    <s v="Completed"/>
    <s v="Hyderabad"/>
    <x v="2"/>
    <x v="2"/>
    <x v="1"/>
  </r>
  <r>
    <s v="ORD-00184"/>
    <x v="145"/>
    <s v="CUST-0239"/>
    <s v="PROD-044"/>
    <x v="29"/>
    <n v="6"/>
    <n v="1650"/>
    <n v="11.3"/>
    <n v="8781.2999999999993"/>
    <s v="Pending"/>
    <s v="Mumbai"/>
    <x v="5"/>
    <x v="1"/>
    <x v="6"/>
  </r>
  <r>
    <s v="ORD-00185"/>
    <x v="146"/>
    <s v="CUST-0191"/>
    <s v="PROD-004"/>
    <x v="0"/>
    <n v="9"/>
    <n v="3870"/>
    <n v="27.5"/>
    <n v="25251.75"/>
    <s v="Completed"/>
    <s v="Hyderabad"/>
    <x v="4"/>
    <x v="0"/>
    <x v="11"/>
  </r>
  <r>
    <s v="ORD-00186"/>
    <x v="147"/>
    <s v="CUST-0284"/>
    <s v="PROD-035"/>
    <x v="24"/>
    <n v="2"/>
    <n v="1090"/>
    <n v="18.7"/>
    <n v="1772.34"/>
    <s v="Refunded"/>
    <s v="Hyderabad"/>
    <x v="3"/>
    <x v="3"/>
    <x v="7"/>
  </r>
  <r>
    <s v="ORD-00187"/>
    <x v="148"/>
    <s v="CUST-0274"/>
    <s v="PROD-049"/>
    <x v="5"/>
    <n v="4"/>
    <n v="960"/>
    <n v="23.4"/>
    <n v="2941.44"/>
    <s v="Completed"/>
    <s v="Bengaluru"/>
    <x v="5"/>
    <x v="2"/>
    <x v="0"/>
  </r>
  <r>
    <s v="ORD-00188"/>
    <x v="149"/>
    <s v="CUST-0234"/>
    <s v="PROD-043"/>
    <x v="13"/>
    <n v="3"/>
    <n v="3350"/>
    <n v="17.899999999999999"/>
    <n v="8251.0499999999993"/>
    <s v="Completed"/>
    <s v="Bengaluru"/>
    <x v="5"/>
    <x v="3"/>
    <x v="0"/>
  </r>
  <r>
    <s v="ORD-00189"/>
    <x v="150"/>
    <s v="CUST-0264"/>
    <s v="PROD-022"/>
    <x v="1"/>
    <n v="4"/>
    <n v="2270"/>
    <n v="29"/>
    <n v="6446.8"/>
    <s v="Completed"/>
    <s v="Pune"/>
    <x v="2"/>
    <x v="0"/>
    <x v="4"/>
  </r>
  <r>
    <s v="ORD-00190"/>
    <x v="151"/>
    <s v="CUST-0192"/>
    <s v="PROD-039"/>
    <x v="12"/>
    <n v="9"/>
    <n v="4610"/>
    <n v="28.3"/>
    <n v="29748.33"/>
    <s v="Pending"/>
    <s v="Bengaluru"/>
    <x v="3"/>
    <x v="3"/>
    <x v="6"/>
  </r>
  <r>
    <s v="ORD-00191"/>
    <x v="152"/>
    <s v="CUST-0041"/>
    <s v="PROD-012"/>
    <x v="18"/>
    <n v="3"/>
    <n v="3160"/>
    <n v="7.3"/>
    <n v="8787.9599999999991"/>
    <s v="Completed"/>
    <s v="Bengaluru"/>
    <x v="0"/>
    <x v="1"/>
    <x v="0"/>
  </r>
  <r>
    <s v="ORD-00192"/>
    <x v="52"/>
    <s v="CUST-0043"/>
    <s v="PROD-022"/>
    <x v="10"/>
    <n v="8"/>
    <n v="2270"/>
    <n v="15.6"/>
    <n v="15327.04"/>
    <s v="Completed"/>
    <s v="Hyderabad"/>
    <x v="2"/>
    <x v="0"/>
    <x v="9"/>
  </r>
  <r>
    <s v="ORD-00193"/>
    <x v="64"/>
    <s v="CUST-0147"/>
    <s v="PROD-045"/>
    <x v="8"/>
    <n v="8"/>
    <n v="3020"/>
    <n v="16.3"/>
    <n v="20221.919999999998"/>
    <s v="Cancelled"/>
    <s v="Pune"/>
    <x v="5"/>
    <x v="2"/>
    <x v="10"/>
  </r>
  <r>
    <s v="ORD-00194"/>
    <x v="7"/>
    <s v="CUST-0056"/>
    <s v="PROD-056"/>
    <x v="14"/>
    <n v="7"/>
    <n v="6940"/>
    <n v="8.5"/>
    <n v="44450.7"/>
    <s v="Completed"/>
    <s v="Bengaluru"/>
    <x v="1"/>
    <x v="2"/>
    <x v="4"/>
  </r>
  <r>
    <s v="ORD-00195"/>
    <x v="14"/>
    <s v="CUST-0059"/>
    <s v="PROD-041"/>
    <x v="27"/>
    <n v="8"/>
    <n v="1540"/>
    <n v="21"/>
    <n v="9732.7999999999993"/>
    <s v="Completed"/>
    <s v="Pune"/>
    <x v="5"/>
    <x v="1"/>
    <x v="0"/>
  </r>
  <r>
    <s v="ORD-00196"/>
    <x v="82"/>
    <s v="CUST-0047"/>
    <s v="PROD-019"/>
    <x v="20"/>
    <n v="6"/>
    <n v="2480"/>
    <n v="27.9"/>
    <n v="10728.48"/>
    <s v="Completed"/>
    <s v="Pune"/>
    <x v="0"/>
    <x v="2"/>
    <x v="2"/>
  </r>
  <r>
    <s v="ORD-00197"/>
    <x v="153"/>
    <s v="CUST-0162"/>
    <s v="PROD-060"/>
    <x v="24"/>
    <n v="4"/>
    <n v="190"/>
    <n v="21.5"/>
    <n v="596.6"/>
    <s v="Completed"/>
    <s v="Mumbai"/>
    <x v="1"/>
    <x v="3"/>
    <x v="11"/>
  </r>
  <r>
    <s v="ORD-00198"/>
    <x v="36"/>
    <s v="CUST-0121"/>
    <s v="PROD-055"/>
    <x v="2"/>
    <n v="1"/>
    <n v="2860"/>
    <n v="15.3"/>
    <n v="2422.42"/>
    <s v="Completed"/>
    <s v="Delhi"/>
    <x v="1"/>
    <x v="1"/>
    <x v="2"/>
  </r>
  <r>
    <s v="ORD-00199"/>
    <x v="154"/>
    <s v="CUST-0075"/>
    <s v="PROD-017"/>
    <x v="15"/>
    <n v="4"/>
    <n v="2510"/>
    <n v="10.1"/>
    <n v="9025.9599999999991"/>
    <s v="Refunded"/>
    <s v="Mumbai"/>
    <x v="0"/>
    <x v="1"/>
    <x v="1"/>
  </r>
  <r>
    <s v="ORD-00200"/>
    <x v="78"/>
    <s v="CUST-0025"/>
    <s v="PROD-003"/>
    <x v="11"/>
    <n v="2"/>
    <n v="3570"/>
    <n v="11.6"/>
    <n v="6311.76"/>
    <s v="Pending"/>
    <s v="Bengaluru"/>
    <x v="4"/>
    <x v="0"/>
    <x v="9"/>
  </r>
  <r>
    <s v="ORD-00201"/>
    <x v="112"/>
    <s v="CUST-0048"/>
    <s v="PROD-031"/>
    <x v="29"/>
    <n v="7"/>
    <n v="3730"/>
    <n v="2.5"/>
    <n v="25457.25"/>
    <s v="Cancelled"/>
    <s v="Delhi"/>
    <x v="3"/>
    <x v="1"/>
    <x v="1"/>
  </r>
  <r>
    <s v="ORD-00202"/>
    <x v="155"/>
    <s v="CUST-0251"/>
    <s v="PROD-032"/>
    <x v="14"/>
    <n v="6"/>
    <n v="370"/>
    <n v="9.9"/>
    <n v="2000.22"/>
    <s v="Completed"/>
    <s v="Mumbai"/>
    <x v="3"/>
    <x v="2"/>
    <x v="10"/>
  </r>
  <r>
    <s v="ORD-00203"/>
    <x v="156"/>
    <s v="CUST-0125"/>
    <s v="PROD-008"/>
    <x v="2"/>
    <n v="4"/>
    <n v="2660"/>
    <n v="29.7"/>
    <n v="7479.92"/>
    <s v="Completed"/>
    <s v="Delhi"/>
    <x v="4"/>
    <x v="1"/>
    <x v="10"/>
  </r>
  <r>
    <s v="ORD-00204"/>
    <x v="152"/>
    <s v="CUST-0025"/>
    <s v="PROD-021"/>
    <x v="15"/>
    <n v="6"/>
    <n v="2760"/>
    <n v="0.9"/>
    <n v="16410.96"/>
    <s v="Completed"/>
    <s v="Bengaluru"/>
    <x v="2"/>
    <x v="1"/>
    <x v="0"/>
  </r>
  <r>
    <s v="ORD-00205"/>
    <x v="157"/>
    <s v="CUST-0068"/>
    <s v="PROD-043"/>
    <x v="18"/>
    <n v="6"/>
    <n v="3350"/>
    <n v="17.899999999999999"/>
    <n v="16502.099999999999"/>
    <s v="Completed"/>
    <s v="Delhi"/>
    <x v="5"/>
    <x v="1"/>
    <x v="9"/>
  </r>
  <r>
    <s v="ORD-00206"/>
    <x v="158"/>
    <s v="CUST-0080"/>
    <s v="PROD-005"/>
    <x v="21"/>
    <n v="8"/>
    <n v="300"/>
    <n v="20.6"/>
    <n v="1905.6"/>
    <s v="Refunded"/>
    <s v="Pune"/>
    <x v="4"/>
    <x v="3"/>
    <x v="11"/>
  </r>
  <r>
    <s v="ORD-00207"/>
    <x v="159"/>
    <s v="CUST-0251"/>
    <s v="PROD-015"/>
    <x v="25"/>
    <n v="5"/>
    <n v="2720"/>
    <n v="17.100000000000001"/>
    <n v="11274.4"/>
    <s v="Pending"/>
    <s v="Mumbai"/>
    <x v="0"/>
    <x v="0"/>
    <x v="7"/>
  </r>
  <r>
    <s v="ORD-00208"/>
    <x v="160"/>
    <s v="CUST-0077"/>
    <s v="PROD-004"/>
    <x v="15"/>
    <n v="1"/>
    <n v="3870"/>
    <n v="23.5"/>
    <n v="2960.55"/>
    <s v="Pending"/>
    <s v="Hyderabad"/>
    <x v="4"/>
    <x v="1"/>
    <x v="9"/>
  </r>
  <r>
    <s v="ORD-00209"/>
    <x v="161"/>
    <s v="CUST-0232"/>
    <s v="PROD-031"/>
    <x v="27"/>
    <n v="3"/>
    <n v="3730"/>
    <n v="0.7"/>
    <n v="11111.67"/>
    <s v="Pending"/>
    <s v="Hyderabad"/>
    <x v="3"/>
    <x v="1"/>
    <x v="8"/>
  </r>
  <r>
    <s v="ORD-00210"/>
    <x v="162"/>
    <s v="CUST-0277"/>
    <s v="PROD-019"/>
    <x v="27"/>
    <n v="8"/>
    <n v="2480"/>
    <n v="18.2"/>
    <n v="16229.12"/>
    <s v="Cancelled"/>
    <s v="Chennai"/>
    <x v="0"/>
    <x v="1"/>
    <x v="11"/>
  </r>
  <r>
    <s v="ORD-00211"/>
    <x v="163"/>
    <s v="CUST-0149"/>
    <s v="PROD-057"/>
    <x v="7"/>
    <n v="2"/>
    <n v="960"/>
    <n v="2.2000000000000002"/>
    <n v="1877.76"/>
    <s v="Completed"/>
    <s v="Hyderabad"/>
    <x v="1"/>
    <x v="3"/>
    <x v="2"/>
  </r>
  <r>
    <s v="ORD-00212"/>
    <x v="164"/>
    <s v="CUST-0178"/>
    <s v="PROD-046"/>
    <x v="26"/>
    <n v="8"/>
    <n v="4880"/>
    <n v="11.9"/>
    <n v="34394.239999999998"/>
    <s v="Completed"/>
    <s v="Hyderabad"/>
    <x v="5"/>
    <x v="3"/>
    <x v="1"/>
  </r>
  <r>
    <s v="ORD-00213"/>
    <x v="165"/>
    <s v="CUST-0246"/>
    <s v="PROD-014"/>
    <x v="14"/>
    <n v="2"/>
    <n v="3620"/>
    <n v="1.1000000000000001"/>
    <n v="7160.36"/>
    <s v="Pending"/>
    <s v="Delhi"/>
    <x v="0"/>
    <x v="2"/>
    <x v="8"/>
  </r>
  <r>
    <s v="ORD-00214"/>
    <x v="52"/>
    <s v="CUST-0033"/>
    <s v="PROD-006"/>
    <x v="4"/>
    <n v="8"/>
    <n v="3970"/>
    <n v="18.100000000000001"/>
    <n v="26011.439999999999"/>
    <s v="Completed"/>
    <s v="Delhi"/>
    <x v="4"/>
    <x v="0"/>
    <x v="9"/>
  </r>
  <r>
    <s v="ORD-00215"/>
    <x v="166"/>
    <s v="CUST-0159"/>
    <s v="PROD-022"/>
    <x v="17"/>
    <n v="8"/>
    <n v="2270"/>
    <n v="19.600000000000001"/>
    <n v="14600.64"/>
    <s v="Completed"/>
    <s v="Hyderabad"/>
    <x v="2"/>
    <x v="2"/>
    <x v="7"/>
  </r>
  <r>
    <s v="ORD-00216"/>
    <x v="167"/>
    <s v="CUST-0175"/>
    <s v="PROD-027"/>
    <x v="22"/>
    <n v="1"/>
    <n v="3780"/>
    <n v="22.6"/>
    <n v="2925.72"/>
    <s v="Completed"/>
    <s v="Delhi"/>
    <x v="2"/>
    <x v="1"/>
    <x v="8"/>
  </r>
  <r>
    <s v="ORD-00217"/>
    <x v="168"/>
    <s v="CUST-0079"/>
    <s v="PROD-026"/>
    <x v="24"/>
    <n v="9"/>
    <n v="4070"/>
    <n v="28.2"/>
    <n v="26300.34"/>
    <s v="Completed"/>
    <s v="Mumbai"/>
    <x v="2"/>
    <x v="3"/>
    <x v="8"/>
  </r>
  <r>
    <s v="ORD-00218"/>
    <x v="75"/>
    <s v="CUST-0173"/>
    <s v="PROD-008"/>
    <x v="3"/>
    <n v="9"/>
    <n v="2660"/>
    <n v="13.1"/>
    <n v="20803.86"/>
    <s v="Pending"/>
    <s v="Mumbai"/>
    <x v="4"/>
    <x v="0"/>
    <x v="3"/>
  </r>
  <r>
    <s v="ORD-00219"/>
    <x v="169"/>
    <s v="CUST-0050"/>
    <s v="PROD-003"/>
    <x v="10"/>
    <n v="4"/>
    <n v="3570"/>
    <n v="1.5"/>
    <n v="14065.8"/>
    <s v="Cancelled"/>
    <s v="Mumbai"/>
    <x v="4"/>
    <x v="0"/>
    <x v="5"/>
  </r>
  <r>
    <s v="ORD-00220"/>
    <x v="101"/>
    <s v="CUST-0097"/>
    <s v="PROD-049"/>
    <x v="19"/>
    <n v="2"/>
    <n v="960"/>
    <n v="18.600000000000001"/>
    <n v="1562.88"/>
    <s v="Completed"/>
    <s v="Mumbai"/>
    <x v="5"/>
    <x v="0"/>
    <x v="7"/>
  </r>
  <r>
    <s v="ORD-00221"/>
    <x v="14"/>
    <s v="CUST-0026"/>
    <s v="PROD-047"/>
    <x v="26"/>
    <n v="2"/>
    <n v="3450"/>
    <n v="3.7"/>
    <n v="6644.7"/>
    <s v="Completed"/>
    <s v="Pune"/>
    <x v="5"/>
    <x v="3"/>
    <x v="0"/>
  </r>
  <r>
    <s v="ORD-00222"/>
    <x v="170"/>
    <s v="CUST-0185"/>
    <s v="PROD-048"/>
    <x v="0"/>
    <n v="6"/>
    <n v="5100"/>
    <n v="1.2"/>
    <n v="30232.799999999999"/>
    <s v="Completed"/>
    <s v="Hyderabad"/>
    <x v="5"/>
    <x v="0"/>
    <x v="4"/>
  </r>
  <r>
    <s v="ORD-00223"/>
    <x v="105"/>
    <s v="CUST-0135"/>
    <s v="PROD-005"/>
    <x v="1"/>
    <n v="9"/>
    <n v="300"/>
    <n v="25.4"/>
    <n v="2014.2"/>
    <s v="Cancelled"/>
    <s v="Pune"/>
    <x v="4"/>
    <x v="0"/>
    <x v="4"/>
  </r>
  <r>
    <s v="ORD-00224"/>
    <x v="171"/>
    <s v="CUST-0010"/>
    <s v="PROD-046"/>
    <x v="16"/>
    <n v="7"/>
    <n v="4880"/>
    <n v="16.899999999999999"/>
    <n v="28386.959999999999"/>
    <s v="Pending"/>
    <s v="Mumbai"/>
    <x v="5"/>
    <x v="3"/>
    <x v="5"/>
  </r>
  <r>
    <s v="ORD-00225"/>
    <x v="172"/>
    <s v="CUST-0271"/>
    <s v="PROD-036"/>
    <x v="12"/>
    <n v="9"/>
    <n v="3250"/>
    <n v="10.8"/>
    <n v="26091"/>
    <s v="Cancelled"/>
    <s v="Bengaluru"/>
    <x v="3"/>
    <x v="3"/>
    <x v="10"/>
  </r>
  <r>
    <s v="ORD-00226"/>
    <x v="129"/>
    <s v="CUST-0172"/>
    <s v="PROD-047"/>
    <x v="3"/>
    <n v="3"/>
    <n v="3450"/>
    <n v="5.4"/>
    <n v="9791.1"/>
    <s v="Pending"/>
    <s v="Pune"/>
    <x v="5"/>
    <x v="0"/>
    <x v="11"/>
  </r>
  <r>
    <s v="ORD-00227"/>
    <x v="63"/>
    <s v="CUST-0296"/>
    <s v="PROD-050"/>
    <x v="13"/>
    <n v="5"/>
    <n v="6080"/>
    <n v="18"/>
    <n v="24928"/>
    <s v="Completed"/>
    <s v="Delhi"/>
    <x v="5"/>
    <x v="3"/>
    <x v="1"/>
  </r>
  <r>
    <s v="ORD-00228"/>
    <x v="173"/>
    <s v="CUST-0080"/>
    <s v="PROD-050"/>
    <x v="24"/>
    <n v="7"/>
    <n v="6080"/>
    <n v="9.1999999999999993"/>
    <n v="38644.480000000003"/>
    <s v="Completed"/>
    <s v="Pune"/>
    <x v="5"/>
    <x v="3"/>
    <x v="10"/>
  </r>
  <r>
    <s v="ORD-00229"/>
    <x v="65"/>
    <s v="CUST-0232"/>
    <s v="PROD-024"/>
    <x v="2"/>
    <n v="5"/>
    <n v="2270"/>
    <n v="0.4"/>
    <n v="11304.6"/>
    <s v="Cancelled"/>
    <s v="Hyderabad"/>
    <x v="2"/>
    <x v="1"/>
    <x v="9"/>
  </r>
  <r>
    <s v="ORD-00230"/>
    <x v="41"/>
    <s v="CUST-0070"/>
    <s v="PROD-046"/>
    <x v="29"/>
    <n v="10"/>
    <n v="4880"/>
    <n v="24.5"/>
    <n v="36844"/>
    <s v="Refunded"/>
    <s v="Mumbai"/>
    <x v="5"/>
    <x v="1"/>
    <x v="2"/>
  </r>
  <r>
    <s v="ORD-00231"/>
    <x v="174"/>
    <s v="CUST-0142"/>
    <s v="PROD-023"/>
    <x v="25"/>
    <n v="2"/>
    <n v="2380"/>
    <n v="2.2999999999999998"/>
    <n v="4650.5200000000004"/>
    <s v="Completed"/>
    <s v="Chennai"/>
    <x v="2"/>
    <x v="0"/>
    <x v="11"/>
  </r>
  <r>
    <s v="ORD-00232"/>
    <x v="71"/>
    <s v="CUST-0161"/>
    <s v="PROD-054"/>
    <x v="5"/>
    <n v="1"/>
    <n v="1010"/>
    <n v="29.9"/>
    <n v="708.01"/>
    <s v="Completed"/>
    <s v="Chennai"/>
    <x v="1"/>
    <x v="2"/>
    <x v="10"/>
  </r>
  <r>
    <s v="ORD-00233"/>
    <x v="175"/>
    <s v="CUST-0020"/>
    <s v="PROD-056"/>
    <x v="20"/>
    <n v="7"/>
    <n v="6940"/>
    <n v="25.8"/>
    <n v="36046.36"/>
    <s v="Completed"/>
    <s v="Hyderabad"/>
    <x v="1"/>
    <x v="2"/>
    <x v="8"/>
  </r>
  <r>
    <s v="ORD-00234"/>
    <x v="176"/>
    <s v="CUST-0173"/>
    <s v="PROD-042"/>
    <x v="6"/>
    <n v="6"/>
    <n v="2290"/>
    <n v="25.9"/>
    <n v="10181.34"/>
    <s v="Pending"/>
    <s v="Mumbai"/>
    <x v="5"/>
    <x v="2"/>
    <x v="0"/>
  </r>
  <r>
    <s v="ORD-00235"/>
    <x v="118"/>
    <s v="CUST-0280"/>
    <s v="PROD-032"/>
    <x v="2"/>
    <n v="2"/>
    <n v="370"/>
    <n v="3.9"/>
    <n v="711.14"/>
    <s v="Completed"/>
    <s v="Delhi"/>
    <x v="3"/>
    <x v="1"/>
    <x v="7"/>
  </r>
  <r>
    <s v="ORD-00236"/>
    <x v="177"/>
    <s v="CUST-0073"/>
    <s v="PROD-022"/>
    <x v="16"/>
    <n v="1"/>
    <n v="2270"/>
    <n v="25.3"/>
    <n v="1695.69"/>
    <s v="Completed"/>
    <s v="Pune"/>
    <x v="2"/>
    <x v="3"/>
    <x v="2"/>
  </r>
  <r>
    <s v="ORD-00237"/>
    <x v="112"/>
    <s v="CUST-0242"/>
    <s v="PROD-050"/>
    <x v="25"/>
    <n v="4"/>
    <n v="6080"/>
    <n v="28.8"/>
    <n v="17315.84"/>
    <s v="Pending"/>
    <s v="Chennai"/>
    <x v="5"/>
    <x v="0"/>
    <x v="1"/>
  </r>
  <r>
    <s v="ORD-00238"/>
    <x v="44"/>
    <s v="CUST-0234"/>
    <s v="PROD-001"/>
    <x v="26"/>
    <n v="2"/>
    <n v="5330"/>
    <n v="23.8"/>
    <n v="8122.92"/>
    <s v="Pending"/>
    <s v="Bengaluru"/>
    <x v="4"/>
    <x v="3"/>
    <x v="5"/>
  </r>
  <r>
    <s v="ORD-00239"/>
    <x v="112"/>
    <s v="CUST-0085"/>
    <s v="PROD-026"/>
    <x v="6"/>
    <n v="2"/>
    <n v="4070"/>
    <n v="4.3"/>
    <n v="7789.98"/>
    <s v="Completed"/>
    <s v="Chennai"/>
    <x v="2"/>
    <x v="2"/>
    <x v="1"/>
  </r>
  <r>
    <s v="ORD-00240"/>
    <x v="178"/>
    <s v="CUST-0228"/>
    <s v="PROD-005"/>
    <x v="10"/>
    <n v="6"/>
    <n v="300"/>
    <n v="17.399999999999999"/>
    <n v="1486.8"/>
    <s v="Cancelled"/>
    <s v="Pune"/>
    <x v="4"/>
    <x v="0"/>
    <x v="10"/>
  </r>
  <r>
    <s v="ORD-00241"/>
    <x v="56"/>
    <s v="CUST-0147"/>
    <s v="PROD-046"/>
    <x v="2"/>
    <n v="1"/>
    <n v="4880"/>
    <n v="17.5"/>
    <n v="4026"/>
    <s v="Completed"/>
    <s v="Pune"/>
    <x v="5"/>
    <x v="1"/>
    <x v="10"/>
  </r>
  <r>
    <s v="ORD-00242"/>
    <x v="179"/>
    <s v="CUST-0171"/>
    <s v="PROD-055"/>
    <x v="28"/>
    <n v="3"/>
    <n v="2860"/>
    <n v="20.100000000000001"/>
    <n v="6855.42"/>
    <s v="Completed"/>
    <s v="Chennai"/>
    <x v="1"/>
    <x v="2"/>
    <x v="1"/>
  </r>
  <r>
    <s v="ORD-00243"/>
    <x v="180"/>
    <s v="CUST-0051"/>
    <s v="PROD-041"/>
    <x v="25"/>
    <n v="3"/>
    <n v="1540"/>
    <n v="20.9"/>
    <n v="3654.42"/>
    <s v="Completed"/>
    <s v="Pune"/>
    <x v="5"/>
    <x v="0"/>
    <x v="8"/>
  </r>
  <r>
    <s v="ORD-00244"/>
    <x v="31"/>
    <s v="CUST-0285"/>
    <s v="PROD-010"/>
    <x v="9"/>
    <n v="10"/>
    <n v="2640"/>
    <n v="11.2"/>
    <n v="23443.200000000001"/>
    <s v="Pending"/>
    <s v="Hyderabad"/>
    <x v="4"/>
    <x v="1"/>
    <x v="9"/>
  </r>
  <r>
    <s v="ORD-00245"/>
    <x v="58"/>
    <s v="CUST-0114"/>
    <s v="PROD-012"/>
    <x v="22"/>
    <n v="1"/>
    <n v="3160"/>
    <n v="11.5"/>
    <n v="2796.6"/>
    <s v="Completed"/>
    <s v="Bengaluru"/>
    <x v="0"/>
    <x v="1"/>
    <x v="11"/>
  </r>
  <r>
    <s v="ORD-00246"/>
    <x v="181"/>
    <s v="CUST-0295"/>
    <s v="PROD-040"/>
    <x v="0"/>
    <n v="4"/>
    <n v="1080"/>
    <n v="20.7"/>
    <n v="3425.76"/>
    <s v="Pending"/>
    <s v="Delhi"/>
    <x v="3"/>
    <x v="0"/>
    <x v="8"/>
  </r>
  <r>
    <s v="ORD-00247"/>
    <x v="65"/>
    <s v="CUST-0218"/>
    <s v="PROD-054"/>
    <x v="22"/>
    <n v="4"/>
    <n v="1010"/>
    <n v="29.5"/>
    <n v="2848.2"/>
    <s v="Pending"/>
    <s v="Mumbai"/>
    <x v="1"/>
    <x v="1"/>
    <x v="9"/>
  </r>
  <r>
    <s v="ORD-00248"/>
    <x v="182"/>
    <s v="CUST-0090"/>
    <s v="PROD-002"/>
    <x v="28"/>
    <n v="7"/>
    <n v="2600"/>
    <n v="6.6"/>
    <n v="16998.8"/>
    <s v="Completed"/>
    <s v="Bengaluru"/>
    <x v="4"/>
    <x v="2"/>
    <x v="0"/>
  </r>
  <r>
    <s v="ORD-00249"/>
    <x v="183"/>
    <s v="CUST-0194"/>
    <s v="PROD-017"/>
    <x v="18"/>
    <n v="4"/>
    <n v="2510"/>
    <n v="1"/>
    <n v="9939.6"/>
    <s v="Completed"/>
    <s v="Delhi"/>
    <x v="0"/>
    <x v="1"/>
    <x v="5"/>
  </r>
  <r>
    <s v="ORD-00250"/>
    <x v="184"/>
    <s v="CUST-0231"/>
    <s v="PROD-026"/>
    <x v="24"/>
    <n v="9"/>
    <n v="4070"/>
    <n v="6.7"/>
    <n v="34175.79"/>
    <s v="Cancelled"/>
    <s v="Chennai"/>
    <x v="2"/>
    <x v="3"/>
    <x v="8"/>
  </r>
  <r>
    <s v="ORD-00251"/>
    <x v="109"/>
    <s v="CUST-0055"/>
    <s v="PROD-020"/>
    <x v="9"/>
    <n v="6"/>
    <n v="820"/>
    <n v="14"/>
    <n v="4231.2"/>
    <s v="Completed"/>
    <s v="Bengaluru"/>
    <x v="0"/>
    <x v="1"/>
    <x v="4"/>
  </r>
  <r>
    <s v="ORD-00252"/>
    <x v="185"/>
    <s v="CUST-0262"/>
    <s v="PROD-030"/>
    <x v="1"/>
    <n v="2"/>
    <n v="970"/>
    <n v="23.8"/>
    <n v="1478.28"/>
    <s v="Completed"/>
    <s v="Mumbai"/>
    <x v="2"/>
    <x v="0"/>
    <x v="10"/>
  </r>
  <r>
    <s v="ORD-00253"/>
    <x v="186"/>
    <s v="CUST-0155"/>
    <s v="PROD-026"/>
    <x v="27"/>
    <n v="4"/>
    <n v="4070"/>
    <n v="19"/>
    <n v="13186.8"/>
    <s v="Pending"/>
    <s v="Pune"/>
    <x v="2"/>
    <x v="1"/>
    <x v="1"/>
  </r>
  <r>
    <s v="ORD-00254"/>
    <x v="144"/>
    <s v="CUST-0169"/>
    <s v="PROD-047"/>
    <x v="21"/>
    <n v="3"/>
    <n v="3450"/>
    <n v="4.4000000000000004"/>
    <n v="9894.6"/>
    <s v="Cancelled"/>
    <s v="Bengaluru"/>
    <x v="5"/>
    <x v="3"/>
    <x v="1"/>
  </r>
  <r>
    <s v="ORD-00255"/>
    <x v="187"/>
    <s v="CUST-0208"/>
    <s v="PROD-027"/>
    <x v="9"/>
    <n v="5"/>
    <n v="3780"/>
    <n v="13.5"/>
    <n v="16348.5"/>
    <s v="Completed"/>
    <s v="Mumbai"/>
    <x v="2"/>
    <x v="1"/>
    <x v="7"/>
  </r>
  <r>
    <s v="ORD-00256"/>
    <x v="127"/>
    <s v="CUST-0249"/>
    <s v="PROD-057"/>
    <x v="10"/>
    <n v="1"/>
    <n v="960"/>
    <n v="29.2"/>
    <n v="679.68"/>
    <s v="Completed"/>
    <s v="Mumbai"/>
    <x v="1"/>
    <x v="0"/>
    <x v="9"/>
  </r>
  <r>
    <s v="ORD-00257"/>
    <x v="188"/>
    <s v="CUST-0151"/>
    <s v="PROD-003"/>
    <x v="24"/>
    <n v="10"/>
    <n v="3570"/>
    <n v="10.7"/>
    <n v="31880.1"/>
    <s v="Completed"/>
    <s v="Mumbai"/>
    <x v="4"/>
    <x v="3"/>
    <x v="11"/>
  </r>
  <r>
    <s v="ORD-00258"/>
    <x v="187"/>
    <s v="CUST-0115"/>
    <s v="PROD-003"/>
    <x v="6"/>
    <n v="7"/>
    <n v="3570"/>
    <n v="12.2"/>
    <n v="21941.22"/>
    <s v="Completed"/>
    <s v="Mumbai"/>
    <x v="4"/>
    <x v="2"/>
    <x v="7"/>
  </r>
  <r>
    <s v="ORD-00259"/>
    <x v="189"/>
    <s v="CUST-0041"/>
    <s v="PROD-040"/>
    <x v="2"/>
    <n v="6"/>
    <n v="1080"/>
    <n v="19.8"/>
    <n v="5196.96"/>
    <s v="Completed"/>
    <s v="Bengaluru"/>
    <x v="3"/>
    <x v="1"/>
    <x v="9"/>
  </r>
  <r>
    <s v="ORD-00260"/>
    <x v="51"/>
    <s v="CUST-0101"/>
    <s v="PROD-011"/>
    <x v="9"/>
    <n v="8"/>
    <n v="3450"/>
    <n v="19"/>
    <n v="22356"/>
    <s v="Completed"/>
    <s v="Hyderabad"/>
    <x v="0"/>
    <x v="1"/>
    <x v="8"/>
  </r>
  <r>
    <s v="ORD-00261"/>
    <x v="2"/>
    <s v="CUST-0198"/>
    <s v="PROD-008"/>
    <x v="12"/>
    <n v="4"/>
    <n v="2660"/>
    <n v="18.8"/>
    <n v="8639.68"/>
    <s v="Pending"/>
    <s v="Chennai"/>
    <x v="4"/>
    <x v="3"/>
    <x v="2"/>
  </r>
  <r>
    <s v="ORD-00262"/>
    <x v="190"/>
    <s v="CUST-0200"/>
    <s v="PROD-058"/>
    <x v="18"/>
    <n v="4"/>
    <n v="2400"/>
    <n v="5.6"/>
    <n v="9062.4"/>
    <s v="Completed"/>
    <s v="Hyderabad"/>
    <x v="1"/>
    <x v="1"/>
    <x v="7"/>
  </r>
  <r>
    <s v="ORD-00263"/>
    <x v="191"/>
    <s v="CUST-0110"/>
    <s v="PROD-002"/>
    <x v="11"/>
    <n v="10"/>
    <n v="2600"/>
    <n v="24.7"/>
    <n v="19578"/>
    <s v="Completed"/>
    <s v="Pune"/>
    <x v="4"/>
    <x v="0"/>
    <x v="7"/>
  </r>
  <r>
    <s v="ORD-00264"/>
    <x v="191"/>
    <s v="CUST-0134"/>
    <s v="PROD-025"/>
    <x v="10"/>
    <n v="3"/>
    <n v="4060"/>
    <n v="6.9"/>
    <n v="11339.58"/>
    <s v="Completed"/>
    <s v="Delhi"/>
    <x v="2"/>
    <x v="0"/>
    <x v="7"/>
  </r>
  <r>
    <s v="ORD-00265"/>
    <x v="57"/>
    <s v="CUST-0141"/>
    <s v="PROD-038"/>
    <x v="12"/>
    <n v="6"/>
    <n v="5490"/>
    <n v="8.4"/>
    <n v="30173.040000000001"/>
    <s v="Completed"/>
    <s v="Hyderabad"/>
    <x v="3"/>
    <x v="3"/>
    <x v="6"/>
  </r>
  <r>
    <s v="ORD-00266"/>
    <x v="192"/>
    <s v="CUST-0163"/>
    <s v="PROD-032"/>
    <x v="26"/>
    <n v="6"/>
    <n v="370"/>
    <n v="15.1"/>
    <n v="1884.78"/>
    <s v="Completed"/>
    <s v="Pune"/>
    <x v="3"/>
    <x v="3"/>
    <x v="5"/>
  </r>
  <r>
    <s v="ORD-00267"/>
    <x v="171"/>
    <s v="CUST-0181"/>
    <s v="PROD-016"/>
    <x v="12"/>
    <n v="5"/>
    <n v="620"/>
    <n v="13.1"/>
    <n v="2693.9"/>
    <s v="Cancelled"/>
    <s v="Delhi"/>
    <x v="0"/>
    <x v="3"/>
    <x v="5"/>
  </r>
  <r>
    <s v="ORD-00268"/>
    <x v="10"/>
    <s v="CUST-0133"/>
    <s v="PROD-036"/>
    <x v="20"/>
    <n v="9"/>
    <n v="3250"/>
    <n v="16.5"/>
    <n v="24423.75"/>
    <s v="Completed"/>
    <s v="Chennai"/>
    <x v="3"/>
    <x v="2"/>
    <x v="1"/>
  </r>
  <r>
    <s v="ORD-00269"/>
    <x v="193"/>
    <s v="CUST-0095"/>
    <s v="PROD-050"/>
    <x v="23"/>
    <n v="1"/>
    <n v="6080"/>
    <n v="0.1"/>
    <n v="6073.92"/>
    <s v="Completed"/>
    <s v="Mumbai"/>
    <x v="5"/>
    <x v="1"/>
    <x v="11"/>
  </r>
  <r>
    <s v="ORD-00270"/>
    <x v="194"/>
    <s v="CUST-0171"/>
    <s v="PROD-013"/>
    <x v="2"/>
    <n v="8"/>
    <n v="3640"/>
    <n v="13.5"/>
    <n v="25188.799999999999"/>
    <s v="Completed"/>
    <s v="Chennai"/>
    <x v="0"/>
    <x v="1"/>
    <x v="5"/>
  </r>
  <r>
    <s v="ORD-00271"/>
    <x v="22"/>
    <s v="CUST-0238"/>
    <s v="PROD-012"/>
    <x v="1"/>
    <n v="9"/>
    <n v="3160"/>
    <n v="29.7"/>
    <n v="19993.32"/>
    <s v="Completed"/>
    <s v="Delhi"/>
    <x v="0"/>
    <x v="0"/>
    <x v="6"/>
  </r>
  <r>
    <s v="ORD-00272"/>
    <x v="49"/>
    <s v="CUST-0185"/>
    <s v="PROD-004"/>
    <x v="0"/>
    <n v="2"/>
    <n v="3870"/>
    <n v="18.100000000000001"/>
    <n v="6339.06"/>
    <s v="Cancelled"/>
    <s v="Hyderabad"/>
    <x v="4"/>
    <x v="0"/>
    <x v="3"/>
  </r>
  <r>
    <s v="ORD-00273"/>
    <x v="195"/>
    <s v="CUST-0167"/>
    <s v="PROD-037"/>
    <x v="14"/>
    <n v="3"/>
    <n v="660"/>
    <n v="9.1999999999999993"/>
    <n v="1797.84"/>
    <s v="Completed"/>
    <s v="Delhi"/>
    <x v="3"/>
    <x v="2"/>
    <x v="3"/>
  </r>
  <r>
    <s v="ORD-00274"/>
    <x v="196"/>
    <s v="CUST-0224"/>
    <s v="PROD-025"/>
    <x v="22"/>
    <n v="4"/>
    <n v="4060"/>
    <n v="28"/>
    <n v="11692.8"/>
    <s v="Completed"/>
    <s v="Chennai"/>
    <x v="2"/>
    <x v="1"/>
    <x v="3"/>
  </r>
  <r>
    <s v="ORD-00275"/>
    <x v="107"/>
    <s v="CUST-0181"/>
    <s v="PROD-034"/>
    <x v="29"/>
    <n v="2"/>
    <n v="5080"/>
    <n v="7.7"/>
    <n v="9377.68"/>
    <s v="Refunded"/>
    <s v="Delhi"/>
    <x v="3"/>
    <x v="1"/>
    <x v="2"/>
  </r>
  <r>
    <s v="ORD-00276"/>
    <x v="197"/>
    <s v="CUST-0020"/>
    <s v="PROD-003"/>
    <x v="1"/>
    <n v="3"/>
    <n v="3570"/>
    <n v="9.5"/>
    <n v="9692.5499999999993"/>
    <s v="Completed"/>
    <s v="Hyderabad"/>
    <x v="4"/>
    <x v="0"/>
    <x v="11"/>
  </r>
  <r>
    <s v="ORD-00277"/>
    <x v="151"/>
    <s v="CUST-0183"/>
    <s v="PROD-016"/>
    <x v="16"/>
    <n v="2"/>
    <n v="620"/>
    <n v="29.5"/>
    <n v="874.2"/>
    <s v="Completed"/>
    <s v="Mumbai"/>
    <x v="0"/>
    <x v="3"/>
    <x v="6"/>
  </r>
  <r>
    <s v="ORD-00278"/>
    <x v="198"/>
    <s v="CUST-0028"/>
    <s v="PROD-011"/>
    <x v="22"/>
    <n v="3"/>
    <n v="3450"/>
    <n v="3"/>
    <n v="10039.5"/>
    <s v="Completed"/>
    <s v="Bengaluru"/>
    <x v="0"/>
    <x v="1"/>
    <x v="8"/>
  </r>
  <r>
    <s v="ORD-00279"/>
    <x v="199"/>
    <s v="CUST-0121"/>
    <s v="PROD-048"/>
    <x v="3"/>
    <n v="7"/>
    <n v="5100"/>
    <n v="4.3"/>
    <n v="34164.9"/>
    <s v="Completed"/>
    <s v="Delhi"/>
    <x v="5"/>
    <x v="0"/>
    <x v="5"/>
  </r>
  <r>
    <s v="ORD-00280"/>
    <x v="110"/>
    <s v="CUST-0192"/>
    <s v="PROD-004"/>
    <x v="11"/>
    <n v="9"/>
    <n v="3870"/>
    <n v="4.8"/>
    <n v="33158.160000000003"/>
    <s v="Completed"/>
    <s v="Bengaluru"/>
    <x v="4"/>
    <x v="0"/>
    <x v="0"/>
  </r>
  <r>
    <s v="ORD-00281"/>
    <x v="142"/>
    <s v="CUST-0155"/>
    <s v="PROD-009"/>
    <x v="20"/>
    <n v="5"/>
    <n v="1220"/>
    <n v="4"/>
    <n v="5856"/>
    <s v="Cancelled"/>
    <s v="Pune"/>
    <x v="4"/>
    <x v="2"/>
    <x v="8"/>
  </r>
  <r>
    <s v="ORD-00282"/>
    <x v="200"/>
    <s v="CUST-0159"/>
    <s v="PROD-038"/>
    <x v="12"/>
    <n v="5"/>
    <n v="5490"/>
    <n v="19.8"/>
    <n v="22014.9"/>
    <s v="Completed"/>
    <s v="Hyderabad"/>
    <x v="3"/>
    <x v="3"/>
    <x v="1"/>
  </r>
  <r>
    <s v="ORD-00283"/>
    <x v="201"/>
    <s v="CUST-0025"/>
    <s v="PROD-044"/>
    <x v="19"/>
    <n v="1"/>
    <n v="1650"/>
    <n v="26.2"/>
    <n v="1217.7"/>
    <s v="Completed"/>
    <s v="Bengaluru"/>
    <x v="5"/>
    <x v="0"/>
    <x v="7"/>
  </r>
  <r>
    <s v="ORD-00284"/>
    <x v="151"/>
    <s v="CUST-0297"/>
    <s v="PROD-008"/>
    <x v="11"/>
    <n v="1"/>
    <n v="2660"/>
    <n v="21"/>
    <n v="2101.4"/>
    <s v="Completed"/>
    <s v="Hyderabad"/>
    <x v="4"/>
    <x v="0"/>
    <x v="6"/>
  </r>
  <r>
    <s v="ORD-00285"/>
    <x v="67"/>
    <s v="CUST-0108"/>
    <s v="PROD-029"/>
    <x v="11"/>
    <n v="6"/>
    <n v="2210"/>
    <n v="9.8000000000000007"/>
    <n v="11960.52"/>
    <s v="Pending"/>
    <s v="Bengaluru"/>
    <x v="2"/>
    <x v="0"/>
    <x v="2"/>
  </r>
  <r>
    <s v="ORD-00286"/>
    <x v="202"/>
    <s v="CUST-0121"/>
    <s v="PROD-002"/>
    <x v="19"/>
    <n v="9"/>
    <n v="2600"/>
    <n v="15.7"/>
    <n v="19726.2"/>
    <s v="Completed"/>
    <s v="Delhi"/>
    <x v="4"/>
    <x v="0"/>
    <x v="11"/>
  </r>
  <r>
    <s v="ORD-00287"/>
    <x v="203"/>
    <s v="CUST-0160"/>
    <s v="PROD-045"/>
    <x v="5"/>
    <n v="3"/>
    <n v="3020"/>
    <n v="22.6"/>
    <n v="7012.44"/>
    <s v="Completed"/>
    <s v="Hyderabad"/>
    <x v="5"/>
    <x v="2"/>
    <x v="11"/>
  </r>
  <r>
    <s v="ORD-00288"/>
    <x v="61"/>
    <s v="CUST-0230"/>
    <s v="PROD-032"/>
    <x v="1"/>
    <n v="6"/>
    <n v="370"/>
    <n v="12.4"/>
    <n v="1944.72"/>
    <s v="Completed"/>
    <s v="Pune"/>
    <x v="3"/>
    <x v="0"/>
    <x v="6"/>
  </r>
  <r>
    <s v="ORD-00289"/>
    <x v="42"/>
    <s v="CUST-0151"/>
    <s v="PROD-001"/>
    <x v="3"/>
    <n v="8"/>
    <n v="5330"/>
    <n v="16.2"/>
    <n v="35732.32"/>
    <s v="Completed"/>
    <s v="Mumbai"/>
    <x v="4"/>
    <x v="0"/>
    <x v="11"/>
  </r>
  <r>
    <s v="ORD-00290"/>
    <x v="66"/>
    <s v="CUST-0222"/>
    <s v="PROD-018"/>
    <x v="14"/>
    <n v="4"/>
    <n v="3560"/>
    <n v="10.5"/>
    <n v="12744.8"/>
    <s v="Completed"/>
    <s v="Chennai"/>
    <x v="0"/>
    <x v="2"/>
    <x v="10"/>
  </r>
  <r>
    <s v="ORD-00291"/>
    <x v="44"/>
    <s v="CUST-0055"/>
    <s v="PROD-054"/>
    <x v="14"/>
    <n v="10"/>
    <n v="1010"/>
    <n v="10.8"/>
    <n v="9009.2000000000007"/>
    <s v="Completed"/>
    <s v="Bengaluru"/>
    <x v="1"/>
    <x v="2"/>
    <x v="5"/>
  </r>
  <r>
    <s v="ORD-00292"/>
    <x v="204"/>
    <s v="CUST-0011"/>
    <s v="PROD-056"/>
    <x v="3"/>
    <n v="8"/>
    <n v="6940"/>
    <n v="3.2"/>
    <n v="53743.360000000001"/>
    <s v="Cancelled"/>
    <s v="Chennai"/>
    <x v="1"/>
    <x v="0"/>
    <x v="4"/>
  </r>
  <r>
    <s v="ORD-00335"/>
    <x v="7"/>
    <s v="CUST-0020"/>
    <s v="PROD-012"/>
    <x v="15"/>
    <n v="7"/>
    <n v="3160"/>
    <n v="3.6"/>
    <n v="21323.68"/>
    <s v="Completed"/>
    <s v="Hyderabad"/>
    <x v="0"/>
    <x v="1"/>
    <x v="4"/>
  </r>
  <r>
    <s v="ORD-00294"/>
    <x v="93"/>
    <s v="CUST-0163"/>
    <s v="PROD-028"/>
    <x v="4"/>
    <n v="2"/>
    <n v="3660"/>
    <n v="30"/>
    <n v="5124"/>
    <s v="Pending"/>
    <s v="Pune"/>
    <x v="2"/>
    <x v="0"/>
    <x v="8"/>
  </r>
  <r>
    <s v="ORD-00295"/>
    <x v="24"/>
    <s v="CUST-0081"/>
    <s v="PROD-024"/>
    <x v="1"/>
    <n v="1"/>
    <n v="2270"/>
    <n v="4.8"/>
    <n v="2161.04"/>
    <s v="Cancelled"/>
    <s v="Mumbai"/>
    <x v="2"/>
    <x v="0"/>
    <x v="5"/>
  </r>
  <r>
    <s v="ORD-00296"/>
    <x v="171"/>
    <s v="CUST-0053"/>
    <s v="PROD-059"/>
    <x v="5"/>
    <n v="8"/>
    <n v="3780"/>
    <n v="13"/>
    <n v="26308.799999999999"/>
    <s v="Completed"/>
    <s v="Delhi"/>
    <x v="1"/>
    <x v="2"/>
    <x v="5"/>
  </r>
  <r>
    <s v="ORD-01770"/>
    <x v="205"/>
    <s v="CUST-0115"/>
    <s v="PROD-013"/>
    <x v="27"/>
    <n v="1"/>
    <n v="3640"/>
    <n v="15.3"/>
    <n v="3083.08"/>
    <s v="Pending"/>
    <s v="Mumbai"/>
    <x v="0"/>
    <x v="1"/>
    <x v="0"/>
  </r>
  <r>
    <s v="ORD-00298"/>
    <x v="206"/>
    <s v="CUST-0166"/>
    <s v="PROD-009"/>
    <x v="18"/>
    <n v="8"/>
    <n v="1220"/>
    <n v="28.2"/>
    <n v="7007.68"/>
    <s v="Completed"/>
    <s v="Hyderabad"/>
    <x v="4"/>
    <x v="1"/>
    <x v="10"/>
  </r>
  <r>
    <s v="ORD-00299"/>
    <x v="207"/>
    <s v="CUST-0263"/>
    <s v="PROD-017"/>
    <x v="14"/>
    <n v="3"/>
    <n v="2510"/>
    <n v="17.399999999999999"/>
    <n v="6219.78"/>
    <s v="Completed"/>
    <s v="Mumbai"/>
    <x v="0"/>
    <x v="2"/>
    <x v="4"/>
  </r>
  <r>
    <s v="ORD-00300"/>
    <x v="208"/>
    <s v="CUST-0010"/>
    <s v="PROD-040"/>
    <x v="10"/>
    <n v="1"/>
    <n v="1080"/>
    <n v="13.9"/>
    <n v="929.88"/>
    <s v="Completed"/>
    <s v="Mumbai"/>
    <x v="3"/>
    <x v="0"/>
    <x v="8"/>
  </r>
  <r>
    <s v="ORD-00301"/>
    <x v="183"/>
    <s v="CUST-0036"/>
    <s v="PROD-033"/>
    <x v="29"/>
    <n v="7"/>
    <n v="2030"/>
    <n v="29.2"/>
    <n v="10060.68"/>
    <s v="Completed"/>
    <s v="Mumbai"/>
    <x v="3"/>
    <x v="1"/>
    <x v="5"/>
  </r>
  <r>
    <s v="ORD-00302"/>
    <x v="209"/>
    <s v="CUST-0259"/>
    <s v="PROD-059"/>
    <x v="16"/>
    <n v="6"/>
    <n v="3780"/>
    <n v="20.9"/>
    <n v="17939.88"/>
    <s v="Refunded"/>
    <s v="Mumbai"/>
    <x v="1"/>
    <x v="3"/>
    <x v="3"/>
  </r>
  <r>
    <s v="ORD-00303"/>
    <x v="168"/>
    <s v="CUST-0247"/>
    <s v="PROD-012"/>
    <x v="29"/>
    <n v="1"/>
    <n v="3160"/>
    <n v="10.7"/>
    <n v="2821.88"/>
    <s v="Completed"/>
    <s v="Pune"/>
    <x v="0"/>
    <x v="1"/>
    <x v="8"/>
  </r>
  <r>
    <s v="ORD-00881"/>
    <x v="148"/>
    <s v="CUST-0191"/>
    <s v="PROD-046"/>
    <x v="9"/>
    <n v="5"/>
    <n v="4880"/>
    <n v="11.4"/>
    <n v="21618.400000000001"/>
    <s v="Completed"/>
    <s v="Hyderabad"/>
    <x v="5"/>
    <x v="1"/>
    <x v="0"/>
  </r>
  <r>
    <s v="ORD-00305"/>
    <x v="142"/>
    <s v="CUST-0167"/>
    <s v="PROD-031"/>
    <x v="18"/>
    <n v="9"/>
    <n v="3730"/>
    <n v="10"/>
    <n v="30213"/>
    <s v="Completed"/>
    <s v="Delhi"/>
    <x v="3"/>
    <x v="1"/>
    <x v="8"/>
  </r>
  <r>
    <s v="ORD-00306"/>
    <x v="119"/>
    <s v="CUST-0196"/>
    <s v="PROD-034"/>
    <x v="10"/>
    <n v="5"/>
    <n v="5080"/>
    <n v="15.3"/>
    <n v="21513.8"/>
    <s v="Completed"/>
    <s v="Chennai"/>
    <x v="3"/>
    <x v="0"/>
    <x v="11"/>
  </r>
  <r>
    <s v="ORD-00307"/>
    <x v="210"/>
    <s v="CUST-0182"/>
    <s v="PROD-042"/>
    <x v="22"/>
    <n v="9"/>
    <n v="2290"/>
    <n v="3.3"/>
    <n v="19929.87"/>
    <s v="Pending"/>
    <s v="Mumbai"/>
    <x v="5"/>
    <x v="1"/>
    <x v="5"/>
  </r>
  <r>
    <s v="ORD-00308"/>
    <x v="211"/>
    <s v="CUST-0246"/>
    <s v="PROD-008"/>
    <x v="9"/>
    <n v="5"/>
    <n v="2660"/>
    <n v="8.3000000000000007"/>
    <n v="12196.1"/>
    <s v="Completed"/>
    <s v="Delhi"/>
    <x v="4"/>
    <x v="1"/>
    <x v="0"/>
  </r>
  <r>
    <s v="ORD-00309"/>
    <x v="201"/>
    <s v="CUST-0132"/>
    <s v="PROD-027"/>
    <x v="5"/>
    <n v="6"/>
    <n v="3780"/>
    <n v="28.3"/>
    <n v="16261.56"/>
    <s v="Completed"/>
    <s v="Delhi"/>
    <x v="2"/>
    <x v="2"/>
    <x v="7"/>
  </r>
  <r>
    <s v="ORD-00310"/>
    <x v="212"/>
    <s v="CUST-0153"/>
    <s v="PROD-021"/>
    <x v="8"/>
    <n v="5"/>
    <n v="2760"/>
    <n v="4.9000000000000004"/>
    <n v="13123.8"/>
    <s v="Completed"/>
    <s v="Mumbai"/>
    <x v="2"/>
    <x v="2"/>
    <x v="11"/>
  </r>
  <r>
    <s v="ORD-00311"/>
    <x v="213"/>
    <s v="CUST-0139"/>
    <s v="PROD-041"/>
    <x v="3"/>
    <n v="8"/>
    <n v="1540"/>
    <n v="29.4"/>
    <n v="8697.92"/>
    <s v="Cancelled"/>
    <s v="Hyderabad"/>
    <x v="5"/>
    <x v="0"/>
    <x v="2"/>
  </r>
  <r>
    <s v="ORD-00312"/>
    <x v="163"/>
    <s v="CUST-0256"/>
    <s v="PROD-046"/>
    <x v="24"/>
    <n v="1"/>
    <n v="4880"/>
    <n v="18.100000000000001"/>
    <n v="3996.72"/>
    <s v="Completed"/>
    <s v="Hyderabad"/>
    <x v="5"/>
    <x v="3"/>
    <x v="2"/>
  </r>
  <r>
    <s v="ORD-00313"/>
    <x v="95"/>
    <s v="CUST-0027"/>
    <s v="PROD-024"/>
    <x v="15"/>
    <n v="8"/>
    <n v="2270"/>
    <n v="19.8"/>
    <n v="14564.32"/>
    <s v="Pending"/>
    <s v="Hyderabad"/>
    <x v="2"/>
    <x v="1"/>
    <x v="9"/>
  </r>
  <r>
    <s v="ORD-00314"/>
    <x v="118"/>
    <s v="CUST-0151"/>
    <s v="PROD-019"/>
    <x v="9"/>
    <n v="10"/>
    <n v="2480"/>
    <n v="24.4"/>
    <n v="18748.8"/>
    <s v="Pending"/>
    <s v="Mumbai"/>
    <x v="0"/>
    <x v="1"/>
    <x v="7"/>
  </r>
  <r>
    <s v="ORD-00315"/>
    <x v="214"/>
    <s v="CUST-0204"/>
    <s v="PROD-045"/>
    <x v="2"/>
    <n v="8"/>
    <n v="3020"/>
    <n v="15.2"/>
    <n v="20487.68"/>
    <s v="Pending"/>
    <s v="Hyderabad"/>
    <x v="5"/>
    <x v="1"/>
    <x v="10"/>
  </r>
  <r>
    <s v="ORD-00316"/>
    <x v="25"/>
    <s v="CUST-0084"/>
    <s v="PROD-041"/>
    <x v="7"/>
    <n v="10"/>
    <n v="1540"/>
    <n v="0.6"/>
    <n v="15307.6"/>
    <s v="Completed"/>
    <s v="Chennai"/>
    <x v="5"/>
    <x v="3"/>
    <x v="7"/>
  </r>
  <r>
    <s v="ORD-00317"/>
    <x v="215"/>
    <s v="CUST-0048"/>
    <s v="PROD-012"/>
    <x v="19"/>
    <n v="7"/>
    <n v="3160"/>
    <n v="8.9"/>
    <n v="20151.32"/>
    <s v="Completed"/>
    <s v="Delhi"/>
    <x v="0"/>
    <x v="0"/>
    <x v="8"/>
  </r>
  <r>
    <s v="ORD-00318"/>
    <x v="95"/>
    <s v="CUST-0013"/>
    <s v="PROD-054"/>
    <x v="22"/>
    <n v="6"/>
    <n v="1010"/>
    <n v="12.9"/>
    <n v="5278.26"/>
    <s v="Completed"/>
    <s v="Delhi"/>
    <x v="1"/>
    <x v="1"/>
    <x v="9"/>
  </r>
  <r>
    <s v="ORD-00319"/>
    <x v="216"/>
    <s v="CUST-0245"/>
    <s v="PROD-039"/>
    <x v="16"/>
    <n v="4"/>
    <n v="4610"/>
    <n v="18.2"/>
    <n v="15083.92"/>
    <s v="Completed"/>
    <s v="Hyderabad"/>
    <x v="3"/>
    <x v="3"/>
    <x v="6"/>
  </r>
  <r>
    <s v="ORD-00320"/>
    <x v="30"/>
    <s v="CUST-0031"/>
    <s v="PROD-025"/>
    <x v="20"/>
    <n v="6"/>
    <n v="4060"/>
    <n v="24.3"/>
    <n v="18440.52"/>
    <s v="Completed"/>
    <s v="Hyderabad"/>
    <x v="2"/>
    <x v="2"/>
    <x v="1"/>
  </r>
  <r>
    <s v="ORD-00321"/>
    <x v="89"/>
    <s v="CUST-0212"/>
    <s v="PROD-016"/>
    <x v="19"/>
    <n v="5"/>
    <n v="620"/>
    <n v="10.7"/>
    <n v="2768.3"/>
    <s v="Refunded"/>
    <s v="Chennai"/>
    <x v="0"/>
    <x v="0"/>
    <x v="7"/>
  </r>
  <r>
    <s v="ORD-00322"/>
    <x v="191"/>
    <s v="CUST-0104"/>
    <s v="PROD-018"/>
    <x v="11"/>
    <n v="3"/>
    <n v="3560"/>
    <n v="4.0999999999999996"/>
    <n v="10242.120000000001"/>
    <s v="Completed"/>
    <s v="Hyderabad"/>
    <x v="0"/>
    <x v="0"/>
    <x v="7"/>
  </r>
  <r>
    <s v="ORD-00323"/>
    <x v="66"/>
    <s v="CUST-0157"/>
    <s v="PROD-058"/>
    <x v="27"/>
    <n v="2"/>
    <n v="2400"/>
    <n v="13"/>
    <n v="4176"/>
    <s v="Completed"/>
    <s v="Pune"/>
    <x v="1"/>
    <x v="1"/>
    <x v="10"/>
  </r>
  <r>
    <s v="ORD-00324"/>
    <x v="192"/>
    <s v="CUST-0004"/>
    <s v="PROD-056"/>
    <x v="3"/>
    <n v="9"/>
    <n v="6940"/>
    <n v="26.2"/>
    <n v="46095.48"/>
    <s v="Completed"/>
    <s v="Delhi"/>
    <x v="1"/>
    <x v="0"/>
    <x v="5"/>
  </r>
  <r>
    <s v="ORD-00325"/>
    <x v="217"/>
    <s v="CUST-0003"/>
    <s v="PROD-023"/>
    <x v="5"/>
    <n v="9"/>
    <n v="2380"/>
    <n v="22.7"/>
    <n v="16557.66"/>
    <s v="Completed"/>
    <s v="Mumbai"/>
    <x v="2"/>
    <x v="2"/>
    <x v="5"/>
  </r>
  <r>
    <s v="ORD-00326"/>
    <x v="176"/>
    <s v="CUST-0175"/>
    <s v="PROD-014"/>
    <x v="8"/>
    <n v="6"/>
    <n v="3620"/>
    <n v="9.1999999999999993"/>
    <n v="19721.759999999998"/>
    <s v="Completed"/>
    <s v="Delhi"/>
    <x v="0"/>
    <x v="2"/>
    <x v="0"/>
  </r>
  <r>
    <s v="ORD-00327"/>
    <x v="124"/>
    <s v="CUST-0104"/>
    <s v="PROD-050"/>
    <x v="10"/>
    <n v="1"/>
    <n v="6080"/>
    <n v="29.4"/>
    <n v="4292.4799999999996"/>
    <s v="Cancelled"/>
    <s v="Hyderabad"/>
    <x v="5"/>
    <x v="0"/>
    <x v="3"/>
  </r>
  <r>
    <s v="ORD-00328"/>
    <x v="30"/>
    <s v="CUST-0196"/>
    <s v="PROD-020"/>
    <x v="26"/>
    <n v="6"/>
    <n v="820"/>
    <n v="29.1"/>
    <n v="3488.28"/>
    <s v="Completed"/>
    <s v="Chennai"/>
    <x v="0"/>
    <x v="3"/>
    <x v="1"/>
  </r>
  <r>
    <s v="ORD-00329"/>
    <x v="34"/>
    <s v="CUST-0299"/>
    <s v="PROD-045"/>
    <x v="6"/>
    <n v="9"/>
    <n v="3020"/>
    <n v="7.9"/>
    <n v="25032.78"/>
    <s v="Completed"/>
    <s v="Mumbai"/>
    <x v="5"/>
    <x v="2"/>
    <x v="8"/>
  </r>
  <r>
    <s v="ORD-00330"/>
    <x v="218"/>
    <s v="CUST-0066"/>
    <s v="PROD-004"/>
    <x v="20"/>
    <n v="8"/>
    <n v="3870"/>
    <n v="11.9"/>
    <n v="27275.759999999998"/>
    <s v="Completed"/>
    <s v="Delhi"/>
    <x v="4"/>
    <x v="2"/>
    <x v="8"/>
  </r>
  <r>
    <s v="ORD-00331"/>
    <x v="72"/>
    <s v="CUST-0080"/>
    <s v="PROD-047"/>
    <x v="14"/>
    <n v="6"/>
    <n v="3450"/>
    <n v="13.9"/>
    <n v="17822.7"/>
    <s v="Completed"/>
    <s v="Pune"/>
    <x v="5"/>
    <x v="2"/>
    <x v="7"/>
  </r>
  <r>
    <s v="ORD-00332"/>
    <x v="219"/>
    <s v="CUST-0138"/>
    <s v="PROD-048"/>
    <x v="4"/>
    <n v="9"/>
    <n v="5100"/>
    <n v="2.1"/>
    <n v="44936.1"/>
    <s v="Completed"/>
    <s v="Chennai"/>
    <x v="5"/>
    <x v="0"/>
    <x v="8"/>
  </r>
  <r>
    <s v="ORD-00333"/>
    <x v="79"/>
    <s v="CUST-0253"/>
    <s v="PROD-026"/>
    <x v="4"/>
    <n v="2"/>
    <n v="4070"/>
    <n v="28.6"/>
    <n v="5811.96"/>
    <s v="Completed"/>
    <s v="Delhi"/>
    <x v="2"/>
    <x v="0"/>
    <x v="7"/>
  </r>
  <r>
    <s v="ORD-00334"/>
    <x v="220"/>
    <s v="CUST-0247"/>
    <s v="PROD-001"/>
    <x v="0"/>
    <n v="9"/>
    <n v="5330"/>
    <n v="6.2"/>
    <n v="44995.86"/>
    <s v="Completed"/>
    <s v="Pune"/>
    <x v="4"/>
    <x v="0"/>
    <x v="1"/>
  </r>
  <r>
    <s v="ORD-00335"/>
    <x v="158"/>
    <s v="CUST-0269"/>
    <s v="PROD-024"/>
    <x v="16"/>
    <n v="6"/>
    <n v="2270"/>
    <n v="23.7"/>
    <n v="10392.06"/>
    <s v="Completed"/>
    <s v="Pune"/>
    <x v="2"/>
    <x v="3"/>
    <x v="11"/>
  </r>
  <r>
    <s v="ORD-00336"/>
    <x v="221"/>
    <s v="CUST-0008"/>
    <s v="PROD-017"/>
    <x v="6"/>
    <n v="5"/>
    <n v="2510"/>
    <n v="25"/>
    <n v="9412.5"/>
    <s v="Completed"/>
    <s v="Pune"/>
    <x v="0"/>
    <x v="2"/>
    <x v="4"/>
  </r>
  <r>
    <s v="ORD-00337"/>
    <x v="164"/>
    <s v="CUST-0134"/>
    <s v="PROD-023"/>
    <x v="7"/>
    <n v="9"/>
    <n v="2380"/>
    <n v="16.8"/>
    <n v="17821.439999999999"/>
    <s v="Completed"/>
    <s v="Delhi"/>
    <x v="2"/>
    <x v="3"/>
    <x v="1"/>
  </r>
  <r>
    <s v="ORD-00338"/>
    <x v="103"/>
    <s v="CUST-0016"/>
    <s v="PROD-011"/>
    <x v="4"/>
    <n v="1"/>
    <n v="3450"/>
    <n v="1.5"/>
    <n v="3398.25"/>
    <s v="Refunded"/>
    <s v="Delhi"/>
    <x v="0"/>
    <x v="0"/>
    <x v="3"/>
  </r>
  <r>
    <s v="ORD-00339"/>
    <x v="146"/>
    <s v="CUST-0281"/>
    <s v="PROD-003"/>
    <x v="25"/>
    <n v="5"/>
    <n v="3570"/>
    <n v="12.8"/>
    <n v="15565.2"/>
    <s v="Completed"/>
    <s v="Bengaluru"/>
    <x v="4"/>
    <x v="0"/>
    <x v="11"/>
  </r>
  <r>
    <s v="ORD-00340"/>
    <x v="222"/>
    <s v="CUST-0267"/>
    <s v="PROD-001"/>
    <x v="20"/>
    <n v="3"/>
    <n v="5330"/>
    <n v="16.2"/>
    <n v="13399.62"/>
    <s v="Completed"/>
    <s v="Hyderabad"/>
    <x v="4"/>
    <x v="2"/>
    <x v="9"/>
  </r>
  <r>
    <s v="ORD-00341"/>
    <x v="123"/>
    <s v="CUST-0279"/>
    <s v="PROD-028"/>
    <x v="28"/>
    <n v="3"/>
    <n v="3660"/>
    <n v="25.3"/>
    <n v="8202.06"/>
    <s v="Completed"/>
    <s v="Mumbai"/>
    <x v="2"/>
    <x v="2"/>
    <x v="1"/>
  </r>
  <r>
    <s v="ORD-00342"/>
    <x v="77"/>
    <s v="CUST-0036"/>
    <s v="PROD-054"/>
    <x v="15"/>
    <n v="2"/>
    <n v="1010"/>
    <n v="29.2"/>
    <n v="1430.16"/>
    <s v="Completed"/>
    <s v="Mumbai"/>
    <x v="1"/>
    <x v="1"/>
    <x v="4"/>
  </r>
  <r>
    <s v="ORD-00343"/>
    <x v="47"/>
    <s v="CUST-0295"/>
    <s v="PROD-040"/>
    <x v="15"/>
    <n v="1"/>
    <n v="1080"/>
    <n v="1.8"/>
    <n v="1060.56"/>
    <s v="Completed"/>
    <s v="Delhi"/>
    <x v="3"/>
    <x v="1"/>
    <x v="7"/>
  </r>
  <r>
    <s v="ORD-00344"/>
    <x v="85"/>
    <s v="CUST-0106"/>
    <s v="PROD-051"/>
    <x v="9"/>
    <n v="8"/>
    <n v="3450"/>
    <n v="20.399999999999999"/>
    <n v="21969.599999999999"/>
    <s v="Completed"/>
    <s v="Pune"/>
    <x v="1"/>
    <x v="1"/>
    <x v="3"/>
  </r>
  <r>
    <s v="ORD-00593"/>
    <x v="223"/>
    <s v="CUST-0070"/>
    <s v="PROD-056"/>
    <x v="15"/>
    <n v="8"/>
    <n v="6940"/>
    <n v="19.399999999999999"/>
    <n v="44749.120000000003"/>
    <s v="Completed"/>
    <s v="Mumbai"/>
    <x v="1"/>
    <x v="1"/>
    <x v="0"/>
  </r>
  <r>
    <s v="ORD-00346"/>
    <x v="224"/>
    <s v="CUST-0062"/>
    <s v="PROD-041"/>
    <x v="11"/>
    <n v="2"/>
    <n v="1540"/>
    <n v="9.3000000000000007"/>
    <n v="2793.56"/>
    <s v="Completed"/>
    <s v="Pune"/>
    <x v="5"/>
    <x v="0"/>
    <x v="3"/>
  </r>
  <r>
    <s v="ORD-00347"/>
    <x v="225"/>
    <s v="CUST-0241"/>
    <s v="PROD-010"/>
    <x v="15"/>
    <n v="4"/>
    <n v="2640"/>
    <n v="23.2"/>
    <n v="8110.08"/>
    <s v="Refunded"/>
    <s v="Pune"/>
    <x v="4"/>
    <x v="1"/>
    <x v="6"/>
  </r>
  <r>
    <s v="ORD-00348"/>
    <x v="17"/>
    <s v="CUST-0001"/>
    <s v="PROD-052"/>
    <x v="6"/>
    <n v="6"/>
    <n v="5410"/>
    <n v="29.4"/>
    <n v="22916.76"/>
    <s v="Completed"/>
    <s v="Pune"/>
    <x v="1"/>
    <x v="2"/>
    <x v="4"/>
  </r>
  <r>
    <s v="ORD-00349"/>
    <x v="61"/>
    <s v="CUST-0181"/>
    <s v="PROD-003"/>
    <x v="28"/>
    <n v="1"/>
    <n v="3570"/>
    <n v="4.3"/>
    <n v="3416.49"/>
    <s v="Completed"/>
    <s v="Delhi"/>
    <x v="4"/>
    <x v="2"/>
    <x v="6"/>
  </r>
  <r>
    <s v="ORD-00350"/>
    <x v="226"/>
    <s v="CUST-0044"/>
    <s v="PROD-032"/>
    <x v="8"/>
    <n v="2"/>
    <n v="370"/>
    <n v="7.2"/>
    <n v="686.72"/>
    <s v="Completed"/>
    <s v="Hyderabad"/>
    <x v="3"/>
    <x v="2"/>
    <x v="7"/>
  </r>
  <r>
    <s v="ORD-00351"/>
    <x v="203"/>
    <s v="CUST-0218"/>
    <s v="PROD-017"/>
    <x v="21"/>
    <n v="1"/>
    <n v="2510"/>
    <n v="2.4"/>
    <n v="2449.7600000000002"/>
    <s v="Completed"/>
    <s v="Mumbai"/>
    <x v="0"/>
    <x v="3"/>
    <x v="11"/>
  </r>
  <r>
    <s v="ORD-00352"/>
    <x v="178"/>
    <s v="CUST-0061"/>
    <s v="PROD-013"/>
    <x v="24"/>
    <n v="8"/>
    <n v="3640"/>
    <n v="28.7"/>
    <n v="20762.560000000001"/>
    <s v="Pending"/>
    <s v="Hyderabad"/>
    <x v="0"/>
    <x v="3"/>
    <x v="10"/>
  </r>
  <r>
    <s v="ORD-00353"/>
    <x v="226"/>
    <s v="CUST-0143"/>
    <s v="PROD-044"/>
    <x v="20"/>
    <n v="5"/>
    <n v="1650"/>
    <n v="13.4"/>
    <n v="7144.5"/>
    <s v="Pending"/>
    <s v="Chennai"/>
    <x v="5"/>
    <x v="2"/>
    <x v="7"/>
  </r>
  <r>
    <s v="ORD-00354"/>
    <x v="107"/>
    <s v="CUST-0164"/>
    <s v="PROD-049"/>
    <x v="6"/>
    <n v="9"/>
    <n v="960"/>
    <n v="28.6"/>
    <n v="6168.96"/>
    <s v="Pending"/>
    <s v="Chennai"/>
    <x v="5"/>
    <x v="2"/>
    <x v="2"/>
  </r>
  <r>
    <s v="ORD-00355"/>
    <x v="97"/>
    <s v="CUST-0152"/>
    <s v="PROD-027"/>
    <x v="13"/>
    <n v="4"/>
    <n v="3780"/>
    <n v="25.3"/>
    <n v="11294.64"/>
    <s v="Completed"/>
    <s v="Bengaluru"/>
    <x v="2"/>
    <x v="3"/>
    <x v="10"/>
  </r>
  <r>
    <s v="ORD-00356"/>
    <x v="227"/>
    <s v="CUST-0143"/>
    <s v="PROD-044"/>
    <x v="2"/>
    <n v="4"/>
    <n v="1650"/>
    <n v="13.7"/>
    <n v="5695.8"/>
    <s v="Cancelled"/>
    <s v="Chennai"/>
    <x v="5"/>
    <x v="1"/>
    <x v="0"/>
  </r>
  <r>
    <s v="ORD-00357"/>
    <x v="228"/>
    <s v="CUST-0232"/>
    <s v="PROD-014"/>
    <x v="27"/>
    <n v="6"/>
    <n v="3620"/>
    <n v="21.3"/>
    <n v="17093.64"/>
    <s v="Pending"/>
    <s v="Hyderabad"/>
    <x v="0"/>
    <x v="1"/>
    <x v="9"/>
  </r>
  <r>
    <s v="ORD-00358"/>
    <x v="42"/>
    <s v="CUST-0067"/>
    <s v="PROD-022"/>
    <x v="14"/>
    <n v="10"/>
    <n v="2270"/>
    <n v="17.7"/>
    <n v="18682.099999999999"/>
    <s v="Completed"/>
    <s v="Delhi"/>
    <x v="2"/>
    <x v="2"/>
    <x v="11"/>
  </r>
  <r>
    <s v="ORD-00359"/>
    <x v="130"/>
    <s v="CUST-0292"/>
    <s v="PROD-041"/>
    <x v="22"/>
    <n v="9"/>
    <n v="1540"/>
    <n v="10.7"/>
    <n v="12376.98"/>
    <s v="Completed"/>
    <s v="Bengaluru"/>
    <x v="5"/>
    <x v="1"/>
    <x v="6"/>
  </r>
  <r>
    <s v="ORD-00360"/>
    <x v="84"/>
    <s v="CUST-0118"/>
    <s v="PROD-055"/>
    <x v="13"/>
    <n v="9"/>
    <n v="2860"/>
    <n v="12.9"/>
    <n v="22419.54"/>
    <s v="Completed"/>
    <s v="Hyderabad"/>
    <x v="1"/>
    <x v="3"/>
    <x v="4"/>
  </r>
  <r>
    <s v="ORD-00361"/>
    <x v="229"/>
    <s v="CUST-0212"/>
    <s v="PROD-029"/>
    <x v="29"/>
    <n v="5"/>
    <n v="2210"/>
    <n v="5.0999999999999996"/>
    <n v="10486.45"/>
    <s v="Completed"/>
    <s v="Chennai"/>
    <x v="2"/>
    <x v="1"/>
    <x v="2"/>
  </r>
  <r>
    <s v="ORD-00362"/>
    <x v="157"/>
    <s v="CUST-0287"/>
    <s v="PROD-009"/>
    <x v="20"/>
    <n v="1"/>
    <n v="1220"/>
    <n v="16.100000000000001"/>
    <n v="1023.58"/>
    <s v="Completed"/>
    <s v="Chennai"/>
    <x v="4"/>
    <x v="2"/>
    <x v="9"/>
  </r>
  <r>
    <s v="ORD-00363"/>
    <x v="230"/>
    <s v="CUST-0030"/>
    <s v="PROD-003"/>
    <x v="3"/>
    <n v="2"/>
    <n v="3570"/>
    <n v="1.1000000000000001"/>
    <n v="7061.46"/>
    <s v="Completed"/>
    <s v="Bengaluru"/>
    <x v="4"/>
    <x v="0"/>
    <x v="0"/>
  </r>
  <r>
    <s v="ORD-00364"/>
    <x v="231"/>
    <s v="CUST-0270"/>
    <s v="PROD-011"/>
    <x v="29"/>
    <n v="10"/>
    <n v="3450"/>
    <n v="12.6"/>
    <n v="30153"/>
    <s v="Completed"/>
    <s v="Bengaluru"/>
    <x v="0"/>
    <x v="1"/>
    <x v="11"/>
  </r>
  <r>
    <s v="ORD-00365"/>
    <x v="232"/>
    <s v="CUST-0001"/>
    <s v="PROD-029"/>
    <x v="13"/>
    <n v="4"/>
    <n v="2210"/>
    <n v="5.4"/>
    <n v="8362.64"/>
    <s v="Completed"/>
    <s v="Pune"/>
    <x v="2"/>
    <x v="3"/>
    <x v="0"/>
  </r>
  <r>
    <s v="ORD-00366"/>
    <x v="233"/>
    <s v="CUST-0215"/>
    <s v="PROD-035"/>
    <x v="2"/>
    <n v="6"/>
    <n v="1090"/>
    <n v="2.9"/>
    <n v="6350.34"/>
    <s v="Cancelled"/>
    <s v="Hyderabad"/>
    <x v="3"/>
    <x v="1"/>
    <x v="10"/>
  </r>
  <r>
    <s v="ORD-00367"/>
    <x v="234"/>
    <s v="CUST-0225"/>
    <s v="PROD-041"/>
    <x v="21"/>
    <n v="8"/>
    <n v="1540"/>
    <n v="17.899999999999999"/>
    <n v="10114.719999999999"/>
    <s v="Pending"/>
    <s v="Chennai"/>
    <x v="5"/>
    <x v="3"/>
    <x v="2"/>
  </r>
  <r>
    <s v="ORD-00368"/>
    <x v="2"/>
    <s v="CUST-0163"/>
    <s v="PROD-002"/>
    <x v="8"/>
    <n v="9"/>
    <n v="2600"/>
    <n v="4.0999999999999996"/>
    <n v="22440.6"/>
    <s v="Completed"/>
    <s v="Pune"/>
    <x v="4"/>
    <x v="2"/>
    <x v="2"/>
  </r>
  <r>
    <s v="ORD-00369"/>
    <x v="235"/>
    <s v="CUST-0196"/>
    <s v="PROD-060"/>
    <x v="0"/>
    <n v="2"/>
    <n v="190"/>
    <n v="4.8"/>
    <n v="361.76"/>
    <s v="Completed"/>
    <s v="Chennai"/>
    <x v="1"/>
    <x v="0"/>
    <x v="4"/>
  </r>
  <r>
    <s v="ORD-00370"/>
    <x v="236"/>
    <s v="CUST-0002"/>
    <s v="PROD-019"/>
    <x v="2"/>
    <n v="9"/>
    <n v="2480"/>
    <n v="28.3"/>
    <n v="16003.44"/>
    <s v="Completed"/>
    <s v="Pune"/>
    <x v="0"/>
    <x v="1"/>
    <x v="3"/>
  </r>
  <r>
    <s v="ORD-00371"/>
    <x v="33"/>
    <s v="CUST-0057"/>
    <s v="PROD-042"/>
    <x v="3"/>
    <n v="7"/>
    <n v="2290"/>
    <n v="25"/>
    <n v="12022.5"/>
    <s v="Cancelled"/>
    <s v="Pune"/>
    <x v="5"/>
    <x v="0"/>
    <x v="3"/>
  </r>
  <r>
    <s v="ORD-00372"/>
    <x v="237"/>
    <s v="CUST-0112"/>
    <s v="PROD-041"/>
    <x v="15"/>
    <n v="9"/>
    <n v="1540"/>
    <n v="23.3"/>
    <n v="10630.62"/>
    <s v="Completed"/>
    <s v="Hyderabad"/>
    <x v="5"/>
    <x v="1"/>
    <x v="9"/>
  </r>
  <r>
    <s v="ORD-00373"/>
    <x v="168"/>
    <s v="CUST-0131"/>
    <s v="PROD-034"/>
    <x v="5"/>
    <n v="2"/>
    <n v="5080"/>
    <n v="2.5"/>
    <n v="9906"/>
    <s v="Cancelled"/>
    <s v="Delhi"/>
    <x v="3"/>
    <x v="2"/>
    <x v="8"/>
  </r>
  <r>
    <s v="ORD-00374"/>
    <x v="238"/>
    <s v="CUST-0124"/>
    <s v="PROD-017"/>
    <x v="29"/>
    <n v="4"/>
    <n v="2510"/>
    <n v="23.6"/>
    <n v="7670.56"/>
    <s v="Completed"/>
    <s v="Pune"/>
    <x v="0"/>
    <x v="1"/>
    <x v="1"/>
  </r>
  <r>
    <s v="ORD-00375"/>
    <x v="10"/>
    <s v="CUST-0131"/>
    <s v="PROD-042"/>
    <x v="23"/>
    <n v="5"/>
    <n v="2290"/>
    <n v="17"/>
    <n v="9503.5"/>
    <s v="Completed"/>
    <s v="Delhi"/>
    <x v="5"/>
    <x v="1"/>
    <x v="1"/>
  </r>
  <r>
    <s v="ORD-00376"/>
    <x v="1"/>
    <s v="CUST-0084"/>
    <s v="PROD-053"/>
    <x v="3"/>
    <n v="8"/>
    <n v="470"/>
    <n v="9.3000000000000007"/>
    <n v="3410.32"/>
    <s v="Completed"/>
    <s v="Chennai"/>
    <x v="1"/>
    <x v="0"/>
    <x v="1"/>
  </r>
  <r>
    <s v="ORD-00377"/>
    <x v="148"/>
    <s v="CUST-0082"/>
    <s v="PROD-048"/>
    <x v="18"/>
    <n v="8"/>
    <n v="5100"/>
    <n v="4.5999999999999996"/>
    <n v="38923.199999999997"/>
    <s v="Completed"/>
    <s v="Hyderabad"/>
    <x v="5"/>
    <x v="1"/>
    <x v="0"/>
  </r>
  <r>
    <s v="ORD-00378"/>
    <x v="197"/>
    <s v="CUST-0242"/>
    <s v="PROD-001"/>
    <x v="9"/>
    <n v="7"/>
    <n v="5330"/>
    <n v="2.5"/>
    <n v="36377.25"/>
    <s v="Completed"/>
    <s v="Chennai"/>
    <x v="4"/>
    <x v="1"/>
    <x v="11"/>
  </r>
  <r>
    <s v="ORD-00379"/>
    <x v="234"/>
    <s v="CUST-0074"/>
    <s v="PROD-033"/>
    <x v="8"/>
    <n v="10"/>
    <n v="2030"/>
    <n v="8.5"/>
    <n v="18574.5"/>
    <s v="Completed"/>
    <s v="Bengaluru"/>
    <x v="3"/>
    <x v="2"/>
    <x v="2"/>
  </r>
  <r>
    <s v="ORD-00380"/>
    <x v="9"/>
    <s v="CUST-0221"/>
    <s v="PROD-034"/>
    <x v="11"/>
    <n v="8"/>
    <n v="5080"/>
    <n v="9.6"/>
    <n v="36738.559999999998"/>
    <s v="Cancelled"/>
    <s v="Delhi"/>
    <x v="3"/>
    <x v="0"/>
    <x v="0"/>
  </r>
  <r>
    <s v="ORD-00381"/>
    <x v="239"/>
    <s v="CUST-0101"/>
    <s v="PROD-023"/>
    <x v="2"/>
    <n v="1"/>
    <n v="2380"/>
    <n v="11.6"/>
    <n v="2103.92"/>
    <s v="Pending"/>
    <s v="Hyderabad"/>
    <x v="2"/>
    <x v="1"/>
    <x v="2"/>
  </r>
  <r>
    <s v="ORD-00382"/>
    <x v="222"/>
    <s v="CUST-0203"/>
    <s v="PROD-041"/>
    <x v="28"/>
    <n v="8"/>
    <n v="1540"/>
    <n v="27.8"/>
    <n v="8895.0400000000009"/>
    <s v="Completed"/>
    <s v="Chennai"/>
    <x v="5"/>
    <x v="2"/>
    <x v="9"/>
  </r>
  <r>
    <s v="ORD-00383"/>
    <x v="157"/>
    <s v="CUST-0209"/>
    <s v="PROD-024"/>
    <x v="6"/>
    <n v="1"/>
    <n v="2270"/>
    <n v="6.5"/>
    <n v="2122.4499999999998"/>
    <s v="Pending"/>
    <s v="Pune"/>
    <x v="2"/>
    <x v="2"/>
    <x v="9"/>
  </r>
  <r>
    <s v="ORD-00384"/>
    <x v="240"/>
    <s v="CUST-0094"/>
    <s v="PROD-019"/>
    <x v="8"/>
    <n v="6"/>
    <n v="2480"/>
    <n v="25.9"/>
    <n v="11026.08"/>
    <s v="Completed"/>
    <s v="Pune"/>
    <x v="0"/>
    <x v="2"/>
    <x v="10"/>
  </r>
  <r>
    <s v="ORD-00385"/>
    <x v="170"/>
    <s v="CUST-0248"/>
    <s v="PROD-018"/>
    <x v="7"/>
    <n v="3"/>
    <n v="3560"/>
    <n v="0.4"/>
    <n v="10637.28"/>
    <s v="Refunded"/>
    <s v="Chennai"/>
    <x v="0"/>
    <x v="3"/>
    <x v="4"/>
  </r>
  <r>
    <s v="ORD-00386"/>
    <x v="124"/>
    <s v="CUST-0297"/>
    <s v="PROD-008"/>
    <x v="3"/>
    <n v="4"/>
    <n v="2660"/>
    <n v="19.7"/>
    <n v="8543.92"/>
    <s v="Cancelled"/>
    <s v="Hyderabad"/>
    <x v="4"/>
    <x v="0"/>
    <x v="3"/>
  </r>
  <r>
    <s v="ORD-00387"/>
    <x v="194"/>
    <s v="CUST-0107"/>
    <s v="PROD-009"/>
    <x v="22"/>
    <n v="10"/>
    <n v="1220"/>
    <n v="10.1"/>
    <n v="10967.8"/>
    <s v="Cancelled"/>
    <s v="Pune"/>
    <x v="4"/>
    <x v="1"/>
    <x v="5"/>
  </r>
  <r>
    <s v="ORD-00388"/>
    <x v="241"/>
    <s v="CUST-0247"/>
    <s v="PROD-002"/>
    <x v="2"/>
    <n v="8"/>
    <n v="2600"/>
    <n v="26.7"/>
    <n v="15246.4"/>
    <s v="Completed"/>
    <s v="Pune"/>
    <x v="4"/>
    <x v="1"/>
    <x v="9"/>
  </r>
  <r>
    <s v="ORD-00389"/>
    <x v="242"/>
    <s v="CUST-0047"/>
    <s v="PROD-011"/>
    <x v="16"/>
    <n v="10"/>
    <n v="3450"/>
    <n v="20.399999999999999"/>
    <n v="27462"/>
    <s v="Completed"/>
    <s v="Pune"/>
    <x v="0"/>
    <x v="3"/>
    <x v="3"/>
  </r>
  <r>
    <s v="ORD-00390"/>
    <x v="242"/>
    <s v="CUST-0118"/>
    <s v="PROD-056"/>
    <x v="7"/>
    <n v="1"/>
    <n v="6940"/>
    <n v="9.6999999999999993"/>
    <n v="6266.82"/>
    <s v="Completed"/>
    <s v="Hyderabad"/>
    <x v="1"/>
    <x v="3"/>
    <x v="3"/>
  </r>
  <r>
    <s v="ORD-00391"/>
    <x v="243"/>
    <s v="CUST-0019"/>
    <s v="PROD-043"/>
    <x v="3"/>
    <n v="10"/>
    <n v="3350"/>
    <n v="3.2"/>
    <n v="32428"/>
    <s v="Completed"/>
    <s v="Chennai"/>
    <x v="5"/>
    <x v="0"/>
    <x v="2"/>
  </r>
  <r>
    <s v="ORD-00392"/>
    <x v="244"/>
    <s v="CUST-0290"/>
    <s v="PROD-041"/>
    <x v="17"/>
    <n v="7"/>
    <n v="1540"/>
    <n v="0.5"/>
    <n v="10726.1"/>
    <s v="Completed"/>
    <s v="Delhi"/>
    <x v="5"/>
    <x v="2"/>
    <x v="5"/>
  </r>
  <r>
    <s v="ORD-00393"/>
    <x v="219"/>
    <s v="CUST-9557"/>
    <s v="PROD-014"/>
    <x v="17"/>
    <n v="10"/>
    <n v="3620"/>
    <n v="22"/>
    <n v="28236"/>
    <s v="Completed"/>
    <s v="Pune"/>
    <x v="0"/>
    <x v="2"/>
    <x v="8"/>
  </r>
  <r>
    <s v="ORD-00394"/>
    <x v="98"/>
    <s v="CUST-0291"/>
    <s v="PROD-053"/>
    <x v="17"/>
    <n v="2"/>
    <n v="470"/>
    <n v="26.5"/>
    <n v="690.9"/>
    <s v="Pending"/>
    <s v="Pune"/>
    <x v="1"/>
    <x v="2"/>
    <x v="8"/>
  </r>
  <r>
    <s v="ORD-00395"/>
    <x v="46"/>
    <s v="CUST-0045"/>
    <s v="PROD-028"/>
    <x v="9"/>
    <n v="6"/>
    <n v="3660"/>
    <n v="1.5"/>
    <n v="21630.6"/>
    <s v="Completed"/>
    <s v="Chennai"/>
    <x v="2"/>
    <x v="1"/>
    <x v="1"/>
  </r>
  <r>
    <s v="ORD-00396"/>
    <x v="39"/>
    <s v="CUST-0281"/>
    <s v="PROD-056"/>
    <x v="21"/>
    <n v="10"/>
    <n v="6940"/>
    <n v="1.9"/>
    <n v="68081.399999999994"/>
    <s v="Completed"/>
    <s v="Bengaluru"/>
    <x v="1"/>
    <x v="3"/>
    <x v="3"/>
  </r>
  <r>
    <s v="ORD-00397"/>
    <x v="245"/>
    <s v="CUST-0073"/>
    <s v="PROD-042"/>
    <x v="1"/>
    <n v="8"/>
    <n v="2290"/>
    <n v="27.9"/>
    <n v="13208.72"/>
    <s v="Completed"/>
    <s v="Pune"/>
    <x v="5"/>
    <x v="0"/>
    <x v="5"/>
  </r>
  <r>
    <s v="ORD-00398"/>
    <x v="52"/>
    <s v="CUST-0043"/>
    <s v="PROD-012"/>
    <x v="6"/>
    <n v="9"/>
    <n v="3160"/>
    <n v="10.199999999999999"/>
    <n v="25539.119999999999"/>
    <s v="Completed"/>
    <s v="Hyderabad"/>
    <x v="0"/>
    <x v="2"/>
    <x v="9"/>
  </r>
  <r>
    <s v="ORD-00399"/>
    <x v="246"/>
    <s v="CUST-0154"/>
    <s v="PROD-034"/>
    <x v="8"/>
    <n v="6"/>
    <n v="5080"/>
    <n v="25.4"/>
    <n v="22738.080000000002"/>
    <s v="Completed"/>
    <s v="Pune"/>
    <x v="3"/>
    <x v="2"/>
    <x v="11"/>
  </r>
  <r>
    <s v="ORD-00400"/>
    <x v="247"/>
    <s v="CUST-0061"/>
    <s v="PROD-021"/>
    <x v="27"/>
    <n v="6"/>
    <n v="2760"/>
    <n v="21.3"/>
    <n v="13032.72"/>
    <s v="Completed"/>
    <s v="Hyderabad"/>
    <x v="2"/>
    <x v="1"/>
    <x v="4"/>
  </r>
  <r>
    <s v="ORD-00401"/>
    <x v="32"/>
    <s v="CUST-9654"/>
    <s v="PROD-009"/>
    <x v="27"/>
    <n v="5"/>
    <n v="1220"/>
    <n v="7.6"/>
    <n v="5636.4"/>
    <s v="Completed"/>
    <s v="Mumbai"/>
    <x v="4"/>
    <x v="1"/>
    <x v="6"/>
  </r>
  <r>
    <s v="ORD-00402"/>
    <x v="81"/>
    <s v="CUST-0189"/>
    <s v="PROD-046"/>
    <x v="8"/>
    <n v="5"/>
    <n v="4880"/>
    <n v="8.5"/>
    <n v="22326"/>
    <s v="Completed"/>
    <s v="Chennai"/>
    <x v="5"/>
    <x v="2"/>
    <x v="4"/>
  </r>
  <r>
    <s v="ORD-00403"/>
    <x v="102"/>
    <s v="CUST-0152"/>
    <s v="PROD-026"/>
    <x v="24"/>
    <n v="7"/>
    <n v="4070"/>
    <n v="28"/>
    <n v="20512.8"/>
    <s v="Completed"/>
    <s v="Bengaluru"/>
    <x v="2"/>
    <x v="3"/>
    <x v="9"/>
  </r>
  <r>
    <s v="ORD-00404"/>
    <x v="47"/>
    <s v="CUST-0284"/>
    <s v="PROD-006"/>
    <x v="8"/>
    <n v="2"/>
    <n v="3970"/>
    <n v="14"/>
    <n v="6828.4"/>
    <s v="Completed"/>
    <s v="Hyderabad"/>
    <x v="4"/>
    <x v="2"/>
    <x v="7"/>
  </r>
  <r>
    <s v="ORD-00405"/>
    <x v="134"/>
    <s v="CUST-0175"/>
    <s v="PROD-008"/>
    <x v="26"/>
    <n v="9"/>
    <n v="2660"/>
    <n v="10.1"/>
    <n v="21522.06"/>
    <s v="Completed"/>
    <s v="Delhi"/>
    <x v="4"/>
    <x v="3"/>
    <x v="1"/>
  </r>
  <r>
    <s v="ORD-00406"/>
    <x v="192"/>
    <s v="CUST-0093"/>
    <s v="PROD-055"/>
    <x v="24"/>
    <n v="9"/>
    <n v="2860"/>
    <n v="10.1"/>
    <n v="23140.26"/>
    <s v="Refunded"/>
    <s v="Pune"/>
    <x v="1"/>
    <x v="3"/>
    <x v="5"/>
  </r>
  <r>
    <s v="ORD-00407"/>
    <x v="157"/>
    <s v="CUST-0033"/>
    <s v="PROD-009"/>
    <x v="0"/>
    <n v="7"/>
    <n v="1220"/>
    <n v="23.5"/>
    <n v="6533.1"/>
    <s v="Refunded"/>
    <s v="Delhi"/>
    <x v="4"/>
    <x v="0"/>
    <x v="9"/>
  </r>
  <r>
    <s v="ORD-00408"/>
    <x v="241"/>
    <s v="CUST-0294"/>
    <s v="PROD-022"/>
    <x v="17"/>
    <n v="1"/>
    <n v="2270"/>
    <n v="5.8"/>
    <n v="2138.34"/>
    <s v="Cancelled"/>
    <s v="Delhi"/>
    <x v="2"/>
    <x v="2"/>
    <x v="9"/>
  </r>
  <r>
    <s v="ORD-00409"/>
    <x v="248"/>
    <s v="CUST-0115"/>
    <s v="PROD-037"/>
    <x v="25"/>
    <n v="2"/>
    <n v="660"/>
    <n v="2.2999999999999998"/>
    <n v="1289.6400000000001"/>
    <s v="Completed"/>
    <s v="Mumbai"/>
    <x v="3"/>
    <x v="0"/>
    <x v="9"/>
  </r>
  <r>
    <s v="ORD-00410"/>
    <x v="236"/>
    <s v="CUST-0219"/>
    <s v="PROD-012"/>
    <x v="2"/>
    <n v="1"/>
    <n v="3160"/>
    <n v="5.6"/>
    <n v="2983.04"/>
    <s v="Completed"/>
    <s v="Chennai"/>
    <x v="0"/>
    <x v="1"/>
    <x v="3"/>
  </r>
  <r>
    <s v="ORD-00411"/>
    <x v="199"/>
    <s v="CUST-0180"/>
    <s v="PROD-002"/>
    <x v="22"/>
    <n v="1"/>
    <n v="2600"/>
    <n v="1"/>
    <n v="2574"/>
    <s v="Completed"/>
    <s v="Chennai"/>
    <x v="4"/>
    <x v="1"/>
    <x v="5"/>
  </r>
  <r>
    <s v="ORD-00412"/>
    <x v="50"/>
    <s v="CUST-0148"/>
    <s v="PROD-039"/>
    <x v="2"/>
    <n v="4"/>
    <n v="4610"/>
    <n v="18.7"/>
    <n v="14991.72"/>
    <s v="Completed"/>
    <s v="Chennai"/>
    <x v="3"/>
    <x v="1"/>
    <x v="7"/>
  </r>
  <r>
    <s v="ORD-00413"/>
    <x v="249"/>
    <s v="CUST-0026"/>
    <s v="PROD-013"/>
    <x v="26"/>
    <n v="3"/>
    <n v="3640"/>
    <n v="9.6999999999999993"/>
    <n v="9860.76"/>
    <s v="Cancelled"/>
    <s v="Pune"/>
    <x v="0"/>
    <x v="3"/>
    <x v="5"/>
  </r>
  <r>
    <s v="ORD-00414"/>
    <x v="120"/>
    <s v="CUST-0246"/>
    <s v="PROD-015"/>
    <x v="10"/>
    <n v="6"/>
    <n v="2720"/>
    <n v="13"/>
    <n v="14198.4"/>
    <s v="Pending"/>
    <s v="Delhi"/>
    <x v="0"/>
    <x v="0"/>
    <x v="6"/>
  </r>
  <r>
    <s v="ORD-00415"/>
    <x v="128"/>
    <s v="CUST-0125"/>
    <s v="PROD-059"/>
    <x v="4"/>
    <n v="5"/>
    <n v="3780"/>
    <n v="15.2"/>
    <n v="16027.2"/>
    <s v="Completed"/>
    <s v="Delhi"/>
    <x v="1"/>
    <x v="0"/>
    <x v="8"/>
  </r>
  <r>
    <s v="ORD-00416"/>
    <x v="192"/>
    <s v="CUST-0190"/>
    <s v="PROD-035"/>
    <x v="14"/>
    <n v="9"/>
    <n v="1090"/>
    <n v="28.5"/>
    <n v="7014.15"/>
    <s v="Completed"/>
    <s v="Hyderabad"/>
    <x v="3"/>
    <x v="2"/>
    <x v="5"/>
  </r>
  <r>
    <s v="ORD-00417"/>
    <x v="248"/>
    <s v="CUST-0085"/>
    <s v="PROD-035"/>
    <x v="8"/>
    <n v="6"/>
    <n v="1090"/>
    <n v="28.7"/>
    <n v="4663.0200000000004"/>
    <s v="Completed"/>
    <s v="Chennai"/>
    <x v="3"/>
    <x v="2"/>
    <x v="9"/>
  </r>
  <r>
    <s v="ORD-00418"/>
    <x v="250"/>
    <s v="CUST-0249"/>
    <s v="PROD-017"/>
    <x v="14"/>
    <n v="5"/>
    <n v="2510"/>
    <n v="25"/>
    <n v="9412.5"/>
    <s v="Completed"/>
    <s v="Mumbai"/>
    <x v="0"/>
    <x v="2"/>
    <x v="2"/>
  </r>
  <r>
    <s v="ORD-00419"/>
    <x v="251"/>
    <s v="CUST-0012"/>
    <s v="PROD-006"/>
    <x v="9"/>
    <n v="5"/>
    <n v="3970"/>
    <n v="26"/>
    <n v="14689"/>
    <s v="Completed"/>
    <s v="Pune"/>
    <x v="4"/>
    <x v="1"/>
    <x v="9"/>
  </r>
  <r>
    <s v="ORD-00420"/>
    <x v="144"/>
    <s v="CUST-0251"/>
    <s v="PROD-026"/>
    <x v="19"/>
    <n v="9"/>
    <n v="4070"/>
    <n v="15.7"/>
    <n v="30879.09"/>
    <s v="Completed"/>
    <s v="Mumbai"/>
    <x v="2"/>
    <x v="0"/>
    <x v="1"/>
  </r>
  <r>
    <s v="ORD-00421"/>
    <x v="196"/>
    <s v="CUST-0088"/>
    <s v="PROD-038"/>
    <x v="10"/>
    <n v="6"/>
    <n v="5490"/>
    <n v="8.5"/>
    <n v="30140.1"/>
    <s v="Refunded"/>
    <s v="Chennai"/>
    <x v="3"/>
    <x v="0"/>
    <x v="3"/>
  </r>
  <r>
    <s v="ORD-00422"/>
    <x v="70"/>
    <s v="CUST-0037"/>
    <s v="PROD-054"/>
    <x v="24"/>
    <n v="9"/>
    <n v="1010"/>
    <n v="3.6"/>
    <n v="8762.76"/>
    <s v="Completed"/>
    <s v="Bengaluru"/>
    <x v="1"/>
    <x v="3"/>
    <x v="4"/>
  </r>
  <r>
    <s v="ORD-00423"/>
    <x v="252"/>
    <s v="CUST-0039"/>
    <s v="PROD-028"/>
    <x v="4"/>
    <n v="6"/>
    <n v="3660"/>
    <n v="10.8"/>
    <n v="19588.32"/>
    <s v="Completed"/>
    <s v="Bengaluru"/>
    <x v="2"/>
    <x v="0"/>
    <x v="8"/>
  </r>
  <r>
    <s v="ORD-00424"/>
    <x v="111"/>
    <s v="CUST-0106"/>
    <s v="PROD-047"/>
    <x v="29"/>
    <n v="6"/>
    <n v="3450"/>
    <n v="10.7"/>
    <n v="18485.099999999999"/>
    <s v="Completed"/>
    <s v="Pune"/>
    <x v="5"/>
    <x v="1"/>
    <x v="7"/>
  </r>
  <r>
    <s v="ORD-00425"/>
    <x v="229"/>
    <s v="CUST-0222"/>
    <s v="PROD-026"/>
    <x v="23"/>
    <n v="10"/>
    <n v="4070"/>
    <n v="23.4"/>
    <n v="31176.2"/>
    <s v="Refunded"/>
    <s v="Chennai"/>
    <x v="2"/>
    <x v="1"/>
    <x v="2"/>
  </r>
  <r>
    <s v="ORD-00426"/>
    <x v="253"/>
    <s v="CUST-0130"/>
    <s v="PROD-003"/>
    <x v="5"/>
    <n v="9"/>
    <n v="3570"/>
    <n v="15.2"/>
    <n v="27246.240000000002"/>
    <s v="Completed"/>
    <s v="Bengaluru"/>
    <x v="4"/>
    <x v="2"/>
    <x v="6"/>
  </r>
  <r>
    <s v="ORD-00427"/>
    <x v="254"/>
    <s v="CUST-0281"/>
    <s v="PROD-056"/>
    <x v="1"/>
    <n v="10"/>
    <n v="6940"/>
    <n v="21.8"/>
    <n v="54270.8"/>
    <s v="Pending"/>
    <s v="Bengaluru"/>
    <x v="1"/>
    <x v="0"/>
    <x v="0"/>
  </r>
  <r>
    <s v="ORD-00428"/>
    <x v="135"/>
    <s v="CUST-0094"/>
    <s v="PROD-044"/>
    <x v="2"/>
    <n v="9"/>
    <n v="1650"/>
    <n v="24.3"/>
    <n v="11241.45"/>
    <s v="Completed"/>
    <s v="Pune"/>
    <x v="5"/>
    <x v="1"/>
    <x v="10"/>
  </r>
  <r>
    <s v="ORD-00429"/>
    <x v="207"/>
    <s v="CUST-0271"/>
    <s v="PROD-007"/>
    <x v="2"/>
    <n v="10"/>
    <n v="1430"/>
    <n v="25.2"/>
    <n v="10696.4"/>
    <s v="Completed"/>
    <s v="Bengaluru"/>
    <x v="4"/>
    <x v="1"/>
    <x v="4"/>
  </r>
  <r>
    <s v="ORD-00430"/>
    <x v="178"/>
    <s v="CUST-0110"/>
    <s v="PROD-025"/>
    <x v="9"/>
    <n v="4"/>
    <n v="4060"/>
    <n v="1.6"/>
    <n v="15980.16"/>
    <s v="Completed"/>
    <s v="Pune"/>
    <x v="2"/>
    <x v="1"/>
    <x v="10"/>
  </r>
  <r>
    <s v="ORD-00431"/>
    <x v="103"/>
    <s v="CUST-0262"/>
    <s v="PROD-032"/>
    <x v="1"/>
    <n v="9"/>
    <n v="370"/>
    <n v="17"/>
    <n v="2763.9"/>
    <s v="Completed"/>
    <s v="Mumbai"/>
    <x v="3"/>
    <x v="0"/>
    <x v="3"/>
  </r>
  <r>
    <s v="ORD-00432"/>
    <x v="94"/>
    <s v="CUST-0157"/>
    <s v="PROD-041"/>
    <x v="9"/>
    <n v="1"/>
    <n v="1540"/>
    <n v="24"/>
    <n v="1170.4000000000001"/>
    <s v="Cancelled"/>
    <s v="Pune"/>
    <x v="5"/>
    <x v="1"/>
    <x v="11"/>
  </r>
  <r>
    <s v="ORD-00433"/>
    <x v="143"/>
    <s v="CUST-0135"/>
    <s v="PROD-002"/>
    <x v="5"/>
    <n v="9"/>
    <n v="2600"/>
    <n v="7.7"/>
    <n v="21598.2"/>
    <s v="Completed"/>
    <s v="Pune"/>
    <x v="4"/>
    <x v="2"/>
    <x v="2"/>
  </r>
  <r>
    <s v="ORD-00434"/>
    <x v="255"/>
    <s v="CUST-0136"/>
    <s v="PROD-017"/>
    <x v="15"/>
    <n v="8"/>
    <n v="2510"/>
    <n v="3.7"/>
    <n v="19337.04"/>
    <s v="Completed"/>
    <s v="Chennai"/>
    <x v="0"/>
    <x v="1"/>
    <x v="10"/>
  </r>
  <r>
    <s v="ORD-00435"/>
    <x v="256"/>
    <s v="CUST-0110"/>
    <s v="PROD-001"/>
    <x v="11"/>
    <n v="6"/>
    <n v="5330"/>
    <n v="8.4"/>
    <n v="29293.68"/>
    <s v="Completed"/>
    <s v="Pune"/>
    <x v="4"/>
    <x v="0"/>
    <x v="7"/>
  </r>
  <r>
    <s v="ORD-00436"/>
    <x v="190"/>
    <s v="CUST-0192"/>
    <s v="PROD-034"/>
    <x v="2"/>
    <n v="5"/>
    <n v="5080"/>
    <n v="10.3"/>
    <n v="22783.8"/>
    <s v="Completed"/>
    <s v="Bengaluru"/>
    <x v="3"/>
    <x v="1"/>
    <x v="7"/>
  </r>
  <r>
    <s v="ORD-00437"/>
    <x v="257"/>
    <s v="CUST-0169"/>
    <s v="PROD-026"/>
    <x v="5"/>
    <n v="3"/>
    <n v="4070"/>
    <n v="23.7"/>
    <n v="9316.23"/>
    <s v="Completed"/>
    <s v="Bengaluru"/>
    <x v="2"/>
    <x v="2"/>
    <x v="2"/>
  </r>
  <r>
    <s v="ORD-00438"/>
    <x v="187"/>
    <s v="CUST-0086"/>
    <s v="PROD-016"/>
    <x v="22"/>
    <n v="4"/>
    <n v="620"/>
    <n v="18.8"/>
    <n v="2013.76"/>
    <s v="Completed"/>
    <s v="Hyderabad"/>
    <x v="0"/>
    <x v="1"/>
    <x v="7"/>
  </r>
  <r>
    <s v="ORD-00439"/>
    <x v="108"/>
    <s v="CUST-0217"/>
    <s v="PROD-010"/>
    <x v="21"/>
    <n v="10"/>
    <n v="2640"/>
    <n v="12.7"/>
    <n v="23047.200000000001"/>
    <s v="Completed"/>
    <s v="Pune"/>
    <x v="4"/>
    <x v="3"/>
    <x v="8"/>
  </r>
  <r>
    <s v="ORD-00440"/>
    <x v="179"/>
    <s v="CUST-0119"/>
    <s v="PROD-026"/>
    <x v="14"/>
    <n v="2"/>
    <n v="4070"/>
    <n v="29"/>
    <n v="5779.4"/>
    <s v="Completed"/>
    <s v="Bengaluru"/>
    <x v="2"/>
    <x v="2"/>
    <x v="1"/>
  </r>
  <r>
    <s v="ORD-00441"/>
    <x v="230"/>
    <s v="CUST-0011"/>
    <s v="PROD-054"/>
    <x v="0"/>
    <n v="8"/>
    <n v="1010"/>
    <n v="25.4"/>
    <n v="6027.68"/>
    <s v="Completed"/>
    <s v="Chennai"/>
    <x v="1"/>
    <x v="0"/>
    <x v="0"/>
  </r>
  <r>
    <s v="ORD-00442"/>
    <x v="98"/>
    <s v="CUST-0059"/>
    <s v="PROD-036"/>
    <x v="1"/>
    <n v="8"/>
    <n v="3250"/>
    <n v="5.4"/>
    <n v="24596"/>
    <s v="Completed"/>
    <s v="Pune"/>
    <x v="3"/>
    <x v="0"/>
    <x v="8"/>
  </r>
  <r>
    <s v="ORD-00443"/>
    <x v="151"/>
    <s v="CUST-0210"/>
    <s v="PROD-007"/>
    <x v="18"/>
    <n v="7"/>
    <n v="1430"/>
    <n v="19.3"/>
    <n v="8078.07"/>
    <s v="Completed"/>
    <s v="Pune"/>
    <x v="4"/>
    <x v="1"/>
    <x v="6"/>
  </r>
  <r>
    <s v="ORD-00444"/>
    <x v="100"/>
    <s v="CUST-0145"/>
    <s v="PROD-045"/>
    <x v="26"/>
    <n v="9"/>
    <n v="3020"/>
    <n v="15"/>
    <n v="23103"/>
    <s v="Completed"/>
    <s v="Bengaluru"/>
    <x v="5"/>
    <x v="3"/>
    <x v="4"/>
  </r>
  <r>
    <s v="ORD-00445"/>
    <x v="258"/>
    <s v="CUST-9626"/>
    <s v="PROD-008"/>
    <x v="25"/>
    <n v="2"/>
    <n v="2660"/>
    <n v="21.4"/>
    <n v="4181.5200000000004"/>
    <s v="Completed"/>
    <s v="Chennai"/>
    <x v="4"/>
    <x v="0"/>
    <x v="1"/>
  </r>
  <r>
    <s v="ORD-00446"/>
    <x v="156"/>
    <s v="CUST-0250"/>
    <s v="PROD-003"/>
    <x v="7"/>
    <n v="10"/>
    <n v="3570"/>
    <n v="20.3"/>
    <n v="28452.9"/>
    <s v="Completed"/>
    <s v="Delhi"/>
    <x v="4"/>
    <x v="3"/>
    <x v="10"/>
  </r>
  <r>
    <s v="ORD-00447"/>
    <x v="259"/>
    <s v="CUST-0241"/>
    <s v="PROD-043"/>
    <x v="9"/>
    <n v="4"/>
    <n v="3350"/>
    <n v="28.1"/>
    <n v="9634.6"/>
    <s v="Completed"/>
    <s v="Pune"/>
    <x v="5"/>
    <x v="1"/>
    <x v="1"/>
  </r>
  <r>
    <s v="ORD-00448"/>
    <x v="260"/>
    <s v="CUST-0071"/>
    <s v="PROD-019"/>
    <x v="13"/>
    <n v="1"/>
    <n v="2480"/>
    <n v="13.5"/>
    <n v="2145.1999999999998"/>
    <s v="Completed"/>
    <s v="Delhi"/>
    <x v="0"/>
    <x v="3"/>
    <x v="1"/>
  </r>
  <r>
    <s v="ORD-00449"/>
    <x v="51"/>
    <s v="CUST-0017"/>
    <s v="PROD-052"/>
    <x v="15"/>
    <n v="10"/>
    <n v="5410"/>
    <n v="26.1"/>
    <n v="39979.9"/>
    <s v="Completed"/>
    <s v="Delhi"/>
    <x v="1"/>
    <x v="1"/>
    <x v="8"/>
  </r>
  <r>
    <s v="ORD-00450"/>
    <x v="261"/>
    <s v="CUST-0007"/>
    <s v="PROD-037"/>
    <x v="12"/>
    <n v="2"/>
    <n v="660"/>
    <n v="5"/>
    <n v="1254"/>
    <s v="Completed"/>
    <s v="Bengaluru"/>
    <x v="3"/>
    <x v="3"/>
    <x v="9"/>
  </r>
  <r>
    <s v="ORD-00451"/>
    <x v="262"/>
    <s v="CUST-0054"/>
    <s v="PROD-054"/>
    <x v="0"/>
    <n v="10"/>
    <n v="1010"/>
    <n v="10"/>
    <n v="9090"/>
    <s v="Completed"/>
    <s v="Mumbai"/>
    <x v="1"/>
    <x v="0"/>
    <x v="8"/>
  </r>
  <r>
    <s v="ORD-00452"/>
    <x v="263"/>
    <s v="CUST-0038"/>
    <s v="PROD-042"/>
    <x v="19"/>
    <n v="3"/>
    <n v="2290"/>
    <n v="8.9"/>
    <n v="6258.57"/>
    <s v="Completed"/>
    <s v="Mumbai"/>
    <x v="5"/>
    <x v="0"/>
    <x v="10"/>
  </r>
  <r>
    <s v="ORD-00453"/>
    <x v="264"/>
    <s v="CUST-0066"/>
    <s v="PROD-047"/>
    <x v="19"/>
    <n v="9"/>
    <n v="3450"/>
    <n v="24.3"/>
    <n v="23504.85"/>
    <s v="Completed"/>
    <s v="Delhi"/>
    <x v="5"/>
    <x v="0"/>
    <x v="2"/>
  </r>
  <r>
    <s v="ORD-00454"/>
    <x v="44"/>
    <s v="CUST-0161"/>
    <s v="PROD-013"/>
    <x v="11"/>
    <n v="10"/>
    <n v="3640"/>
    <n v="21.4"/>
    <n v="28610.400000000001"/>
    <s v="Cancelled"/>
    <s v="Chennai"/>
    <x v="0"/>
    <x v="0"/>
    <x v="5"/>
  </r>
  <r>
    <s v="ORD-00455"/>
    <x v="260"/>
    <s v="CUST-0072"/>
    <s v="PROD-023"/>
    <x v="15"/>
    <n v="5"/>
    <n v="2380"/>
    <n v="12.2"/>
    <n v="10448.200000000001"/>
    <s v="Completed"/>
    <s v="Mumbai"/>
    <x v="2"/>
    <x v="1"/>
    <x v="1"/>
  </r>
  <r>
    <s v="ORD-00456"/>
    <x v="265"/>
    <s v="CUST-0232"/>
    <s v="PROD-052"/>
    <x v="21"/>
    <n v="10"/>
    <n v="5410"/>
    <n v="29.8"/>
    <n v="37978.199999999997"/>
    <s v="Completed"/>
    <s v="Hyderabad"/>
    <x v="1"/>
    <x v="3"/>
    <x v="7"/>
  </r>
  <r>
    <s v="ORD-00457"/>
    <x v="67"/>
    <s v="CUST-0054"/>
    <s v="PROD-044"/>
    <x v="13"/>
    <n v="3"/>
    <n v="1650"/>
    <n v="9.4"/>
    <n v="4484.7"/>
    <s v="Cancelled"/>
    <s v="Mumbai"/>
    <x v="5"/>
    <x v="3"/>
    <x v="2"/>
  </r>
  <r>
    <s v="ORD-00458"/>
    <x v="266"/>
    <s v="CUST-0214"/>
    <s v="PROD-002"/>
    <x v="24"/>
    <n v="7"/>
    <n v="2600"/>
    <n v="19.899999999999999"/>
    <n v="14578.2"/>
    <s v="Pending"/>
    <s v="Mumbai"/>
    <x v="4"/>
    <x v="3"/>
    <x v="5"/>
  </r>
  <r>
    <s v="ORD-00135"/>
    <x v="267"/>
    <s v="CUST-0236"/>
    <s v="PROD-039"/>
    <x v="25"/>
    <n v="4"/>
    <n v="4610"/>
    <n v="13.2"/>
    <n v="16005.92"/>
    <s v="Completed"/>
    <s v="Hyderabad"/>
    <x v="3"/>
    <x v="0"/>
    <x v="10"/>
  </r>
  <r>
    <s v="ORD-00460"/>
    <x v="268"/>
    <s v="CUST-0031"/>
    <s v="PROD-039"/>
    <x v="13"/>
    <n v="9"/>
    <n v="4610"/>
    <n v="25.8"/>
    <n v="30785.58"/>
    <s v="Completed"/>
    <s v="Hyderabad"/>
    <x v="3"/>
    <x v="3"/>
    <x v="2"/>
  </r>
  <r>
    <s v="ORD-00461"/>
    <x v="269"/>
    <s v="CUST-0123"/>
    <s v="PROD-005"/>
    <x v="2"/>
    <n v="5"/>
    <n v="300"/>
    <n v="11.8"/>
    <n v="1323"/>
    <s v="Completed"/>
    <s v="Chennai"/>
    <x v="4"/>
    <x v="1"/>
    <x v="0"/>
  </r>
  <r>
    <s v="ORD-00462"/>
    <x v="270"/>
    <s v="CUST-0019"/>
    <s v="PROD-011"/>
    <x v="16"/>
    <n v="3"/>
    <n v="3450"/>
    <n v="14.2"/>
    <n v="8880.2999999999993"/>
    <s v="Completed"/>
    <s v="Chennai"/>
    <x v="0"/>
    <x v="3"/>
    <x v="10"/>
  </r>
  <r>
    <s v="ORD-00463"/>
    <x v="271"/>
    <s v="CUST-0171"/>
    <s v="PROD-015"/>
    <x v="8"/>
    <n v="2"/>
    <n v="2720"/>
    <n v="14.6"/>
    <n v="4645.76"/>
    <s v="Cancelled"/>
    <s v="Chennai"/>
    <x v="0"/>
    <x v="2"/>
    <x v="7"/>
  </r>
  <r>
    <s v="ORD-00464"/>
    <x v="17"/>
    <s v="CUST-0166"/>
    <s v="PROD-008"/>
    <x v="21"/>
    <n v="7"/>
    <n v="2660"/>
    <n v="27.4"/>
    <n v="13518.12"/>
    <s v="Cancelled"/>
    <s v="Hyderabad"/>
    <x v="4"/>
    <x v="3"/>
    <x v="4"/>
  </r>
  <r>
    <s v="ORD-00465"/>
    <x v="272"/>
    <s v="CUST-0151"/>
    <s v="PROD-051"/>
    <x v="1"/>
    <n v="8"/>
    <n v="3450"/>
    <n v="20.399999999999999"/>
    <n v="21969.599999999999"/>
    <s v="Completed"/>
    <s v="Mumbai"/>
    <x v="1"/>
    <x v="0"/>
    <x v="11"/>
  </r>
  <r>
    <s v="ORD-00466"/>
    <x v="273"/>
    <s v="CUST-0027"/>
    <s v="PROD-052"/>
    <x v="29"/>
    <n v="2"/>
    <n v="5410"/>
    <n v="7.2"/>
    <n v="10040.959999999999"/>
    <s v="Completed"/>
    <s v="Hyderabad"/>
    <x v="1"/>
    <x v="1"/>
    <x v="3"/>
  </r>
  <r>
    <s v="ORD-00467"/>
    <x v="162"/>
    <s v="CUST-0171"/>
    <s v="PROD-004"/>
    <x v="22"/>
    <n v="3"/>
    <n v="3870"/>
    <n v="4.2"/>
    <n v="11122.38"/>
    <s v="Completed"/>
    <s v="Chennai"/>
    <x v="4"/>
    <x v="1"/>
    <x v="11"/>
  </r>
  <r>
    <s v="ORD-00468"/>
    <x v="60"/>
    <s v="CUST-0094"/>
    <s v="PROD-024"/>
    <x v="1"/>
    <n v="10"/>
    <n v="2270"/>
    <n v="17.3"/>
    <n v="18772.900000000001"/>
    <s v="Completed"/>
    <s v="Pune"/>
    <x v="2"/>
    <x v="0"/>
    <x v="1"/>
  </r>
  <r>
    <s v="ORD-00469"/>
    <x v="18"/>
    <s v="CUST-0223"/>
    <s v="PROD-001"/>
    <x v="5"/>
    <n v="1"/>
    <n v="5330"/>
    <n v="24.2"/>
    <n v="4040.14"/>
    <s v="Completed"/>
    <s v="Bengaluru"/>
    <x v="4"/>
    <x v="2"/>
    <x v="5"/>
  </r>
  <r>
    <s v="ORD-00470"/>
    <x v="85"/>
    <s v="CUST-0281"/>
    <s v="PROD-043"/>
    <x v="15"/>
    <n v="2"/>
    <n v="3350"/>
    <n v="23.4"/>
    <n v="5132.2"/>
    <s v="Completed"/>
    <s v="Bengaluru"/>
    <x v="5"/>
    <x v="1"/>
    <x v="3"/>
  </r>
  <r>
    <s v="ORD-00471"/>
    <x v="274"/>
    <s v="CUST-0148"/>
    <s v="PROD-045"/>
    <x v="3"/>
    <n v="7"/>
    <n v="3020"/>
    <n v="23.7"/>
    <n v="16129.82"/>
    <s v="Completed"/>
    <s v="Chennai"/>
    <x v="5"/>
    <x v="0"/>
    <x v="5"/>
  </r>
  <r>
    <s v="ORD-00472"/>
    <x v="275"/>
    <s v="CUST-0010"/>
    <s v="PROD-012"/>
    <x v="16"/>
    <n v="7"/>
    <n v="3160"/>
    <n v="22.8"/>
    <n v="17076.64"/>
    <s v="Completed"/>
    <s v="Mumbai"/>
    <x v="0"/>
    <x v="3"/>
    <x v="7"/>
  </r>
  <r>
    <s v="ORD-00473"/>
    <x v="110"/>
    <s v="CUST-0254"/>
    <s v="PROD-053"/>
    <x v="16"/>
    <n v="2"/>
    <n v="470"/>
    <n v="28.8"/>
    <n v="669.28"/>
    <s v="Cancelled"/>
    <s v="Bengaluru"/>
    <x v="1"/>
    <x v="3"/>
    <x v="0"/>
  </r>
  <r>
    <s v="ORD-00474"/>
    <x v="253"/>
    <s v="CUST-0126"/>
    <s v="PROD-036"/>
    <x v="13"/>
    <n v="2"/>
    <n v="3250"/>
    <n v="24.7"/>
    <n v="4894.5"/>
    <s v="Completed"/>
    <s v="Mumbai"/>
    <x v="3"/>
    <x v="3"/>
    <x v="6"/>
  </r>
  <r>
    <s v="ORD-00475"/>
    <x v="252"/>
    <s v="CUST-0018"/>
    <s v="PROD-054"/>
    <x v="12"/>
    <n v="2"/>
    <n v="1010"/>
    <n v="5.2"/>
    <n v="1914.96"/>
    <s v="Cancelled"/>
    <s v="Pune"/>
    <x v="1"/>
    <x v="3"/>
    <x v="8"/>
  </r>
  <r>
    <s v="ORD-00476"/>
    <x v="276"/>
    <s v="CUST-0089"/>
    <s v="PROD-005"/>
    <x v="19"/>
    <n v="9"/>
    <n v="300"/>
    <n v="7.9"/>
    <n v="2486.6999999999998"/>
    <s v="Completed"/>
    <s v="Mumbai"/>
    <x v="4"/>
    <x v="0"/>
    <x v="9"/>
  </r>
  <r>
    <s v="ORD-00477"/>
    <x v="277"/>
    <s v="CUST-0157"/>
    <s v="PROD-048"/>
    <x v="3"/>
    <n v="10"/>
    <n v="5100"/>
    <n v="26.3"/>
    <n v="37587"/>
    <s v="Pending"/>
    <s v="Pune"/>
    <x v="5"/>
    <x v="0"/>
    <x v="6"/>
  </r>
  <r>
    <s v="ORD-00478"/>
    <x v="278"/>
    <s v="CUST-0201"/>
    <s v="PROD-043"/>
    <x v="8"/>
    <n v="1"/>
    <n v="3350"/>
    <n v="8.5"/>
    <n v="3065.25"/>
    <s v="Cancelled"/>
    <s v="Hyderabad"/>
    <x v="5"/>
    <x v="2"/>
    <x v="0"/>
  </r>
  <r>
    <s v="ORD-01195"/>
    <x v="211"/>
    <s v="CUST-0091"/>
    <s v="PROD-036"/>
    <x v="24"/>
    <n v="2"/>
    <n v="3250"/>
    <n v="25.7"/>
    <n v="4829.5"/>
    <s v="Refunded"/>
    <s v="Delhi"/>
    <x v="3"/>
    <x v="3"/>
    <x v="0"/>
  </r>
  <r>
    <s v="ORD-00480"/>
    <x v="279"/>
    <s v="CUST-0052"/>
    <s v="PROD-028"/>
    <x v="4"/>
    <n v="10"/>
    <n v="3660"/>
    <n v="12"/>
    <n v="32208"/>
    <s v="Completed"/>
    <s v="Pune"/>
    <x v="2"/>
    <x v="0"/>
    <x v="2"/>
  </r>
  <r>
    <s v="ORD-00481"/>
    <x v="126"/>
    <s v="CUST-0069"/>
    <s v="PROD-058"/>
    <x v="18"/>
    <n v="1"/>
    <n v="2400"/>
    <n v="24.5"/>
    <n v="1812"/>
    <s v="Completed"/>
    <s v="Chennai"/>
    <x v="1"/>
    <x v="1"/>
    <x v="7"/>
  </r>
  <r>
    <s v="ORD-00482"/>
    <x v="263"/>
    <s v="CUST-0294"/>
    <s v="PROD-035"/>
    <x v="9"/>
    <n v="1"/>
    <n v="1090"/>
    <n v="18.399999999999999"/>
    <n v="889.44"/>
    <s v="Completed"/>
    <s v="Delhi"/>
    <x v="3"/>
    <x v="1"/>
    <x v="10"/>
  </r>
  <r>
    <s v="ORD-00483"/>
    <x v="280"/>
    <s v="CUST-0019"/>
    <s v="PROD-059"/>
    <x v="15"/>
    <n v="6"/>
    <n v="3780"/>
    <n v="15.9"/>
    <n v="19073.88"/>
    <s v="Completed"/>
    <s v="Chennai"/>
    <x v="1"/>
    <x v="1"/>
    <x v="5"/>
  </r>
  <r>
    <s v="ORD-00484"/>
    <x v="259"/>
    <s v="CUST-0087"/>
    <s v="PROD-043"/>
    <x v="7"/>
    <n v="3"/>
    <n v="3350"/>
    <n v="18.8"/>
    <n v="8160.6"/>
    <s v="Refunded"/>
    <s v="Pune"/>
    <x v="5"/>
    <x v="3"/>
    <x v="1"/>
  </r>
  <r>
    <s v="ORD-00485"/>
    <x v="46"/>
    <s v="CUST-0281"/>
    <s v="PROD-040"/>
    <x v="14"/>
    <n v="3"/>
    <n v="1080"/>
    <n v="3.4"/>
    <n v="3129.84"/>
    <s v="Completed"/>
    <s v="Bengaluru"/>
    <x v="3"/>
    <x v="2"/>
    <x v="1"/>
  </r>
  <r>
    <s v="ORD-00486"/>
    <x v="281"/>
    <s v="CUST-0248"/>
    <s v="PROD-026"/>
    <x v="24"/>
    <n v="6"/>
    <n v="4070"/>
    <n v="27.7"/>
    <n v="17655.66"/>
    <s v="Pending"/>
    <s v="Chennai"/>
    <x v="2"/>
    <x v="3"/>
    <x v="7"/>
  </r>
  <r>
    <s v="ORD-00487"/>
    <x v="282"/>
    <s v="CUST-0019"/>
    <s v="PROD-041"/>
    <x v="17"/>
    <n v="5"/>
    <n v="1540"/>
    <n v="24.9"/>
    <n v="5782.7"/>
    <s v="Completed"/>
    <s v="Chennai"/>
    <x v="5"/>
    <x v="2"/>
    <x v="7"/>
  </r>
  <r>
    <s v="ORD-00488"/>
    <x v="255"/>
    <s v="CUST-0092"/>
    <s v="PROD-021"/>
    <x v="8"/>
    <n v="6"/>
    <n v="2760"/>
    <n v="29.9"/>
    <n v="11608.56"/>
    <s v="Completed"/>
    <s v="Bengaluru"/>
    <x v="2"/>
    <x v="2"/>
    <x v="10"/>
  </r>
  <r>
    <s v="ORD-00489"/>
    <x v="167"/>
    <s v="CUST-0195"/>
    <s v="PROD-006"/>
    <x v="24"/>
    <n v="8"/>
    <n v="3970"/>
    <n v="23.7"/>
    <n v="24232.880000000001"/>
    <s v="Completed"/>
    <s v="Bengaluru"/>
    <x v="4"/>
    <x v="3"/>
    <x v="8"/>
  </r>
  <r>
    <s v="ORD-00490"/>
    <x v="254"/>
    <s v="CUST-0126"/>
    <s v="PROD-011"/>
    <x v="13"/>
    <n v="1"/>
    <n v="3450"/>
    <n v="7.4"/>
    <n v="3194.7"/>
    <s v="Completed"/>
    <s v="Mumbai"/>
    <x v="0"/>
    <x v="3"/>
    <x v="0"/>
  </r>
  <r>
    <s v="ORD-00491"/>
    <x v="231"/>
    <s v="CUST-0274"/>
    <s v="PROD-018"/>
    <x v="1"/>
    <n v="3"/>
    <n v="3560"/>
    <n v="15.2"/>
    <n v="9056.64"/>
    <s v="Completed"/>
    <s v="Bengaluru"/>
    <x v="0"/>
    <x v="0"/>
    <x v="11"/>
  </r>
  <r>
    <s v="ORD-00492"/>
    <x v="49"/>
    <s v="CUST-0059"/>
    <s v="PROD-003"/>
    <x v="14"/>
    <n v="4"/>
    <n v="3570"/>
    <n v="18.899999999999999"/>
    <n v="11581.08"/>
    <s v="Completed"/>
    <s v="Pune"/>
    <x v="4"/>
    <x v="2"/>
    <x v="3"/>
  </r>
  <r>
    <s v="ORD-00493"/>
    <x v="22"/>
    <s v="CUST-0264"/>
    <s v="PROD-057"/>
    <x v="5"/>
    <n v="9"/>
    <n v="960"/>
    <n v="14"/>
    <n v="7430.4"/>
    <s v="Refunded"/>
    <s v="Pune"/>
    <x v="1"/>
    <x v="2"/>
    <x v="6"/>
  </r>
  <r>
    <s v="ORD-00494"/>
    <x v="5"/>
    <s v="CUST-0157"/>
    <s v="PROD-047"/>
    <x v="29"/>
    <n v="9"/>
    <n v="3450"/>
    <n v="6"/>
    <n v="29187"/>
    <s v="Cancelled"/>
    <s v="Pune"/>
    <x v="5"/>
    <x v="1"/>
    <x v="5"/>
  </r>
  <r>
    <s v="ORD-00495"/>
    <x v="136"/>
    <s v="CUST-0028"/>
    <s v="PROD-043"/>
    <x v="27"/>
    <n v="7"/>
    <n v="3350"/>
    <n v="14"/>
    <n v="20167"/>
    <s v="Cancelled"/>
    <s v="Bengaluru"/>
    <x v="5"/>
    <x v="1"/>
    <x v="6"/>
  </r>
  <r>
    <s v="ORD-00496"/>
    <x v="129"/>
    <s v="CUST-0033"/>
    <s v="PROD-049"/>
    <x v="10"/>
    <n v="6"/>
    <n v="960"/>
    <n v="10.1"/>
    <n v="5178.24"/>
    <s v="Completed"/>
    <s v="Delhi"/>
    <x v="5"/>
    <x v="0"/>
    <x v="11"/>
  </r>
  <r>
    <s v="ORD-00497"/>
    <x v="186"/>
    <s v="CUST-0280"/>
    <s v="PROD-005"/>
    <x v="29"/>
    <n v="7"/>
    <n v="300"/>
    <n v="21.9"/>
    <n v="1640.1"/>
    <s v="Completed"/>
    <s v="Delhi"/>
    <x v="4"/>
    <x v="1"/>
    <x v="1"/>
  </r>
  <r>
    <s v="ORD-00498"/>
    <x v="44"/>
    <s v="CUST-0232"/>
    <s v="PROD-023"/>
    <x v="7"/>
    <n v="2"/>
    <n v="2380"/>
    <n v="6.8"/>
    <n v="4436.32"/>
    <s v="Completed"/>
    <s v="Hyderabad"/>
    <x v="2"/>
    <x v="3"/>
    <x v="5"/>
  </r>
  <r>
    <s v="ORD-00499"/>
    <x v="129"/>
    <s v="CUST-0270"/>
    <s v="PROD-057"/>
    <x v="6"/>
    <n v="5"/>
    <n v="960"/>
    <n v="15"/>
    <n v="4080"/>
    <s v="Cancelled"/>
    <s v="Bengaluru"/>
    <x v="1"/>
    <x v="2"/>
    <x v="11"/>
  </r>
  <r>
    <s v="ORD-00500"/>
    <x v="251"/>
    <s v="CUST-0203"/>
    <s v="PROD-059"/>
    <x v="27"/>
    <n v="10"/>
    <n v="3780"/>
    <n v="24.1"/>
    <n v="28690.2"/>
    <s v="Refunded"/>
    <s v="Chennai"/>
    <x v="1"/>
    <x v="1"/>
    <x v="9"/>
  </r>
  <r>
    <s v="ORD-00501"/>
    <x v="36"/>
    <s v="CUST-0069"/>
    <s v="PROD-041"/>
    <x v="16"/>
    <n v="4"/>
    <n v="1540"/>
    <n v="14.2"/>
    <n v="5285.28"/>
    <s v="Cancelled"/>
    <s v="Chennai"/>
    <x v="5"/>
    <x v="3"/>
    <x v="2"/>
  </r>
  <r>
    <s v="ORD-00502"/>
    <x v="113"/>
    <s v="CUST-0037"/>
    <s v="PROD-017"/>
    <x v="1"/>
    <n v="10"/>
    <n v="2510"/>
    <n v="20.8"/>
    <n v="19879.2"/>
    <s v="Completed"/>
    <s v="Bengaluru"/>
    <x v="0"/>
    <x v="0"/>
    <x v="6"/>
  </r>
  <r>
    <s v="ORD-00503"/>
    <x v="163"/>
    <s v="CUST-0149"/>
    <s v="PROD-025"/>
    <x v="2"/>
    <n v="9"/>
    <n v="4060"/>
    <n v="27.1"/>
    <n v="26637.66"/>
    <s v="Completed"/>
    <s v="Hyderabad"/>
    <x v="2"/>
    <x v="1"/>
    <x v="2"/>
  </r>
  <r>
    <s v="ORD-00504"/>
    <x v="198"/>
    <s v="CUST-0131"/>
    <s v="PROD-058"/>
    <x v="5"/>
    <n v="4"/>
    <n v="2400"/>
    <n v="19.100000000000001"/>
    <n v="7766.4"/>
    <s v="Completed"/>
    <s v="Delhi"/>
    <x v="1"/>
    <x v="2"/>
    <x v="8"/>
  </r>
  <r>
    <s v="ORD-00505"/>
    <x v="283"/>
    <s v="CUST-0071"/>
    <s v="PROD-046"/>
    <x v="24"/>
    <n v="8"/>
    <n v="4880"/>
    <n v="9.1999999999999993"/>
    <n v="35448.32"/>
    <s v="Cancelled"/>
    <s v="Delhi"/>
    <x v="5"/>
    <x v="3"/>
    <x v="7"/>
  </r>
  <r>
    <s v="ORD-00506"/>
    <x v="261"/>
    <s v="CUST-0249"/>
    <s v="PROD-048"/>
    <x v="7"/>
    <n v="9"/>
    <n v="5100"/>
    <n v="11.1"/>
    <n v="40805.1"/>
    <s v="Cancelled"/>
    <s v="Mumbai"/>
    <x v="5"/>
    <x v="3"/>
    <x v="9"/>
  </r>
  <r>
    <s v="ORD-00507"/>
    <x v="161"/>
    <s v="CUST-0181"/>
    <s v="PROD-005"/>
    <x v="8"/>
    <n v="4"/>
    <n v="300"/>
    <n v="16.7"/>
    <n v="999.6"/>
    <s v="Completed"/>
    <s v="Delhi"/>
    <x v="4"/>
    <x v="2"/>
    <x v="8"/>
  </r>
  <r>
    <s v="ORD-00508"/>
    <x v="68"/>
    <s v="CUST-0085"/>
    <s v="PROD-019"/>
    <x v="2"/>
    <n v="6"/>
    <n v="2480"/>
    <n v="3.3"/>
    <n v="14388.96"/>
    <s v="Completed"/>
    <s v="Chennai"/>
    <x v="0"/>
    <x v="1"/>
    <x v="3"/>
  </r>
  <r>
    <s v="ORD-00509"/>
    <x v="28"/>
    <s v="CUST-0180"/>
    <s v="PROD-044"/>
    <x v="12"/>
    <n v="10"/>
    <n v="1650"/>
    <n v="22.9"/>
    <n v="12721.5"/>
    <s v="Refunded"/>
    <s v="Chennai"/>
    <x v="5"/>
    <x v="3"/>
    <x v="9"/>
  </r>
  <r>
    <s v="ORD-00510"/>
    <x v="158"/>
    <s v="CUST-0103"/>
    <s v="PROD-029"/>
    <x v="27"/>
    <n v="3"/>
    <n v="2210"/>
    <n v="11.1"/>
    <n v="5894.07"/>
    <s v="Completed"/>
    <s v="Hyderabad"/>
    <x v="2"/>
    <x v="1"/>
    <x v="11"/>
  </r>
  <r>
    <s v="ORD-00511"/>
    <x v="5"/>
    <s v="CUST-0174"/>
    <s v="PROD-019"/>
    <x v="1"/>
    <n v="10"/>
    <n v="2480"/>
    <n v="13"/>
    <n v="21576"/>
    <s v="Pending"/>
    <s v="Pune"/>
    <x v="0"/>
    <x v="0"/>
    <x v="5"/>
  </r>
  <r>
    <s v="ORD-00512"/>
    <x v="98"/>
    <s v="CUST-0071"/>
    <s v="PROD-001"/>
    <x v="12"/>
    <n v="10"/>
    <n v="5330"/>
    <n v="0.7"/>
    <n v="52926.9"/>
    <s v="Completed"/>
    <s v="Delhi"/>
    <x v="4"/>
    <x v="3"/>
    <x v="8"/>
  </r>
  <r>
    <s v="ORD-00513"/>
    <x v="109"/>
    <s v="CUST-0266"/>
    <s v="PROD-026"/>
    <x v="27"/>
    <n v="9"/>
    <n v="4070"/>
    <n v="15.6"/>
    <n v="30915.72"/>
    <s v="Completed"/>
    <s v="Pune"/>
    <x v="2"/>
    <x v="1"/>
    <x v="4"/>
  </r>
  <r>
    <s v="ORD-00514"/>
    <x v="284"/>
    <s v="CUST-0148"/>
    <s v="PROD-015"/>
    <x v="19"/>
    <n v="5"/>
    <n v="2720"/>
    <n v="10.3"/>
    <n v="12199.2"/>
    <s v="Cancelled"/>
    <s v="Chennai"/>
    <x v="0"/>
    <x v="0"/>
    <x v="4"/>
  </r>
  <r>
    <s v="ORD-00515"/>
    <x v="285"/>
    <s v="CUST-0030"/>
    <s v="PROD-055"/>
    <x v="20"/>
    <n v="6"/>
    <n v="2860"/>
    <n v="28.9"/>
    <n v="12200.76"/>
    <s v="Completed"/>
    <s v="Bengaluru"/>
    <x v="1"/>
    <x v="2"/>
    <x v="10"/>
  </r>
  <r>
    <s v="ORD-00516"/>
    <x v="165"/>
    <s v="CUST-0128"/>
    <s v="PROD-014"/>
    <x v="27"/>
    <n v="5"/>
    <n v="3620"/>
    <n v="18.2"/>
    <n v="14805.8"/>
    <s v="Completed"/>
    <s v="Hyderabad"/>
    <x v="0"/>
    <x v="1"/>
    <x v="8"/>
  </r>
  <r>
    <s v="ORD-00517"/>
    <x v="39"/>
    <s v="CUST-0056"/>
    <s v="PROD-044"/>
    <x v="26"/>
    <n v="3"/>
    <n v="1650"/>
    <n v="10.7"/>
    <n v="4420.3500000000004"/>
    <s v="Completed"/>
    <s v="Bengaluru"/>
    <x v="5"/>
    <x v="3"/>
    <x v="3"/>
  </r>
  <r>
    <s v="ORD-00518"/>
    <x v="185"/>
    <s v="CUST-0178"/>
    <s v="PROD-060"/>
    <x v="20"/>
    <n v="8"/>
    <n v="190"/>
    <n v="18"/>
    <n v="1246.4000000000001"/>
    <s v="Pending"/>
    <s v="Hyderabad"/>
    <x v="1"/>
    <x v="2"/>
    <x v="10"/>
  </r>
  <r>
    <s v="ORD-00519"/>
    <x v="68"/>
    <s v="CUST-0237"/>
    <s v="PROD-042"/>
    <x v="20"/>
    <n v="7"/>
    <n v="2290"/>
    <n v="12.5"/>
    <n v="14026.25"/>
    <s v="Completed"/>
    <s v="Mumbai"/>
    <x v="5"/>
    <x v="2"/>
    <x v="3"/>
  </r>
  <r>
    <s v="ORD-00520"/>
    <x v="198"/>
    <s v="CUST-0143"/>
    <s v="PROD-001"/>
    <x v="21"/>
    <n v="2"/>
    <n v="5330"/>
    <n v="26.5"/>
    <n v="7835.1"/>
    <s v="Completed"/>
    <s v="Chennai"/>
    <x v="4"/>
    <x v="3"/>
    <x v="8"/>
  </r>
  <r>
    <s v="ORD-00521"/>
    <x v="233"/>
    <s v="CUST-0233"/>
    <s v="PROD-001"/>
    <x v="15"/>
    <n v="4"/>
    <n v="5330"/>
    <n v="25.6"/>
    <n v="15862.08"/>
    <s v="Completed"/>
    <s v="Mumbai"/>
    <x v="4"/>
    <x v="1"/>
    <x v="10"/>
  </r>
  <r>
    <s v="ORD-00522"/>
    <x v="286"/>
    <s v="CUST-0161"/>
    <s v="PROD-034"/>
    <x v="3"/>
    <n v="4"/>
    <n v="5080"/>
    <n v="28.6"/>
    <n v="14508.48"/>
    <s v="Completed"/>
    <s v="Chennai"/>
    <x v="3"/>
    <x v="0"/>
    <x v="9"/>
  </r>
  <r>
    <s v="ORD-00523"/>
    <x v="40"/>
    <s v="CUST-0087"/>
    <s v="PROD-032"/>
    <x v="25"/>
    <n v="4"/>
    <n v="370"/>
    <n v="12.6"/>
    <n v="1293.52"/>
    <s v="Pending"/>
    <s v="Pune"/>
    <x v="3"/>
    <x v="0"/>
    <x v="5"/>
  </r>
  <r>
    <s v="ORD-00524"/>
    <x v="230"/>
    <s v="CUST-0235"/>
    <s v="PROD-053"/>
    <x v="22"/>
    <n v="9"/>
    <n v="470"/>
    <n v="3.6"/>
    <n v="4077.72"/>
    <s v="Completed"/>
    <s v="Chennai"/>
    <x v="1"/>
    <x v="1"/>
    <x v="0"/>
  </r>
  <r>
    <s v="ORD-00525"/>
    <x v="287"/>
    <s v="CUST-0183"/>
    <s v="PROD-052"/>
    <x v="28"/>
    <n v="4"/>
    <n v="5410"/>
    <n v="11.3"/>
    <n v="19194.68"/>
    <s v="Refunded"/>
    <s v="Mumbai"/>
    <x v="1"/>
    <x v="2"/>
    <x v="8"/>
  </r>
  <r>
    <s v="ORD-00526"/>
    <x v="288"/>
    <s v="CUST-0199"/>
    <s v="PROD-014"/>
    <x v="0"/>
    <n v="10"/>
    <n v="3620"/>
    <n v="2.5"/>
    <n v="35295"/>
    <s v="Completed"/>
    <s v="Hyderabad"/>
    <x v="0"/>
    <x v="0"/>
    <x v="11"/>
  </r>
  <r>
    <s v="ORD-00527"/>
    <x v="82"/>
    <s v="CUST-0034"/>
    <s v="PROD-021"/>
    <x v="14"/>
    <n v="1"/>
    <n v="2760"/>
    <n v="22.2"/>
    <n v="2147.2800000000002"/>
    <s v="Completed"/>
    <s v="Delhi"/>
    <x v="2"/>
    <x v="2"/>
    <x v="2"/>
  </r>
  <r>
    <s v="ORD-00528"/>
    <x v="0"/>
    <s v="CUST-0206"/>
    <s v="PROD-047"/>
    <x v="19"/>
    <n v="7"/>
    <n v="3450"/>
    <n v="8.6"/>
    <n v="22073.1"/>
    <s v="Completed"/>
    <s v="Mumbai"/>
    <x v="5"/>
    <x v="0"/>
    <x v="0"/>
  </r>
  <r>
    <s v="ORD-00529"/>
    <x v="196"/>
    <s v="CUST-0246"/>
    <s v="PROD-028"/>
    <x v="8"/>
    <n v="6"/>
    <n v="3660"/>
    <n v="10.6"/>
    <n v="19632.240000000002"/>
    <s v="Completed"/>
    <s v="Delhi"/>
    <x v="2"/>
    <x v="2"/>
    <x v="3"/>
  </r>
  <r>
    <s v="ORD-00530"/>
    <x v="147"/>
    <s v="CUST-0075"/>
    <s v="PROD-003"/>
    <x v="8"/>
    <n v="10"/>
    <n v="3570"/>
    <n v="1.2"/>
    <n v="35271.599999999999"/>
    <s v="Completed"/>
    <s v="Mumbai"/>
    <x v="4"/>
    <x v="2"/>
    <x v="7"/>
  </r>
  <r>
    <s v="ORD-00531"/>
    <x v="176"/>
    <s v="CUST-0298"/>
    <s v="PROD-035"/>
    <x v="18"/>
    <n v="8"/>
    <n v="1090"/>
    <n v="13.2"/>
    <n v="7568.96"/>
    <s v="Refunded"/>
    <s v="Delhi"/>
    <x v="3"/>
    <x v="1"/>
    <x v="0"/>
  </r>
  <r>
    <s v="ORD-00532"/>
    <x v="153"/>
    <s v="CUST-0165"/>
    <s v="PROD-014"/>
    <x v="26"/>
    <n v="8"/>
    <n v="3620"/>
    <n v="29"/>
    <n v="20561.599999999999"/>
    <s v="Completed"/>
    <s v="Pune"/>
    <x v="0"/>
    <x v="3"/>
    <x v="11"/>
  </r>
  <r>
    <s v="ORD-00533"/>
    <x v="289"/>
    <s v="CUST-0033"/>
    <s v="PROD-046"/>
    <x v="9"/>
    <n v="7"/>
    <n v="4880"/>
    <n v="25.6"/>
    <n v="25415.040000000001"/>
    <s v="Refunded"/>
    <s v="Delhi"/>
    <x v="5"/>
    <x v="1"/>
    <x v="0"/>
  </r>
  <r>
    <s v="ORD-00534"/>
    <x v="224"/>
    <s v="CUST-0205"/>
    <s v="PROD-053"/>
    <x v="8"/>
    <n v="2"/>
    <n v="470"/>
    <n v="9.6999999999999993"/>
    <n v="848.82"/>
    <s v="Completed"/>
    <s v="Pune"/>
    <x v="1"/>
    <x v="2"/>
    <x v="3"/>
  </r>
  <r>
    <s v="ORD-00535"/>
    <x v="149"/>
    <s v="CUST-0037"/>
    <s v="PROD-042"/>
    <x v="24"/>
    <n v="6"/>
    <n v="2290"/>
    <n v="8.9"/>
    <n v="12517.14"/>
    <s v="Completed"/>
    <s v="Bengaluru"/>
    <x v="5"/>
    <x v="3"/>
    <x v="0"/>
  </r>
  <r>
    <s v="ORD-00536"/>
    <x v="290"/>
    <s v="CUST-0228"/>
    <s v="PROD-023"/>
    <x v="9"/>
    <n v="3"/>
    <n v="2380"/>
    <n v="2.7"/>
    <n v="6947.22"/>
    <s v="Pending"/>
    <s v="Pune"/>
    <x v="2"/>
    <x v="1"/>
    <x v="6"/>
  </r>
  <r>
    <s v="ORD-00537"/>
    <x v="270"/>
    <s v="CUST-0279"/>
    <s v="PROD-023"/>
    <x v="4"/>
    <n v="9"/>
    <n v="2380"/>
    <n v="20.100000000000001"/>
    <n v="17114.580000000002"/>
    <s v="Completed"/>
    <s v="Mumbai"/>
    <x v="2"/>
    <x v="0"/>
    <x v="10"/>
  </r>
  <r>
    <s v="ORD-00538"/>
    <x v="291"/>
    <s v="CUST-0271"/>
    <s v="PROD-052"/>
    <x v="2"/>
    <n v="8"/>
    <n v="5410"/>
    <n v="11.2"/>
    <n v="38432.639999999999"/>
    <s v="Completed"/>
    <s v="Bengaluru"/>
    <x v="1"/>
    <x v="1"/>
    <x v="11"/>
  </r>
  <r>
    <s v="ORD-00539"/>
    <x v="150"/>
    <s v="CUST-0127"/>
    <s v="PROD-007"/>
    <x v="4"/>
    <n v="1"/>
    <n v="1430"/>
    <n v="19.600000000000001"/>
    <n v="1149.72"/>
    <s v="Completed"/>
    <s v="Bengaluru"/>
    <x v="4"/>
    <x v="0"/>
    <x v="4"/>
  </r>
  <r>
    <s v="ORD-00540"/>
    <x v="292"/>
    <s v="CUST-0007"/>
    <s v="PROD-058"/>
    <x v="28"/>
    <n v="9"/>
    <n v="2400"/>
    <n v="5"/>
    <n v="20520"/>
    <s v="Completed"/>
    <s v="Bengaluru"/>
    <x v="1"/>
    <x v="2"/>
    <x v="3"/>
  </r>
  <r>
    <s v="ORD-00541"/>
    <x v="293"/>
    <s v="CUST-0005"/>
    <s v="PROD-027"/>
    <x v="19"/>
    <n v="1"/>
    <n v="3780"/>
    <n v="4.7"/>
    <n v="3602.34"/>
    <s v="Completed"/>
    <s v="Chennai"/>
    <x v="2"/>
    <x v="0"/>
    <x v="10"/>
  </r>
  <r>
    <s v="ORD-00542"/>
    <x v="95"/>
    <s v="CUST-0072"/>
    <s v="PROD-016"/>
    <x v="7"/>
    <n v="2"/>
    <n v="620"/>
    <n v="8"/>
    <n v="1140.8"/>
    <s v="Completed"/>
    <s v="Mumbai"/>
    <x v="0"/>
    <x v="3"/>
    <x v="9"/>
  </r>
  <r>
    <s v="ORD-00543"/>
    <x v="229"/>
    <s v="CUST-0167"/>
    <s v="PROD-060"/>
    <x v="0"/>
    <n v="3"/>
    <n v="190"/>
    <n v="17.899999999999999"/>
    <n v="467.97"/>
    <s v="Pending"/>
    <s v="Delhi"/>
    <x v="1"/>
    <x v="0"/>
    <x v="2"/>
  </r>
  <r>
    <s v="ORD-00544"/>
    <x v="10"/>
    <s v="CUST-0244"/>
    <s v="PROD-014"/>
    <x v="7"/>
    <n v="2"/>
    <n v="3620"/>
    <n v="15.5"/>
    <n v="6117.8"/>
    <s v="Completed"/>
    <s v="Bengaluru"/>
    <x v="0"/>
    <x v="3"/>
    <x v="1"/>
  </r>
  <r>
    <s v="ORD-00545"/>
    <x v="294"/>
    <s v="CUST-0086"/>
    <s v="PROD-055"/>
    <x v="26"/>
    <n v="5"/>
    <n v="2860"/>
    <n v="26.8"/>
    <n v="10467.6"/>
    <s v="Completed"/>
    <s v="Hyderabad"/>
    <x v="1"/>
    <x v="3"/>
    <x v="4"/>
  </r>
  <r>
    <s v="ORD-00546"/>
    <x v="198"/>
    <s v="CUST-0091"/>
    <s v="PROD-058"/>
    <x v="12"/>
    <n v="6"/>
    <n v="2400"/>
    <n v="19.2"/>
    <n v="11635.2"/>
    <s v="Cancelled"/>
    <s v="Delhi"/>
    <x v="1"/>
    <x v="3"/>
    <x v="8"/>
  </r>
  <r>
    <s v="ORD-00547"/>
    <x v="14"/>
    <s v="CUST-0169"/>
    <s v="PROD-034"/>
    <x v="18"/>
    <n v="7"/>
    <n v="5080"/>
    <n v="16.600000000000001"/>
    <n v="29657.040000000001"/>
    <s v="Pending"/>
    <s v="Bengaluru"/>
    <x v="3"/>
    <x v="1"/>
    <x v="0"/>
  </r>
  <r>
    <s v="ORD-00548"/>
    <x v="295"/>
    <s v="CUST-0273"/>
    <s v="PROD-034"/>
    <x v="15"/>
    <n v="10"/>
    <n v="5080"/>
    <n v="24.6"/>
    <n v="38303.199999999997"/>
    <s v="Completed"/>
    <s v="Hyderabad"/>
    <x v="3"/>
    <x v="1"/>
    <x v="3"/>
  </r>
  <r>
    <s v="ORD-00549"/>
    <x v="147"/>
    <s v="CUST-0233"/>
    <s v="PROD-057"/>
    <x v="4"/>
    <n v="7"/>
    <n v="960"/>
    <n v="16.600000000000001"/>
    <n v="5604.48"/>
    <s v="Completed"/>
    <s v="Mumbai"/>
    <x v="1"/>
    <x v="0"/>
    <x v="7"/>
  </r>
  <r>
    <s v="ORD-00550"/>
    <x v="296"/>
    <s v="CUST-0175"/>
    <s v="PROD-028"/>
    <x v="8"/>
    <n v="3"/>
    <n v="3660"/>
    <n v="3.2"/>
    <n v="10628.64"/>
    <s v="Pending"/>
    <s v="Delhi"/>
    <x v="2"/>
    <x v="2"/>
    <x v="9"/>
  </r>
  <r>
    <s v="ORD-00551"/>
    <x v="160"/>
    <s v="CUST-0241"/>
    <s v="PROD-010"/>
    <x v="18"/>
    <n v="6"/>
    <n v="2640"/>
    <n v="26.3"/>
    <n v="11674.08"/>
    <s v="Completed"/>
    <s v="Pune"/>
    <x v="4"/>
    <x v="1"/>
    <x v="9"/>
  </r>
  <r>
    <s v="ORD-00552"/>
    <x v="254"/>
    <s v="CUST-0024"/>
    <s v="PROD-009"/>
    <x v="18"/>
    <n v="6"/>
    <n v="1220"/>
    <n v="22.3"/>
    <n v="5687.64"/>
    <s v="Cancelled"/>
    <s v="Chennai"/>
    <x v="4"/>
    <x v="1"/>
    <x v="0"/>
  </r>
  <r>
    <s v="ORD-00553"/>
    <x v="138"/>
    <s v="CUST-0252"/>
    <s v="PROD-005"/>
    <x v="22"/>
    <n v="1"/>
    <n v="300"/>
    <n v="0.7"/>
    <n v="297.89999999999998"/>
    <s v="Completed"/>
    <s v="Bengaluru"/>
    <x v="4"/>
    <x v="1"/>
    <x v="1"/>
  </r>
  <r>
    <s v="ORD-00554"/>
    <x v="43"/>
    <s v="CUST-0245"/>
    <s v="PROD-054"/>
    <x v="16"/>
    <n v="2"/>
    <n v="1010"/>
    <n v="28"/>
    <n v="1454.4"/>
    <s v="Completed"/>
    <s v="Hyderabad"/>
    <x v="1"/>
    <x v="3"/>
    <x v="2"/>
  </r>
  <r>
    <s v="ORD-00555"/>
    <x v="192"/>
    <s v="CUST-0046"/>
    <s v="PROD-002"/>
    <x v="23"/>
    <n v="5"/>
    <n v="2600"/>
    <n v="0.8"/>
    <n v="12896"/>
    <s v="Cancelled"/>
    <s v="Delhi"/>
    <x v="4"/>
    <x v="1"/>
    <x v="5"/>
  </r>
  <r>
    <s v="ORD-00556"/>
    <x v="186"/>
    <s v="CUST-0050"/>
    <s v="PROD-056"/>
    <x v="17"/>
    <n v="3"/>
    <n v="6940"/>
    <n v="10.7"/>
    <n v="18592.259999999998"/>
    <s v="Cancelled"/>
    <s v="Mumbai"/>
    <x v="1"/>
    <x v="2"/>
    <x v="1"/>
  </r>
  <r>
    <s v="ORD-00557"/>
    <x v="297"/>
    <s v="CUST-0227"/>
    <s v="PROD-032"/>
    <x v="23"/>
    <n v="1"/>
    <n v="370"/>
    <n v="10.3"/>
    <n v="331.89"/>
    <s v="Refunded"/>
    <s v="Bengaluru"/>
    <x v="3"/>
    <x v="1"/>
    <x v="9"/>
  </r>
  <r>
    <s v="ORD-00558"/>
    <x v="298"/>
    <s v="CUST-0218"/>
    <s v="PROD-027"/>
    <x v="20"/>
    <n v="2"/>
    <n v="3780"/>
    <n v="29.4"/>
    <n v="5337.36"/>
    <s v="Completed"/>
    <s v="Mumbai"/>
    <x v="2"/>
    <x v="2"/>
    <x v="2"/>
  </r>
  <r>
    <s v="ORD-00559"/>
    <x v="39"/>
    <s v="CUST-0087"/>
    <s v="PROD-030"/>
    <x v="24"/>
    <n v="5"/>
    <n v="970"/>
    <n v="14.6"/>
    <n v="4141.8999999999996"/>
    <s v="Completed"/>
    <s v="Pune"/>
    <x v="2"/>
    <x v="3"/>
    <x v="3"/>
  </r>
  <r>
    <s v="ORD-00560"/>
    <x v="117"/>
    <s v="CUST-0209"/>
    <s v="PROD-022"/>
    <x v="25"/>
    <n v="3"/>
    <n v="2270"/>
    <n v="6.5"/>
    <n v="6367.35"/>
    <s v="Completed"/>
    <s v="Pune"/>
    <x v="2"/>
    <x v="0"/>
    <x v="4"/>
  </r>
  <r>
    <s v="ORD-00561"/>
    <x v="299"/>
    <s v="CUST-0212"/>
    <s v="PROD-041"/>
    <x v="20"/>
    <n v="10"/>
    <n v="1540"/>
    <n v="16.5"/>
    <n v="12859"/>
    <s v="Completed"/>
    <s v="Chennai"/>
    <x v="5"/>
    <x v="2"/>
    <x v="6"/>
  </r>
  <r>
    <s v="ORD-00562"/>
    <x v="51"/>
    <s v="CUST-0180"/>
    <s v="PROD-021"/>
    <x v="21"/>
    <n v="4"/>
    <n v="2760"/>
    <n v="19.8"/>
    <n v="8854.08"/>
    <s v="Completed"/>
    <s v="Chennai"/>
    <x v="2"/>
    <x v="3"/>
    <x v="8"/>
  </r>
  <r>
    <s v="ORD-00563"/>
    <x v="10"/>
    <s v="CUST-0025"/>
    <s v="PROD-024"/>
    <x v="14"/>
    <n v="3"/>
    <n v="2270"/>
    <n v="29.5"/>
    <n v="4801.05"/>
    <s v="Refunded"/>
    <s v="Bengaluru"/>
    <x v="2"/>
    <x v="2"/>
    <x v="1"/>
  </r>
  <r>
    <s v="ORD-00564"/>
    <x v="196"/>
    <s v="CUST-0271"/>
    <s v="PROD-045"/>
    <x v="15"/>
    <n v="8"/>
    <n v="3020"/>
    <n v="1.2"/>
    <n v="23870.080000000002"/>
    <s v="Completed"/>
    <s v="Bengaluru"/>
    <x v="5"/>
    <x v="1"/>
    <x v="3"/>
  </r>
  <r>
    <s v="ORD-00565"/>
    <x v="156"/>
    <s v="CUST-0026"/>
    <s v="PROD-023"/>
    <x v="26"/>
    <n v="6"/>
    <n v="2380"/>
    <n v="20.399999999999999"/>
    <n v="11366.88"/>
    <s v="Completed"/>
    <s v="Pune"/>
    <x v="2"/>
    <x v="3"/>
    <x v="10"/>
  </r>
  <r>
    <s v="ORD-00566"/>
    <x v="19"/>
    <s v="CUST-0058"/>
    <s v="PROD-056"/>
    <x v="8"/>
    <n v="1"/>
    <n v="6940"/>
    <n v="15"/>
    <n v="5899"/>
    <s v="Cancelled"/>
    <s v="Bengaluru"/>
    <x v="1"/>
    <x v="2"/>
    <x v="6"/>
  </r>
  <r>
    <s v="ORD-00567"/>
    <x v="16"/>
    <s v="CUST-0033"/>
    <s v="PROD-008"/>
    <x v="9"/>
    <n v="1"/>
    <n v="2660"/>
    <n v="11.6"/>
    <n v="2351.44"/>
    <s v="Completed"/>
    <s v="Delhi"/>
    <x v="4"/>
    <x v="1"/>
    <x v="8"/>
  </r>
  <r>
    <s v="ORD-00568"/>
    <x v="289"/>
    <s v="CUST-0057"/>
    <s v="PROD-030"/>
    <x v="22"/>
    <n v="4"/>
    <n v="970"/>
    <n v="11.6"/>
    <n v="3429.92"/>
    <s v="Completed"/>
    <s v="Pune"/>
    <x v="2"/>
    <x v="1"/>
    <x v="0"/>
  </r>
  <r>
    <s v="ORD-00569"/>
    <x v="215"/>
    <s v="CUST-0231"/>
    <s v="PROD-022"/>
    <x v="25"/>
    <n v="7"/>
    <n v="2270"/>
    <n v="27.9"/>
    <n v="11456.69"/>
    <s v="Completed"/>
    <s v="Chennai"/>
    <x v="2"/>
    <x v="0"/>
    <x v="8"/>
  </r>
  <r>
    <s v="ORD-00570"/>
    <x v="300"/>
    <s v="CUST-0031"/>
    <s v="PROD-054"/>
    <x v="29"/>
    <n v="8"/>
    <n v="1010"/>
    <n v="13.7"/>
    <n v="6973.04"/>
    <s v="Cancelled"/>
    <s v="Hyderabad"/>
    <x v="1"/>
    <x v="1"/>
    <x v="11"/>
  </r>
  <r>
    <s v="ORD-00571"/>
    <x v="259"/>
    <s v="CUST-0228"/>
    <s v="PROD-023"/>
    <x v="19"/>
    <n v="8"/>
    <n v="2380"/>
    <n v="15.3"/>
    <n v="16126.88"/>
    <s v="Cancelled"/>
    <s v="Pune"/>
    <x v="2"/>
    <x v="0"/>
    <x v="1"/>
  </r>
  <r>
    <s v="ORD-00572"/>
    <x v="142"/>
    <s v="CUST-0127"/>
    <s v="PROD-053"/>
    <x v="26"/>
    <n v="10"/>
    <n v="470"/>
    <n v="2.1"/>
    <n v="4601.3"/>
    <s v="Completed"/>
    <s v="Bengaluru"/>
    <x v="1"/>
    <x v="3"/>
    <x v="8"/>
  </r>
  <r>
    <s v="ORD-00573"/>
    <x v="178"/>
    <s v="CUST-0117"/>
    <s v="PROD-048"/>
    <x v="5"/>
    <n v="5"/>
    <n v="5100"/>
    <n v="9.6999999999999993"/>
    <n v="23026.5"/>
    <s v="Completed"/>
    <s v="Delhi"/>
    <x v="5"/>
    <x v="2"/>
    <x v="10"/>
  </r>
  <r>
    <s v="ORD-00574"/>
    <x v="73"/>
    <s v="CUST-0159"/>
    <s v="PROD-049"/>
    <x v="17"/>
    <n v="9"/>
    <n v="960"/>
    <n v="17.7"/>
    <n v="7110.72"/>
    <s v="Completed"/>
    <s v="Hyderabad"/>
    <x v="5"/>
    <x v="2"/>
    <x v="5"/>
  </r>
  <r>
    <s v="ORD-00575"/>
    <x v="35"/>
    <s v="CUST-0064"/>
    <s v="PROD-026"/>
    <x v="0"/>
    <n v="2"/>
    <n v="4070"/>
    <n v="2.1"/>
    <n v="7969.06"/>
    <s v="Completed"/>
    <s v="Hyderabad"/>
    <x v="2"/>
    <x v="0"/>
    <x v="10"/>
  </r>
  <r>
    <s v="ORD-00576"/>
    <x v="243"/>
    <s v="CUST-0272"/>
    <s v="PROD-031"/>
    <x v="13"/>
    <n v="5"/>
    <n v="3730"/>
    <n v="16.5"/>
    <n v="15572.75"/>
    <s v="Completed"/>
    <s v="Mumbai"/>
    <x v="3"/>
    <x v="3"/>
    <x v="2"/>
  </r>
  <r>
    <s v="ORD-00577"/>
    <x v="55"/>
    <s v="CUST-0071"/>
    <s v="PROD-055"/>
    <x v="24"/>
    <n v="1"/>
    <n v="2860"/>
    <n v="10.4"/>
    <n v="2562.56"/>
    <s v="Cancelled"/>
    <s v="Delhi"/>
    <x v="1"/>
    <x v="3"/>
    <x v="9"/>
  </r>
  <r>
    <s v="ORD-00578"/>
    <x v="11"/>
    <s v="CUST-0045"/>
    <s v="PROD-046"/>
    <x v="26"/>
    <n v="4"/>
    <n v="4880"/>
    <n v="27.5"/>
    <n v="14152"/>
    <s v="Pending"/>
    <s v="Chennai"/>
    <x v="5"/>
    <x v="3"/>
    <x v="7"/>
  </r>
  <r>
    <s v="ORD-00579"/>
    <x v="19"/>
    <s v="CUST-0148"/>
    <s v="PROD-022"/>
    <x v="24"/>
    <n v="3"/>
    <n v="2270"/>
    <n v="6.7"/>
    <n v="6353.73"/>
    <s v="Completed"/>
    <s v="Chennai"/>
    <x v="2"/>
    <x v="3"/>
    <x v="6"/>
  </r>
  <r>
    <s v="ORD-00580"/>
    <x v="55"/>
    <s v="CUST-0097"/>
    <s v="PROD-025"/>
    <x v="0"/>
    <n v="10"/>
    <n v="4060"/>
    <n v="3.6"/>
    <n v="39138.400000000001"/>
    <s v="Pending"/>
    <s v="Mumbai"/>
    <x v="2"/>
    <x v="0"/>
    <x v="9"/>
  </r>
  <r>
    <s v="ORD-00581"/>
    <x v="301"/>
    <s v="CUST-0151"/>
    <s v="PROD-010"/>
    <x v="10"/>
    <n v="8"/>
    <n v="2640"/>
    <n v="28.8"/>
    <n v="15037.44"/>
    <s v="Completed"/>
    <s v="Mumbai"/>
    <x v="4"/>
    <x v="0"/>
    <x v="3"/>
  </r>
  <r>
    <s v="ORD-00582"/>
    <x v="302"/>
    <s v="CUST-0048"/>
    <s v="PROD-031"/>
    <x v="27"/>
    <n v="6"/>
    <n v="3730"/>
    <n v="21.9"/>
    <n v="17478.78"/>
    <s v="Completed"/>
    <s v="Delhi"/>
    <x v="3"/>
    <x v="1"/>
    <x v="10"/>
  </r>
  <r>
    <s v="ORD-00583"/>
    <x v="68"/>
    <s v="CUST-0048"/>
    <s v="PROD-001"/>
    <x v="3"/>
    <n v="9"/>
    <n v="5330"/>
    <n v="29.4"/>
    <n v="33866.82"/>
    <s v="Cancelled"/>
    <s v="Delhi"/>
    <x v="4"/>
    <x v="0"/>
    <x v="3"/>
  </r>
  <r>
    <s v="ORD-00584"/>
    <x v="94"/>
    <s v="CUST-0156"/>
    <s v="PROD-011"/>
    <x v="28"/>
    <n v="1"/>
    <n v="3450"/>
    <n v="23.3"/>
    <n v="2646.15"/>
    <s v="Completed"/>
    <s v="Mumbai"/>
    <x v="0"/>
    <x v="2"/>
    <x v="11"/>
  </r>
  <r>
    <s v="ORD-00585"/>
    <x v="227"/>
    <s v="CUST-0022"/>
    <s v="PROD-050"/>
    <x v="21"/>
    <n v="3"/>
    <n v="6080"/>
    <n v="14.5"/>
    <n v="15595.2"/>
    <s v="Completed"/>
    <s v="Bengaluru"/>
    <x v="5"/>
    <x v="3"/>
    <x v="0"/>
  </r>
  <r>
    <s v="ORD-00586"/>
    <x v="303"/>
    <s v="CUST-0193"/>
    <s v="PROD-031"/>
    <x v="25"/>
    <n v="4"/>
    <n v="3730"/>
    <n v="3.4"/>
    <n v="14412.72"/>
    <s v="Cancelled"/>
    <s v="Bengaluru"/>
    <x v="3"/>
    <x v="0"/>
    <x v="4"/>
  </r>
  <r>
    <s v="ORD-00587"/>
    <x v="304"/>
    <s v="CUST-0189"/>
    <s v="PROD-008"/>
    <x v="24"/>
    <n v="10"/>
    <n v="2660"/>
    <n v="2.1"/>
    <n v="26041.4"/>
    <s v="Completed"/>
    <s v="Chennai"/>
    <x v="4"/>
    <x v="3"/>
    <x v="10"/>
  </r>
  <r>
    <s v="ORD-00588"/>
    <x v="41"/>
    <s v="CUST-0101"/>
    <s v="PROD-029"/>
    <x v="13"/>
    <n v="7"/>
    <n v="2210"/>
    <n v="17.100000000000001"/>
    <n v="12824.63"/>
    <s v="Completed"/>
    <s v="Hyderabad"/>
    <x v="2"/>
    <x v="3"/>
    <x v="2"/>
  </r>
  <r>
    <s v="ORD-00589"/>
    <x v="84"/>
    <s v="CUST-0006"/>
    <s v="PROD-059"/>
    <x v="22"/>
    <n v="6"/>
    <n v="3780"/>
    <n v="12.7"/>
    <n v="19799.64"/>
    <s v="Completed"/>
    <s v="Pune"/>
    <x v="1"/>
    <x v="1"/>
    <x v="4"/>
  </r>
  <r>
    <s v="ORD-00590"/>
    <x v="249"/>
    <s v="CUST-0235"/>
    <s v="PROD-038"/>
    <x v="20"/>
    <n v="4"/>
    <n v="5490"/>
    <n v="26.9"/>
    <n v="16052.76"/>
    <s v="Completed"/>
    <s v="Chennai"/>
    <x v="3"/>
    <x v="2"/>
    <x v="5"/>
  </r>
  <r>
    <s v="ORD-00591"/>
    <x v="116"/>
    <s v="CUST-0045"/>
    <s v="PROD-008"/>
    <x v="22"/>
    <n v="9"/>
    <n v="2660"/>
    <n v="21.9"/>
    <n v="18697.14"/>
    <s v="Completed"/>
    <s v="Chennai"/>
    <x v="4"/>
    <x v="1"/>
    <x v="1"/>
  </r>
  <r>
    <s v="ORD-00592"/>
    <x v="160"/>
    <s v="CUST-0028"/>
    <s v="PROD-056"/>
    <x v="8"/>
    <n v="9"/>
    <n v="6940"/>
    <n v="8"/>
    <n v="57463.199999999997"/>
    <s v="Completed"/>
    <s v="Bengaluru"/>
    <x v="1"/>
    <x v="2"/>
    <x v="9"/>
  </r>
  <r>
    <s v="ORD-00593"/>
    <x v="73"/>
    <s v="CUST-0241"/>
    <s v="PROD-004"/>
    <x v="3"/>
    <n v="1"/>
    <n v="3870"/>
    <n v="22.6"/>
    <n v="2995.38"/>
    <s v="Completed"/>
    <s v="Pune"/>
    <x v="4"/>
    <x v="0"/>
    <x v="5"/>
  </r>
  <r>
    <s v="ORD-00594"/>
    <x v="240"/>
    <s v="CUST-0278"/>
    <s v="PROD-035"/>
    <x v="4"/>
    <n v="3"/>
    <n v="1090"/>
    <n v="28.1"/>
    <n v="2351.13"/>
    <s v="Completed"/>
    <s v="Hyderabad"/>
    <x v="3"/>
    <x v="0"/>
    <x v="10"/>
  </r>
  <r>
    <s v="ORD-00595"/>
    <x v="111"/>
    <s v="CUST-0009"/>
    <s v="PROD-002"/>
    <x v="19"/>
    <n v="2"/>
    <n v="2600"/>
    <n v="5.6"/>
    <n v="4908.8"/>
    <s v="Completed"/>
    <s v="Mumbai"/>
    <x v="4"/>
    <x v="0"/>
    <x v="7"/>
  </r>
  <r>
    <s v="ORD-00596"/>
    <x v="54"/>
    <s v="CUST-0217"/>
    <s v="PROD-057"/>
    <x v="16"/>
    <n v="4"/>
    <n v="960"/>
    <n v="21.7"/>
    <n v="3006.72"/>
    <s v="Completed"/>
    <s v="Pune"/>
    <x v="1"/>
    <x v="3"/>
    <x v="3"/>
  </r>
  <r>
    <s v="ORD-00597"/>
    <x v="80"/>
    <s v="CUST-0289"/>
    <s v="PROD-032"/>
    <x v="17"/>
    <n v="6"/>
    <n v="370"/>
    <n v="22.5"/>
    <n v="1720.5"/>
    <s v="Completed"/>
    <s v="Mumbai"/>
    <x v="3"/>
    <x v="2"/>
    <x v="7"/>
  </r>
  <r>
    <s v="ORD-00598"/>
    <x v="51"/>
    <s v="CUST-0176"/>
    <s v="PROD-034"/>
    <x v="3"/>
    <n v="5"/>
    <n v="5080"/>
    <n v="23.8"/>
    <n v="19354.8"/>
    <s v="Completed"/>
    <s v="Bengaluru"/>
    <x v="3"/>
    <x v="0"/>
    <x v="8"/>
  </r>
  <r>
    <s v="ORD-00599"/>
    <x v="67"/>
    <s v="CUST-0026"/>
    <s v="PROD-041"/>
    <x v="11"/>
    <n v="5"/>
    <n v="1540"/>
    <n v="6.1"/>
    <n v="7230.3"/>
    <s v="Completed"/>
    <s v="Pune"/>
    <x v="5"/>
    <x v="0"/>
    <x v="2"/>
  </r>
  <r>
    <s v="ORD-00600"/>
    <x v="305"/>
    <s v="CUST-0213"/>
    <s v="PROD-024"/>
    <x v="15"/>
    <n v="7"/>
    <n v="2270"/>
    <n v="0.4"/>
    <n v="15826.44"/>
    <s v="Completed"/>
    <s v="Mumbai"/>
    <x v="2"/>
    <x v="1"/>
    <x v="1"/>
  </r>
  <r>
    <s v="ORD-00601"/>
    <x v="236"/>
    <s v="CUST-0190"/>
    <s v="PROD-057"/>
    <x v="15"/>
    <n v="2"/>
    <n v="960"/>
    <n v="3.7"/>
    <n v="1848.96"/>
    <s v="Completed"/>
    <s v="Hyderabad"/>
    <x v="1"/>
    <x v="1"/>
    <x v="3"/>
  </r>
  <r>
    <s v="ORD-00602"/>
    <x v="306"/>
    <s v="CUST-0150"/>
    <s v="PROD-007"/>
    <x v="28"/>
    <n v="6"/>
    <n v="1430"/>
    <n v="2"/>
    <n v="8408.4"/>
    <s v="Pending"/>
    <s v="Pune"/>
    <x v="4"/>
    <x v="2"/>
    <x v="5"/>
  </r>
  <r>
    <s v="ORD-00603"/>
    <x v="276"/>
    <s v="CUST-0129"/>
    <s v="PROD-047"/>
    <x v="3"/>
    <n v="10"/>
    <n v="3450"/>
    <n v="19.100000000000001"/>
    <n v="27910.5"/>
    <s v="Completed"/>
    <s v="Hyderabad"/>
    <x v="5"/>
    <x v="0"/>
    <x v="9"/>
  </r>
  <r>
    <s v="ORD-00604"/>
    <x v="249"/>
    <s v="CUST-0080"/>
    <s v="PROD-009"/>
    <x v="17"/>
    <n v="8"/>
    <n v="1220"/>
    <n v="16.899999999999999"/>
    <n v="8110.56"/>
    <s v="Completed"/>
    <s v="Pune"/>
    <x v="4"/>
    <x v="2"/>
    <x v="5"/>
  </r>
  <r>
    <s v="ORD-00605"/>
    <x v="96"/>
    <s v="CUST-0034"/>
    <s v="PROD-021"/>
    <x v="16"/>
    <n v="9"/>
    <n v="2760"/>
    <n v="16.899999999999999"/>
    <n v="20642.04"/>
    <s v="Completed"/>
    <s v="Delhi"/>
    <x v="2"/>
    <x v="3"/>
    <x v="3"/>
  </r>
  <r>
    <s v="ORD-00606"/>
    <x v="106"/>
    <s v="CUST-0179"/>
    <s v="PROD-043"/>
    <x v="21"/>
    <n v="6"/>
    <n v="3350"/>
    <n v="11.8"/>
    <n v="17728.2"/>
    <s v="Pending"/>
    <s v="Mumbai"/>
    <x v="5"/>
    <x v="3"/>
    <x v="9"/>
  </r>
  <r>
    <s v="ORD-00607"/>
    <x v="23"/>
    <s v="CUST-0176"/>
    <s v="PROD-048"/>
    <x v="22"/>
    <n v="6"/>
    <n v="5100"/>
    <n v="13.2"/>
    <n v="26560.799999999999"/>
    <s v="Completed"/>
    <s v="Bengaluru"/>
    <x v="5"/>
    <x v="1"/>
    <x v="9"/>
  </r>
  <r>
    <s v="ORD-00608"/>
    <x v="267"/>
    <s v="CUST-0144"/>
    <s v="PROD-010"/>
    <x v="28"/>
    <n v="6"/>
    <n v="2640"/>
    <n v="26.2"/>
    <n v="11689.92"/>
    <s v="Completed"/>
    <s v="Chennai"/>
    <x v="4"/>
    <x v="2"/>
    <x v="10"/>
  </r>
  <r>
    <s v="ORD-00609"/>
    <x v="111"/>
    <s v="CUST-0218"/>
    <s v="PROD-028"/>
    <x v="29"/>
    <n v="1"/>
    <n v="3660"/>
    <n v="19.7"/>
    <n v="2938.98"/>
    <s v="Completed"/>
    <s v="Mumbai"/>
    <x v="2"/>
    <x v="1"/>
    <x v="7"/>
  </r>
  <r>
    <s v="ORD-00610"/>
    <x v="290"/>
    <s v="CUST-0249"/>
    <s v="PROD-032"/>
    <x v="28"/>
    <n v="5"/>
    <n v="370"/>
    <n v="21.7"/>
    <n v="1448.55"/>
    <s v="Completed"/>
    <s v="Mumbai"/>
    <x v="3"/>
    <x v="2"/>
    <x v="6"/>
  </r>
  <r>
    <s v="ORD-00611"/>
    <x v="260"/>
    <s v="CUST-0092"/>
    <s v="PROD-016"/>
    <x v="5"/>
    <n v="5"/>
    <n v="620"/>
    <n v="10.199999999999999"/>
    <n v="2783.8"/>
    <s v="Completed"/>
    <s v="Bengaluru"/>
    <x v="0"/>
    <x v="2"/>
    <x v="1"/>
  </r>
  <r>
    <s v="ORD-00612"/>
    <x v="40"/>
    <s v="CUST-0245"/>
    <s v="PROD-053"/>
    <x v="26"/>
    <n v="8"/>
    <n v="470"/>
    <n v="2.4"/>
    <n v="3669.76"/>
    <s v="Completed"/>
    <s v="Hyderabad"/>
    <x v="1"/>
    <x v="3"/>
    <x v="5"/>
  </r>
  <r>
    <s v="ORD-00613"/>
    <x v="294"/>
    <s v="CUST-0134"/>
    <s v="PROD-042"/>
    <x v="1"/>
    <n v="3"/>
    <n v="2290"/>
    <n v="20.8"/>
    <n v="5441.04"/>
    <s v="Completed"/>
    <s v="Delhi"/>
    <x v="5"/>
    <x v="0"/>
    <x v="4"/>
  </r>
  <r>
    <s v="ORD-00614"/>
    <x v="92"/>
    <s v="CUST-0063"/>
    <s v="PROD-057"/>
    <x v="6"/>
    <n v="4"/>
    <n v="960"/>
    <n v="28.8"/>
    <n v="2734.08"/>
    <s v="Pending"/>
    <s v="Mumbai"/>
    <x v="1"/>
    <x v="2"/>
    <x v="11"/>
  </r>
  <r>
    <s v="ORD-00615"/>
    <x v="307"/>
    <s v="CUST-0172"/>
    <s v="PROD-028"/>
    <x v="9"/>
    <n v="5"/>
    <n v="3660"/>
    <n v="11.9"/>
    <n v="16122.3"/>
    <s v="Pending"/>
    <s v="Pune"/>
    <x v="2"/>
    <x v="1"/>
    <x v="0"/>
  </r>
  <r>
    <s v="ORD-00616"/>
    <x v="173"/>
    <s v="CUST-0139"/>
    <s v="PROD-003"/>
    <x v="7"/>
    <n v="5"/>
    <n v="3570"/>
    <n v="12.4"/>
    <n v="15636.6"/>
    <s v="Completed"/>
    <s v="Hyderabad"/>
    <x v="4"/>
    <x v="3"/>
    <x v="10"/>
  </r>
  <r>
    <s v="ORD-00617"/>
    <x v="246"/>
    <s v="CUST-0275"/>
    <s v="PROD-033"/>
    <x v="21"/>
    <n v="9"/>
    <n v="2030"/>
    <n v="23.4"/>
    <n v="13994.82"/>
    <s v="Completed"/>
    <s v="Mumbai"/>
    <x v="3"/>
    <x v="3"/>
    <x v="11"/>
  </r>
  <r>
    <s v="ORD-00618"/>
    <x v="60"/>
    <s v="CUST-0006"/>
    <s v="PROD-015"/>
    <x v="6"/>
    <n v="7"/>
    <n v="2720"/>
    <n v="11.2"/>
    <n v="16907.52"/>
    <s v="Refunded"/>
    <s v="Pune"/>
    <x v="0"/>
    <x v="2"/>
    <x v="1"/>
  </r>
  <r>
    <s v="ORD-00619"/>
    <x v="180"/>
    <s v="CUST-0279"/>
    <s v="PROD-003"/>
    <x v="4"/>
    <n v="2"/>
    <n v="3570"/>
    <n v="6.1"/>
    <n v="6704.46"/>
    <s v="Cancelled"/>
    <s v="Mumbai"/>
    <x v="4"/>
    <x v="0"/>
    <x v="8"/>
  </r>
  <r>
    <s v="ORD-00620"/>
    <x v="308"/>
    <s v="CUST-0093"/>
    <s v="PROD-058"/>
    <x v="19"/>
    <n v="5"/>
    <n v="2400"/>
    <n v="16.100000000000001"/>
    <n v="10068"/>
    <s v="Completed"/>
    <s v="Pune"/>
    <x v="1"/>
    <x v="0"/>
    <x v="9"/>
  </r>
  <r>
    <s v="ORD-00621"/>
    <x v="95"/>
    <s v="CUST-0063"/>
    <s v="PROD-024"/>
    <x v="25"/>
    <n v="4"/>
    <n v="2270"/>
    <n v="27.5"/>
    <n v="6583"/>
    <s v="Pending"/>
    <s v="Mumbai"/>
    <x v="2"/>
    <x v="0"/>
    <x v="9"/>
  </r>
  <r>
    <s v="ORD-00622"/>
    <x v="89"/>
    <s v="CUST-0071"/>
    <s v="PROD-030"/>
    <x v="27"/>
    <n v="1"/>
    <n v="970"/>
    <n v="12.7"/>
    <n v="846.81"/>
    <s v="Completed"/>
    <s v="Delhi"/>
    <x v="2"/>
    <x v="1"/>
    <x v="7"/>
  </r>
  <r>
    <s v="ORD-00623"/>
    <x v="246"/>
    <s v="CUST-0119"/>
    <s v="PROD-056"/>
    <x v="26"/>
    <n v="5"/>
    <n v="6940"/>
    <n v="16.2"/>
    <n v="29078.6"/>
    <s v="Completed"/>
    <s v="Bengaluru"/>
    <x v="1"/>
    <x v="3"/>
    <x v="11"/>
  </r>
  <r>
    <s v="ORD-00624"/>
    <x v="261"/>
    <s v="CUST-0035"/>
    <s v="PROD-056"/>
    <x v="18"/>
    <n v="4"/>
    <n v="6940"/>
    <n v="15.1"/>
    <n v="23568.240000000002"/>
    <s v="Completed"/>
    <s v="Hyderabad"/>
    <x v="1"/>
    <x v="1"/>
    <x v="9"/>
  </r>
  <r>
    <s v="ORD-00625"/>
    <x v="78"/>
    <s v="CUST-0042"/>
    <s v="PROD-054"/>
    <x v="3"/>
    <n v="1"/>
    <n v="1010"/>
    <n v="1.7"/>
    <n v="992.83"/>
    <s v="Completed"/>
    <s v="Pune"/>
    <x v="1"/>
    <x v="0"/>
    <x v="9"/>
  </r>
  <r>
    <s v="ORD-00626"/>
    <x v="303"/>
    <s v="CUST-0033"/>
    <s v="PROD-004"/>
    <x v="0"/>
    <n v="6"/>
    <n v="3870"/>
    <n v="12.2"/>
    <n v="20387.16"/>
    <s v="Completed"/>
    <s v="Delhi"/>
    <x v="4"/>
    <x v="0"/>
    <x v="4"/>
  </r>
  <r>
    <s v="ORD-00627"/>
    <x v="309"/>
    <s v="CUST-0077"/>
    <s v="PROD-048"/>
    <x v="23"/>
    <n v="9"/>
    <n v="5100"/>
    <n v="26.4"/>
    <n v="33782.400000000001"/>
    <s v="Completed"/>
    <s v="Hyderabad"/>
    <x v="5"/>
    <x v="1"/>
    <x v="11"/>
  </r>
  <r>
    <s v="ORD-00628"/>
    <x v="310"/>
    <s v="CUST-0266"/>
    <s v="PROD-012"/>
    <x v="4"/>
    <n v="2"/>
    <n v="3160"/>
    <n v="13.4"/>
    <n v="5473.12"/>
    <s v="Refunded"/>
    <s v="Pune"/>
    <x v="0"/>
    <x v="0"/>
    <x v="6"/>
  </r>
  <r>
    <s v="ORD-00629"/>
    <x v="211"/>
    <s v="CUST-0272"/>
    <s v="PROD-029"/>
    <x v="23"/>
    <n v="8"/>
    <n v="2210"/>
    <n v="26"/>
    <n v="13083.2"/>
    <s v="Completed"/>
    <s v="Mumbai"/>
    <x v="2"/>
    <x v="1"/>
    <x v="0"/>
  </r>
  <r>
    <s v="ORD-00630"/>
    <x v="237"/>
    <s v="CUST-0253"/>
    <s v="PROD-018"/>
    <x v="17"/>
    <n v="5"/>
    <n v="3560"/>
    <n v="15"/>
    <n v="15130"/>
    <s v="Completed"/>
    <s v="Delhi"/>
    <x v="0"/>
    <x v="2"/>
    <x v="9"/>
  </r>
  <r>
    <s v="ORD-00631"/>
    <x v="142"/>
    <s v="CUST-0252"/>
    <s v="PROD-016"/>
    <x v="9"/>
    <n v="10"/>
    <n v="620"/>
    <n v="15.8"/>
    <n v="5220.3999999999996"/>
    <s v="Refunded"/>
    <s v="Bengaluru"/>
    <x v="0"/>
    <x v="1"/>
    <x v="8"/>
  </r>
  <r>
    <s v="ORD-00632"/>
    <x v="276"/>
    <s v="CUST-0097"/>
    <s v="PROD-021"/>
    <x v="25"/>
    <n v="3"/>
    <n v="2760"/>
    <n v="1.9"/>
    <n v="8122.68"/>
    <s v="Cancelled"/>
    <s v="Mumbai"/>
    <x v="2"/>
    <x v="0"/>
    <x v="9"/>
  </r>
  <r>
    <s v="ORD-00633"/>
    <x v="287"/>
    <s v="CUST-0283"/>
    <s v="PROD-054"/>
    <x v="1"/>
    <n v="10"/>
    <n v="1010"/>
    <n v="28.9"/>
    <n v="7181.1"/>
    <s v="Completed"/>
    <s v="Delhi"/>
    <x v="1"/>
    <x v="0"/>
    <x v="8"/>
  </r>
  <r>
    <s v="ORD-00634"/>
    <x v="279"/>
    <s v="CUST-0064"/>
    <s v="PROD-013"/>
    <x v="25"/>
    <n v="1"/>
    <n v="3640"/>
    <n v="9.6999999999999993"/>
    <n v="3286.92"/>
    <s v="Completed"/>
    <s v="Hyderabad"/>
    <x v="0"/>
    <x v="0"/>
    <x v="2"/>
  </r>
  <r>
    <s v="ORD-00635"/>
    <x v="135"/>
    <s v="CUST-0143"/>
    <s v="PROD-020"/>
    <x v="9"/>
    <n v="1"/>
    <n v="820"/>
    <n v="15"/>
    <n v="697"/>
    <s v="Completed"/>
    <s v="Chennai"/>
    <x v="0"/>
    <x v="1"/>
    <x v="10"/>
  </r>
  <r>
    <s v="ORD-00636"/>
    <x v="305"/>
    <s v="CUST-0265"/>
    <s v="PROD-013"/>
    <x v="23"/>
    <n v="4"/>
    <n v="3640"/>
    <n v="17"/>
    <n v="12084.8"/>
    <s v="Completed"/>
    <s v="Chennai"/>
    <x v="0"/>
    <x v="1"/>
    <x v="1"/>
  </r>
  <r>
    <s v="ORD-00637"/>
    <x v="54"/>
    <s v="CUST-0158"/>
    <s v="PROD-023"/>
    <x v="25"/>
    <n v="7"/>
    <n v="2380"/>
    <n v="25.5"/>
    <n v="12411.7"/>
    <s v="Completed"/>
    <s v="Pune"/>
    <x v="2"/>
    <x v="0"/>
    <x v="3"/>
  </r>
  <r>
    <s v="ORD-00638"/>
    <x v="311"/>
    <s v="CUST-0154"/>
    <s v="PROD-037"/>
    <x v="4"/>
    <n v="1"/>
    <n v="660"/>
    <n v="2.5"/>
    <n v="643.5"/>
    <s v="Completed"/>
    <s v="Pune"/>
    <x v="3"/>
    <x v="0"/>
    <x v="4"/>
  </r>
  <r>
    <s v="ORD-00639"/>
    <x v="177"/>
    <s v="CUST-0057"/>
    <s v="PROD-004"/>
    <x v="16"/>
    <n v="7"/>
    <n v="3870"/>
    <n v="20.3"/>
    <n v="21590.73"/>
    <s v="Pending"/>
    <s v="Pune"/>
    <x v="4"/>
    <x v="3"/>
    <x v="2"/>
  </r>
  <r>
    <s v="ORD-00640"/>
    <x v="176"/>
    <s v="CUST-0088"/>
    <s v="PROD-032"/>
    <x v="29"/>
    <n v="10"/>
    <n v="370"/>
    <n v="1.3"/>
    <n v="3651.9"/>
    <s v="Refunded"/>
    <s v="Chennai"/>
    <x v="3"/>
    <x v="1"/>
    <x v="0"/>
  </r>
  <r>
    <s v="ORD-00641"/>
    <x v="13"/>
    <s v="CUST-0064"/>
    <s v="PROD-014"/>
    <x v="26"/>
    <n v="1"/>
    <n v="3620"/>
    <n v="1.4"/>
    <n v="3569.32"/>
    <s v="Completed"/>
    <s v="Hyderabad"/>
    <x v="0"/>
    <x v="3"/>
    <x v="2"/>
  </r>
  <r>
    <s v="ORD-00642"/>
    <x v="308"/>
    <s v="CUST-0192"/>
    <s v="PROD-008"/>
    <x v="1"/>
    <n v="10"/>
    <n v="2660"/>
    <n v="20.2"/>
    <n v="21226.799999999999"/>
    <s v="Completed"/>
    <s v="Bengaluru"/>
    <x v="4"/>
    <x v="0"/>
    <x v="9"/>
  </r>
  <r>
    <s v="ORD-00643"/>
    <x v="105"/>
    <s v="CUST-0175"/>
    <s v="PROD-051"/>
    <x v="15"/>
    <n v="10"/>
    <n v="3450"/>
    <n v="25.1"/>
    <n v="25840.5"/>
    <s v="Completed"/>
    <s v="Delhi"/>
    <x v="1"/>
    <x v="1"/>
    <x v="4"/>
  </r>
  <r>
    <s v="ORD-00644"/>
    <x v="98"/>
    <s v="CUST-0083"/>
    <s v="PROD-025"/>
    <x v="22"/>
    <n v="3"/>
    <n v="4060"/>
    <n v="2.5"/>
    <n v="11875.5"/>
    <s v="Refunded"/>
    <s v="Bengaluru"/>
    <x v="2"/>
    <x v="1"/>
    <x v="8"/>
  </r>
  <r>
    <s v="ORD-00645"/>
    <x v="137"/>
    <s v="CUST-0142"/>
    <s v="PROD-057"/>
    <x v="13"/>
    <n v="3"/>
    <n v="960"/>
    <n v="6.6"/>
    <n v="2689.92"/>
    <s v="Cancelled"/>
    <s v="Chennai"/>
    <x v="1"/>
    <x v="3"/>
    <x v="11"/>
  </r>
  <r>
    <s v="ORD-00646"/>
    <x v="196"/>
    <s v="CUST-0185"/>
    <s v="PROD-008"/>
    <x v="4"/>
    <n v="4"/>
    <n v="2660"/>
    <n v="16.899999999999999"/>
    <n v="8841.84"/>
    <s v="Completed"/>
    <s v="Hyderabad"/>
    <x v="4"/>
    <x v="0"/>
    <x v="3"/>
  </r>
  <r>
    <s v="ORD-00647"/>
    <x v="264"/>
    <s v="CUST-0284"/>
    <s v="PROD-024"/>
    <x v="26"/>
    <n v="6"/>
    <n v="2270"/>
    <n v="16.7"/>
    <n v="11345.46"/>
    <s v="Completed"/>
    <s v="Hyderabad"/>
    <x v="2"/>
    <x v="3"/>
    <x v="2"/>
  </r>
  <r>
    <s v="ORD-00648"/>
    <x v="0"/>
    <s v="CUST-0092"/>
    <s v="PROD-027"/>
    <x v="5"/>
    <n v="5"/>
    <n v="3780"/>
    <n v="21.5"/>
    <n v="14836.5"/>
    <s v="Completed"/>
    <s v="Bengaluru"/>
    <x v="2"/>
    <x v="2"/>
    <x v="0"/>
  </r>
  <r>
    <s v="ORD-00649"/>
    <x v="265"/>
    <s v="CUST-0091"/>
    <s v="PROD-037"/>
    <x v="7"/>
    <n v="10"/>
    <n v="660"/>
    <n v="18.8"/>
    <n v="5359.2"/>
    <s v="Completed"/>
    <s v="Delhi"/>
    <x v="3"/>
    <x v="3"/>
    <x v="7"/>
  </r>
  <r>
    <s v="ORD-00650"/>
    <x v="3"/>
    <s v="CUST-0155"/>
    <s v="PROD-031"/>
    <x v="6"/>
    <n v="10"/>
    <n v="3730"/>
    <n v="15.1"/>
    <n v="31667.7"/>
    <s v="Completed"/>
    <s v="Pune"/>
    <x v="3"/>
    <x v="2"/>
    <x v="3"/>
  </r>
  <r>
    <s v="ORD-00651"/>
    <x v="115"/>
    <s v="CUST-0280"/>
    <s v="PROD-025"/>
    <x v="13"/>
    <n v="6"/>
    <n v="4060"/>
    <n v="20.100000000000001"/>
    <n v="19463.64"/>
    <s v="Pending"/>
    <s v="Delhi"/>
    <x v="2"/>
    <x v="3"/>
    <x v="0"/>
  </r>
  <r>
    <s v="ORD-00652"/>
    <x v="283"/>
    <s v="CUST-0127"/>
    <s v="PROD-024"/>
    <x v="11"/>
    <n v="2"/>
    <n v="2270"/>
    <n v="17.7"/>
    <n v="3736.42"/>
    <s v="Completed"/>
    <s v="Bengaluru"/>
    <x v="2"/>
    <x v="0"/>
    <x v="7"/>
  </r>
  <r>
    <s v="ORD-00653"/>
    <x v="294"/>
    <s v="CUST-0077"/>
    <s v="PROD-003"/>
    <x v="8"/>
    <n v="9"/>
    <n v="3570"/>
    <n v="29.9"/>
    <n v="22523.13"/>
    <s v="Completed"/>
    <s v="Hyderabad"/>
    <x v="4"/>
    <x v="2"/>
    <x v="4"/>
  </r>
  <r>
    <s v="ORD-00654"/>
    <x v="126"/>
    <s v="CUST-0190"/>
    <s v="PROD-029"/>
    <x v="10"/>
    <n v="7"/>
    <n v="2210"/>
    <n v="25"/>
    <n v="11602.5"/>
    <s v="Completed"/>
    <s v="Hyderabad"/>
    <x v="2"/>
    <x v="0"/>
    <x v="7"/>
  </r>
  <r>
    <s v="ORD-00655"/>
    <x v="257"/>
    <s v="CUST-0089"/>
    <s v="PROD-057"/>
    <x v="17"/>
    <n v="2"/>
    <n v="960"/>
    <n v="8.1999999999999993"/>
    <n v="1762.56"/>
    <s v="Cancelled"/>
    <s v="Mumbai"/>
    <x v="1"/>
    <x v="2"/>
    <x v="2"/>
  </r>
  <r>
    <s v="ORD-00656"/>
    <x v="24"/>
    <s v="CUST-0141"/>
    <s v="PROD-059"/>
    <x v="17"/>
    <n v="9"/>
    <n v="3780"/>
    <n v="28.4"/>
    <n v="24358.32"/>
    <s v="Pending"/>
    <s v="Hyderabad"/>
    <x v="1"/>
    <x v="2"/>
    <x v="5"/>
  </r>
  <r>
    <s v="ORD-00657"/>
    <x v="248"/>
    <s v="CUST-0123"/>
    <s v="PROD-048"/>
    <x v="2"/>
    <n v="2"/>
    <n v="5100"/>
    <n v="8.6"/>
    <n v="9322.7999999999993"/>
    <s v="Completed"/>
    <s v="Chennai"/>
    <x v="5"/>
    <x v="1"/>
    <x v="9"/>
  </r>
  <r>
    <s v="ORD-00658"/>
    <x v="85"/>
    <s v="CUST-0041"/>
    <s v="PROD-019"/>
    <x v="13"/>
    <n v="4"/>
    <n v="2480"/>
    <n v="16.600000000000001"/>
    <n v="8273.2800000000007"/>
    <s v="Completed"/>
    <s v="Bengaluru"/>
    <x v="0"/>
    <x v="3"/>
    <x v="3"/>
  </r>
  <r>
    <s v="ORD-00659"/>
    <x v="68"/>
    <s v="CUST-0257"/>
    <s v="PROD-040"/>
    <x v="26"/>
    <n v="10"/>
    <n v="1080"/>
    <n v="14.5"/>
    <n v="9234"/>
    <s v="Completed"/>
    <s v="Mumbai"/>
    <x v="3"/>
    <x v="3"/>
    <x v="3"/>
  </r>
  <r>
    <s v="ORD-00660"/>
    <x v="312"/>
    <s v="CUST-0134"/>
    <s v="PROD-002"/>
    <x v="20"/>
    <n v="7"/>
    <n v="2600"/>
    <n v="21"/>
    <n v="14378"/>
    <s v="Completed"/>
    <s v="Delhi"/>
    <x v="4"/>
    <x v="2"/>
    <x v="2"/>
  </r>
  <r>
    <s v="ORD-00661"/>
    <x v="81"/>
    <s v="CUST-0180"/>
    <s v="PROD-002"/>
    <x v="15"/>
    <n v="7"/>
    <n v="2600"/>
    <n v="6.7"/>
    <n v="16980.599999999999"/>
    <s v="Pending"/>
    <s v="Chennai"/>
    <x v="4"/>
    <x v="1"/>
    <x v="4"/>
  </r>
  <r>
    <s v="ORD-00662"/>
    <x v="210"/>
    <s v="CUST-0283"/>
    <s v="PROD-020"/>
    <x v="12"/>
    <n v="8"/>
    <n v="820"/>
    <n v="17.8"/>
    <n v="5392.32"/>
    <s v="Pending"/>
    <s v="Delhi"/>
    <x v="0"/>
    <x v="3"/>
    <x v="5"/>
  </r>
  <r>
    <s v="ORD-00663"/>
    <x v="147"/>
    <s v="CUST-0047"/>
    <s v="PROD-057"/>
    <x v="18"/>
    <n v="3"/>
    <n v="960"/>
    <n v="17.8"/>
    <n v="2367.36"/>
    <s v="Completed"/>
    <s v="Pune"/>
    <x v="1"/>
    <x v="1"/>
    <x v="7"/>
  </r>
  <r>
    <s v="ORD-00664"/>
    <x v="114"/>
    <s v="CUST-0175"/>
    <s v="PROD-041"/>
    <x v="12"/>
    <n v="2"/>
    <n v="1540"/>
    <n v="1.8"/>
    <n v="3024.56"/>
    <s v="Cancelled"/>
    <s v="Delhi"/>
    <x v="5"/>
    <x v="3"/>
    <x v="11"/>
  </r>
  <r>
    <s v="ORD-00665"/>
    <x v="81"/>
    <s v="CUST-0227"/>
    <s v="PROD-056"/>
    <x v="14"/>
    <n v="5"/>
    <n v="6940"/>
    <n v="2.9"/>
    <n v="33693.699999999997"/>
    <s v="Completed"/>
    <s v="Bengaluru"/>
    <x v="1"/>
    <x v="2"/>
    <x v="4"/>
  </r>
  <r>
    <s v="ORD-00666"/>
    <x v="101"/>
    <s v="CUST-0287"/>
    <s v="PROD-041"/>
    <x v="22"/>
    <n v="5"/>
    <n v="1540"/>
    <n v="28.8"/>
    <n v="5482.4"/>
    <s v="Completed"/>
    <s v="Chennai"/>
    <x v="5"/>
    <x v="1"/>
    <x v="7"/>
  </r>
  <r>
    <s v="ORD-00667"/>
    <x v="179"/>
    <s v="CUST-0004"/>
    <s v="PROD-031"/>
    <x v="27"/>
    <n v="8"/>
    <n v="3730"/>
    <n v="21.1"/>
    <n v="23543.759999999998"/>
    <s v="Completed"/>
    <s v="Delhi"/>
    <x v="3"/>
    <x v="1"/>
    <x v="1"/>
  </r>
  <r>
    <s v="ORD-00668"/>
    <x v="208"/>
    <s v="CUST-0234"/>
    <s v="PROD-021"/>
    <x v="12"/>
    <n v="7"/>
    <n v="2760"/>
    <n v="1.2"/>
    <n v="19088.16"/>
    <s v="Cancelled"/>
    <s v="Bengaluru"/>
    <x v="2"/>
    <x v="3"/>
    <x v="8"/>
  </r>
  <r>
    <s v="ORD-00669"/>
    <x v="313"/>
    <s v="CUST-0255"/>
    <s v="PROD-006"/>
    <x v="16"/>
    <n v="3"/>
    <n v="3970"/>
    <n v="18.3"/>
    <n v="9730.4699999999993"/>
    <s v="Completed"/>
    <s v="Chennai"/>
    <x v="4"/>
    <x v="3"/>
    <x v="3"/>
  </r>
  <r>
    <s v="ORD-00670"/>
    <x v="274"/>
    <s v="CUST-0092"/>
    <s v="PROD-027"/>
    <x v="12"/>
    <n v="4"/>
    <n v="3780"/>
    <n v="24.6"/>
    <n v="11400.48"/>
    <s v="Completed"/>
    <s v="Bengaluru"/>
    <x v="2"/>
    <x v="3"/>
    <x v="5"/>
  </r>
  <r>
    <s v="ORD-00671"/>
    <x v="146"/>
    <s v="CUST-0037"/>
    <s v="PROD-015"/>
    <x v="4"/>
    <n v="10"/>
    <n v="2720"/>
    <n v="12.8"/>
    <n v="23718.400000000001"/>
    <s v="Completed"/>
    <s v="Bengaluru"/>
    <x v="0"/>
    <x v="0"/>
    <x v="11"/>
  </r>
  <r>
    <s v="ORD-00672"/>
    <x v="2"/>
    <s v="CUST-0208"/>
    <s v="PROD-006"/>
    <x v="21"/>
    <n v="5"/>
    <n v="3970"/>
    <n v="5.9"/>
    <n v="18678.849999999999"/>
    <s v="Completed"/>
    <s v="Mumbai"/>
    <x v="4"/>
    <x v="3"/>
    <x v="2"/>
  </r>
  <r>
    <s v="ORD-00673"/>
    <x v="131"/>
    <s v="CUST-0008"/>
    <s v="PROD-020"/>
    <x v="23"/>
    <n v="3"/>
    <n v="820"/>
    <n v="19.399999999999999"/>
    <n v="1982.76"/>
    <s v="Completed"/>
    <s v="Pune"/>
    <x v="0"/>
    <x v="1"/>
    <x v="4"/>
  </r>
  <r>
    <s v="ORD-00674"/>
    <x v="314"/>
    <s v="CUST-0050"/>
    <s v="PROD-016"/>
    <x v="9"/>
    <n v="7"/>
    <n v="620"/>
    <n v="9.9"/>
    <n v="3910.34"/>
    <s v="Completed"/>
    <s v="Mumbai"/>
    <x v="0"/>
    <x v="1"/>
    <x v="6"/>
  </r>
  <r>
    <s v="ORD-00675"/>
    <x v="125"/>
    <s v="CUST-0166"/>
    <s v="PROD-042"/>
    <x v="28"/>
    <n v="8"/>
    <n v="2290"/>
    <n v="18.3"/>
    <n v="14967.44"/>
    <s v="Completed"/>
    <s v="Hyderabad"/>
    <x v="5"/>
    <x v="2"/>
    <x v="11"/>
  </r>
  <r>
    <s v="ORD-00676"/>
    <x v="234"/>
    <s v="CUST-0271"/>
    <s v="PROD-030"/>
    <x v="5"/>
    <n v="3"/>
    <n v="970"/>
    <n v="18.399999999999999"/>
    <n v="2374.56"/>
    <s v="Completed"/>
    <s v="Bengaluru"/>
    <x v="2"/>
    <x v="2"/>
    <x v="2"/>
  </r>
  <r>
    <s v="ORD-00677"/>
    <x v="140"/>
    <s v="CUST-0034"/>
    <s v="PROD-032"/>
    <x v="2"/>
    <n v="2"/>
    <n v="370"/>
    <n v="8.9"/>
    <n v="674.14"/>
    <s v="Completed"/>
    <s v="Delhi"/>
    <x v="3"/>
    <x v="1"/>
    <x v="3"/>
  </r>
  <r>
    <s v="ORD-00678"/>
    <x v="215"/>
    <s v="CUST-0016"/>
    <s v="PROD-007"/>
    <x v="0"/>
    <n v="1"/>
    <n v="1430"/>
    <n v="5.9"/>
    <n v="1345.63"/>
    <s v="Cancelled"/>
    <s v="Delhi"/>
    <x v="4"/>
    <x v="0"/>
    <x v="8"/>
  </r>
  <r>
    <s v="ORD-00679"/>
    <x v="315"/>
    <s v="CUST-0039"/>
    <s v="PROD-058"/>
    <x v="14"/>
    <n v="2"/>
    <n v="2400"/>
    <n v="29.1"/>
    <n v="3403.2"/>
    <s v="Completed"/>
    <s v="Bengaluru"/>
    <x v="1"/>
    <x v="2"/>
    <x v="10"/>
  </r>
  <r>
    <s v="ORD-00680"/>
    <x v="186"/>
    <s v="CUST-0253"/>
    <s v="PROD-007"/>
    <x v="23"/>
    <n v="9"/>
    <n v="1430"/>
    <n v="6"/>
    <n v="12097.8"/>
    <s v="Completed"/>
    <s v="Delhi"/>
    <x v="4"/>
    <x v="1"/>
    <x v="1"/>
  </r>
  <r>
    <s v="ORD-00681"/>
    <x v="256"/>
    <s v="CUST-0295"/>
    <s v="PROD-015"/>
    <x v="0"/>
    <n v="8"/>
    <n v="2720"/>
    <n v="25.7"/>
    <n v="16167.68"/>
    <s v="Completed"/>
    <s v="Delhi"/>
    <x v="0"/>
    <x v="0"/>
    <x v="7"/>
  </r>
  <r>
    <s v="ORD-00682"/>
    <x v="160"/>
    <s v="CUST-0138"/>
    <s v="PROD-056"/>
    <x v="28"/>
    <n v="6"/>
    <n v="6940"/>
    <n v="25.7"/>
    <n v="30938.52"/>
    <s v="Completed"/>
    <s v="Chennai"/>
    <x v="1"/>
    <x v="2"/>
    <x v="9"/>
  </r>
  <r>
    <s v="ORD-00683"/>
    <x v="22"/>
    <s v="CUST-0002"/>
    <s v="PROD-014"/>
    <x v="0"/>
    <n v="3"/>
    <n v="3620"/>
    <n v="29.7"/>
    <n v="7634.58"/>
    <s v="Completed"/>
    <s v="Pune"/>
    <x v="0"/>
    <x v="0"/>
    <x v="6"/>
  </r>
  <r>
    <s v="ORD-00684"/>
    <x v="70"/>
    <s v="CUST-0287"/>
    <s v="PROD-010"/>
    <x v="5"/>
    <n v="8"/>
    <n v="2640"/>
    <n v="24.4"/>
    <n v="15966.72"/>
    <s v="Completed"/>
    <s v="Chennai"/>
    <x v="4"/>
    <x v="2"/>
    <x v="4"/>
  </r>
  <r>
    <s v="ORD-00685"/>
    <x v="134"/>
    <s v="CUST-0279"/>
    <s v="PROD-038"/>
    <x v="3"/>
    <n v="3"/>
    <n v="5490"/>
    <n v="13.5"/>
    <n v="14246.55"/>
    <s v="Completed"/>
    <s v="Mumbai"/>
    <x v="3"/>
    <x v="0"/>
    <x v="1"/>
  </r>
  <r>
    <s v="ORD-00686"/>
    <x v="3"/>
    <s v="CUST-0008"/>
    <s v="PROD-034"/>
    <x v="21"/>
    <n v="3"/>
    <n v="5080"/>
    <n v="9.3000000000000007"/>
    <n v="13822.68"/>
    <s v="Completed"/>
    <s v="Pune"/>
    <x v="3"/>
    <x v="3"/>
    <x v="3"/>
  </r>
  <r>
    <s v="ORD-00687"/>
    <x v="50"/>
    <s v="CUST-0092"/>
    <s v="PROD-042"/>
    <x v="14"/>
    <n v="4"/>
    <n v="2290"/>
    <n v="24.4"/>
    <n v="6924.96"/>
    <s v="Completed"/>
    <s v="Bengaluru"/>
    <x v="5"/>
    <x v="2"/>
    <x v="7"/>
  </r>
  <r>
    <s v="ORD-00688"/>
    <x v="113"/>
    <s v="CUST-0106"/>
    <s v="PROD-033"/>
    <x v="23"/>
    <n v="10"/>
    <n v="2030"/>
    <n v="13.6"/>
    <n v="17539.2"/>
    <s v="Pending"/>
    <s v="Pune"/>
    <x v="3"/>
    <x v="1"/>
    <x v="6"/>
  </r>
  <r>
    <s v="ORD-00689"/>
    <x v="84"/>
    <s v="CUST-0010"/>
    <s v="PROD-007"/>
    <x v="27"/>
    <n v="10"/>
    <n v="1430"/>
    <n v="16.100000000000001"/>
    <n v="11997.7"/>
    <s v="Cancelled"/>
    <s v="Mumbai"/>
    <x v="4"/>
    <x v="1"/>
    <x v="4"/>
  </r>
  <r>
    <s v="ORD-00690"/>
    <x v="298"/>
    <s v="CUST-0179"/>
    <s v="PROD-027"/>
    <x v="18"/>
    <n v="1"/>
    <n v="3780"/>
    <n v="22.7"/>
    <n v="2921.94"/>
    <s v="Completed"/>
    <s v="Mumbai"/>
    <x v="2"/>
    <x v="1"/>
    <x v="2"/>
  </r>
  <r>
    <s v="ORD-00691"/>
    <x v="68"/>
    <s v="CUST-0216"/>
    <s v="PROD-012"/>
    <x v="13"/>
    <n v="10"/>
    <n v="3160"/>
    <n v="13.4"/>
    <n v="27365.599999999999"/>
    <s v="Completed"/>
    <s v="Mumbai"/>
    <x v="0"/>
    <x v="3"/>
    <x v="3"/>
  </r>
  <r>
    <s v="ORD-00692"/>
    <x v="124"/>
    <s v="CUST-0172"/>
    <s v="PROD-007"/>
    <x v="11"/>
    <n v="2"/>
    <n v="1430"/>
    <n v="7.4"/>
    <n v="2648.36"/>
    <s v="Completed"/>
    <s v="Pune"/>
    <x v="4"/>
    <x v="0"/>
    <x v="3"/>
  </r>
  <r>
    <s v="ORD-00693"/>
    <x v="93"/>
    <s v="CUST-0152"/>
    <s v="PROD-012"/>
    <x v="3"/>
    <n v="5"/>
    <n v="3160"/>
    <n v="3.6"/>
    <n v="15231.2"/>
    <s v="Pending"/>
    <s v="Bengaluru"/>
    <x v="0"/>
    <x v="0"/>
    <x v="8"/>
  </r>
  <r>
    <s v="ORD-00694"/>
    <x v="126"/>
    <s v="CUST-0154"/>
    <s v="PROD-042"/>
    <x v="10"/>
    <n v="2"/>
    <n v="2290"/>
    <n v="28.2"/>
    <n v="3288.44"/>
    <s v="Completed"/>
    <s v="Pune"/>
    <x v="5"/>
    <x v="0"/>
    <x v="7"/>
  </r>
  <r>
    <s v="ORD-00695"/>
    <x v="250"/>
    <s v="CUST-0001"/>
    <s v="PROD-011"/>
    <x v="15"/>
    <n v="5"/>
    <n v="3450"/>
    <n v="18.100000000000001"/>
    <n v="14127.75"/>
    <s v="Cancelled"/>
    <s v="Pune"/>
    <x v="0"/>
    <x v="1"/>
    <x v="2"/>
  </r>
  <r>
    <s v="ORD-00696"/>
    <x v="96"/>
    <s v="CUST-0069"/>
    <s v="PROD-018"/>
    <x v="19"/>
    <n v="1"/>
    <n v="3560"/>
    <n v="18.7"/>
    <n v="2894.28"/>
    <s v="Completed"/>
    <s v="Chennai"/>
    <x v="0"/>
    <x v="0"/>
    <x v="3"/>
  </r>
  <r>
    <s v="ORD-00697"/>
    <x v="87"/>
    <s v="CUST-0200"/>
    <s v="PROD-058"/>
    <x v="18"/>
    <n v="9"/>
    <n v="2400"/>
    <n v="18.5"/>
    <n v="17604"/>
    <s v="Completed"/>
    <s v="Hyderabad"/>
    <x v="1"/>
    <x v="1"/>
    <x v="3"/>
  </r>
  <r>
    <s v="ORD-00698"/>
    <x v="209"/>
    <s v="CUST-0164"/>
    <s v="PROD-004"/>
    <x v="12"/>
    <n v="9"/>
    <n v="3870"/>
    <n v="6.9"/>
    <n v="32426.73"/>
    <s v="Refunded"/>
    <s v="Chennai"/>
    <x v="4"/>
    <x v="3"/>
    <x v="3"/>
  </r>
  <r>
    <s v="ORD-00699"/>
    <x v="247"/>
    <s v="CUST-0004"/>
    <s v="PROD-028"/>
    <x v="24"/>
    <n v="5"/>
    <n v="3660"/>
    <n v="11.7"/>
    <n v="16158.9"/>
    <s v="Completed"/>
    <s v="Delhi"/>
    <x v="2"/>
    <x v="3"/>
    <x v="4"/>
  </r>
  <r>
    <s v="ORD-00700"/>
    <x v="63"/>
    <s v="CUST-0224"/>
    <s v="PROD-040"/>
    <x v="14"/>
    <n v="4"/>
    <n v="1080"/>
    <n v="17.5"/>
    <n v="3564"/>
    <s v="Completed"/>
    <s v="Chennai"/>
    <x v="3"/>
    <x v="2"/>
    <x v="1"/>
  </r>
  <r>
    <s v="ORD-01185"/>
    <x v="92"/>
    <s v="CUST-0037"/>
    <s v="PROD-059"/>
    <x v="3"/>
    <n v="6"/>
    <n v="3780"/>
    <n v="27.8"/>
    <n v="16374.96"/>
    <s v="Completed"/>
    <s v="Bengaluru"/>
    <x v="1"/>
    <x v="0"/>
    <x v="11"/>
  </r>
  <r>
    <s v="ORD-00702"/>
    <x v="126"/>
    <s v="CUST-0179"/>
    <s v="PROD-019"/>
    <x v="24"/>
    <n v="8"/>
    <n v="2480"/>
    <n v="15.7"/>
    <n v="16725.12"/>
    <s v="Pending"/>
    <s v="Mumbai"/>
    <x v="0"/>
    <x v="3"/>
    <x v="7"/>
  </r>
  <r>
    <s v="ORD-00703"/>
    <x v="132"/>
    <s v="CUST-0018"/>
    <s v="PROD-054"/>
    <x v="2"/>
    <n v="10"/>
    <n v="1010"/>
    <n v="0.1"/>
    <n v="10089.9"/>
    <s v="Pending"/>
    <s v="Pune"/>
    <x v="1"/>
    <x v="1"/>
    <x v="5"/>
  </r>
  <r>
    <s v="ORD-00704"/>
    <x v="5"/>
    <s v="CUST-0184"/>
    <s v="PROD-053"/>
    <x v="15"/>
    <n v="3"/>
    <n v="470"/>
    <n v="1.1000000000000001"/>
    <n v="1394.49"/>
    <s v="Completed"/>
    <s v="Pune"/>
    <x v="1"/>
    <x v="1"/>
    <x v="5"/>
  </r>
  <r>
    <s v="ORD-00705"/>
    <x v="267"/>
    <s v="CUST-0066"/>
    <s v="PROD-024"/>
    <x v="7"/>
    <n v="4"/>
    <n v="2270"/>
    <n v="17.100000000000001"/>
    <n v="7527.32"/>
    <s v="Completed"/>
    <s v="Delhi"/>
    <x v="2"/>
    <x v="3"/>
    <x v="10"/>
  </r>
  <r>
    <s v="ORD-00706"/>
    <x v="276"/>
    <s v="CUST-0053"/>
    <s v="PROD-021"/>
    <x v="9"/>
    <n v="7"/>
    <n v="2760"/>
    <n v="17.100000000000001"/>
    <n v="16016.28"/>
    <s v="Completed"/>
    <s v="Delhi"/>
    <x v="2"/>
    <x v="1"/>
    <x v="9"/>
  </r>
  <r>
    <s v="ORD-00707"/>
    <x v="21"/>
    <s v="CUST-0278"/>
    <s v="PROD-051"/>
    <x v="4"/>
    <n v="6"/>
    <n v="3450"/>
    <n v="6.6"/>
    <n v="19333.8"/>
    <s v="Refunded"/>
    <s v="Hyderabad"/>
    <x v="1"/>
    <x v="0"/>
    <x v="7"/>
  </r>
  <r>
    <s v="ORD-00708"/>
    <x v="316"/>
    <s v="CUST-0285"/>
    <s v="PROD-028"/>
    <x v="0"/>
    <n v="8"/>
    <n v="3660"/>
    <n v="7.2"/>
    <n v="27171.84"/>
    <s v="Completed"/>
    <s v="Hyderabad"/>
    <x v="2"/>
    <x v="0"/>
    <x v="8"/>
  </r>
  <r>
    <s v="ORD-00709"/>
    <x v="317"/>
    <s v="CUST-0060"/>
    <s v="PROD-009"/>
    <x v="14"/>
    <n v="4"/>
    <n v="1220"/>
    <n v="24.3"/>
    <n v="3694.16"/>
    <s v="Cancelled"/>
    <s v="Pune"/>
    <x v="4"/>
    <x v="2"/>
    <x v="0"/>
  </r>
  <r>
    <s v="ORD-00710"/>
    <x v="294"/>
    <s v="CUST-0236"/>
    <s v="PROD-052"/>
    <x v="0"/>
    <n v="2"/>
    <n v="5410"/>
    <n v="0.9"/>
    <n v="10722.62"/>
    <s v="Pending"/>
    <s v="Hyderabad"/>
    <x v="1"/>
    <x v="0"/>
    <x v="4"/>
  </r>
  <r>
    <s v="ORD-00711"/>
    <x v="94"/>
    <s v="CUST-0106"/>
    <s v="PROD-033"/>
    <x v="18"/>
    <n v="5"/>
    <n v="2030"/>
    <n v="25.2"/>
    <n v="7592.2"/>
    <s v="Completed"/>
    <s v="Pune"/>
    <x v="3"/>
    <x v="1"/>
    <x v="11"/>
  </r>
  <r>
    <s v="ORD-00712"/>
    <x v="26"/>
    <s v="CUST-0085"/>
    <s v="PROD-009"/>
    <x v="27"/>
    <n v="5"/>
    <n v="1220"/>
    <n v="2.6"/>
    <n v="5941.4"/>
    <s v="Completed"/>
    <s v="Chennai"/>
    <x v="4"/>
    <x v="1"/>
    <x v="2"/>
  </r>
  <r>
    <s v="ORD-00713"/>
    <x v="77"/>
    <s v="CUST-0075"/>
    <s v="PROD-008"/>
    <x v="3"/>
    <n v="4"/>
    <n v="2660"/>
    <n v="19.100000000000001"/>
    <n v="8607.76"/>
    <s v="Refunded"/>
    <s v="Mumbai"/>
    <x v="4"/>
    <x v="0"/>
    <x v="4"/>
  </r>
  <r>
    <s v="ORD-00714"/>
    <x v="116"/>
    <s v="CUST-0169"/>
    <s v="PROD-026"/>
    <x v="29"/>
    <n v="3"/>
    <n v="4070"/>
    <n v="25.2"/>
    <n v="9133.08"/>
    <s v="Completed"/>
    <s v="Bengaluru"/>
    <x v="2"/>
    <x v="1"/>
    <x v="1"/>
  </r>
  <r>
    <s v="ORD-00715"/>
    <x v="76"/>
    <s v="CUST-0166"/>
    <s v="PROD-049"/>
    <x v="2"/>
    <n v="10"/>
    <n v="960"/>
    <n v="0.3"/>
    <n v="9571.2000000000007"/>
    <s v="Completed"/>
    <s v="Hyderabad"/>
    <x v="5"/>
    <x v="1"/>
    <x v="6"/>
  </r>
  <r>
    <s v="ORD-00716"/>
    <x v="313"/>
    <s v="CUST-0065"/>
    <s v="PROD-031"/>
    <x v="20"/>
    <n v="2"/>
    <n v="3730"/>
    <n v="29.9"/>
    <n v="5229.46"/>
    <s v="Completed"/>
    <s v="Chennai"/>
    <x v="3"/>
    <x v="2"/>
    <x v="3"/>
  </r>
  <r>
    <s v="ORD-00717"/>
    <x v="95"/>
    <s v="CUST-0102"/>
    <s v="PROD-057"/>
    <x v="10"/>
    <n v="9"/>
    <n v="960"/>
    <n v="1.9"/>
    <n v="8475.84"/>
    <s v="Completed"/>
    <s v="Chennai"/>
    <x v="1"/>
    <x v="0"/>
    <x v="9"/>
  </r>
  <r>
    <s v="ORD-00718"/>
    <x v="253"/>
    <s v="CUST-0052"/>
    <s v="PROD-011"/>
    <x v="10"/>
    <n v="2"/>
    <n v="3450"/>
    <n v="22.9"/>
    <n v="5319.9"/>
    <s v="Pending"/>
    <s v="Pune"/>
    <x v="0"/>
    <x v="0"/>
    <x v="6"/>
  </r>
  <r>
    <s v="ORD-00719"/>
    <x v="48"/>
    <s v="CUST-0130"/>
    <s v="PROD-052"/>
    <x v="9"/>
    <n v="3"/>
    <n v="5410"/>
    <n v="15.5"/>
    <n v="13714.35"/>
    <s v="Completed"/>
    <s v="Bengaluru"/>
    <x v="1"/>
    <x v="1"/>
    <x v="4"/>
  </r>
  <r>
    <s v="ORD-00720"/>
    <x v="120"/>
    <s v="CUST-0284"/>
    <s v="PROD-043"/>
    <x v="7"/>
    <n v="8"/>
    <n v="3350"/>
    <n v="18.399999999999999"/>
    <n v="21868.799999999999"/>
    <s v="Completed"/>
    <s v="Hyderabad"/>
    <x v="5"/>
    <x v="3"/>
    <x v="6"/>
  </r>
  <r>
    <s v="ORD-00721"/>
    <x v="4"/>
    <s v="CUST-0053"/>
    <s v="PROD-015"/>
    <x v="4"/>
    <n v="5"/>
    <n v="2720"/>
    <n v="17.3"/>
    <n v="11247.2"/>
    <s v="Cancelled"/>
    <s v="Delhi"/>
    <x v="0"/>
    <x v="0"/>
    <x v="4"/>
  </r>
  <r>
    <s v="ORD-00722"/>
    <x v="210"/>
    <s v="CUST-0293"/>
    <s v="PROD-028"/>
    <x v="21"/>
    <n v="8"/>
    <n v="3660"/>
    <n v="28.8"/>
    <n v="20847.36"/>
    <s v="Completed"/>
    <s v="Bengaluru"/>
    <x v="2"/>
    <x v="3"/>
    <x v="5"/>
  </r>
  <r>
    <s v="ORD-00723"/>
    <x v="21"/>
    <s v="CUST-0242"/>
    <s v="PROD-005"/>
    <x v="22"/>
    <n v="6"/>
    <n v="300"/>
    <n v="23.9"/>
    <n v="1369.8"/>
    <s v="Cancelled"/>
    <s v="Chennai"/>
    <x v="4"/>
    <x v="1"/>
    <x v="7"/>
  </r>
  <r>
    <s v="ORD-00724"/>
    <x v="289"/>
    <s v="CUST-0226"/>
    <s v="PROD-042"/>
    <x v="17"/>
    <n v="3"/>
    <n v="2290"/>
    <n v="2.4"/>
    <n v="6705.12"/>
    <s v="Completed"/>
    <s v="Chennai"/>
    <x v="5"/>
    <x v="2"/>
    <x v="0"/>
  </r>
  <r>
    <s v="ORD-00725"/>
    <x v="210"/>
    <s v="CUST-0005"/>
    <s v="PROD-046"/>
    <x v="2"/>
    <n v="6"/>
    <n v="4880"/>
    <n v="11.1"/>
    <n v="26029.919999999998"/>
    <s v="Pending"/>
    <s v="Chennai"/>
    <x v="5"/>
    <x v="1"/>
    <x v="5"/>
  </r>
  <r>
    <s v="ORD-00726"/>
    <x v="254"/>
    <s v="CUST-0211"/>
    <s v="PROD-005"/>
    <x v="0"/>
    <n v="5"/>
    <n v="300"/>
    <n v="19.399999999999999"/>
    <n v="1209"/>
    <s v="Completed"/>
    <s v="Bengaluru"/>
    <x v="4"/>
    <x v="0"/>
    <x v="0"/>
  </r>
  <r>
    <s v="ORD-00727"/>
    <x v="208"/>
    <s v="CUST-0229"/>
    <s v="PROD-008"/>
    <x v="14"/>
    <n v="3"/>
    <n v="2660"/>
    <n v="28.5"/>
    <n v="5705.7"/>
    <s v="Pending"/>
    <s v="Hyderabad"/>
    <x v="4"/>
    <x v="2"/>
    <x v="8"/>
  </r>
  <r>
    <s v="ORD-00728"/>
    <x v="224"/>
    <s v="CUST-0037"/>
    <s v="PROD-035"/>
    <x v="6"/>
    <n v="7"/>
    <n v="1090"/>
    <n v="10.3"/>
    <n v="6844.11"/>
    <s v="Completed"/>
    <s v="Bengaluru"/>
    <x v="3"/>
    <x v="2"/>
    <x v="3"/>
  </r>
  <r>
    <s v="ORD-00729"/>
    <x v="154"/>
    <s v="CUST-0059"/>
    <s v="PROD-007"/>
    <x v="27"/>
    <n v="9"/>
    <n v="1430"/>
    <n v="12.1"/>
    <n v="11312.73"/>
    <s v="Cancelled"/>
    <s v="Pune"/>
    <x v="4"/>
    <x v="1"/>
    <x v="1"/>
  </r>
  <r>
    <s v="ORD-00730"/>
    <x v="112"/>
    <s v="CUST-0222"/>
    <s v="PROD-010"/>
    <x v="1"/>
    <n v="5"/>
    <n v="2640"/>
    <n v="26.8"/>
    <n v="9662.4"/>
    <s v="Completed"/>
    <s v="Chennai"/>
    <x v="4"/>
    <x v="0"/>
    <x v="1"/>
  </r>
  <r>
    <s v="ORD-00731"/>
    <x v="71"/>
    <s v="CUST-0157"/>
    <s v="PROD-015"/>
    <x v="19"/>
    <n v="8"/>
    <n v="2720"/>
    <n v="17.5"/>
    <n v="17952"/>
    <s v="Completed"/>
    <s v="Pune"/>
    <x v="0"/>
    <x v="0"/>
    <x v="10"/>
  </r>
  <r>
    <s v="ORD-00732"/>
    <x v="226"/>
    <s v="CUST-0027"/>
    <s v="PROD-013"/>
    <x v="29"/>
    <n v="9"/>
    <n v="3640"/>
    <n v="3.6"/>
    <n v="31580.639999999999"/>
    <s v="Completed"/>
    <s v="Hyderabad"/>
    <x v="0"/>
    <x v="1"/>
    <x v="7"/>
  </r>
  <r>
    <s v="ORD-00733"/>
    <x v="211"/>
    <s v="CUST-9846"/>
    <s v="PROD-050"/>
    <x v="13"/>
    <n v="7"/>
    <n v="6080"/>
    <n v="23.6"/>
    <n v="32515.84"/>
    <s v="Completed"/>
    <s v="Mumbai"/>
    <x v="5"/>
    <x v="3"/>
    <x v="0"/>
  </r>
  <r>
    <s v="ORD-00734"/>
    <x v="241"/>
    <s v="CUST-0011"/>
    <s v="PROD-001"/>
    <x v="15"/>
    <n v="7"/>
    <n v="5330"/>
    <n v="19.7"/>
    <n v="29959.93"/>
    <s v="Cancelled"/>
    <s v="Chennai"/>
    <x v="4"/>
    <x v="1"/>
    <x v="9"/>
  </r>
  <r>
    <s v="ORD-00735"/>
    <x v="106"/>
    <s v="CUST-0043"/>
    <s v="PROD-039"/>
    <x v="6"/>
    <n v="5"/>
    <n v="4610"/>
    <n v="3.6"/>
    <n v="22220.2"/>
    <s v="Completed"/>
    <s v="Hyderabad"/>
    <x v="3"/>
    <x v="2"/>
    <x v="9"/>
  </r>
  <r>
    <s v="ORD-00736"/>
    <x v="272"/>
    <s v="CUST-0154"/>
    <s v="PROD-001"/>
    <x v="14"/>
    <n v="9"/>
    <n v="5330"/>
    <n v="22.9"/>
    <n v="36984.870000000003"/>
    <s v="Completed"/>
    <s v="Pune"/>
    <x v="4"/>
    <x v="2"/>
    <x v="11"/>
  </r>
  <r>
    <s v="ORD-00737"/>
    <x v="242"/>
    <s v="CUST-0163"/>
    <s v="PROD-050"/>
    <x v="26"/>
    <n v="5"/>
    <n v="6080"/>
    <n v="6"/>
    <n v="28576"/>
    <s v="Refunded"/>
    <s v="Pune"/>
    <x v="5"/>
    <x v="3"/>
    <x v="3"/>
  </r>
  <r>
    <s v="ORD-00738"/>
    <x v="193"/>
    <s v="CUST-0299"/>
    <s v="PROD-013"/>
    <x v="21"/>
    <n v="7"/>
    <n v="3640"/>
    <n v="5.5"/>
    <n v="24078.6"/>
    <s v="Completed"/>
    <s v="Mumbai"/>
    <x v="0"/>
    <x v="3"/>
    <x v="11"/>
  </r>
  <r>
    <s v="ORD-00739"/>
    <x v="260"/>
    <s v="CUST-0240"/>
    <s v="PROD-008"/>
    <x v="22"/>
    <n v="1"/>
    <n v="2660"/>
    <n v="6.1"/>
    <n v="2497.7399999999998"/>
    <s v="Cancelled"/>
    <s v="Chennai"/>
    <x v="4"/>
    <x v="1"/>
    <x v="1"/>
  </r>
  <r>
    <s v="ORD-00740"/>
    <x v="212"/>
    <s v="CUST-0291"/>
    <s v="PROD-043"/>
    <x v="15"/>
    <n v="8"/>
    <n v="3350"/>
    <n v="19.5"/>
    <n v="21574"/>
    <s v="Completed"/>
    <s v="Pune"/>
    <x v="5"/>
    <x v="1"/>
    <x v="11"/>
  </r>
  <r>
    <s v="ORD-00741"/>
    <x v="83"/>
    <s v="CUST-0243"/>
    <s v="PROD-039"/>
    <x v="7"/>
    <n v="4"/>
    <n v="4610"/>
    <n v="24"/>
    <n v="14014.4"/>
    <s v="Completed"/>
    <s v="Pune"/>
    <x v="3"/>
    <x v="3"/>
    <x v="8"/>
  </r>
  <r>
    <s v="ORD-00742"/>
    <x v="174"/>
    <s v="CUST-0073"/>
    <s v="PROD-055"/>
    <x v="2"/>
    <n v="7"/>
    <n v="2860"/>
    <n v="23.2"/>
    <n v="15375.36"/>
    <s v="Completed"/>
    <s v="Pune"/>
    <x v="1"/>
    <x v="1"/>
    <x v="11"/>
  </r>
  <r>
    <s v="ORD-00743"/>
    <x v="128"/>
    <s v="CUST-0154"/>
    <s v="PROD-043"/>
    <x v="22"/>
    <n v="7"/>
    <n v="3350"/>
    <n v="10.6"/>
    <n v="20964.3"/>
    <s v="Pending"/>
    <s v="Pune"/>
    <x v="5"/>
    <x v="1"/>
    <x v="8"/>
  </r>
  <r>
    <s v="ORD-00744"/>
    <x v="55"/>
    <s v="CUST-0084"/>
    <s v="PROD-029"/>
    <x v="8"/>
    <n v="5"/>
    <n v="2210"/>
    <n v="12.1"/>
    <n v="9712.9500000000007"/>
    <s v="Completed"/>
    <s v="Chennai"/>
    <x v="2"/>
    <x v="2"/>
    <x v="9"/>
  </r>
  <r>
    <s v="ORD-00745"/>
    <x v="90"/>
    <s v="CUST-0228"/>
    <s v="PROD-047"/>
    <x v="22"/>
    <n v="1"/>
    <n v="3450"/>
    <n v="19.100000000000001"/>
    <n v="2791.05"/>
    <s v="Pending"/>
    <s v="Pune"/>
    <x v="5"/>
    <x v="1"/>
    <x v="1"/>
  </r>
  <r>
    <s v="ORD-00746"/>
    <x v="78"/>
    <s v="CUST-0232"/>
    <s v="PROD-048"/>
    <x v="8"/>
    <n v="5"/>
    <n v="5100"/>
    <n v="2.8"/>
    <n v="24786"/>
    <s v="Completed"/>
    <s v="Hyderabad"/>
    <x v="5"/>
    <x v="2"/>
    <x v="9"/>
  </r>
  <r>
    <s v="ORD-00747"/>
    <x v="318"/>
    <s v="CUST-0129"/>
    <s v="PROD-048"/>
    <x v="11"/>
    <n v="9"/>
    <n v="5100"/>
    <n v="24.4"/>
    <n v="34700.400000000001"/>
    <s v="Completed"/>
    <s v="Hyderabad"/>
    <x v="5"/>
    <x v="0"/>
    <x v="3"/>
  </r>
  <r>
    <s v="ORD-00748"/>
    <x v="296"/>
    <s v="CUST-0189"/>
    <s v="PROD-037"/>
    <x v="3"/>
    <n v="9"/>
    <n v="660"/>
    <n v="19.8"/>
    <n v="4763.88"/>
    <s v="Completed"/>
    <s v="Chennai"/>
    <x v="3"/>
    <x v="0"/>
    <x v="9"/>
  </r>
  <r>
    <s v="ORD-00749"/>
    <x v="0"/>
    <s v="CUST-0122"/>
    <s v="PROD-026"/>
    <x v="3"/>
    <n v="3"/>
    <n v="4070"/>
    <n v="27.1"/>
    <n v="8901.09"/>
    <s v="Completed"/>
    <s v="Mumbai"/>
    <x v="2"/>
    <x v="0"/>
    <x v="0"/>
  </r>
  <r>
    <s v="ORD-00750"/>
    <x v="172"/>
    <s v="CUST-0170"/>
    <s v="PROD-017"/>
    <x v="0"/>
    <n v="2"/>
    <n v="2510"/>
    <n v="29.1"/>
    <n v="3559.18"/>
    <s v="Completed"/>
    <s v="Mumbai"/>
    <x v="0"/>
    <x v="0"/>
    <x v="10"/>
  </r>
  <r>
    <s v="ORD-00751"/>
    <x v="121"/>
    <s v="CUST-0291"/>
    <s v="PROD-036"/>
    <x v="14"/>
    <n v="4"/>
    <n v="3250"/>
    <n v="21.1"/>
    <n v="10257"/>
    <s v="Completed"/>
    <s v="Pune"/>
    <x v="3"/>
    <x v="2"/>
    <x v="6"/>
  </r>
  <r>
    <s v="ORD-00752"/>
    <x v="77"/>
    <s v="CUST-0090"/>
    <s v="PROD-032"/>
    <x v="1"/>
    <n v="3"/>
    <n v="370"/>
    <n v="7.7"/>
    <n v="1024.53"/>
    <s v="Completed"/>
    <s v="Bengaluru"/>
    <x v="3"/>
    <x v="0"/>
    <x v="4"/>
  </r>
  <r>
    <s v="ORD-00753"/>
    <x v="319"/>
    <s v="CUST-0205"/>
    <s v="PROD-020"/>
    <x v="3"/>
    <n v="10"/>
    <n v="820"/>
    <n v="3.5"/>
    <n v="7913"/>
    <s v="Completed"/>
    <s v="Pune"/>
    <x v="0"/>
    <x v="0"/>
    <x v="10"/>
  </r>
  <r>
    <s v="ORD-00754"/>
    <x v="101"/>
    <s v="CUST-0192"/>
    <s v="PROD-026"/>
    <x v="20"/>
    <n v="4"/>
    <n v="4070"/>
    <n v="23.8"/>
    <n v="12405.36"/>
    <s v="Completed"/>
    <s v="Bengaluru"/>
    <x v="2"/>
    <x v="2"/>
    <x v="7"/>
  </r>
  <r>
    <s v="ORD-00755"/>
    <x v="320"/>
    <s v="CUST-0270"/>
    <s v="PROD-023"/>
    <x v="23"/>
    <n v="1"/>
    <n v="2380"/>
    <n v="19.600000000000001"/>
    <n v="1913.52"/>
    <s v="Cancelled"/>
    <s v="Bengaluru"/>
    <x v="2"/>
    <x v="1"/>
    <x v="2"/>
  </r>
  <r>
    <s v="ORD-00756"/>
    <x v="223"/>
    <s v="CUST-0266"/>
    <s v="PROD-038"/>
    <x v="14"/>
    <n v="3"/>
    <n v="5490"/>
    <n v="2.5"/>
    <n v="16058.25"/>
    <s v="Completed"/>
    <s v="Pune"/>
    <x v="3"/>
    <x v="2"/>
    <x v="0"/>
  </r>
  <r>
    <s v="ORD-00757"/>
    <x v="155"/>
    <s v="CUST-0208"/>
    <s v="PROD-013"/>
    <x v="28"/>
    <n v="3"/>
    <n v="3640"/>
    <n v="23.3"/>
    <n v="8375.64"/>
    <s v="Completed"/>
    <s v="Mumbai"/>
    <x v="0"/>
    <x v="2"/>
    <x v="10"/>
  </r>
  <r>
    <s v="ORD-00758"/>
    <x v="321"/>
    <s v="CUST-0224"/>
    <s v="PROD-039"/>
    <x v="26"/>
    <n v="2"/>
    <n v="4610"/>
    <n v="5"/>
    <n v="8759"/>
    <s v="Pending"/>
    <s v="Chennai"/>
    <x v="3"/>
    <x v="3"/>
    <x v="5"/>
  </r>
  <r>
    <s v="ORD-00759"/>
    <x v="264"/>
    <s v="CUST-0264"/>
    <s v="PROD-058"/>
    <x v="19"/>
    <n v="8"/>
    <n v="2400"/>
    <n v="10"/>
    <n v="17280"/>
    <s v="Pending"/>
    <s v="Pune"/>
    <x v="1"/>
    <x v="0"/>
    <x v="2"/>
  </r>
  <r>
    <s v="ORD-00760"/>
    <x v="100"/>
    <s v="CUST-0113"/>
    <s v="PROD-043"/>
    <x v="25"/>
    <n v="7"/>
    <n v="3350"/>
    <n v="23.7"/>
    <n v="17892.349999999999"/>
    <s v="Completed"/>
    <s v="Delhi"/>
    <x v="5"/>
    <x v="0"/>
    <x v="4"/>
  </r>
  <r>
    <s v="ORD-00761"/>
    <x v="4"/>
    <s v="CUST-0160"/>
    <s v="PROD-013"/>
    <x v="27"/>
    <n v="4"/>
    <n v="3640"/>
    <n v="9.3000000000000007"/>
    <n v="13205.92"/>
    <s v="Cancelled"/>
    <s v="Hyderabad"/>
    <x v="0"/>
    <x v="1"/>
    <x v="4"/>
  </r>
  <r>
    <s v="ORD-00762"/>
    <x v="133"/>
    <s v="CUST-0109"/>
    <s v="PROD-013"/>
    <x v="8"/>
    <n v="9"/>
    <n v="3640"/>
    <n v="13.1"/>
    <n v="28468.44"/>
    <s v="Pending"/>
    <s v="Pune"/>
    <x v="0"/>
    <x v="2"/>
    <x v="9"/>
  </r>
  <r>
    <s v="ORD-00763"/>
    <x v="287"/>
    <s v="CUST-0107"/>
    <s v="PROD-033"/>
    <x v="2"/>
    <n v="2"/>
    <n v="2030"/>
    <n v="12.2"/>
    <n v="3564.68"/>
    <s v="Completed"/>
    <s v="Pune"/>
    <x v="3"/>
    <x v="1"/>
    <x v="8"/>
  </r>
  <r>
    <s v="ORD-00764"/>
    <x v="314"/>
    <s v="CUST-0120"/>
    <s v="PROD-012"/>
    <x v="25"/>
    <n v="4"/>
    <n v="3160"/>
    <n v="7.5"/>
    <n v="11692"/>
    <s v="Completed"/>
    <s v="Mumbai"/>
    <x v="0"/>
    <x v="0"/>
    <x v="6"/>
  </r>
  <r>
    <s v="ORD-00765"/>
    <x v="322"/>
    <s v="CUST-0225"/>
    <s v="PROD-026"/>
    <x v="20"/>
    <n v="10"/>
    <n v="4070"/>
    <n v="8.3000000000000007"/>
    <n v="37321.9"/>
    <s v="Completed"/>
    <s v="Chennai"/>
    <x v="2"/>
    <x v="2"/>
    <x v="1"/>
  </r>
  <r>
    <s v="ORD-00766"/>
    <x v="30"/>
    <s v="CUST-0134"/>
    <s v="PROD-025"/>
    <x v="6"/>
    <n v="8"/>
    <n v="4060"/>
    <n v="8.5"/>
    <n v="29719.200000000001"/>
    <s v="Completed"/>
    <s v="Delhi"/>
    <x v="2"/>
    <x v="2"/>
    <x v="1"/>
  </r>
  <r>
    <s v="ORD-00767"/>
    <x v="323"/>
    <s v="CUST-0279"/>
    <s v="PROD-057"/>
    <x v="26"/>
    <n v="8"/>
    <n v="960"/>
    <n v="8.6999999999999993"/>
    <n v="7011.84"/>
    <s v="Completed"/>
    <s v="Mumbai"/>
    <x v="1"/>
    <x v="3"/>
    <x v="1"/>
  </r>
  <r>
    <s v="ORD-00768"/>
    <x v="141"/>
    <s v="CUST-0247"/>
    <s v="PROD-022"/>
    <x v="28"/>
    <n v="2"/>
    <n v="2270"/>
    <n v="10.199999999999999"/>
    <n v="4076.92"/>
    <s v="Completed"/>
    <s v="Pune"/>
    <x v="2"/>
    <x v="2"/>
    <x v="11"/>
  </r>
  <r>
    <s v="ORD-00769"/>
    <x v="197"/>
    <s v="CUST-0129"/>
    <s v="PROD-027"/>
    <x v="0"/>
    <n v="1"/>
    <n v="3780"/>
    <n v="15.3"/>
    <n v="3201.66"/>
    <s v="Cancelled"/>
    <s v="Hyderabad"/>
    <x v="2"/>
    <x v="0"/>
    <x v="11"/>
  </r>
  <r>
    <s v="ORD-00770"/>
    <x v="135"/>
    <s v="CUST-0038"/>
    <s v="PROD-042"/>
    <x v="8"/>
    <n v="10"/>
    <n v="2290"/>
    <n v="2.4"/>
    <n v="22350.400000000001"/>
    <s v="Pending"/>
    <s v="Mumbai"/>
    <x v="5"/>
    <x v="2"/>
    <x v="10"/>
  </r>
  <r>
    <s v="ORD-00771"/>
    <x v="104"/>
    <s v="CUST-0109"/>
    <s v="PROD-043"/>
    <x v="21"/>
    <n v="5"/>
    <n v="3350"/>
    <n v="18.5"/>
    <n v="13651.25"/>
    <s v="Cancelled"/>
    <s v="Pune"/>
    <x v="5"/>
    <x v="3"/>
    <x v="3"/>
  </r>
  <r>
    <s v="ORD-00772"/>
    <x v="324"/>
    <s v="CUST-0051"/>
    <s v="PROD-017"/>
    <x v="13"/>
    <n v="7"/>
    <n v="2510"/>
    <n v="4.2"/>
    <n v="16832.060000000001"/>
    <s v="Cancelled"/>
    <s v="Pune"/>
    <x v="0"/>
    <x v="3"/>
    <x v="1"/>
  </r>
  <r>
    <s v="ORD-00773"/>
    <x v="325"/>
    <s v="CUST-0265"/>
    <s v="PROD-002"/>
    <x v="26"/>
    <n v="1"/>
    <n v="2600"/>
    <n v="2.2000000000000002"/>
    <n v="2542.8000000000002"/>
    <s v="Completed"/>
    <s v="Chennai"/>
    <x v="4"/>
    <x v="3"/>
    <x v="8"/>
  </r>
  <r>
    <s v="ORD-00774"/>
    <x v="299"/>
    <s v="CUST-0192"/>
    <s v="PROD-053"/>
    <x v="11"/>
    <n v="8"/>
    <n v="470"/>
    <n v="25.2"/>
    <n v="2812.48"/>
    <s v="Completed"/>
    <s v="Bengaluru"/>
    <x v="1"/>
    <x v="0"/>
    <x v="6"/>
  </r>
  <r>
    <s v="ORD-00775"/>
    <x v="307"/>
    <s v="CUST-0241"/>
    <s v="PROD-040"/>
    <x v="27"/>
    <n v="6"/>
    <n v="1080"/>
    <n v="25"/>
    <n v="4860"/>
    <s v="Completed"/>
    <s v="Pune"/>
    <x v="3"/>
    <x v="1"/>
    <x v="0"/>
  </r>
  <r>
    <s v="ORD-00776"/>
    <x v="218"/>
    <s v="CUST-0243"/>
    <s v="PROD-054"/>
    <x v="7"/>
    <n v="2"/>
    <n v="1010"/>
    <n v="16.100000000000001"/>
    <n v="1694.78"/>
    <s v="Completed"/>
    <s v="Pune"/>
    <x v="1"/>
    <x v="3"/>
    <x v="8"/>
  </r>
  <r>
    <s v="ORD-00777"/>
    <x v="196"/>
    <s v="CUST-0016"/>
    <s v="PROD-004"/>
    <x v="25"/>
    <n v="6"/>
    <n v="3870"/>
    <n v="22.4"/>
    <n v="18018.72"/>
    <s v="Cancelled"/>
    <s v="Delhi"/>
    <x v="4"/>
    <x v="0"/>
    <x v="3"/>
  </r>
  <r>
    <s v="ORD-00778"/>
    <x v="219"/>
    <s v="CUST-0249"/>
    <s v="PROD-033"/>
    <x v="28"/>
    <n v="3"/>
    <n v="2030"/>
    <n v="18.5"/>
    <n v="4963.3500000000004"/>
    <s v="Completed"/>
    <s v="Mumbai"/>
    <x v="3"/>
    <x v="2"/>
    <x v="8"/>
  </r>
  <r>
    <s v="ORD-00779"/>
    <x v="326"/>
    <s v="CUST-0021"/>
    <s v="PROD-040"/>
    <x v="28"/>
    <n v="7"/>
    <n v="1080"/>
    <n v="6.8"/>
    <n v="7045.92"/>
    <s v="Pending"/>
    <s v="Pune"/>
    <x v="3"/>
    <x v="2"/>
    <x v="0"/>
  </r>
  <r>
    <s v="ORD-00780"/>
    <x v="303"/>
    <s v="CUST-0255"/>
    <s v="PROD-035"/>
    <x v="18"/>
    <n v="1"/>
    <n v="1090"/>
    <n v="20.6"/>
    <n v="865.46"/>
    <s v="Completed"/>
    <s v="Chennai"/>
    <x v="3"/>
    <x v="1"/>
    <x v="4"/>
  </r>
  <r>
    <s v="ORD-00781"/>
    <x v="72"/>
    <s v="CUST-0084"/>
    <s v="PROD-032"/>
    <x v="23"/>
    <n v="8"/>
    <n v="370"/>
    <n v="1.7"/>
    <n v="2909.68"/>
    <s v="Completed"/>
    <s v="Chennai"/>
    <x v="3"/>
    <x v="1"/>
    <x v="7"/>
  </r>
  <r>
    <s v="ORD-00782"/>
    <x v="327"/>
    <s v="CUST-0289"/>
    <s v="PROD-018"/>
    <x v="26"/>
    <n v="7"/>
    <n v="3560"/>
    <n v="28.7"/>
    <n v="17767.96"/>
    <s v="Completed"/>
    <s v="Mumbai"/>
    <x v="0"/>
    <x v="3"/>
    <x v="4"/>
  </r>
  <r>
    <s v="ORD-00783"/>
    <x v="328"/>
    <s v="CUST-0026"/>
    <s v="PROD-050"/>
    <x v="29"/>
    <n v="9"/>
    <n v="6080"/>
    <n v="16.3"/>
    <n v="45800.639999999999"/>
    <s v="Cancelled"/>
    <s v="Pune"/>
    <x v="5"/>
    <x v="1"/>
    <x v="6"/>
  </r>
  <r>
    <s v="ORD-00784"/>
    <x v="265"/>
    <s v="CUST-0273"/>
    <s v="PROD-051"/>
    <x v="15"/>
    <n v="2"/>
    <n v="3450"/>
    <n v="17.600000000000001"/>
    <n v="5685.6"/>
    <s v="Pending"/>
    <s v="Hyderabad"/>
    <x v="1"/>
    <x v="1"/>
    <x v="7"/>
  </r>
  <r>
    <s v="ORD-00785"/>
    <x v="24"/>
    <s v="CUST-0069"/>
    <s v="PROD-034"/>
    <x v="18"/>
    <n v="1"/>
    <n v="5080"/>
    <n v="5.9"/>
    <n v="4780.28"/>
    <s v="Completed"/>
    <s v="Chennai"/>
    <x v="3"/>
    <x v="1"/>
    <x v="5"/>
  </r>
  <r>
    <s v="ORD-00786"/>
    <x v="234"/>
    <s v="CUST-0236"/>
    <s v="PROD-011"/>
    <x v="12"/>
    <n v="7"/>
    <n v="3450"/>
    <n v="17.399999999999999"/>
    <n v="19947.900000000001"/>
    <s v="Completed"/>
    <s v="Hyderabad"/>
    <x v="0"/>
    <x v="3"/>
    <x v="2"/>
  </r>
  <r>
    <s v="ORD-00787"/>
    <x v="210"/>
    <s v="CUST-0060"/>
    <s v="PROD-024"/>
    <x v="18"/>
    <n v="8"/>
    <n v="2270"/>
    <n v="24.7"/>
    <n v="13674.48"/>
    <s v="Completed"/>
    <s v="Pune"/>
    <x v="2"/>
    <x v="1"/>
    <x v="5"/>
  </r>
  <r>
    <s v="ORD-00788"/>
    <x v="37"/>
    <s v="CUST-0243"/>
    <s v="PROD-012"/>
    <x v="12"/>
    <n v="3"/>
    <n v="3160"/>
    <n v="1.5"/>
    <n v="9337.7999999999993"/>
    <s v="Pending"/>
    <s v="Pune"/>
    <x v="0"/>
    <x v="3"/>
    <x v="4"/>
  </r>
  <r>
    <s v="ORD-00789"/>
    <x v="44"/>
    <s v="CUST-0188"/>
    <s v="PROD-043"/>
    <x v="20"/>
    <n v="6"/>
    <n v="3350"/>
    <n v="0.9"/>
    <n v="19919.099999999999"/>
    <s v="Pending"/>
    <s v="Bengaluru"/>
    <x v="5"/>
    <x v="2"/>
    <x v="5"/>
  </r>
  <r>
    <s v="ORD-00790"/>
    <x v="47"/>
    <s v="CUST-0174"/>
    <s v="PROD-044"/>
    <x v="20"/>
    <n v="7"/>
    <n v="1650"/>
    <n v="5.6"/>
    <n v="10903.2"/>
    <s v="Refunded"/>
    <s v="Pune"/>
    <x v="5"/>
    <x v="2"/>
    <x v="7"/>
  </r>
  <r>
    <s v="ORD-00791"/>
    <x v="73"/>
    <s v="CUST-0016"/>
    <s v="PROD-038"/>
    <x v="11"/>
    <n v="1"/>
    <n v="5490"/>
    <n v="5.8"/>
    <n v="5171.58"/>
    <s v="Completed"/>
    <s v="Delhi"/>
    <x v="3"/>
    <x v="0"/>
    <x v="5"/>
  </r>
  <r>
    <s v="ORD-00792"/>
    <x v="171"/>
    <s v="CUST-0184"/>
    <s v="PROD-040"/>
    <x v="6"/>
    <n v="3"/>
    <n v="1080"/>
    <n v="20.9"/>
    <n v="2562.84"/>
    <s v="Completed"/>
    <s v="Pune"/>
    <x v="3"/>
    <x v="2"/>
    <x v="5"/>
  </r>
  <r>
    <s v="ORD-00793"/>
    <x v="224"/>
    <s v="CUST-9568"/>
    <s v="PROD-027"/>
    <x v="26"/>
    <n v="10"/>
    <n v="3780"/>
    <n v="5.5"/>
    <n v="35721"/>
    <s v="Completed"/>
    <s v="Hyderabad"/>
    <x v="2"/>
    <x v="3"/>
    <x v="3"/>
  </r>
  <r>
    <s v="ORD-00794"/>
    <x v="307"/>
    <s v="CUST-0118"/>
    <s v="PROD-033"/>
    <x v="14"/>
    <n v="2"/>
    <n v="2030"/>
    <n v="2"/>
    <n v="3978.8"/>
    <s v="Pending"/>
    <s v="Hyderabad"/>
    <x v="3"/>
    <x v="2"/>
    <x v="0"/>
  </r>
  <r>
    <s v="ORD-00795"/>
    <x v="329"/>
    <s v="CUST-0271"/>
    <s v="PROD-041"/>
    <x v="7"/>
    <n v="8"/>
    <n v="1540"/>
    <n v="9"/>
    <n v="11211.2"/>
    <s v="Cancelled"/>
    <s v="Bengaluru"/>
    <x v="5"/>
    <x v="3"/>
    <x v="9"/>
  </r>
  <r>
    <s v="ORD-00796"/>
    <x v="131"/>
    <s v="CUST-0147"/>
    <s v="PROD-036"/>
    <x v="15"/>
    <n v="9"/>
    <n v="3250"/>
    <n v="20.5"/>
    <n v="23253.75"/>
    <s v="Completed"/>
    <s v="Pune"/>
    <x v="3"/>
    <x v="1"/>
    <x v="4"/>
  </r>
  <r>
    <s v="ORD-00797"/>
    <x v="112"/>
    <s v="CUST-0253"/>
    <s v="PROD-047"/>
    <x v="1"/>
    <n v="3"/>
    <n v="3450"/>
    <n v="17.899999999999999"/>
    <n v="8497.35"/>
    <s v="Completed"/>
    <s v="Delhi"/>
    <x v="5"/>
    <x v="0"/>
    <x v="1"/>
  </r>
  <r>
    <s v="ORD-00798"/>
    <x v="172"/>
    <s v="CUST-0224"/>
    <s v="PROD-038"/>
    <x v="4"/>
    <n v="5"/>
    <n v="5490"/>
    <n v="7.9"/>
    <n v="25281.45"/>
    <s v="Completed"/>
    <s v="Chennai"/>
    <x v="3"/>
    <x v="0"/>
    <x v="10"/>
  </r>
  <r>
    <s v="ORD-00799"/>
    <x v="141"/>
    <s v="CUST-0134"/>
    <s v="PROD-032"/>
    <x v="20"/>
    <n v="3"/>
    <n v="370"/>
    <n v="13.4"/>
    <n v="961.26"/>
    <s v="Completed"/>
    <s v="Delhi"/>
    <x v="3"/>
    <x v="2"/>
    <x v="11"/>
  </r>
  <r>
    <s v="ORD-00800"/>
    <x v="3"/>
    <s v="CUST-0287"/>
    <s v="PROD-001"/>
    <x v="18"/>
    <n v="7"/>
    <n v="5330"/>
    <n v="29.7"/>
    <n v="26228.93"/>
    <s v="Pending"/>
    <s v="Chennai"/>
    <x v="4"/>
    <x v="1"/>
    <x v="3"/>
  </r>
  <r>
    <s v="ORD-00801"/>
    <x v="213"/>
    <s v="CUST-0144"/>
    <s v="PROD-051"/>
    <x v="29"/>
    <n v="8"/>
    <n v="3450"/>
    <n v="23.7"/>
    <n v="21058.799999999999"/>
    <s v="Completed"/>
    <s v="Chennai"/>
    <x v="1"/>
    <x v="1"/>
    <x v="2"/>
  </r>
  <r>
    <s v="ORD-00802"/>
    <x v="309"/>
    <s v="CUST-0255"/>
    <s v="PROD-011"/>
    <x v="28"/>
    <n v="8"/>
    <n v="3450"/>
    <n v="5.4"/>
    <n v="26109.599999999999"/>
    <s v="Completed"/>
    <s v="Chennai"/>
    <x v="0"/>
    <x v="2"/>
    <x v="11"/>
  </r>
  <r>
    <s v="ORD-00803"/>
    <x v="325"/>
    <s v="CUST-0054"/>
    <s v="PROD-050"/>
    <x v="20"/>
    <n v="1"/>
    <n v="6080"/>
    <n v="22.3"/>
    <n v="4724.16"/>
    <s v="Completed"/>
    <s v="Mumbai"/>
    <x v="5"/>
    <x v="2"/>
    <x v="8"/>
  </r>
  <r>
    <s v="ORD-00804"/>
    <x v="100"/>
    <s v="CUST-0283"/>
    <s v="PROD-017"/>
    <x v="23"/>
    <n v="9"/>
    <n v="2510"/>
    <n v="27.4"/>
    <n v="16400.34"/>
    <s v="Completed"/>
    <s v="Delhi"/>
    <x v="0"/>
    <x v="1"/>
    <x v="4"/>
  </r>
  <r>
    <s v="ORD-00805"/>
    <x v="40"/>
    <s v="CUST-0182"/>
    <s v="PROD-054"/>
    <x v="27"/>
    <n v="10"/>
    <n v="1010"/>
    <n v="28.4"/>
    <n v="7231.6"/>
    <s v="Completed"/>
    <s v="Mumbai"/>
    <x v="1"/>
    <x v="1"/>
    <x v="5"/>
  </r>
  <r>
    <s v="ORD-00806"/>
    <x v="24"/>
    <s v="CUST-0289"/>
    <s v="PROD-018"/>
    <x v="12"/>
    <n v="1"/>
    <n v="3560"/>
    <n v="26"/>
    <n v="2634.4"/>
    <s v="Completed"/>
    <s v="Mumbai"/>
    <x v="0"/>
    <x v="3"/>
    <x v="5"/>
  </r>
  <r>
    <s v="ORD-00807"/>
    <x v="245"/>
    <s v="CUST-0104"/>
    <s v="PROD-045"/>
    <x v="3"/>
    <n v="8"/>
    <n v="3020"/>
    <n v="6.9"/>
    <n v="22492.959999999999"/>
    <s v="Completed"/>
    <s v="Hyderabad"/>
    <x v="5"/>
    <x v="0"/>
    <x v="5"/>
  </r>
  <r>
    <s v="ORD-00808"/>
    <x v="114"/>
    <s v="CUST-0085"/>
    <s v="PROD-026"/>
    <x v="21"/>
    <n v="1"/>
    <n v="4070"/>
    <n v="8.1999999999999993"/>
    <n v="3736.26"/>
    <s v="Completed"/>
    <s v="Chennai"/>
    <x v="2"/>
    <x v="3"/>
    <x v="11"/>
  </r>
  <r>
    <s v="ORD-00809"/>
    <x v="324"/>
    <s v="CUST-0120"/>
    <s v="PROD-032"/>
    <x v="16"/>
    <n v="9"/>
    <n v="370"/>
    <n v="19.8"/>
    <n v="2670.66"/>
    <s v="Completed"/>
    <s v="Mumbai"/>
    <x v="3"/>
    <x v="3"/>
    <x v="1"/>
  </r>
  <r>
    <s v="ORD-00810"/>
    <x v="227"/>
    <s v="CUST-0236"/>
    <s v="PROD-030"/>
    <x v="16"/>
    <n v="6"/>
    <n v="970"/>
    <n v="16.2"/>
    <n v="4877.16"/>
    <s v="Completed"/>
    <s v="Hyderabad"/>
    <x v="2"/>
    <x v="3"/>
    <x v="0"/>
  </r>
  <r>
    <s v="ORD-00811"/>
    <x v="142"/>
    <s v="CUST-0094"/>
    <s v="PROD-015"/>
    <x v="7"/>
    <n v="10"/>
    <n v="2720"/>
    <n v="3"/>
    <n v="26384"/>
    <s v="Pending"/>
    <s v="Pune"/>
    <x v="0"/>
    <x v="3"/>
    <x v="8"/>
  </r>
  <r>
    <s v="ORD-00812"/>
    <x v="174"/>
    <s v="CUST-0030"/>
    <s v="PROD-058"/>
    <x v="2"/>
    <n v="7"/>
    <n v="2400"/>
    <n v="29.4"/>
    <n v="11860.8"/>
    <s v="Completed"/>
    <s v="Bengaluru"/>
    <x v="1"/>
    <x v="1"/>
    <x v="11"/>
  </r>
  <r>
    <s v="ORD-00813"/>
    <x v="148"/>
    <s v="CUST-0172"/>
    <s v="PROD-018"/>
    <x v="27"/>
    <n v="8"/>
    <n v="3560"/>
    <n v="21.7"/>
    <n v="22299.84"/>
    <s v="Completed"/>
    <s v="Pune"/>
    <x v="0"/>
    <x v="1"/>
    <x v="0"/>
  </r>
  <r>
    <s v="ORD-00814"/>
    <x v="217"/>
    <s v="CUST-0221"/>
    <s v="PROD-026"/>
    <x v="15"/>
    <n v="7"/>
    <n v="4070"/>
    <n v="10.5"/>
    <n v="25498.55"/>
    <s v="Completed"/>
    <s v="Delhi"/>
    <x v="2"/>
    <x v="1"/>
    <x v="5"/>
  </r>
  <r>
    <s v="ORD-01052"/>
    <x v="193"/>
    <s v="CUST-0151"/>
    <s v="PROD-052"/>
    <x v="4"/>
    <n v="3"/>
    <n v="5410"/>
    <n v="0.2"/>
    <n v="16197.54"/>
    <s v="Completed"/>
    <s v="Mumbai"/>
    <x v="1"/>
    <x v="0"/>
    <x v="11"/>
  </r>
  <r>
    <s v="ORD-00816"/>
    <x v="330"/>
    <s v="CUST-0068"/>
    <s v="PROD-021"/>
    <x v="8"/>
    <n v="4"/>
    <n v="2760"/>
    <n v="27.5"/>
    <n v="8004"/>
    <s v="Cancelled"/>
    <s v="Delhi"/>
    <x v="2"/>
    <x v="2"/>
    <x v="8"/>
  </r>
  <r>
    <s v="ORD-01136"/>
    <x v="267"/>
    <s v="CUST-0165"/>
    <s v="PROD-034"/>
    <x v="22"/>
    <n v="3"/>
    <n v="5080"/>
    <n v="27.2"/>
    <n v="11094.72"/>
    <s v="Completed"/>
    <s v="Pune"/>
    <x v="3"/>
    <x v="1"/>
    <x v="10"/>
  </r>
  <r>
    <s v="ORD-00818"/>
    <x v="139"/>
    <s v="CUST-0060"/>
    <s v="PROD-035"/>
    <x v="21"/>
    <n v="5"/>
    <n v="1090"/>
    <n v="3.3"/>
    <n v="5270.15"/>
    <s v="Completed"/>
    <s v="Pune"/>
    <x v="3"/>
    <x v="3"/>
    <x v="5"/>
  </r>
  <r>
    <s v="ORD-00819"/>
    <x v="60"/>
    <s v="CUST-0130"/>
    <s v="PROD-023"/>
    <x v="20"/>
    <n v="10"/>
    <n v="2380"/>
    <n v="7"/>
    <n v="22134"/>
    <s v="Completed"/>
    <s v="Bengaluru"/>
    <x v="2"/>
    <x v="2"/>
    <x v="1"/>
  </r>
  <r>
    <s v="ORD-00820"/>
    <x v="156"/>
    <s v="CUST-0023"/>
    <s v="PROD-012"/>
    <x v="17"/>
    <n v="5"/>
    <n v="3160"/>
    <n v="25.6"/>
    <n v="11755.2"/>
    <s v="Completed"/>
    <s v="Chennai"/>
    <x v="0"/>
    <x v="2"/>
    <x v="10"/>
  </r>
  <r>
    <s v="ORD-00821"/>
    <x v="331"/>
    <s v="CUST-0089"/>
    <s v="PROD-058"/>
    <x v="20"/>
    <n v="9"/>
    <n v="2400"/>
    <n v="8.4"/>
    <n v="19785.599999999999"/>
    <s v="Completed"/>
    <s v="Mumbai"/>
    <x v="1"/>
    <x v="2"/>
    <x v="2"/>
  </r>
  <r>
    <s v="ORD-00822"/>
    <x v="121"/>
    <s v="CUST-0300"/>
    <s v="PROD-002"/>
    <x v="16"/>
    <n v="4"/>
    <n v="2600"/>
    <n v="4.2"/>
    <n v="9963.2000000000007"/>
    <s v="Completed"/>
    <s v="Mumbai"/>
    <x v="4"/>
    <x v="3"/>
    <x v="6"/>
  </r>
  <r>
    <s v="ORD-00823"/>
    <x v="132"/>
    <s v="CUST-9578"/>
    <s v="PROD-024"/>
    <x v="12"/>
    <n v="5"/>
    <n v="2270"/>
    <n v="0.1"/>
    <n v="11338.65"/>
    <s v="Completed"/>
    <s v="Mumbai"/>
    <x v="2"/>
    <x v="3"/>
    <x v="5"/>
  </r>
  <r>
    <s v="ORD-00824"/>
    <x v="57"/>
    <s v="CUST-0130"/>
    <s v="PROD-038"/>
    <x v="16"/>
    <n v="7"/>
    <n v="5490"/>
    <n v="14.9"/>
    <n v="32703.93"/>
    <s v="Completed"/>
    <s v="Bengaluru"/>
    <x v="3"/>
    <x v="3"/>
    <x v="6"/>
  </r>
  <r>
    <s v="ORD-00825"/>
    <x v="209"/>
    <s v="CUST-0247"/>
    <s v="PROD-004"/>
    <x v="18"/>
    <n v="5"/>
    <n v="3870"/>
    <n v="13.3"/>
    <n v="16776.45"/>
    <s v="Cancelled"/>
    <s v="Pune"/>
    <x v="4"/>
    <x v="1"/>
    <x v="3"/>
  </r>
  <r>
    <s v="ORD-00826"/>
    <x v="332"/>
    <s v="CUST-0256"/>
    <s v="PROD-049"/>
    <x v="6"/>
    <n v="2"/>
    <n v="960"/>
    <n v="17.5"/>
    <n v="1584"/>
    <s v="Completed"/>
    <s v="Hyderabad"/>
    <x v="5"/>
    <x v="2"/>
    <x v="2"/>
  </r>
  <r>
    <s v="ORD-00827"/>
    <x v="171"/>
    <s v="CUST-0213"/>
    <s v="PROD-046"/>
    <x v="19"/>
    <n v="4"/>
    <n v="4880"/>
    <n v="12.2"/>
    <n v="17138.560000000001"/>
    <s v="Cancelled"/>
    <s v="Mumbai"/>
    <x v="5"/>
    <x v="0"/>
    <x v="5"/>
  </r>
  <r>
    <s v="ORD-00828"/>
    <x v="140"/>
    <s v="CUST-0183"/>
    <s v="PROD-058"/>
    <x v="4"/>
    <n v="5"/>
    <n v="2400"/>
    <n v="15"/>
    <n v="10200"/>
    <s v="Completed"/>
    <s v="Mumbai"/>
    <x v="1"/>
    <x v="0"/>
    <x v="3"/>
  </r>
  <r>
    <s v="ORD-00829"/>
    <x v="190"/>
    <s v="CUST-0051"/>
    <s v="PROD-016"/>
    <x v="15"/>
    <n v="9"/>
    <n v="620"/>
    <n v="20.399999999999999"/>
    <n v="4441.68"/>
    <s v="Pending"/>
    <s v="Pune"/>
    <x v="0"/>
    <x v="1"/>
    <x v="7"/>
  </r>
  <r>
    <s v="ORD-00830"/>
    <x v="191"/>
    <s v="CUST-0001"/>
    <s v="PROD-039"/>
    <x v="22"/>
    <n v="1"/>
    <n v="4610"/>
    <n v="1.8"/>
    <n v="4527.0200000000004"/>
    <s v="Pending"/>
    <s v="Pune"/>
    <x v="3"/>
    <x v="1"/>
    <x v="7"/>
  </r>
  <r>
    <s v="ORD-00831"/>
    <x v="66"/>
    <s v="CUST-0105"/>
    <s v="PROD-039"/>
    <x v="2"/>
    <n v="7"/>
    <n v="4610"/>
    <n v="27"/>
    <n v="23557.1"/>
    <s v="Completed"/>
    <s v="Chennai"/>
    <x v="3"/>
    <x v="1"/>
    <x v="10"/>
  </r>
  <r>
    <s v="ORD-00832"/>
    <x v="170"/>
    <s v="CUST-0199"/>
    <s v="PROD-030"/>
    <x v="20"/>
    <n v="6"/>
    <n v="970"/>
    <n v="4.7"/>
    <n v="5546.46"/>
    <s v="Cancelled"/>
    <s v="Hyderabad"/>
    <x v="2"/>
    <x v="2"/>
    <x v="4"/>
  </r>
  <r>
    <s v="ORD-00833"/>
    <x v="331"/>
    <s v="CUST-0240"/>
    <s v="PROD-007"/>
    <x v="17"/>
    <n v="8"/>
    <n v="1430"/>
    <n v="8.6999999999999993"/>
    <n v="10444.719999999999"/>
    <s v="Completed"/>
    <s v="Chennai"/>
    <x v="4"/>
    <x v="2"/>
    <x v="2"/>
  </r>
  <r>
    <s v="ORD-00834"/>
    <x v="333"/>
    <s v="CUST-0283"/>
    <s v="PROD-027"/>
    <x v="23"/>
    <n v="5"/>
    <n v="3780"/>
    <n v="2.9"/>
    <n v="18351.900000000001"/>
    <s v="Completed"/>
    <s v="Delhi"/>
    <x v="2"/>
    <x v="1"/>
    <x v="1"/>
  </r>
  <r>
    <s v="ORD-00835"/>
    <x v="147"/>
    <s v="CUST-0284"/>
    <s v="PROD-041"/>
    <x v="12"/>
    <n v="2"/>
    <n v="1540"/>
    <n v="12.7"/>
    <n v="2688.84"/>
    <s v="Completed"/>
    <s v="Hyderabad"/>
    <x v="5"/>
    <x v="3"/>
    <x v="7"/>
  </r>
  <r>
    <s v="ORD-00836"/>
    <x v="155"/>
    <s v="CUST-0060"/>
    <s v="PROD-040"/>
    <x v="16"/>
    <n v="9"/>
    <n v="1080"/>
    <n v="11.2"/>
    <n v="8631.36"/>
    <s v="Cancelled"/>
    <s v="Pune"/>
    <x v="3"/>
    <x v="3"/>
    <x v="10"/>
  </r>
  <r>
    <s v="ORD-00837"/>
    <x v="213"/>
    <s v="CUST-0266"/>
    <s v="PROD-058"/>
    <x v="0"/>
    <n v="3"/>
    <n v="2400"/>
    <n v="28.6"/>
    <n v="5140.8"/>
    <s v="Completed"/>
    <s v="Pune"/>
    <x v="1"/>
    <x v="0"/>
    <x v="2"/>
  </r>
  <r>
    <s v="ORD-00838"/>
    <x v="120"/>
    <s v="CUST-0056"/>
    <s v="PROD-040"/>
    <x v="26"/>
    <n v="5"/>
    <n v="1080"/>
    <n v="18.3"/>
    <n v="4411.8"/>
    <s v="Completed"/>
    <s v="Bengaluru"/>
    <x v="3"/>
    <x v="3"/>
    <x v="6"/>
  </r>
  <r>
    <s v="ORD-00839"/>
    <x v="294"/>
    <s v="CUST-0187"/>
    <s v="PROD-024"/>
    <x v="28"/>
    <n v="7"/>
    <n v="2270"/>
    <n v="1.7"/>
    <n v="15619.87"/>
    <s v="Cancelled"/>
    <s v="Chennai"/>
    <x v="2"/>
    <x v="2"/>
    <x v="4"/>
  </r>
  <r>
    <s v="ORD-00840"/>
    <x v="334"/>
    <s v="CUST-0183"/>
    <s v="PROD-028"/>
    <x v="17"/>
    <n v="8"/>
    <n v="3660"/>
    <n v="19.100000000000001"/>
    <n v="23687.52"/>
    <s v="Cancelled"/>
    <s v="Mumbai"/>
    <x v="2"/>
    <x v="2"/>
    <x v="3"/>
  </r>
  <r>
    <s v="ORD-00841"/>
    <x v="302"/>
    <s v="CUST-0068"/>
    <s v="PROD-036"/>
    <x v="11"/>
    <n v="5"/>
    <n v="3250"/>
    <n v="12.9"/>
    <n v="14153.75"/>
    <s v="Completed"/>
    <s v="Delhi"/>
    <x v="3"/>
    <x v="0"/>
    <x v="10"/>
  </r>
  <r>
    <s v="ORD-00842"/>
    <x v="60"/>
    <s v="CUST-0135"/>
    <s v="PROD-044"/>
    <x v="27"/>
    <n v="4"/>
    <n v="1650"/>
    <n v="4.0999999999999996"/>
    <n v="6329.4"/>
    <s v="Completed"/>
    <s v="Pune"/>
    <x v="5"/>
    <x v="1"/>
    <x v="1"/>
  </r>
  <r>
    <s v="ORD-00843"/>
    <x v="207"/>
    <s v="CUST-0191"/>
    <s v="PROD-034"/>
    <x v="11"/>
    <n v="6"/>
    <n v="5080"/>
    <n v="3"/>
    <n v="29565.599999999999"/>
    <s v="Completed"/>
    <s v="Hyderabad"/>
    <x v="3"/>
    <x v="0"/>
    <x v="4"/>
  </r>
  <r>
    <s v="ORD-00844"/>
    <x v="105"/>
    <s v="CUST-0244"/>
    <s v="PROD-051"/>
    <x v="28"/>
    <n v="8"/>
    <n v="3450"/>
    <n v="20.9"/>
    <n v="21831.599999999999"/>
    <s v="Completed"/>
    <s v="Bengaluru"/>
    <x v="1"/>
    <x v="2"/>
    <x v="4"/>
  </r>
  <r>
    <s v="ORD-00845"/>
    <x v="335"/>
    <s v="CUST-0189"/>
    <s v="PROD-043"/>
    <x v="26"/>
    <n v="6"/>
    <n v="3350"/>
    <n v="24.8"/>
    <n v="15115.2"/>
    <s v="Completed"/>
    <s v="Chennai"/>
    <x v="5"/>
    <x v="3"/>
    <x v="3"/>
  </r>
  <r>
    <s v="ORD-00846"/>
    <x v="310"/>
    <s v="CUST-0166"/>
    <s v="PROD-029"/>
    <x v="28"/>
    <n v="10"/>
    <n v="2210"/>
    <n v="4.2"/>
    <n v="21171.8"/>
    <s v="Completed"/>
    <s v="Hyderabad"/>
    <x v="2"/>
    <x v="2"/>
    <x v="6"/>
  </r>
  <r>
    <s v="ORD-00847"/>
    <x v="328"/>
    <s v="CUST-0167"/>
    <s v="PROD-046"/>
    <x v="3"/>
    <n v="10"/>
    <n v="4880"/>
    <n v="0.7"/>
    <n v="48458.400000000001"/>
    <s v="Completed"/>
    <s v="Delhi"/>
    <x v="5"/>
    <x v="0"/>
    <x v="6"/>
  </r>
  <r>
    <s v="ORD-00848"/>
    <x v="264"/>
    <s v="CUST-0265"/>
    <s v="PROD-055"/>
    <x v="10"/>
    <n v="7"/>
    <n v="2860"/>
    <n v="28.1"/>
    <n v="14394.38"/>
    <s v="Pending"/>
    <s v="Chennai"/>
    <x v="1"/>
    <x v="0"/>
    <x v="2"/>
  </r>
  <r>
    <s v="ORD-00849"/>
    <x v="248"/>
    <s v="CUST-0172"/>
    <s v="PROD-030"/>
    <x v="1"/>
    <n v="3"/>
    <n v="970"/>
    <n v="28.3"/>
    <n v="2086.4699999999998"/>
    <s v="Completed"/>
    <s v="Pune"/>
    <x v="2"/>
    <x v="0"/>
    <x v="9"/>
  </r>
  <r>
    <s v="ORD-00850"/>
    <x v="315"/>
    <s v="CUST-0205"/>
    <s v="PROD-022"/>
    <x v="4"/>
    <n v="1"/>
    <n v="2270"/>
    <n v="15.1"/>
    <n v="1927.23"/>
    <s v="Completed"/>
    <s v="Pune"/>
    <x v="2"/>
    <x v="0"/>
    <x v="10"/>
  </r>
  <r>
    <s v="ORD-00851"/>
    <x v="258"/>
    <s v="CUST-0102"/>
    <s v="PROD-018"/>
    <x v="15"/>
    <n v="5"/>
    <n v="3560"/>
    <n v="11.5"/>
    <n v="15753"/>
    <s v="Completed"/>
    <s v="Chennai"/>
    <x v="0"/>
    <x v="1"/>
    <x v="1"/>
  </r>
  <r>
    <s v="ORD-00852"/>
    <x v="140"/>
    <s v="CUST-0142"/>
    <s v="PROD-052"/>
    <x v="9"/>
    <n v="2"/>
    <n v="5410"/>
    <n v="14.8"/>
    <n v="9218.64"/>
    <s v="Pending"/>
    <s v="Chennai"/>
    <x v="1"/>
    <x v="1"/>
    <x v="3"/>
  </r>
  <r>
    <s v="ORD-00853"/>
    <x v="165"/>
    <s v="CUST-0195"/>
    <s v="PROD-019"/>
    <x v="3"/>
    <n v="2"/>
    <n v="2480"/>
    <n v="27.2"/>
    <n v="3610.88"/>
    <s v="Completed"/>
    <s v="Bengaluru"/>
    <x v="0"/>
    <x v="0"/>
    <x v="8"/>
  </r>
  <r>
    <s v="ORD-00854"/>
    <x v="154"/>
    <s v="CUST-0125"/>
    <s v="PROD-020"/>
    <x v="2"/>
    <n v="6"/>
    <n v="820"/>
    <n v="6.6"/>
    <n v="4595.28"/>
    <s v="Completed"/>
    <s v="Delhi"/>
    <x v="0"/>
    <x v="1"/>
    <x v="1"/>
  </r>
  <r>
    <s v="ORD-00855"/>
    <x v="224"/>
    <s v="CUST-0234"/>
    <s v="PROD-001"/>
    <x v="15"/>
    <n v="10"/>
    <n v="5330"/>
    <n v="16.100000000000001"/>
    <n v="44718.7"/>
    <s v="Completed"/>
    <s v="Bengaluru"/>
    <x v="4"/>
    <x v="1"/>
    <x v="3"/>
  </r>
  <r>
    <s v="ORD-00856"/>
    <x v="334"/>
    <s v="CUST-0061"/>
    <s v="PROD-047"/>
    <x v="10"/>
    <n v="2"/>
    <n v="3450"/>
    <n v="11.3"/>
    <n v="6120.3"/>
    <s v="Pending"/>
    <s v="Hyderabad"/>
    <x v="5"/>
    <x v="0"/>
    <x v="3"/>
  </r>
  <r>
    <s v="ORD-00857"/>
    <x v="97"/>
    <s v="CUST-0189"/>
    <s v="PROD-049"/>
    <x v="12"/>
    <n v="7"/>
    <n v="960"/>
    <n v="17.100000000000001"/>
    <n v="5570.88"/>
    <s v="Completed"/>
    <s v="Chennai"/>
    <x v="5"/>
    <x v="3"/>
    <x v="10"/>
  </r>
  <r>
    <s v="ORD-00858"/>
    <x v="235"/>
    <s v="CUST-0191"/>
    <s v="PROD-011"/>
    <x v="11"/>
    <n v="5"/>
    <n v="3450"/>
    <n v="22.9"/>
    <n v="13299.75"/>
    <s v="Completed"/>
    <s v="Hyderabad"/>
    <x v="0"/>
    <x v="0"/>
    <x v="4"/>
  </r>
  <r>
    <s v="ORD-00859"/>
    <x v="287"/>
    <s v="CUST-0217"/>
    <s v="PROD-009"/>
    <x v="4"/>
    <n v="5"/>
    <n v="1220"/>
    <n v="0.3"/>
    <n v="6081.7"/>
    <s v="Completed"/>
    <s v="Pune"/>
    <x v="4"/>
    <x v="0"/>
    <x v="8"/>
  </r>
  <r>
    <s v="ORD-00860"/>
    <x v="231"/>
    <s v="CUST-0060"/>
    <s v="PROD-001"/>
    <x v="0"/>
    <n v="5"/>
    <n v="5330"/>
    <n v="29"/>
    <n v="18921.5"/>
    <s v="Completed"/>
    <s v="Pune"/>
    <x v="4"/>
    <x v="0"/>
    <x v="11"/>
  </r>
  <r>
    <s v="ORD-00861"/>
    <x v="29"/>
    <s v="CUST-0270"/>
    <s v="PROD-003"/>
    <x v="8"/>
    <n v="3"/>
    <n v="3570"/>
    <n v="20"/>
    <n v="8568"/>
    <s v="Cancelled"/>
    <s v="Bengaluru"/>
    <x v="4"/>
    <x v="2"/>
    <x v="8"/>
  </r>
  <r>
    <s v="ORD-00862"/>
    <x v="8"/>
    <s v="CUST-0279"/>
    <s v="PROD-029"/>
    <x v="17"/>
    <n v="9"/>
    <n v="2210"/>
    <n v="12.4"/>
    <n v="17423.64"/>
    <s v="Completed"/>
    <s v="Mumbai"/>
    <x v="2"/>
    <x v="2"/>
    <x v="5"/>
  </r>
  <r>
    <s v="ORD-00863"/>
    <x v="272"/>
    <s v="CUST-0008"/>
    <s v="PROD-059"/>
    <x v="20"/>
    <n v="5"/>
    <n v="3780"/>
    <n v="3.9"/>
    <n v="18162.900000000001"/>
    <s v="Completed"/>
    <s v="Pune"/>
    <x v="1"/>
    <x v="2"/>
    <x v="11"/>
  </r>
  <r>
    <s v="ORD-00864"/>
    <x v="17"/>
    <s v="CUST-0259"/>
    <s v="PROD-010"/>
    <x v="4"/>
    <n v="10"/>
    <n v="2640"/>
    <n v="17.8"/>
    <n v="21700.799999999999"/>
    <s v="Refunded"/>
    <s v="Mumbai"/>
    <x v="4"/>
    <x v="0"/>
    <x v="4"/>
  </r>
  <r>
    <s v="ORD-00865"/>
    <x v="279"/>
    <s v="CUST-0169"/>
    <s v="PROD-005"/>
    <x v="6"/>
    <n v="5"/>
    <n v="300"/>
    <n v="12.9"/>
    <n v="1306.5"/>
    <s v="Completed"/>
    <s v="Bengaluru"/>
    <x v="4"/>
    <x v="2"/>
    <x v="2"/>
  </r>
  <r>
    <s v="ORD-00866"/>
    <x v="276"/>
    <s v="CUST-0191"/>
    <s v="PROD-058"/>
    <x v="22"/>
    <n v="2"/>
    <n v="2400"/>
    <n v="17.100000000000001"/>
    <n v="3979.2"/>
    <s v="Pending"/>
    <s v="Hyderabad"/>
    <x v="1"/>
    <x v="1"/>
    <x v="9"/>
  </r>
  <r>
    <s v="ORD-00867"/>
    <x v="336"/>
    <s v="CUST-0129"/>
    <s v="PROD-040"/>
    <x v="17"/>
    <n v="5"/>
    <n v="1080"/>
    <n v="15.7"/>
    <n v="4552.2"/>
    <s v="Pending"/>
    <s v="Hyderabad"/>
    <x v="3"/>
    <x v="2"/>
    <x v="9"/>
  </r>
  <r>
    <s v="ORD-00868"/>
    <x v="72"/>
    <s v="CUST-0066"/>
    <s v="PROD-036"/>
    <x v="11"/>
    <n v="1"/>
    <n v="3250"/>
    <n v="14.7"/>
    <n v="2772.25"/>
    <s v="Completed"/>
    <s v="Delhi"/>
    <x v="3"/>
    <x v="0"/>
    <x v="7"/>
  </r>
  <r>
    <s v="ORD-00869"/>
    <x v="169"/>
    <s v="CUST-0114"/>
    <s v="PROD-032"/>
    <x v="13"/>
    <n v="7"/>
    <n v="370"/>
    <n v="6"/>
    <n v="2434.6"/>
    <s v="Cancelled"/>
    <s v="Bengaluru"/>
    <x v="3"/>
    <x v="3"/>
    <x v="5"/>
  </r>
  <r>
    <s v="ORD-00870"/>
    <x v="186"/>
    <s v="CUST-9833"/>
    <s v="PROD-038"/>
    <x v="20"/>
    <n v="7"/>
    <n v="5490"/>
    <n v="10.199999999999999"/>
    <n v="34510.14"/>
    <s v="Completed"/>
    <s v="Pune"/>
    <x v="3"/>
    <x v="2"/>
    <x v="1"/>
  </r>
  <r>
    <s v="ORD-00871"/>
    <x v="337"/>
    <s v="CUST-0076"/>
    <s v="PROD-006"/>
    <x v="8"/>
    <n v="3"/>
    <n v="3970"/>
    <n v="2.4"/>
    <n v="11624.16"/>
    <s v="Completed"/>
    <s v="Mumbai"/>
    <x v="4"/>
    <x v="2"/>
    <x v="10"/>
  </r>
  <r>
    <s v="ORD-00872"/>
    <x v="336"/>
    <s v="CUST-0215"/>
    <s v="PROD-009"/>
    <x v="0"/>
    <n v="4"/>
    <n v="1220"/>
    <n v="25.3"/>
    <n v="3645.36"/>
    <s v="Completed"/>
    <s v="Hyderabad"/>
    <x v="4"/>
    <x v="0"/>
    <x v="9"/>
  </r>
  <r>
    <s v="ORD-00873"/>
    <x v="132"/>
    <s v="CUST-0061"/>
    <s v="PROD-012"/>
    <x v="17"/>
    <n v="3"/>
    <n v="3160"/>
    <n v="19.8"/>
    <n v="7602.96"/>
    <s v="Completed"/>
    <s v="Hyderabad"/>
    <x v="0"/>
    <x v="2"/>
    <x v="5"/>
  </r>
  <r>
    <s v="ORD-00874"/>
    <x v="195"/>
    <s v="CUST-0249"/>
    <s v="PROD-005"/>
    <x v="4"/>
    <n v="1"/>
    <n v="300"/>
    <n v="24.5"/>
    <n v="226.5"/>
    <s v="Completed"/>
    <s v="Mumbai"/>
    <x v="4"/>
    <x v="0"/>
    <x v="3"/>
  </r>
  <r>
    <s v="ORD-00875"/>
    <x v="16"/>
    <s v="CUST-0105"/>
    <s v="PROD-047"/>
    <x v="20"/>
    <n v="5"/>
    <n v="3450"/>
    <n v="13.4"/>
    <n v="14938.5"/>
    <s v="Pending"/>
    <s v="Chennai"/>
    <x v="5"/>
    <x v="2"/>
    <x v="8"/>
  </r>
  <r>
    <s v="ORD-00876"/>
    <x v="245"/>
    <s v="CUST-0161"/>
    <s v="PROD-014"/>
    <x v="28"/>
    <n v="7"/>
    <n v="3620"/>
    <n v="19.2"/>
    <n v="20474.72"/>
    <s v="Completed"/>
    <s v="Chennai"/>
    <x v="0"/>
    <x v="2"/>
    <x v="5"/>
  </r>
  <r>
    <s v="ORD-00877"/>
    <x v="265"/>
    <s v="CUST-0275"/>
    <s v="PROD-024"/>
    <x v="9"/>
    <n v="10"/>
    <n v="2270"/>
    <n v="20.5"/>
    <n v="18046.5"/>
    <s v="Completed"/>
    <s v="Mumbai"/>
    <x v="2"/>
    <x v="1"/>
    <x v="7"/>
  </r>
  <r>
    <s v="ORD-00878"/>
    <x v="194"/>
    <s v="CUST-0049"/>
    <s v="PROD-015"/>
    <x v="6"/>
    <n v="5"/>
    <n v="2720"/>
    <n v="29.3"/>
    <n v="9615.2000000000007"/>
    <s v="Completed"/>
    <s v="Mumbai"/>
    <x v="0"/>
    <x v="2"/>
    <x v="5"/>
  </r>
  <r>
    <s v="ORD-00879"/>
    <x v="59"/>
    <s v="CUST-0235"/>
    <s v="PROD-027"/>
    <x v="24"/>
    <n v="9"/>
    <n v="3780"/>
    <n v="2.2999999999999998"/>
    <n v="33237.54"/>
    <s v="Completed"/>
    <s v="Chennai"/>
    <x v="2"/>
    <x v="3"/>
    <x v="10"/>
  </r>
  <r>
    <s v="ORD-00880"/>
    <x v="184"/>
    <s v="CUST-0220"/>
    <s v="PROD-025"/>
    <x v="2"/>
    <n v="9"/>
    <n v="4060"/>
    <n v="11.5"/>
    <n v="32337.9"/>
    <s v="Completed"/>
    <s v="Chennai"/>
    <x v="2"/>
    <x v="1"/>
    <x v="8"/>
  </r>
  <r>
    <s v="ORD-00881"/>
    <x v="25"/>
    <s v="CUST-0298"/>
    <s v="PROD-021"/>
    <x v="27"/>
    <n v="10"/>
    <n v="2760"/>
    <n v="3.9"/>
    <n v="26523.599999999999"/>
    <s v="Refunded"/>
    <s v="Delhi"/>
    <x v="2"/>
    <x v="1"/>
    <x v="7"/>
  </r>
  <r>
    <s v="ORD-00882"/>
    <x v="106"/>
    <s v="CUST-0222"/>
    <s v="PROD-040"/>
    <x v="13"/>
    <n v="10"/>
    <n v="1080"/>
    <n v="21.4"/>
    <n v="8488.7999999999993"/>
    <s v="Completed"/>
    <s v="Chennai"/>
    <x v="3"/>
    <x v="3"/>
    <x v="9"/>
  </r>
  <r>
    <s v="ORD-00883"/>
    <x v="255"/>
    <s v="CUST-0049"/>
    <s v="PROD-034"/>
    <x v="12"/>
    <n v="6"/>
    <n v="5080"/>
    <n v="29.8"/>
    <n v="21396.959999999999"/>
    <s v="Pending"/>
    <s v="Mumbai"/>
    <x v="3"/>
    <x v="3"/>
    <x v="10"/>
  </r>
  <r>
    <s v="ORD-00884"/>
    <x v="174"/>
    <s v="CUST-0147"/>
    <s v="PROD-046"/>
    <x v="14"/>
    <n v="1"/>
    <n v="4880"/>
    <n v="28.2"/>
    <n v="3503.84"/>
    <s v="Completed"/>
    <s v="Pune"/>
    <x v="5"/>
    <x v="2"/>
    <x v="11"/>
  </r>
  <r>
    <s v="ORD-00885"/>
    <x v="254"/>
    <s v="CUST-0177"/>
    <s v="PROD-022"/>
    <x v="28"/>
    <n v="1"/>
    <n v="2270"/>
    <n v="27.8"/>
    <n v="1638.94"/>
    <s v="Completed"/>
    <s v="Mumbai"/>
    <x v="2"/>
    <x v="2"/>
    <x v="0"/>
  </r>
  <r>
    <s v="ORD-00886"/>
    <x v="198"/>
    <s v="CUST-0121"/>
    <s v="PROD-006"/>
    <x v="7"/>
    <n v="9"/>
    <n v="3970"/>
    <n v="7"/>
    <n v="33228.9"/>
    <s v="Completed"/>
    <s v="Delhi"/>
    <x v="4"/>
    <x v="3"/>
    <x v="8"/>
  </r>
  <r>
    <s v="ORD-00887"/>
    <x v="199"/>
    <s v="CUST-0262"/>
    <s v="PROD-048"/>
    <x v="11"/>
    <n v="9"/>
    <n v="5100"/>
    <n v="9.6999999999999993"/>
    <n v="41447.699999999997"/>
    <s v="Completed"/>
    <s v="Mumbai"/>
    <x v="5"/>
    <x v="0"/>
    <x v="5"/>
  </r>
  <r>
    <s v="ORD-00888"/>
    <x v="71"/>
    <s v="CUST-0246"/>
    <s v="PROD-060"/>
    <x v="1"/>
    <n v="8"/>
    <n v="190"/>
    <n v="10.199999999999999"/>
    <n v="1364.96"/>
    <s v="Completed"/>
    <s v="Delhi"/>
    <x v="1"/>
    <x v="0"/>
    <x v="10"/>
  </r>
  <r>
    <s v="ORD-00889"/>
    <x v="51"/>
    <s v="CUST-0070"/>
    <s v="PROD-050"/>
    <x v="17"/>
    <n v="1"/>
    <n v="6080"/>
    <n v="5.6"/>
    <n v="5739.52"/>
    <s v="Completed"/>
    <s v="Mumbai"/>
    <x v="5"/>
    <x v="2"/>
    <x v="8"/>
  </r>
  <r>
    <s v="ORD-00890"/>
    <x v="285"/>
    <s v="CUST-0218"/>
    <s v="PROD-057"/>
    <x v="16"/>
    <n v="6"/>
    <n v="960"/>
    <n v="1.9"/>
    <n v="5650.56"/>
    <s v="Completed"/>
    <s v="Mumbai"/>
    <x v="1"/>
    <x v="3"/>
    <x v="10"/>
  </r>
  <r>
    <s v="ORD-00891"/>
    <x v="309"/>
    <s v="CUST-0068"/>
    <s v="PROD-041"/>
    <x v="10"/>
    <n v="7"/>
    <n v="1540"/>
    <n v="7.1"/>
    <n v="10014.620000000001"/>
    <s v="Completed"/>
    <s v="Delhi"/>
    <x v="5"/>
    <x v="0"/>
    <x v="11"/>
  </r>
  <r>
    <s v="ORD-00892"/>
    <x v="60"/>
    <s v="CUST-0261"/>
    <s v="PROD-005"/>
    <x v="23"/>
    <n v="10"/>
    <n v="300"/>
    <n v="12.8"/>
    <n v="2616"/>
    <s v="Cancelled"/>
    <s v="Delhi"/>
    <x v="4"/>
    <x v="1"/>
    <x v="1"/>
  </r>
  <r>
    <s v="ORD-00893"/>
    <x v="145"/>
    <s v="CUST-0077"/>
    <s v="PROD-046"/>
    <x v="23"/>
    <n v="4"/>
    <n v="4880"/>
    <n v="26.5"/>
    <n v="14347.2"/>
    <s v="Completed"/>
    <s v="Hyderabad"/>
    <x v="5"/>
    <x v="1"/>
    <x v="6"/>
  </r>
  <r>
    <s v="ORD-00894"/>
    <x v="55"/>
    <s v="CUST-0188"/>
    <s v="PROD-032"/>
    <x v="11"/>
    <n v="2"/>
    <n v="370"/>
    <n v="26.5"/>
    <n v="543.9"/>
    <s v="Completed"/>
    <s v="Bengaluru"/>
    <x v="3"/>
    <x v="0"/>
    <x v="9"/>
  </r>
  <r>
    <s v="ORD-00895"/>
    <x v="106"/>
    <s v="CUST-0145"/>
    <s v="PROD-039"/>
    <x v="25"/>
    <n v="3"/>
    <n v="4610"/>
    <n v="29.7"/>
    <n v="9722.49"/>
    <s v="Completed"/>
    <s v="Bengaluru"/>
    <x v="3"/>
    <x v="0"/>
    <x v="9"/>
  </r>
  <r>
    <s v="ORD-00896"/>
    <x v="149"/>
    <s v="CUST-0036"/>
    <s v="PROD-002"/>
    <x v="22"/>
    <n v="5"/>
    <n v="2600"/>
    <n v="21.4"/>
    <n v="10218"/>
    <s v="Completed"/>
    <s v="Mumbai"/>
    <x v="4"/>
    <x v="1"/>
    <x v="0"/>
  </r>
  <r>
    <s v="ORD-00600"/>
    <x v="295"/>
    <s v="CUST-0269"/>
    <s v="PROD-009"/>
    <x v="5"/>
    <n v="10"/>
    <n v="1220"/>
    <n v="24.3"/>
    <n v="9235.4"/>
    <s v="Completed"/>
    <s v="Pune"/>
    <x v="4"/>
    <x v="2"/>
    <x v="3"/>
  </r>
  <r>
    <s v="ORD-00898"/>
    <x v="34"/>
    <s v="CUST-9607"/>
    <s v="PROD-007"/>
    <x v="15"/>
    <n v="10"/>
    <n v="1430"/>
    <n v="5.0999999999999996"/>
    <n v="13570.7"/>
    <s v="Cancelled"/>
    <s v="Chennai"/>
    <x v="4"/>
    <x v="1"/>
    <x v="8"/>
  </r>
  <r>
    <s v="ORD-00899"/>
    <x v="35"/>
    <s v="CUST-0189"/>
    <s v="PROD-046"/>
    <x v="14"/>
    <n v="10"/>
    <n v="4880"/>
    <n v="25.5"/>
    <n v="36356"/>
    <s v="Cancelled"/>
    <s v="Chennai"/>
    <x v="5"/>
    <x v="2"/>
    <x v="10"/>
  </r>
  <r>
    <s v="ORD-00900"/>
    <x v="79"/>
    <s v="CUST-0199"/>
    <s v="PROD-050"/>
    <x v="8"/>
    <n v="6"/>
    <n v="6080"/>
    <n v="21.6"/>
    <n v="28600.32"/>
    <s v="Completed"/>
    <s v="Hyderabad"/>
    <x v="5"/>
    <x v="2"/>
    <x v="7"/>
  </r>
  <r>
    <s v="ORD-00901"/>
    <x v="158"/>
    <s v="CUST-0277"/>
    <s v="PROD-045"/>
    <x v="22"/>
    <n v="3"/>
    <n v="3020"/>
    <n v="20.7"/>
    <n v="7184.58"/>
    <s v="Completed"/>
    <s v="Chennai"/>
    <x v="5"/>
    <x v="1"/>
    <x v="11"/>
  </r>
  <r>
    <s v="ORD-00902"/>
    <x v="338"/>
    <s v="CUST-0108"/>
    <s v="PROD-015"/>
    <x v="22"/>
    <n v="9"/>
    <n v="2720"/>
    <n v="21.4"/>
    <n v="19241.28"/>
    <s v="Completed"/>
    <s v="Bengaluru"/>
    <x v="0"/>
    <x v="1"/>
    <x v="6"/>
  </r>
  <r>
    <s v="ORD-00903"/>
    <x v="53"/>
    <s v="CUST-0203"/>
    <s v="PROD-003"/>
    <x v="5"/>
    <n v="10"/>
    <n v="3570"/>
    <n v="4.4000000000000004"/>
    <n v="34129.199999999997"/>
    <s v="Completed"/>
    <s v="Chennai"/>
    <x v="4"/>
    <x v="2"/>
    <x v="3"/>
  </r>
  <r>
    <s v="ORD-00904"/>
    <x v="119"/>
    <s v="CUST-0272"/>
    <s v="PROD-040"/>
    <x v="2"/>
    <n v="8"/>
    <n v="1080"/>
    <n v="23.8"/>
    <n v="6583.68"/>
    <s v="Completed"/>
    <s v="Mumbai"/>
    <x v="3"/>
    <x v="1"/>
    <x v="11"/>
  </r>
  <r>
    <s v="ORD-00905"/>
    <x v="27"/>
    <s v="CUST-0039"/>
    <s v="PROD-035"/>
    <x v="23"/>
    <n v="8"/>
    <n v="1090"/>
    <n v="17.5"/>
    <n v="7194"/>
    <s v="Completed"/>
    <s v="Bengaluru"/>
    <x v="3"/>
    <x v="1"/>
    <x v="2"/>
  </r>
  <r>
    <s v="ORD-00906"/>
    <x v="70"/>
    <s v="CUST-0105"/>
    <s v="PROD-018"/>
    <x v="28"/>
    <n v="7"/>
    <n v="3560"/>
    <n v="11.1"/>
    <n v="22153.88"/>
    <s v="Completed"/>
    <s v="Chennai"/>
    <x v="0"/>
    <x v="2"/>
    <x v="4"/>
  </r>
  <r>
    <s v="ORD-00907"/>
    <x v="59"/>
    <s v="CUST-0095"/>
    <s v="PROD-060"/>
    <x v="24"/>
    <n v="6"/>
    <n v="190"/>
    <n v="17.100000000000001"/>
    <n v="945.06"/>
    <s v="Cancelled"/>
    <s v="Mumbai"/>
    <x v="1"/>
    <x v="3"/>
    <x v="10"/>
  </r>
  <r>
    <s v="ORD-00908"/>
    <x v="320"/>
    <s v="CUST-0138"/>
    <s v="PROD-025"/>
    <x v="5"/>
    <n v="7"/>
    <n v="4060"/>
    <n v="0.6"/>
    <n v="28249.48"/>
    <s v="Completed"/>
    <s v="Chennai"/>
    <x v="2"/>
    <x v="2"/>
    <x v="2"/>
  </r>
  <r>
    <s v="ORD-00909"/>
    <x v="63"/>
    <s v="CUST-0155"/>
    <s v="PROD-039"/>
    <x v="13"/>
    <n v="4"/>
    <n v="4610"/>
    <n v="1.9"/>
    <n v="18089.64"/>
    <s v="Pending"/>
    <s v="Pune"/>
    <x v="3"/>
    <x v="3"/>
    <x v="1"/>
  </r>
  <r>
    <s v="ORD-00910"/>
    <x v="93"/>
    <s v="CUST-0198"/>
    <s v="PROD-026"/>
    <x v="16"/>
    <n v="4"/>
    <n v="4070"/>
    <n v="26.8"/>
    <n v="11916.96"/>
    <s v="Completed"/>
    <s v="Chennai"/>
    <x v="2"/>
    <x v="3"/>
    <x v="8"/>
  </r>
  <r>
    <s v="ORD-00911"/>
    <x v="142"/>
    <s v="CUST-0267"/>
    <s v="PROD-014"/>
    <x v="10"/>
    <n v="4"/>
    <n v="3620"/>
    <n v="11.7"/>
    <n v="12785.84"/>
    <s v="Completed"/>
    <s v="Hyderabad"/>
    <x v="0"/>
    <x v="0"/>
    <x v="8"/>
  </r>
  <r>
    <s v="ORD-00912"/>
    <x v="195"/>
    <s v="CUST-0248"/>
    <s v="PROD-006"/>
    <x v="14"/>
    <n v="3"/>
    <n v="3970"/>
    <n v="24.7"/>
    <n v="8968.23"/>
    <s v="Completed"/>
    <s v="Chennai"/>
    <x v="4"/>
    <x v="2"/>
    <x v="3"/>
  </r>
  <r>
    <s v="ORD-00913"/>
    <x v="36"/>
    <s v="CUST-0114"/>
    <s v="PROD-030"/>
    <x v="8"/>
    <n v="4"/>
    <n v="970"/>
    <n v="0.4"/>
    <n v="3864.48"/>
    <s v="Completed"/>
    <s v="Bengaluru"/>
    <x v="2"/>
    <x v="2"/>
    <x v="2"/>
  </r>
  <r>
    <s v="ORD-00914"/>
    <x v="229"/>
    <s v="CUST-0129"/>
    <s v="PROD-057"/>
    <x v="12"/>
    <n v="2"/>
    <n v="960"/>
    <n v="1.4"/>
    <n v="1893.12"/>
    <s v="Completed"/>
    <s v="Hyderabad"/>
    <x v="1"/>
    <x v="3"/>
    <x v="2"/>
  </r>
  <r>
    <s v="ORD-00915"/>
    <x v="67"/>
    <s v="CUST-0182"/>
    <s v="PROD-005"/>
    <x v="29"/>
    <n v="7"/>
    <n v="300"/>
    <n v="20.399999999999999"/>
    <n v="1671.6"/>
    <s v="Completed"/>
    <s v="Mumbai"/>
    <x v="4"/>
    <x v="1"/>
    <x v="2"/>
  </r>
  <r>
    <s v="ORD-00916"/>
    <x v="245"/>
    <s v="CUST-0020"/>
    <s v="PROD-002"/>
    <x v="2"/>
    <n v="8"/>
    <n v="2600"/>
    <n v="2.2000000000000002"/>
    <n v="20342.400000000001"/>
    <s v="Cancelled"/>
    <s v="Hyderabad"/>
    <x v="4"/>
    <x v="1"/>
    <x v="5"/>
  </r>
  <r>
    <s v="ORD-00917"/>
    <x v="297"/>
    <s v="CUST-0163"/>
    <s v="PROD-032"/>
    <x v="4"/>
    <n v="2"/>
    <n v="370"/>
    <n v="17.7"/>
    <n v="609.02"/>
    <s v="Completed"/>
    <s v="Pune"/>
    <x v="3"/>
    <x v="0"/>
    <x v="9"/>
  </r>
  <r>
    <s v="ORD-00918"/>
    <x v="6"/>
    <s v="CUST-0142"/>
    <s v="PROD-047"/>
    <x v="17"/>
    <n v="4"/>
    <n v="3450"/>
    <n v="9.8000000000000007"/>
    <n v="12447.6"/>
    <s v="Cancelled"/>
    <s v="Chennai"/>
    <x v="5"/>
    <x v="2"/>
    <x v="6"/>
  </r>
  <r>
    <s v="ORD-00919"/>
    <x v="97"/>
    <s v="CUST-0221"/>
    <s v="PROD-019"/>
    <x v="16"/>
    <n v="1"/>
    <n v="2480"/>
    <n v="5.8"/>
    <n v="2336.16"/>
    <s v="Completed"/>
    <s v="Delhi"/>
    <x v="0"/>
    <x v="3"/>
    <x v="10"/>
  </r>
  <r>
    <s v="ORD-00920"/>
    <x v="90"/>
    <s v="CUST-0079"/>
    <s v="PROD-028"/>
    <x v="7"/>
    <n v="5"/>
    <n v="3660"/>
    <n v="4.7"/>
    <n v="17439.900000000001"/>
    <s v="Pending"/>
    <s v="Mumbai"/>
    <x v="2"/>
    <x v="3"/>
    <x v="1"/>
  </r>
  <r>
    <s v="ORD-00921"/>
    <x v="162"/>
    <s v="CUST-0133"/>
    <s v="PROD-044"/>
    <x v="12"/>
    <n v="7"/>
    <n v="1650"/>
    <n v="8.6"/>
    <n v="10556.7"/>
    <s v="Completed"/>
    <s v="Chennai"/>
    <x v="5"/>
    <x v="3"/>
    <x v="11"/>
  </r>
  <r>
    <s v="ORD-00922"/>
    <x v="339"/>
    <s v="CUST-0086"/>
    <s v="PROD-060"/>
    <x v="5"/>
    <n v="6"/>
    <n v="190"/>
    <n v="14.6"/>
    <n v="973.56"/>
    <s v="Completed"/>
    <s v="Hyderabad"/>
    <x v="1"/>
    <x v="2"/>
    <x v="6"/>
  </r>
  <r>
    <s v="ORD-00923"/>
    <x v="14"/>
    <s v="CUST-0155"/>
    <s v="PROD-022"/>
    <x v="19"/>
    <n v="5"/>
    <n v="2270"/>
    <n v="5.9"/>
    <n v="10680.35"/>
    <s v="Completed"/>
    <s v="Pune"/>
    <x v="2"/>
    <x v="0"/>
    <x v="0"/>
  </r>
  <r>
    <s v="ORD-00924"/>
    <x v="327"/>
    <s v="CUST-0244"/>
    <s v="PROD-024"/>
    <x v="23"/>
    <n v="1"/>
    <n v="2270"/>
    <n v="14.9"/>
    <n v="1931.77"/>
    <s v="Completed"/>
    <s v="Bengaluru"/>
    <x v="2"/>
    <x v="1"/>
    <x v="4"/>
  </r>
  <r>
    <s v="ORD-00925"/>
    <x v="133"/>
    <s v="CUST-0262"/>
    <s v="PROD-011"/>
    <x v="26"/>
    <n v="4"/>
    <n v="3450"/>
    <n v="11.7"/>
    <n v="12185.4"/>
    <s v="Cancelled"/>
    <s v="Mumbai"/>
    <x v="0"/>
    <x v="3"/>
    <x v="9"/>
  </r>
  <r>
    <s v="ORD-00926"/>
    <x v="46"/>
    <s v="CUST-0251"/>
    <s v="PROD-045"/>
    <x v="8"/>
    <n v="7"/>
    <n v="3020"/>
    <n v="18.8"/>
    <n v="17165.68"/>
    <s v="Completed"/>
    <s v="Mumbai"/>
    <x v="5"/>
    <x v="2"/>
    <x v="1"/>
  </r>
  <r>
    <s v="ORD-00927"/>
    <x v="284"/>
    <s v="CUST-0007"/>
    <s v="PROD-033"/>
    <x v="29"/>
    <n v="4"/>
    <n v="2030"/>
    <n v="25.7"/>
    <n v="6033.16"/>
    <s v="Completed"/>
    <s v="Bengaluru"/>
    <x v="3"/>
    <x v="1"/>
    <x v="4"/>
  </r>
  <r>
    <s v="ORD-00928"/>
    <x v="331"/>
    <s v="CUST-0161"/>
    <s v="PROD-011"/>
    <x v="2"/>
    <n v="4"/>
    <n v="3450"/>
    <n v="3.9"/>
    <n v="13261.8"/>
    <s v="Completed"/>
    <s v="Chennai"/>
    <x v="0"/>
    <x v="1"/>
    <x v="2"/>
  </r>
  <r>
    <s v="ORD-00929"/>
    <x v="324"/>
    <s v="CUST-0251"/>
    <s v="PROD-049"/>
    <x v="8"/>
    <n v="5"/>
    <n v="960"/>
    <n v="8"/>
    <n v="4416"/>
    <s v="Completed"/>
    <s v="Mumbai"/>
    <x v="5"/>
    <x v="2"/>
    <x v="1"/>
  </r>
  <r>
    <s v="ORD-00930"/>
    <x v="269"/>
    <s v="CUST-0098"/>
    <s v="PROD-006"/>
    <x v="19"/>
    <n v="7"/>
    <n v="3970"/>
    <n v="11.7"/>
    <n v="24538.57"/>
    <s v="Completed"/>
    <s v="Delhi"/>
    <x v="4"/>
    <x v="0"/>
    <x v="0"/>
  </r>
  <r>
    <s v="ORD-00931"/>
    <x v="211"/>
    <s v="CUST-0200"/>
    <s v="PROD-052"/>
    <x v="17"/>
    <n v="3"/>
    <n v="5410"/>
    <n v="10"/>
    <n v="14607"/>
    <s v="Completed"/>
    <s v="Hyderabad"/>
    <x v="1"/>
    <x v="2"/>
    <x v="0"/>
  </r>
  <r>
    <s v="ORD-00932"/>
    <x v="49"/>
    <s v="CUST-0228"/>
    <s v="PROD-003"/>
    <x v="0"/>
    <n v="8"/>
    <n v="3570"/>
    <n v="8.5"/>
    <n v="26132.400000000001"/>
    <s v="Completed"/>
    <s v="Pune"/>
    <x v="4"/>
    <x v="0"/>
    <x v="3"/>
  </r>
  <r>
    <s v="ORD-00933"/>
    <x v="25"/>
    <s v="CUST-0095"/>
    <s v="PROD-002"/>
    <x v="2"/>
    <n v="7"/>
    <n v="2600"/>
    <n v="27.1"/>
    <n v="13267.8"/>
    <s v="Completed"/>
    <s v="Mumbai"/>
    <x v="4"/>
    <x v="1"/>
    <x v="7"/>
  </r>
  <r>
    <s v="ORD-00934"/>
    <x v="33"/>
    <s v="CUST-0175"/>
    <s v="PROD-053"/>
    <x v="17"/>
    <n v="6"/>
    <n v="470"/>
    <n v="2.4"/>
    <n v="2752.32"/>
    <s v="Pending"/>
    <s v="Delhi"/>
    <x v="1"/>
    <x v="2"/>
    <x v="3"/>
  </r>
  <r>
    <s v="ORD-00935"/>
    <x v="2"/>
    <s v="CUST-0270"/>
    <s v="PROD-053"/>
    <x v="5"/>
    <n v="3"/>
    <n v="470"/>
    <n v="6.3"/>
    <n v="1321.17"/>
    <s v="Completed"/>
    <s v="Bengaluru"/>
    <x v="1"/>
    <x v="2"/>
    <x v="2"/>
  </r>
  <r>
    <s v="ORD-00936"/>
    <x v="326"/>
    <s v="CUST-0105"/>
    <s v="PROD-059"/>
    <x v="10"/>
    <n v="3"/>
    <n v="3780"/>
    <n v="19.399999999999999"/>
    <n v="9140.0400000000009"/>
    <s v="Pending"/>
    <s v="Chennai"/>
    <x v="1"/>
    <x v="0"/>
    <x v="0"/>
  </r>
  <r>
    <s v="ORD-00937"/>
    <x v="40"/>
    <s v="CUST-0147"/>
    <s v="PROD-056"/>
    <x v="7"/>
    <n v="5"/>
    <n v="6940"/>
    <n v="12.6"/>
    <n v="30327.8"/>
    <s v="Completed"/>
    <s v="Pune"/>
    <x v="1"/>
    <x v="3"/>
    <x v="5"/>
  </r>
  <r>
    <s v="ORD-00938"/>
    <x v="194"/>
    <s v="CUST-0106"/>
    <s v="PROD-004"/>
    <x v="14"/>
    <n v="2"/>
    <n v="3870"/>
    <n v="10.5"/>
    <n v="6927.3"/>
    <s v="Completed"/>
    <s v="Pune"/>
    <x v="4"/>
    <x v="2"/>
    <x v="5"/>
  </r>
  <r>
    <s v="ORD-00939"/>
    <x v="340"/>
    <s v="CUST-0130"/>
    <s v="PROD-052"/>
    <x v="2"/>
    <n v="8"/>
    <n v="5410"/>
    <n v="28.4"/>
    <n v="30988.48"/>
    <s v="Pending"/>
    <s v="Bengaluru"/>
    <x v="1"/>
    <x v="1"/>
    <x v="7"/>
  </r>
  <r>
    <s v="ORD-00940"/>
    <x v="221"/>
    <s v="CUST-0241"/>
    <s v="PROD-006"/>
    <x v="14"/>
    <n v="7"/>
    <n v="3970"/>
    <n v="12.3"/>
    <n v="24371.83"/>
    <s v="Completed"/>
    <s v="Pune"/>
    <x v="4"/>
    <x v="2"/>
    <x v="4"/>
  </r>
  <r>
    <s v="ORD-00941"/>
    <x v="294"/>
    <s v="CUST-0151"/>
    <s v="PROD-056"/>
    <x v="19"/>
    <n v="5"/>
    <n v="6940"/>
    <n v="1.5"/>
    <n v="34179.5"/>
    <s v="Completed"/>
    <s v="Mumbai"/>
    <x v="1"/>
    <x v="0"/>
    <x v="4"/>
  </r>
  <r>
    <s v="ORD-00942"/>
    <x v="110"/>
    <s v="CUST-0022"/>
    <s v="PROD-012"/>
    <x v="3"/>
    <n v="7"/>
    <n v="3160"/>
    <n v="2.4"/>
    <n v="21589.119999999999"/>
    <s v="Refunded"/>
    <s v="Bengaluru"/>
    <x v="0"/>
    <x v="0"/>
    <x v="0"/>
  </r>
  <r>
    <s v="ORD-00943"/>
    <x v="255"/>
    <s v="CUST-0030"/>
    <s v="PROD-020"/>
    <x v="6"/>
    <n v="2"/>
    <n v="820"/>
    <n v="8.1"/>
    <n v="1507.16"/>
    <s v="Completed"/>
    <s v="Bengaluru"/>
    <x v="0"/>
    <x v="2"/>
    <x v="10"/>
  </r>
  <r>
    <s v="ORD-00944"/>
    <x v="237"/>
    <s v="CUST-0176"/>
    <s v="PROD-041"/>
    <x v="14"/>
    <n v="2"/>
    <n v="1540"/>
    <n v="17.7"/>
    <n v="2534.84"/>
    <s v="Completed"/>
    <s v="Bengaluru"/>
    <x v="5"/>
    <x v="2"/>
    <x v="9"/>
  </r>
  <r>
    <s v="ORD-00945"/>
    <x v="310"/>
    <s v="CUST-0270"/>
    <s v="PROD-004"/>
    <x v="19"/>
    <n v="10"/>
    <n v="3870"/>
    <n v="12.2"/>
    <n v="33978.6"/>
    <s v="Refunded"/>
    <s v="Bengaluru"/>
    <x v="4"/>
    <x v="0"/>
    <x v="6"/>
  </r>
  <r>
    <s v="ORD-00946"/>
    <x v="56"/>
    <s v="CUST-0216"/>
    <s v="PROD-008"/>
    <x v="25"/>
    <n v="7"/>
    <n v="2660"/>
    <n v="4.7"/>
    <n v="17744.86"/>
    <s v="Completed"/>
    <s v="Mumbai"/>
    <x v="4"/>
    <x v="0"/>
    <x v="10"/>
  </r>
  <r>
    <s v="ORD-00947"/>
    <x v="313"/>
    <s v="CUST-0187"/>
    <s v="PROD-003"/>
    <x v="18"/>
    <n v="4"/>
    <n v="3570"/>
    <n v="19.3"/>
    <n v="11523.96"/>
    <s v="Completed"/>
    <s v="Chennai"/>
    <x v="4"/>
    <x v="1"/>
    <x v="3"/>
  </r>
  <r>
    <s v="ORD-00948"/>
    <x v="274"/>
    <s v="CUST-0143"/>
    <s v="PROD-033"/>
    <x v="25"/>
    <n v="2"/>
    <n v="2030"/>
    <n v="2.6"/>
    <n v="3954.44"/>
    <s v="Completed"/>
    <s v="Chennai"/>
    <x v="3"/>
    <x v="0"/>
    <x v="5"/>
  </r>
  <r>
    <s v="ORD-00949"/>
    <x v="273"/>
    <s v="CUST-0104"/>
    <s v="PROD-012"/>
    <x v="22"/>
    <n v="6"/>
    <n v="3160"/>
    <n v="25.8"/>
    <n v="14068.32"/>
    <s v="Completed"/>
    <s v="Hyderabad"/>
    <x v="0"/>
    <x v="1"/>
    <x v="3"/>
  </r>
  <r>
    <s v="ORD-00950"/>
    <x v="157"/>
    <s v="CUST-0121"/>
    <s v="PROD-034"/>
    <x v="2"/>
    <n v="4"/>
    <n v="5080"/>
    <n v="2"/>
    <n v="19913.599999999999"/>
    <s v="Completed"/>
    <s v=" Delhi "/>
    <x v="3"/>
    <x v="1"/>
    <x v="9"/>
  </r>
  <r>
    <s v="ORD-00951"/>
    <x v="322"/>
    <s v="CUST-0228"/>
    <s v="PROD-047"/>
    <x v="9"/>
    <n v="6"/>
    <n v="3450"/>
    <n v="1.8"/>
    <n v="20327.400000000001"/>
    <s v="Cancelled"/>
    <s v="Pune"/>
    <x v="5"/>
    <x v="1"/>
    <x v="1"/>
  </r>
  <r>
    <s v="ORD-00952"/>
    <x v="189"/>
    <s v="CUST-0218"/>
    <s v="PROD-051"/>
    <x v="29"/>
    <n v="3"/>
    <n v="3450"/>
    <n v="4.7"/>
    <n v="9863.5499999999993"/>
    <s v="Pending"/>
    <s v="Mumbai"/>
    <x v="1"/>
    <x v="1"/>
    <x v="9"/>
  </r>
  <r>
    <s v="ORD-00953"/>
    <x v="27"/>
    <s v="CUST-0118"/>
    <s v="PROD-001"/>
    <x v="28"/>
    <n v="7"/>
    <n v="5330"/>
    <n v="16.399999999999999"/>
    <n v="31191.16"/>
    <s v="Completed"/>
    <s v="Hyderabad"/>
    <x v="4"/>
    <x v="2"/>
    <x v="2"/>
  </r>
  <r>
    <s v="ORD-00954"/>
    <x v="190"/>
    <s v="CUST-0262"/>
    <s v="PROD-029"/>
    <x v="11"/>
    <n v="6"/>
    <n v="2210"/>
    <n v="13.1"/>
    <n v="11522.94"/>
    <s v="Completed"/>
    <s v="Mumbai"/>
    <x v="2"/>
    <x v="0"/>
    <x v="7"/>
  </r>
  <r>
    <s v="ORD-00955"/>
    <x v="133"/>
    <s v="CUST-0137"/>
    <s v="PROD-040"/>
    <x v="17"/>
    <n v="8"/>
    <n v="1080"/>
    <n v="8.6999999999999993"/>
    <n v="7888.32"/>
    <s v="Completed"/>
    <s v="Mumbai"/>
    <x v="3"/>
    <x v="2"/>
    <x v="9"/>
  </r>
  <r>
    <s v="ORD-00956"/>
    <x v="185"/>
    <s v="CUST-0145"/>
    <s v="PROD-014"/>
    <x v="15"/>
    <n v="5"/>
    <n v="3620"/>
    <n v="16.100000000000001"/>
    <n v="15185.9"/>
    <s v="Completed"/>
    <s v="Bengaluru"/>
    <x v="0"/>
    <x v="1"/>
    <x v="10"/>
  </r>
  <r>
    <s v="ORD-00957"/>
    <x v="64"/>
    <s v="CUST-0275"/>
    <s v="PROD-018"/>
    <x v="23"/>
    <n v="7"/>
    <n v="3560"/>
    <n v="8.5"/>
    <n v="22801.8"/>
    <s v="Completed"/>
    <s v="Mumbai"/>
    <x v="0"/>
    <x v="1"/>
    <x v="10"/>
  </r>
  <r>
    <s v="ORD-00958"/>
    <x v="263"/>
    <s v="CUST-0189"/>
    <s v="PROD-033"/>
    <x v="5"/>
    <n v="8"/>
    <n v="2030"/>
    <n v="18.100000000000001"/>
    <n v="13300.56"/>
    <s v="Completed"/>
    <s v="Chennai"/>
    <x v="3"/>
    <x v="2"/>
    <x v="10"/>
  </r>
  <r>
    <s v="ORD-00959"/>
    <x v="154"/>
    <s v="CUST-0105"/>
    <s v="PROD-044"/>
    <x v="23"/>
    <n v="10"/>
    <n v="1650"/>
    <n v="7.1"/>
    <n v="15328.5"/>
    <s v="Completed"/>
    <s v="Chennai"/>
    <x v="5"/>
    <x v="1"/>
    <x v="1"/>
  </r>
  <r>
    <s v="ORD-00960"/>
    <x v="25"/>
    <s v="CUST-0284"/>
    <s v="PROD-021"/>
    <x v="21"/>
    <n v="4"/>
    <n v="2760"/>
    <n v="17.600000000000001"/>
    <n v="9096.9599999999991"/>
    <s v="Cancelled"/>
    <s v="Hyderabad"/>
    <x v="2"/>
    <x v="3"/>
    <x v="7"/>
  </r>
  <r>
    <s v="ORD-00961"/>
    <x v="151"/>
    <s v="CUST-0296"/>
    <s v="PROD-006"/>
    <x v="18"/>
    <n v="4"/>
    <n v="3970"/>
    <n v="4.3"/>
    <n v="15197.16"/>
    <s v="Completed"/>
    <s v="Delhi"/>
    <x v="4"/>
    <x v="1"/>
    <x v="6"/>
  </r>
  <r>
    <s v="ORD-00962"/>
    <x v="89"/>
    <s v="CUST-0087"/>
    <s v="PROD-050"/>
    <x v="9"/>
    <n v="2"/>
    <n v="6080"/>
    <n v="23.8"/>
    <n v="9265.92"/>
    <s v="Completed"/>
    <s v="Pune"/>
    <x v="5"/>
    <x v="1"/>
    <x v="7"/>
  </r>
  <r>
    <s v="ORD-00963"/>
    <x v="341"/>
    <s v="CUST-0012"/>
    <s v="PROD-024"/>
    <x v="10"/>
    <n v="4"/>
    <n v="2270"/>
    <n v="28.9"/>
    <n v="6455.88"/>
    <s v="Completed"/>
    <s v="Pune"/>
    <x v="2"/>
    <x v="0"/>
    <x v="4"/>
  </r>
  <r>
    <s v="ORD-00964"/>
    <x v="236"/>
    <s v="CUST-0241"/>
    <s v="PROD-006"/>
    <x v="10"/>
    <n v="10"/>
    <n v="3970"/>
    <n v="26.2"/>
    <n v="29298.6"/>
    <s v="Completed"/>
    <s v="Pune"/>
    <x v="4"/>
    <x v="0"/>
    <x v="3"/>
  </r>
  <r>
    <s v="ORD-00965"/>
    <x v="239"/>
    <s v="CUST-0133"/>
    <s v="PROD-048"/>
    <x v="22"/>
    <n v="4"/>
    <n v="5100"/>
    <n v="2.1"/>
    <n v="19971.599999999999"/>
    <s v="Completed"/>
    <s v="Chennai"/>
    <x v="5"/>
    <x v="1"/>
    <x v="2"/>
  </r>
  <r>
    <s v="ORD-00966"/>
    <x v="49"/>
    <s v="CUST-0230"/>
    <s v="PROD-045"/>
    <x v="6"/>
    <n v="5"/>
    <n v="3020"/>
    <n v="17.3"/>
    <n v="12487.7"/>
    <s v="Completed"/>
    <s v="Pune"/>
    <x v="5"/>
    <x v="2"/>
    <x v="3"/>
  </r>
  <r>
    <s v="ORD-00967"/>
    <x v="126"/>
    <s v="CUST-0126"/>
    <s v="PROD-057"/>
    <x v="29"/>
    <n v="8"/>
    <n v="960"/>
    <n v="1.3"/>
    <n v="7580.16"/>
    <s v="Cancelled"/>
    <s v="Mumbai"/>
    <x v="1"/>
    <x v="1"/>
    <x v="7"/>
  </r>
  <r>
    <s v="ORD-00968"/>
    <x v="109"/>
    <s v="CUST-0233"/>
    <s v="PROD-019"/>
    <x v="4"/>
    <n v="9"/>
    <n v="2480"/>
    <n v="15.6"/>
    <n v="18838.080000000002"/>
    <s v="Completed"/>
    <s v="Mumbai"/>
    <x v="0"/>
    <x v="0"/>
    <x v="4"/>
  </r>
  <r>
    <s v="ORD-00969"/>
    <x v="286"/>
    <s v="CUST-9555"/>
    <s v="PROD-030"/>
    <x v="27"/>
    <n v="1"/>
    <n v="970"/>
    <n v="24.9"/>
    <n v="728.47"/>
    <s v="Completed"/>
    <s v="Bengaluru"/>
    <x v="2"/>
    <x v="1"/>
    <x v="9"/>
  </r>
  <r>
    <s v="ORD-00970"/>
    <x v="38"/>
    <s v="CUST-0150"/>
    <s v="PROD-023"/>
    <x v="24"/>
    <n v="4"/>
    <n v="2380"/>
    <n v="9.5"/>
    <n v="8615.6"/>
    <s v="Cancelled"/>
    <s v="Pune"/>
    <x v="2"/>
    <x v="3"/>
    <x v="4"/>
  </r>
  <r>
    <s v="ORD-00971"/>
    <x v="318"/>
    <s v="CUST-0204"/>
    <s v="PROD-052"/>
    <x v="1"/>
    <n v="4"/>
    <n v="5410"/>
    <n v="18.7"/>
    <n v="17593.32"/>
    <s v="Completed"/>
    <s v="Hyderabad"/>
    <x v="1"/>
    <x v="0"/>
    <x v="3"/>
  </r>
  <r>
    <s v="ORD-00972"/>
    <x v="52"/>
    <s v="CUST-0040"/>
    <s v="PROD-034"/>
    <x v="24"/>
    <n v="7"/>
    <n v="5080"/>
    <n v="6.5"/>
    <n v="33248.6"/>
    <s v="Completed"/>
    <s v="Chennai"/>
    <x v="3"/>
    <x v="3"/>
    <x v="9"/>
  </r>
  <r>
    <s v="ORD-00973"/>
    <x v="220"/>
    <s v="CUST-0060"/>
    <s v="PROD-007"/>
    <x v="5"/>
    <n v="5"/>
    <n v="1430"/>
    <n v="19.8"/>
    <n v="5734.3"/>
    <s v="Completed"/>
    <s v="Pune"/>
    <x v="4"/>
    <x v="2"/>
    <x v="1"/>
  </r>
  <r>
    <s v="ORD-00974"/>
    <x v="4"/>
    <s v="CUST-0017"/>
    <s v="PROD-037"/>
    <x v="23"/>
    <n v="7"/>
    <n v="660"/>
    <n v="17.3"/>
    <n v="3820.74"/>
    <s v="Completed"/>
    <s v="Delhi"/>
    <x v="3"/>
    <x v="1"/>
    <x v="4"/>
  </r>
  <r>
    <s v="ORD-00975"/>
    <x v="265"/>
    <s v="CUST-0093"/>
    <s v="PROD-041"/>
    <x v="10"/>
    <n v="10"/>
    <n v="1540"/>
    <n v="17.5"/>
    <n v="12705"/>
    <s v="Completed"/>
    <s v="Pune"/>
    <x v="5"/>
    <x v="0"/>
    <x v="7"/>
  </r>
  <r>
    <s v="ORD-01662"/>
    <x v="243"/>
    <s v="CUST-0068"/>
    <s v="PROD-029"/>
    <x v="11"/>
    <n v="10"/>
    <n v="2210"/>
    <n v="24.1"/>
    <n v="16773.900000000001"/>
    <s v="Pending"/>
    <s v="Delhi"/>
    <x v="2"/>
    <x v="0"/>
    <x v="2"/>
  </r>
  <r>
    <s v="ORD-00977"/>
    <x v="281"/>
    <s v="CUST-0251"/>
    <s v="PROD-057"/>
    <x v="24"/>
    <n v="4"/>
    <n v="960"/>
    <n v="13.4"/>
    <n v="3325.44"/>
    <s v="Completed"/>
    <s v="Mumbai"/>
    <x v="1"/>
    <x v="3"/>
    <x v="7"/>
  </r>
  <r>
    <s v="ORD-00978"/>
    <x v="108"/>
    <s v="CUST-0076"/>
    <s v="PROD-047"/>
    <x v="24"/>
    <n v="8"/>
    <n v="3450"/>
    <n v="3.7"/>
    <n v="26578.799999999999"/>
    <s v="Completed"/>
    <s v="Mumbai"/>
    <x v="5"/>
    <x v="3"/>
    <x v="8"/>
  </r>
  <r>
    <s v="ORD-00979"/>
    <x v="214"/>
    <s v="CUST-9927"/>
    <s v="PROD-033"/>
    <x v="1"/>
    <n v="6"/>
    <n v="2030"/>
    <n v="9.5"/>
    <n v="11022.9"/>
    <s v="Completed"/>
    <s v="Mumbai"/>
    <x v="3"/>
    <x v="0"/>
    <x v="10"/>
  </r>
  <r>
    <s v="ORD-00980"/>
    <x v="342"/>
    <s v="CUST-0135"/>
    <s v="PROD-011"/>
    <x v="18"/>
    <n v="7"/>
    <n v="3450"/>
    <n v="28.2"/>
    <n v="17339.7"/>
    <s v="Completed"/>
    <s v="Pune"/>
    <x v="0"/>
    <x v="1"/>
    <x v="5"/>
  </r>
  <r>
    <s v="ORD-00981"/>
    <x v="101"/>
    <s v="CUST-0163"/>
    <s v="PROD-027"/>
    <x v="23"/>
    <n v="7"/>
    <n v="3780"/>
    <n v="15.1"/>
    <n v="22464.54"/>
    <s v="Completed"/>
    <s v="Pune"/>
    <x v="2"/>
    <x v="1"/>
    <x v="7"/>
  </r>
  <r>
    <s v="ORD-00947"/>
    <x v="53"/>
    <s v="CUST-0107"/>
    <s v="PROD-021"/>
    <x v="25"/>
    <n v="4"/>
    <n v="2760"/>
    <n v="14.8"/>
    <n v="9406.08"/>
    <s v="Completed"/>
    <s v="Pune"/>
    <x v="2"/>
    <x v="0"/>
    <x v="3"/>
  </r>
  <r>
    <s v="ORD-00983"/>
    <x v="322"/>
    <s v="CUST-0209"/>
    <s v="PROD-041"/>
    <x v="20"/>
    <n v="4"/>
    <n v="1540"/>
    <n v="13.9"/>
    <n v="5303.76"/>
    <s v="Completed"/>
    <s v="Pune"/>
    <x v="5"/>
    <x v="2"/>
    <x v="1"/>
  </r>
  <r>
    <s v="ORD-00984"/>
    <x v="334"/>
    <s v="CUST-0074"/>
    <s v="PROD-031"/>
    <x v="0"/>
    <n v="2"/>
    <n v="3730"/>
    <n v="15.7"/>
    <n v="6288.78"/>
    <s v="Cancelled"/>
    <s v="Bengaluru"/>
    <x v="3"/>
    <x v="0"/>
    <x v="3"/>
  </r>
  <r>
    <s v="ORD-00985"/>
    <x v="251"/>
    <s v="CUST-0037"/>
    <s v="PROD-031"/>
    <x v="28"/>
    <n v="4"/>
    <n v="3730"/>
    <n v="2.1"/>
    <n v="14606.68"/>
    <s v="Completed"/>
    <s v="Bengaluru"/>
    <x v="3"/>
    <x v="2"/>
    <x v="9"/>
  </r>
  <r>
    <s v="ORD-00986"/>
    <x v="136"/>
    <s v="CUST-0026"/>
    <s v="PROD-012"/>
    <x v="22"/>
    <n v="1"/>
    <n v="3160"/>
    <n v="29.8"/>
    <n v="2218.3200000000002"/>
    <s v="Completed"/>
    <s v="Pune"/>
    <x v="0"/>
    <x v="1"/>
    <x v="6"/>
  </r>
  <r>
    <s v="ORD-00987"/>
    <x v="227"/>
    <s v="CUST-0151"/>
    <s v="PROD-042"/>
    <x v="24"/>
    <n v="9"/>
    <n v="2290"/>
    <n v="8.3000000000000007"/>
    <n v="18899.37"/>
    <s v="Pending"/>
    <s v="Mumbai"/>
    <x v="5"/>
    <x v="3"/>
    <x v="0"/>
  </r>
  <r>
    <s v="ORD-00988"/>
    <x v="215"/>
    <s v="CUST-0210"/>
    <s v="PROD-004"/>
    <x v="22"/>
    <n v="2"/>
    <n v="3870"/>
    <n v="5.2"/>
    <n v="7337.52"/>
    <s v="Completed"/>
    <s v="Pune"/>
    <x v="4"/>
    <x v="1"/>
    <x v="8"/>
  </r>
  <r>
    <s v="ORD-00989"/>
    <x v="57"/>
    <s v="CUST-0192"/>
    <s v="PROD-003"/>
    <x v="0"/>
    <n v="5"/>
    <n v="3570"/>
    <n v="19.899999999999999"/>
    <n v="14297.85"/>
    <s v="Completed"/>
    <s v="Bengaluru"/>
    <x v="4"/>
    <x v="0"/>
    <x v="6"/>
  </r>
  <r>
    <s v="ORD-00990"/>
    <x v="305"/>
    <s v="CUST-0161"/>
    <s v="PROD-054"/>
    <x v="19"/>
    <n v="5"/>
    <n v="1010"/>
    <n v="2.2000000000000002"/>
    <n v="4938.8999999999996"/>
    <s v="Completed"/>
    <s v="Chennai"/>
    <x v="1"/>
    <x v="0"/>
    <x v="1"/>
  </r>
  <r>
    <s v="ORD-00991"/>
    <x v="119"/>
    <s v="CUST-0255"/>
    <s v="PROD-042"/>
    <x v="10"/>
    <n v="10"/>
    <n v="2290"/>
    <n v="16.8"/>
    <n v="19052.8"/>
    <s v="Cancelled"/>
    <s v="Chennai"/>
    <x v="5"/>
    <x v="0"/>
    <x v="11"/>
  </r>
  <r>
    <s v="ORD-00992"/>
    <x v="293"/>
    <s v="CUST-0027"/>
    <s v="PROD-039"/>
    <x v="7"/>
    <n v="3"/>
    <n v="4610"/>
    <n v="13.2"/>
    <n v="12004.44"/>
    <s v="Pending"/>
    <s v="Hyderabad"/>
    <x v="3"/>
    <x v="3"/>
    <x v="10"/>
  </r>
  <r>
    <s v="ORD-00993"/>
    <x v="320"/>
    <s v="CUST-0228"/>
    <s v="PROD-017"/>
    <x v="11"/>
    <n v="1"/>
    <n v="2510"/>
    <n v="16.899999999999999"/>
    <n v="2085.81"/>
    <s v="Completed"/>
    <s v="Pune"/>
    <x v="0"/>
    <x v="0"/>
    <x v="2"/>
  </r>
  <r>
    <s v="ORD-00994"/>
    <x v="27"/>
    <s v="CUST-0183"/>
    <s v="PROD-045"/>
    <x v="18"/>
    <n v="1"/>
    <n v="3020"/>
    <n v="26.7"/>
    <n v="2213.66"/>
    <s v="Completed"/>
    <s v="Mumbai"/>
    <x v="5"/>
    <x v="1"/>
    <x v="2"/>
  </r>
  <r>
    <s v="ORD-00995"/>
    <x v="343"/>
    <s v="CUST-0026"/>
    <s v="PROD-060"/>
    <x v="27"/>
    <n v="6"/>
    <n v="190"/>
    <n v="7.1"/>
    <n v="1059.06"/>
    <s v="Completed"/>
    <s v="Pune"/>
    <x v="1"/>
    <x v="1"/>
    <x v="11"/>
  </r>
  <r>
    <s v="ORD-00996"/>
    <x v="201"/>
    <s v="CUST-0211"/>
    <s v="PROD-033"/>
    <x v="25"/>
    <n v="6"/>
    <n v="2030"/>
    <n v="13.5"/>
    <n v="10535.7"/>
    <s v="Cancelled"/>
    <s v="Bengaluru"/>
    <x v="3"/>
    <x v="0"/>
    <x v="7"/>
  </r>
  <r>
    <s v="ORD-00997"/>
    <x v="74"/>
    <s v="CUST-0190"/>
    <s v="PROD-036"/>
    <x v="27"/>
    <n v="10"/>
    <n v="3250"/>
    <n v="8.6999999999999993"/>
    <n v="29672.5"/>
    <s v="Completed"/>
    <s v="Hyderabad"/>
    <x v="3"/>
    <x v="1"/>
    <x v="0"/>
  </r>
  <r>
    <s v="ORD-00998"/>
    <x v="193"/>
    <s v="CUST-0172"/>
    <s v="PROD-033"/>
    <x v="20"/>
    <n v="9"/>
    <n v="2030"/>
    <n v="29.3"/>
    <n v="12916.89"/>
    <s v="Completed"/>
    <s v="Pune"/>
    <x v="3"/>
    <x v="2"/>
    <x v="11"/>
  </r>
  <r>
    <s v="ORD-00999"/>
    <x v="82"/>
    <s v="CUST-0272"/>
    <s v="PROD-023"/>
    <x v="5"/>
    <n v="1"/>
    <n v="2380"/>
    <n v="12.9"/>
    <n v="2072.98"/>
    <s v="Completed"/>
    <s v="Mumbai"/>
    <x v="2"/>
    <x v="2"/>
    <x v="2"/>
  </r>
  <r>
    <s v="ORD-01000"/>
    <x v="126"/>
    <s v="CUST-0232"/>
    <s v="PROD-011"/>
    <x v="6"/>
    <n v="10"/>
    <n v="3450"/>
    <n v="18.5"/>
    <n v="28117.5"/>
    <s v="Completed"/>
    <s v="Hyderabad"/>
    <x v="0"/>
    <x v="2"/>
    <x v="7"/>
  </r>
  <r>
    <s v="ORD-01001"/>
    <x v="66"/>
    <s v="CUST-0282"/>
    <s v="PROD-012"/>
    <x v="25"/>
    <n v="10"/>
    <n v="3160"/>
    <n v="26.3"/>
    <n v="23289.200000000001"/>
    <s v="Completed"/>
    <s v="Hyderabad"/>
    <x v="0"/>
    <x v="0"/>
    <x v="10"/>
  </r>
  <r>
    <s v="ORD-01002"/>
    <x v="101"/>
    <s v="CUST-0164"/>
    <s v="PROD-038"/>
    <x v="17"/>
    <n v="10"/>
    <n v="5490"/>
    <n v="22.7"/>
    <n v="42437.7"/>
    <s v="Completed"/>
    <s v="Chennai"/>
    <x v="3"/>
    <x v="2"/>
    <x v="7"/>
  </r>
  <r>
    <s v="ORD-01003"/>
    <x v="232"/>
    <s v="CUST-0212"/>
    <s v="PROD-055"/>
    <x v="3"/>
    <n v="8"/>
    <n v="2860"/>
    <n v="14.3"/>
    <n v="19608.16"/>
    <s v="Completed"/>
    <s v="Chennai"/>
    <x v="1"/>
    <x v="0"/>
    <x v="0"/>
  </r>
  <r>
    <s v="ORD-01004"/>
    <x v="104"/>
    <s v="CUST-0234"/>
    <s v="PROD-049"/>
    <x v="23"/>
    <n v="1"/>
    <n v="960"/>
    <n v="11.9"/>
    <n v="845.76"/>
    <s v="Completed"/>
    <s v="Bengaluru"/>
    <x v="5"/>
    <x v="1"/>
    <x v="3"/>
  </r>
  <r>
    <s v="ORD-01005"/>
    <x v="195"/>
    <s v="CUST-0292"/>
    <s v="PROD-040"/>
    <x v="0"/>
    <n v="3"/>
    <n v="1080"/>
    <n v="26"/>
    <n v="2397.6"/>
    <s v="Completed"/>
    <s v="Bengaluru"/>
    <x v="3"/>
    <x v="0"/>
    <x v="3"/>
  </r>
  <r>
    <s v="ORD-01006"/>
    <x v="65"/>
    <s v="CUST-0018"/>
    <s v="PROD-055"/>
    <x v="19"/>
    <n v="10"/>
    <n v="2860"/>
    <n v="13.1"/>
    <n v="24853.4"/>
    <s v="Refunded"/>
    <s v="Pune"/>
    <x v="1"/>
    <x v="0"/>
    <x v="9"/>
  </r>
  <r>
    <s v="ORD-01007"/>
    <x v="316"/>
    <s v="CUST-0220"/>
    <s v="PROD-013"/>
    <x v="19"/>
    <n v="3"/>
    <n v="3640"/>
    <n v="18.2"/>
    <n v="8932.56"/>
    <s v="Completed"/>
    <s v="Chennai"/>
    <x v="0"/>
    <x v="0"/>
    <x v="8"/>
  </r>
  <r>
    <s v="ORD-01008"/>
    <x v="171"/>
    <s v="CUST-0064"/>
    <s v="PROD-015"/>
    <x v="26"/>
    <n v="3"/>
    <n v="2720"/>
    <n v="3.6"/>
    <n v="7866.24"/>
    <s v="Completed"/>
    <s v="Hyderabad"/>
    <x v="0"/>
    <x v="3"/>
    <x v="5"/>
  </r>
  <r>
    <s v="ORD-01009"/>
    <x v="316"/>
    <s v="CUST-0077"/>
    <s v="PROD-024"/>
    <x v="4"/>
    <n v="4"/>
    <n v="2270"/>
    <n v="18.399999999999999"/>
    <n v="7409.28"/>
    <s v="Completed"/>
    <s v="Hyderabad"/>
    <x v="2"/>
    <x v="0"/>
    <x v="8"/>
  </r>
  <r>
    <s v="ORD-01010"/>
    <x v="64"/>
    <s v="CUST-0229"/>
    <s v="PROD-009"/>
    <x v="20"/>
    <n v="5"/>
    <n v="1220"/>
    <n v="13.9"/>
    <n v="5252.1"/>
    <s v="Completed"/>
    <s v="Hyderabad"/>
    <x v="4"/>
    <x v="2"/>
    <x v="10"/>
  </r>
  <r>
    <s v="ORD-01011"/>
    <x v="21"/>
    <s v="CUST-0129"/>
    <s v="PROD-010"/>
    <x v="15"/>
    <n v="8"/>
    <n v="2640"/>
    <n v="17.3"/>
    <n v="17466.240000000002"/>
    <s v="Completed"/>
    <s v="Hyderabad"/>
    <x v="4"/>
    <x v="1"/>
    <x v="7"/>
  </r>
  <r>
    <s v="ORD-01012"/>
    <x v="66"/>
    <s v="CUST-0145"/>
    <s v="PROD-030"/>
    <x v="15"/>
    <n v="1"/>
    <n v="970"/>
    <n v="28"/>
    <n v="698.4"/>
    <s v="Cancelled"/>
    <s v="Bengaluru"/>
    <x v="2"/>
    <x v="1"/>
    <x v="10"/>
  </r>
  <r>
    <s v="ORD-01013"/>
    <x v="243"/>
    <s v="CUST-0258"/>
    <s v="PROD-031"/>
    <x v="5"/>
    <n v="8"/>
    <n v="3730"/>
    <n v="2.1"/>
    <n v="29213.360000000001"/>
    <s v="Refunded"/>
    <s v="Pune"/>
    <x v="3"/>
    <x v="2"/>
    <x v="2"/>
  </r>
  <r>
    <s v="ORD-01014"/>
    <x v="311"/>
    <s v="CUST-0209"/>
    <s v="PROD-030"/>
    <x v="6"/>
    <n v="7"/>
    <n v="970"/>
    <n v="25.5"/>
    <n v="5058.55"/>
    <s v="Completed"/>
    <s v="Pune"/>
    <x v="2"/>
    <x v="2"/>
    <x v="4"/>
  </r>
  <r>
    <s v="ORD-01015"/>
    <x v="125"/>
    <s v="CUST-0131"/>
    <s v="PROD-003"/>
    <x v="24"/>
    <n v="6"/>
    <n v="3570"/>
    <n v="9.9"/>
    <n v="19299.419999999998"/>
    <s v="Completed"/>
    <s v="Delhi"/>
    <x v="4"/>
    <x v="3"/>
    <x v="11"/>
  </r>
  <r>
    <s v="ORD-01016"/>
    <x v="111"/>
    <s v="CUST-0276"/>
    <s v="PROD-030"/>
    <x v="29"/>
    <n v="6"/>
    <n v="970"/>
    <n v="19.600000000000001"/>
    <n v="4679.28"/>
    <s v="Completed"/>
    <s v="Chennai"/>
    <x v="2"/>
    <x v="1"/>
    <x v="7"/>
  </r>
  <r>
    <s v="ORD-01017"/>
    <x v="211"/>
    <s v="CUST-0283"/>
    <s v="PROD-059"/>
    <x v="23"/>
    <n v="8"/>
    <n v="3780"/>
    <n v="26.5"/>
    <n v="22226.400000000001"/>
    <s v="Completed"/>
    <s v="Delhi"/>
    <x v="1"/>
    <x v="1"/>
    <x v="0"/>
  </r>
  <r>
    <s v="ORD-01018"/>
    <x v="72"/>
    <s v="CUST-0195"/>
    <s v="PROD-058"/>
    <x v="23"/>
    <n v="6"/>
    <n v="2400"/>
    <n v="1.4"/>
    <n v="14198.4"/>
    <s v="Completed"/>
    <s v="Bengaluru"/>
    <x v="1"/>
    <x v="1"/>
    <x v="7"/>
  </r>
  <r>
    <s v="ORD-01019"/>
    <x v="97"/>
    <s v="CUST-0181"/>
    <s v="PROD-036"/>
    <x v="13"/>
    <n v="10"/>
    <n v="3250"/>
    <n v="19.3"/>
    <n v="26227.5"/>
    <s v="Completed"/>
    <s v="Delhi"/>
    <x v="3"/>
    <x v="3"/>
    <x v="10"/>
  </r>
  <r>
    <s v="ORD-01020"/>
    <x v="260"/>
    <s v="CUST-0149"/>
    <s v="PROD-021"/>
    <x v="2"/>
    <n v="7"/>
    <n v="2760"/>
    <n v="23.6"/>
    <n v="14760.48"/>
    <s v="Pending"/>
    <s v="Hyderabad"/>
    <x v="2"/>
    <x v="1"/>
    <x v="1"/>
  </r>
  <r>
    <s v="ORD-01021"/>
    <x v="113"/>
    <s v="CUST-0152"/>
    <s v="PROD-003"/>
    <x v="19"/>
    <n v="3"/>
    <n v="3570"/>
    <n v="26.3"/>
    <n v="7893.27"/>
    <s v="Completed"/>
    <s v="Bengaluru"/>
    <x v="4"/>
    <x v="0"/>
    <x v="6"/>
  </r>
  <r>
    <s v="ORD-01022"/>
    <x v="40"/>
    <s v="CUST-0085"/>
    <s v="PROD-027"/>
    <x v="15"/>
    <n v="4"/>
    <n v="3780"/>
    <n v="10.1"/>
    <n v="13592.88"/>
    <s v="Completed"/>
    <s v="Chennai"/>
    <x v="2"/>
    <x v="1"/>
    <x v="5"/>
  </r>
  <r>
    <s v="ORD-01023"/>
    <x v="77"/>
    <s v="CUST-0231"/>
    <s v="PROD-007"/>
    <x v="7"/>
    <n v="10"/>
    <n v="1430"/>
    <n v="3.7"/>
    <n v="13770.9"/>
    <s v="Completed"/>
    <s v="Chennai"/>
    <x v="4"/>
    <x v="3"/>
    <x v="4"/>
  </r>
  <r>
    <s v="ORD-01024"/>
    <x v="91"/>
    <s v="CUST-0044"/>
    <s v="PROD-022"/>
    <x v="23"/>
    <n v="6"/>
    <n v="2270"/>
    <n v="7.9"/>
    <n v="12544.02"/>
    <s v="Refunded"/>
    <s v="Hyderabad"/>
    <x v="2"/>
    <x v="1"/>
    <x v="5"/>
  </r>
  <r>
    <s v="ORD-01025"/>
    <x v="5"/>
    <s v="CUST-0027"/>
    <s v="PROD-054"/>
    <x v="22"/>
    <n v="1"/>
    <n v="1010"/>
    <n v="6.9"/>
    <n v="940.31"/>
    <s v="Pending"/>
    <s v="Hyderabad"/>
    <x v="1"/>
    <x v="1"/>
    <x v="5"/>
  </r>
  <r>
    <s v="ORD-01026"/>
    <x v="91"/>
    <s v="CUST-0101"/>
    <s v="PROD-055"/>
    <x v="2"/>
    <n v="2"/>
    <n v="2860"/>
    <n v="20.100000000000001"/>
    <n v="4570.28"/>
    <s v="Completed"/>
    <s v="Hyderabad"/>
    <x v="1"/>
    <x v="1"/>
    <x v="5"/>
  </r>
  <r>
    <s v="ORD-01027"/>
    <x v="76"/>
    <s v="CUST-0123"/>
    <s v="PROD-002"/>
    <x v="7"/>
    <n v="9"/>
    <n v="2600"/>
    <n v="15.9"/>
    <n v="19679.400000000001"/>
    <s v="Cancelled"/>
    <s v="Chennai"/>
    <x v="4"/>
    <x v="3"/>
    <x v="6"/>
  </r>
  <r>
    <s v="ORD-01028"/>
    <x v="132"/>
    <s v="CUST-0124"/>
    <s v="PROD-053"/>
    <x v="6"/>
    <n v="10"/>
    <n v="470"/>
    <n v="23.1"/>
    <n v="3614.3"/>
    <s v="Pending"/>
    <s v="Pune"/>
    <x v="1"/>
    <x v="2"/>
    <x v="5"/>
  </r>
  <r>
    <s v="ORD-01029"/>
    <x v="185"/>
    <s v="CUST-0159"/>
    <s v="PROD-037"/>
    <x v="22"/>
    <n v="10"/>
    <n v="660"/>
    <n v="9.4"/>
    <n v="5979.6"/>
    <s v="Completed"/>
    <s v="Hyderabad"/>
    <x v="3"/>
    <x v="1"/>
    <x v="10"/>
  </r>
  <r>
    <s v="ORD-01030"/>
    <x v="246"/>
    <s v="CUST-0087"/>
    <s v="PROD-009"/>
    <x v="12"/>
    <n v="5"/>
    <n v="1220"/>
    <n v="23.3"/>
    <n v="4678.7"/>
    <s v="Completed"/>
    <s v="Pune"/>
    <x v="4"/>
    <x v="3"/>
    <x v="11"/>
  </r>
  <r>
    <s v="ORD-01031"/>
    <x v="137"/>
    <s v="CUST-0295"/>
    <s v="PROD-036"/>
    <x v="23"/>
    <n v="9"/>
    <n v="3250"/>
    <n v="19.600000000000001"/>
    <n v="23517"/>
    <s v="Pending"/>
    <s v="Delhi"/>
    <x v="3"/>
    <x v="1"/>
    <x v="11"/>
  </r>
  <r>
    <s v="ORD-01032"/>
    <x v="176"/>
    <s v="CUST-0211"/>
    <s v="PROD-016"/>
    <x v="26"/>
    <n v="7"/>
    <n v="620"/>
    <n v="29"/>
    <n v="3081.4"/>
    <s v="Completed"/>
    <s v="Bengaluru"/>
    <x v="0"/>
    <x v="3"/>
    <x v="0"/>
  </r>
  <r>
    <s v="ORD-01033"/>
    <x v="99"/>
    <s v="CUST-0265"/>
    <s v="PROD-026"/>
    <x v="3"/>
    <n v="9"/>
    <n v="4070"/>
    <n v="16.2"/>
    <n v="30695.94"/>
    <s v="Completed"/>
    <s v="Chennai"/>
    <x v="2"/>
    <x v="0"/>
    <x v="6"/>
  </r>
  <r>
    <s v="ORD-01034"/>
    <x v="116"/>
    <s v="CUST-0252"/>
    <s v="PROD-012"/>
    <x v="0"/>
    <n v="8"/>
    <n v="3160"/>
    <n v="23.8"/>
    <n v="19263.36"/>
    <s v="Completed"/>
    <s v="Bengaluru"/>
    <x v="0"/>
    <x v="0"/>
    <x v="1"/>
  </r>
  <r>
    <s v="ORD-01035"/>
    <x v="124"/>
    <s v="CUST-0180"/>
    <s v="PROD-029"/>
    <x v="24"/>
    <n v="3"/>
    <n v="2210"/>
    <n v="29.7"/>
    <n v="4660.8900000000003"/>
    <s v="Completed"/>
    <s v="Chennai"/>
    <x v="2"/>
    <x v="3"/>
    <x v="3"/>
  </r>
  <r>
    <s v="ORD-01036"/>
    <x v="268"/>
    <s v="CUST-0231"/>
    <s v="PROD-053"/>
    <x v="5"/>
    <n v="9"/>
    <n v="470"/>
    <n v="27.1"/>
    <n v="3083.67"/>
    <s v="Completed"/>
    <s v="Chennai"/>
    <x v="1"/>
    <x v="2"/>
    <x v="2"/>
  </r>
  <r>
    <s v="ORD-01037"/>
    <x v="81"/>
    <s v="CUST-0161"/>
    <s v="PROD-032"/>
    <x v="16"/>
    <n v="6"/>
    <n v="370"/>
    <n v="5.4"/>
    <n v="2100.12"/>
    <s v="Completed"/>
    <s v="Chennai"/>
    <x v="3"/>
    <x v="3"/>
    <x v="4"/>
  </r>
  <r>
    <s v="ORD-01038"/>
    <x v="263"/>
    <s v="CUST-0249"/>
    <s v="PROD-059"/>
    <x v="26"/>
    <n v="10"/>
    <n v="3780"/>
    <n v="21.5"/>
    <n v="29673"/>
    <s v="Pending"/>
    <s v="Mumbai"/>
    <x v="1"/>
    <x v="3"/>
    <x v="10"/>
  </r>
  <r>
    <s v="ORD-01039"/>
    <x v="344"/>
    <s v="CUST-0048"/>
    <s v="PROD-056"/>
    <x v="18"/>
    <n v="4"/>
    <n v="6940"/>
    <n v="3.9"/>
    <n v="26677.360000000001"/>
    <s v="Cancelled"/>
    <s v="Delhi"/>
    <x v="1"/>
    <x v="1"/>
    <x v="9"/>
  </r>
  <r>
    <s v="ORD-01040"/>
    <x v="233"/>
    <s v="CUST-0068"/>
    <s v="PROD-031"/>
    <x v="24"/>
    <n v="3"/>
    <n v="3730"/>
    <n v="20.7"/>
    <n v="8873.67"/>
    <s v="Completed"/>
    <s v="Delhi"/>
    <x v="3"/>
    <x v="3"/>
    <x v="10"/>
  </r>
  <r>
    <s v="ORD-01041"/>
    <x v="212"/>
    <s v="CUST-0213"/>
    <s v="PROD-034"/>
    <x v="5"/>
    <n v="8"/>
    <n v="5080"/>
    <n v="6.2"/>
    <n v="38120.32"/>
    <s v="Completed"/>
    <s v="Mumbai"/>
    <x v="3"/>
    <x v="2"/>
    <x v="11"/>
  </r>
  <r>
    <s v="ORD-01042"/>
    <x v="6"/>
    <s v="CUST-0159"/>
    <s v="PROD-052"/>
    <x v="19"/>
    <n v="5"/>
    <n v="5410"/>
    <n v="5.2"/>
    <n v="25643.4"/>
    <s v="Completed"/>
    <s v="Hyderabad"/>
    <x v="1"/>
    <x v="0"/>
    <x v="6"/>
  </r>
  <r>
    <s v="ORD-01043"/>
    <x v="280"/>
    <s v="CUST-0298"/>
    <s v="PROD-015"/>
    <x v="17"/>
    <n v="6"/>
    <n v="2720"/>
    <n v="29.8"/>
    <n v="11456.64"/>
    <s v="Pending"/>
    <s v="Delhi"/>
    <x v="0"/>
    <x v="2"/>
    <x v="5"/>
  </r>
  <r>
    <s v="ORD-01044"/>
    <x v="290"/>
    <s v="CUST-0145"/>
    <s v="PROD-009"/>
    <x v="9"/>
    <n v="1"/>
    <n v="1220"/>
    <n v="22.6"/>
    <n v="944.28"/>
    <s v="Completed"/>
    <s v="Bengaluru"/>
    <x v="4"/>
    <x v="1"/>
    <x v="6"/>
  </r>
  <r>
    <s v="ORD-01045"/>
    <x v="93"/>
    <s v="CUST-0015"/>
    <s v="PROD-046"/>
    <x v="4"/>
    <n v="10"/>
    <n v="4880"/>
    <n v="7.3"/>
    <n v="45237.599999999999"/>
    <s v="Completed"/>
    <s v="Chennai"/>
    <x v="5"/>
    <x v="0"/>
    <x v="8"/>
  </r>
  <r>
    <s v="ORD-01046"/>
    <x v="216"/>
    <s v="CUST-0054"/>
    <s v="PROD-022"/>
    <x v="13"/>
    <n v="10"/>
    <n v="2270"/>
    <n v="1.6"/>
    <n v="22336.799999999999"/>
    <s v="Completed"/>
    <s v="Mumbai"/>
    <x v="2"/>
    <x v="3"/>
    <x v="6"/>
  </r>
  <r>
    <s v="ORD-01047"/>
    <x v="55"/>
    <s v="CUST-0150"/>
    <s v="PROD-030"/>
    <x v="11"/>
    <n v="8"/>
    <n v="970"/>
    <n v="13.1"/>
    <n v="6743.44"/>
    <s v="Completed"/>
    <s v="Pune"/>
    <x v="2"/>
    <x v="0"/>
    <x v="9"/>
  </r>
  <r>
    <s v="ORD-01048"/>
    <x v="34"/>
    <s v="CUST-0096"/>
    <s v="PROD-023"/>
    <x v="27"/>
    <n v="7"/>
    <n v="2380"/>
    <n v="10.6"/>
    <n v="14894.04"/>
    <s v="Cancelled"/>
    <s v="Delhi"/>
    <x v="2"/>
    <x v="1"/>
    <x v="8"/>
  </r>
  <r>
    <s v="ORD-01049"/>
    <x v="56"/>
    <s v="CUST-0288"/>
    <s v="PROD-014"/>
    <x v="29"/>
    <n v="6"/>
    <n v="3620"/>
    <n v="21.3"/>
    <n v="17093.64"/>
    <s v="Cancelled"/>
    <s v="Hyderabad"/>
    <x v="0"/>
    <x v="1"/>
    <x v="10"/>
  </r>
  <r>
    <s v="ORD-01050"/>
    <x v="122"/>
    <s v="CUST-0048"/>
    <s v="PROD-026"/>
    <x v="28"/>
    <n v="3"/>
    <n v="4070"/>
    <n v="8.1999999999999993"/>
    <n v="11208.78"/>
    <s v="Cancelled"/>
    <s v="Delhi"/>
    <x v="2"/>
    <x v="2"/>
    <x v="0"/>
  </r>
  <r>
    <s v="ORD-01051"/>
    <x v="344"/>
    <s v="CUST-0104"/>
    <s v="PROD-048"/>
    <x v="17"/>
    <n v="8"/>
    <n v="5100"/>
    <n v="26.9"/>
    <n v="29824.799999999999"/>
    <s v="Completed"/>
    <s v="Hyderabad"/>
    <x v="5"/>
    <x v="2"/>
    <x v="9"/>
  </r>
  <r>
    <s v="ORD-01052"/>
    <x v="197"/>
    <s v="CUST-0054"/>
    <s v="PROD-045"/>
    <x v="21"/>
    <n v="3"/>
    <n v="3020"/>
    <n v="18.5"/>
    <n v="7383.9"/>
    <s v="Cancelled"/>
    <s v="Mumbai"/>
    <x v="5"/>
    <x v="3"/>
    <x v="11"/>
  </r>
  <r>
    <s v="ORD-01053"/>
    <x v="148"/>
    <s v="CUST-0158"/>
    <s v="PROD-049"/>
    <x v="25"/>
    <n v="8"/>
    <n v="960"/>
    <n v="7.1"/>
    <n v="7134.72"/>
    <s v="Completed"/>
    <s v="Pune"/>
    <x v="5"/>
    <x v="0"/>
    <x v="0"/>
  </r>
  <r>
    <s v="ORD-01054"/>
    <x v="266"/>
    <s v="CUST-0231"/>
    <s v="PROD-034"/>
    <x v="15"/>
    <n v="8"/>
    <n v="5080"/>
    <n v="6.2"/>
    <n v="38120.32"/>
    <s v="Completed"/>
    <s v="Chennai"/>
    <x v="3"/>
    <x v="1"/>
    <x v="5"/>
  </r>
  <r>
    <s v="ORD-01055"/>
    <x v="295"/>
    <s v="CUST-0277"/>
    <s v="PROD-050"/>
    <x v="9"/>
    <n v="6"/>
    <n v="6080"/>
    <n v="25.8"/>
    <n v="27068.16"/>
    <s v="Completed"/>
    <s v="Chennai"/>
    <x v="5"/>
    <x v="1"/>
    <x v="3"/>
  </r>
  <r>
    <s v="ORD-01056"/>
    <x v="227"/>
    <s v="CUST-0232"/>
    <s v="PROD-041"/>
    <x v="9"/>
    <n v="5"/>
    <n v="1540"/>
    <n v="24.6"/>
    <n v="5805.8"/>
    <s v="Completed"/>
    <s v="Hyderabad"/>
    <x v="5"/>
    <x v="1"/>
    <x v="0"/>
  </r>
  <r>
    <s v="ORD-01057"/>
    <x v="280"/>
    <s v="CUST-0074"/>
    <s v="PROD-054"/>
    <x v="6"/>
    <n v="4"/>
    <n v="1010"/>
    <n v="2.9"/>
    <n v="3922.84"/>
    <s v="Pending"/>
    <s v="Bengaluru"/>
    <x v="1"/>
    <x v="2"/>
    <x v="5"/>
  </r>
  <r>
    <s v="ORD-01058"/>
    <x v="261"/>
    <s v="CUST-0068"/>
    <s v="PROD-049"/>
    <x v="17"/>
    <n v="5"/>
    <n v="960"/>
    <n v="11.4"/>
    <n v="4252.8"/>
    <s v="Completed"/>
    <s v="Delhi"/>
    <x v="5"/>
    <x v="2"/>
    <x v="9"/>
  </r>
  <r>
    <s v="ORD-01059"/>
    <x v="111"/>
    <s v="CUST-0152"/>
    <s v="PROD-041"/>
    <x v="9"/>
    <n v="1"/>
    <n v="1540"/>
    <n v="5.6"/>
    <n v="1453.76"/>
    <s v="Completed"/>
    <s v="Bengaluru"/>
    <x v="5"/>
    <x v="1"/>
    <x v="7"/>
  </r>
  <r>
    <s v="ORD-01060"/>
    <x v="245"/>
    <s v="CUST-0046"/>
    <s v="PROD-043"/>
    <x v="7"/>
    <n v="9"/>
    <n v="3350"/>
    <n v="2.1"/>
    <n v="29516.85"/>
    <s v="Completed"/>
    <s v="Delhi"/>
    <x v="5"/>
    <x v="3"/>
    <x v="5"/>
  </r>
  <r>
    <s v="ORD-01061"/>
    <x v="260"/>
    <s v="CUST-0201"/>
    <s v="PROD-051"/>
    <x v="13"/>
    <n v="7"/>
    <n v="3450"/>
    <n v="4.7"/>
    <n v="23014.95"/>
    <s v="Completed"/>
    <s v="Hyderabad"/>
    <x v="1"/>
    <x v="3"/>
    <x v="1"/>
  </r>
  <r>
    <s v="ORD-01062"/>
    <x v="345"/>
    <s v="CUST-0191"/>
    <s v="PROD-057"/>
    <x v="7"/>
    <n v="10"/>
    <n v="960"/>
    <n v="17.899999999999999"/>
    <n v="7881.6"/>
    <s v="Completed"/>
    <s v="Hyderabad"/>
    <x v="1"/>
    <x v="3"/>
    <x v="9"/>
  </r>
  <r>
    <s v="ORD-01063"/>
    <x v="7"/>
    <s v="CUST-0192"/>
    <s v="PROD-013"/>
    <x v="2"/>
    <n v="1"/>
    <n v="3640"/>
    <n v="8.8000000000000007"/>
    <n v="3319.68"/>
    <s v="Completed"/>
    <s v="Bengaluru"/>
    <x v="0"/>
    <x v="1"/>
    <x v="4"/>
  </r>
  <r>
    <s v="ORD-01064"/>
    <x v="239"/>
    <s v="CUST-0074"/>
    <s v="PROD-029"/>
    <x v="21"/>
    <n v="1"/>
    <n v="2210"/>
    <n v="10.7"/>
    <n v="1973.53"/>
    <s v="Completed"/>
    <s v="Bengaluru"/>
    <x v="2"/>
    <x v="3"/>
    <x v="2"/>
  </r>
  <r>
    <s v="ORD-01065"/>
    <x v="125"/>
    <s v="CUST-0071"/>
    <s v="PROD-031"/>
    <x v="1"/>
    <n v="2"/>
    <n v="3730"/>
    <n v="13.9"/>
    <n v="6423.06"/>
    <s v="Completed"/>
    <s v="Delhi"/>
    <x v="3"/>
    <x v="0"/>
    <x v="11"/>
  </r>
  <r>
    <s v="ORD-01066"/>
    <x v="176"/>
    <s v="CUST-0210"/>
    <s v="PROD-052"/>
    <x v="9"/>
    <n v="7"/>
    <n v="5410"/>
    <n v="23.6"/>
    <n v="28932.68"/>
    <s v="Completed"/>
    <s v="Pune"/>
    <x v="1"/>
    <x v="1"/>
    <x v="0"/>
  </r>
  <r>
    <s v="ORD-01067"/>
    <x v="221"/>
    <s v="CUST-0054"/>
    <s v="PROD-027"/>
    <x v="26"/>
    <n v="7"/>
    <n v="3780"/>
    <n v="8.5"/>
    <n v="24210.9"/>
    <s v="Cancelled"/>
    <s v="Mumbai"/>
    <x v="2"/>
    <x v="3"/>
    <x v="4"/>
  </r>
  <r>
    <s v="ORD-01068"/>
    <x v="122"/>
    <s v="CUST-0194"/>
    <s v="PROD-039"/>
    <x v="29"/>
    <n v="9"/>
    <n v="4610"/>
    <n v="26.6"/>
    <n v="30453.66"/>
    <s v="Completed"/>
    <s v="Delhi"/>
    <x v="3"/>
    <x v="1"/>
    <x v="0"/>
  </r>
  <r>
    <s v="ORD-01069"/>
    <x v="41"/>
    <s v="CUST-0231"/>
    <s v="PROD-010"/>
    <x v="5"/>
    <n v="5"/>
    <n v="2640"/>
    <n v="1.5"/>
    <n v="13002"/>
    <s v="Completed"/>
    <s v="Chennai"/>
    <x v="4"/>
    <x v="2"/>
    <x v="2"/>
  </r>
  <r>
    <s v="ORD-01070"/>
    <x v="50"/>
    <s v="CUST-0053"/>
    <s v="PROD-014"/>
    <x v="9"/>
    <n v="3"/>
    <n v="3620"/>
    <n v="3.1"/>
    <n v="10523.34"/>
    <s v="Completed"/>
    <s v="Delhi"/>
    <x v="0"/>
    <x v="1"/>
    <x v="7"/>
  </r>
  <r>
    <s v="ORD-01071"/>
    <x v="21"/>
    <s v="CUST-0290"/>
    <s v="PROD-053"/>
    <x v="26"/>
    <n v="5"/>
    <n v="470"/>
    <n v="10.6"/>
    <n v="2100.9"/>
    <s v="Cancelled"/>
    <s v="Delhi"/>
    <x v="1"/>
    <x v="3"/>
    <x v="7"/>
  </r>
  <r>
    <s v="ORD-01072"/>
    <x v="113"/>
    <s v="CUST-0261"/>
    <s v="PROD-001"/>
    <x v="18"/>
    <n v="7"/>
    <n v="5330"/>
    <n v="25"/>
    <n v="27982.5"/>
    <s v="Cancelled"/>
    <s v="Delhi"/>
    <x v="4"/>
    <x v="1"/>
    <x v="6"/>
  </r>
  <r>
    <s v="ORD-01073"/>
    <x v="346"/>
    <s v="CUST-0045"/>
    <s v="PROD-050"/>
    <x v="2"/>
    <n v="1"/>
    <n v="6080"/>
    <n v="27.8"/>
    <n v="4389.76"/>
    <s v="Completed"/>
    <s v="Chennai"/>
    <x v="5"/>
    <x v="1"/>
    <x v="11"/>
  </r>
  <r>
    <s v="ORD-01074"/>
    <x v="324"/>
    <s v="CUST-0064"/>
    <s v="PROD-043"/>
    <x v="6"/>
    <n v="6"/>
    <n v="3350"/>
    <n v="12"/>
    <n v="17688"/>
    <s v="Completed"/>
    <s v="Hyderabad"/>
    <x v="5"/>
    <x v="2"/>
    <x v="1"/>
  </r>
  <r>
    <s v="ORD-01075"/>
    <x v="95"/>
    <s v="CUST-9754"/>
    <s v="PROD-056"/>
    <x v="28"/>
    <n v="6"/>
    <n v="6940"/>
    <n v="20"/>
    <n v="33312"/>
    <s v="Completed"/>
    <s v="Chennai"/>
    <x v="1"/>
    <x v="2"/>
    <x v="9"/>
  </r>
  <r>
    <s v="ORD-01076"/>
    <x v="184"/>
    <s v="CUST-0200"/>
    <s v="PROD-032"/>
    <x v="0"/>
    <n v="1"/>
    <n v="370"/>
    <n v="10"/>
    <n v="333"/>
    <s v="Completed"/>
    <s v="Hyderabad"/>
    <x v="3"/>
    <x v="0"/>
    <x v="8"/>
  </r>
  <r>
    <s v="ORD-01077"/>
    <x v="39"/>
    <s v="CUST-0058"/>
    <s v="PROD-038"/>
    <x v="16"/>
    <n v="2"/>
    <n v="5490"/>
    <n v="27.9"/>
    <n v="7916.58"/>
    <s v="Completed"/>
    <s v="Bengaluru"/>
    <x v="3"/>
    <x v="3"/>
    <x v="3"/>
  </r>
  <r>
    <s v="ORD-01078"/>
    <x v="319"/>
    <s v="CUST-0156"/>
    <s v="PROD-028"/>
    <x v="18"/>
    <n v="5"/>
    <n v="3660"/>
    <n v="4.5999999999999996"/>
    <n v="17458.2"/>
    <s v="Completed"/>
    <s v="Mumbai"/>
    <x v="2"/>
    <x v="1"/>
    <x v="10"/>
  </r>
  <r>
    <s v="ORD-01079"/>
    <x v="232"/>
    <s v="CUST-0107"/>
    <s v="PROD-005"/>
    <x v="20"/>
    <n v="6"/>
    <n v="300"/>
    <n v="9"/>
    <n v="1638"/>
    <s v="Completed"/>
    <s v="Pune"/>
    <x v="4"/>
    <x v="2"/>
    <x v="0"/>
  </r>
  <r>
    <s v="ORD-01080"/>
    <x v="271"/>
    <s v="CUST-0184"/>
    <s v="PROD-005"/>
    <x v="27"/>
    <n v="3"/>
    <n v="300"/>
    <n v="19.2"/>
    <n v="727.2"/>
    <s v="Completed"/>
    <s v="Pune"/>
    <x v="4"/>
    <x v="1"/>
    <x v="7"/>
  </r>
  <r>
    <s v="ORD-01081"/>
    <x v="205"/>
    <s v="CUST-0202"/>
    <s v="PROD-049"/>
    <x v="2"/>
    <n v="6"/>
    <n v="960"/>
    <n v="29.3"/>
    <n v="4072.32"/>
    <s v="Cancelled"/>
    <s v="Chennai"/>
    <x v="5"/>
    <x v="1"/>
    <x v="0"/>
  </r>
  <r>
    <s v="ORD-01082"/>
    <x v="266"/>
    <s v="CUST-0137"/>
    <s v="PROD-022"/>
    <x v="5"/>
    <n v="1"/>
    <n v="2270"/>
    <n v="12.4"/>
    <n v="1988.52"/>
    <s v="Completed"/>
    <s v="Mumbai"/>
    <x v="2"/>
    <x v="2"/>
    <x v="5"/>
  </r>
  <r>
    <s v="ORD-01083"/>
    <x v="110"/>
    <s v="CUST-0108"/>
    <s v="PROD-033"/>
    <x v="28"/>
    <n v="10"/>
    <n v="2030"/>
    <n v="4"/>
    <n v="19488"/>
    <s v="Completed"/>
    <s v="Bengaluru"/>
    <x v="3"/>
    <x v="2"/>
    <x v="0"/>
  </r>
  <r>
    <s v="ORD-01084"/>
    <x v="303"/>
    <s v="CUST-0126"/>
    <s v="PROD-040"/>
    <x v="13"/>
    <n v="9"/>
    <n v="1080"/>
    <n v="19.2"/>
    <n v="7853.76"/>
    <s v="Pending"/>
    <s v="Mumbai"/>
    <x v="3"/>
    <x v="3"/>
    <x v="4"/>
  </r>
  <r>
    <s v="ORD-01085"/>
    <x v="113"/>
    <s v="CUST-0107"/>
    <s v="PROD-055"/>
    <x v="5"/>
    <n v="5"/>
    <n v="2860"/>
    <n v="25"/>
    <n v="10725"/>
    <s v="Pending"/>
    <s v="Pune"/>
    <x v="1"/>
    <x v="2"/>
    <x v="6"/>
  </r>
  <r>
    <s v="ORD-01086"/>
    <x v="276"/>
    <s v="CUST-0071"/>
    <s v="PROD-024"/>
    <x v="27"/>
    <n v="6"/>
    <n v="2270"/>
    <n v="9.3000000000000007"/>
    <n v="12353.34"/>
    <s v="Completed"/>
    <s v="Delhi"/>
    <x v="2"/>
    <x v="1"/>
    <x v="9"/>
  </r>
  <r>
    <s v="ORD-01087"/>
    <x v="60"/>
    <s v="CUST-0238"/>
    <s v="PROD-015"/>
    <x v="6"/>
    <n v="1"/>
    <n v="2720"/>
    <n v="15.2"/>
    <n v="2306.56"/>
    <s v="Completed"/>
    <s v="Delhi"/>
    <x v="0"/>
    <x v="2"/>
    <x v="1"/>
  </r>
  <r>
    <s v="ORD-01088"/>
    <x v="198"/>
    <s v="CUST-0022"/>
    <s v="PROD-004"/>
    <x v="1"/>
    <n v="10"/>
    <n v="3870"/>
    <n v="4.9000000000000004"/>
    <n v="36803.699999999997"/>
    <s v="Cancelled"/>
    <s v="Bengaluru"/>
    <x v="4"/>
    <x v="0"/>
    <x v="8"/>
  </r>
  <r>
    <s v="ORD-01089"/>
    <x v="10"/>
    <s v="CUST-0100"/>
    <s v="PROD-011"/>
    <x v="7"/>
    <n v="8"/>
    <n v="3450"/>
    <n v="20.6"/>
    <n v="21914.400000000001"/>
    <s v="Completed"/>
    <s v="Hyderabad"/>
    <x v="0"/>
    <x v="3"/>
    <x v="1"/>
  </r>
  <r>
    <s v="ORD-01090"/>
    <x v="5"/>
    <s v="CUST-0263"/>
    <s v="PROD-053"/>
    <x v="25"/>
    <n v="1"/>
    <n v="470"/>
    <n v="5.4"/>
    <n v="444.62"/>
    <s v="Refunded"/>
    <s v="Mumbai"/>
    <x v="1"/>
    <x v="0"/>
    <x v="5"/>
  </r>
  <r>
    <s v="ORD-01091"/>
    <x v="171"/>
    <s v="CUST-0032"/>
    <s v="PROD-006"/>
    <x v="18"/>
    <n v="5"/>
    <n v="3970"/>
    <n v="5.8"/>
    <n v="18698.7"/>
    <s v="Completed"/>
    <s v="Hyderabad"/>
    <x v="4"/>
    <x v="1"/>
    <x v="5"/>
  </r>
  <r>
    <s v="ORD-01092"/>
    <x v="277"/>
    <s v="CUST-0227"/>
    <s v="PROD-048"/>
    <x v="27"/>
    <n v="2"/>
    <n v="5100"/>
    <n v="19.899999999999999"/>
    <n v="8170.2"/>
    <s v="Completed"/>
    <s v="Bengaluru"/>
    <x v="5"/>
    <x v="1"/>
    <x v="6"/>
  </r>
  <r>
    <s v="ORD-01093"/>
    <x v="165"/>
    <s v="CUST-0124"/>
    <s v="PROD-047"/>
    <x v="19"/>
    <n v="6"/>
    <n v="3450"/>
    <n v="13"/>
    <n v="18009"/>
    <s v="Completed"/>
    <s v="Pune"/>
    <x v="5"/>
    <x v="0"/>
    <x v="8"/>
  </r>
  <r>
    <s v="ORD-01094"/>
    <x v="168"/>
    <s v="CUST-0276"/>
    <s v="PROD-031"/>
    <x v="27"/>
    <n v="9"/>
    <n v="3730"/>
    <n v="15.5"/>
    <n v="28366.65"/>
    <s v="Completed"/>
    <s v="Chennai"/>
    <x v="3"/>
    <x v="1"/>
    <x v="8"/>
  </r>
  <r>
    <s v="ORD-01095"/>
    <x v="242"/>
    <s v="CUST-0100"/>
    <s v="PROD-049"/>
    <x v="16"/>
    <n v="5"/>
    <n v="960"/>
    <n v="9.3000000000000007"/>
    <n v="4353.6000000000004"/>
    <s v="Completed"/>
    <s v="Hyderabad"/>
    <x v="5"/>
    <x v="3"/>
    <x v="3"/>
  </r>
  <r>
    <s v="ORD-01096"/>
    <x v="187"/>
    <s v="CUST-0221"/>
    <s v="PROD-034"/>
    <x v="4"/>
    <n v="3"/>
    <n v="5080"/>
    <n v="17.399999999999999"/>
    <n v="12588.24"/>
    <s v="Cancelled"/>
    <s v="Delhi"/>
    <x v="3"/>
    <x v="0"/>
    <x v="7"/>
  </r>
  <r>
    <s v="ORD-01097"/>
    <x v="212"/>
    <s v="CUST-0266"/>
    <s v="PROD-004"/>
    <x v="11"/>
    <n v="4"/>
    <n v="3870"/>
    <n v="20.5"/>
    <n v="12306.6"/>
    <s v="Pending"/>
    <s v="Pune"/>
    <x v="4"/>
    <x v="0"/>
    <x v="11"/>
  </r>
  <r>
    <s v="ORD-01098"/>
    <x v="72"/>
    <s v="CUST-0210"/>
    <s v="PROD-059"/>
    <x v="6"/>
    <n v="1"/>
    <n v="3780"/>
    <n v="21.5"/>
    <n v="2967.3"/>
    <s v="Completed"/>
    <s v="Pune"/>
    <x v="1"/>
    <x v="2"/>
    <x v="7"/>
  </r>
  <r>
    <s v="ORD-01099"/>
    <x v="81"/>
    <s v="CUST-0293"/>
    <s v="PROD-004"/>
    <x v="21"/>
    <n v="3"/>
    <n v="3870"/>
    <n v="21.9"/>
    <n v="9067.41"/>
    <s v="Pending"/>
    <s v="Bengaluru"/>
    <x v="4"/>
    <x v="3"/>
    <x v="4"/>
  </r>
  <r>
    <s v="ORD-01100"/>
    <x v="113"/>
    <s v="CUST-0291"/>
    <s v="PROD-033"/>
    <x v="18"/>
    <n v="4"/>
    <n v="2030"/>
    <n v="23.4"/>
    <n v="6219.92"/>
    <s v="Completed"/>
    <s v="Pune"/>
    <x v="3"/>
    <x v="1"/>
    <x v="6"/>
  </r>
  <r>
    <s v="ORD-01101"/>
    <x v="192"/>
    <s v="CUST-0295"/>
    <s v="PROD-029"/>
    <x v="11"/>
    <n v="6"/>
    <n v="2210"/>
    <n v="9.1"/>
    <n v="12053.34"/>
    <s v="Completed"/>
    <s v="Delhi"/>
    <x v="2"/>
    <x v="0"/>
    <x v="5"/>
  </r>
  <r>
    <s v="ORD-01102"/>
    <x v="180"/>
    <s v="CUST-0123"/>
    <s v="PROD-041"/>
    <x v="21"/>
    <n v="5"/>
    <n v="1540"/>
    <n v="18.100000000000001"/>
    <n v="6306.3"/>
    <s v="Completed"/>
    <s v="Chennai"/>
    <x v="5"/>
    <x v="3"/>
    <x v="8"/>
  </r>
  <r>
    <s v="ORD-01103"/>
    <x v="274"/>
    <s v="CUST-0167"/>
    <s v="PROD-054"/>
    <x v="23"/>
    <n v="1"/>
    <n v="1010"/>
    <n v="7.3"/>
    <n v="936.27"/>
    <s v="Completed"/>
    <s v="Delhi"/>
    <x v="1"/>
    <x v="1"/>
    <x v="5"/>
  </r>
  <r>
    <s v="ORD-01104"/>
    <x v="107"/>
    <s v="CUST-0247"/>
    <s v="PROD-001"/>
    <x v="15"/>
    <n v="10"/>
    <n v="5330"/>
    <n v="27.3"/>
    <n v="38749.1"/>
    <s v="Completed"/>
    <s v="Pune"/>
    <x v="4"/>
    <x v="1"/>
    <x v="2"/>
  </r>
  <r>
    <s v="ORD-01105"/>
    <x v="289"/>
    <s v="CUST-0224"/>
    <s v="PROD-003"/>
    <x v="24"/>
    <n v="7"/>
    <n v="3570"/>
    <n v="24.3"/>
    <n v="18917.43"/>
    <s v="Completed"/>
    <s v="Chennai"/>
    <x v="4"/>
    <x v="3"/>
    <x v="0"/>
  </r>
  <r>
    <s v="ORD-01106"/>
    <x v="28"/>
    <s v="CUST-0102"/>
    <s v="PROD-043"/>
    <x v="21"/>
    <n v="1"/>
    <n v="3350"/>
    <n v="14.9"/>
    <n v="2850.85"/>
    <s v="Completed"/>
    <s v="Chennai"/>
    <x v="5"/>
    <x v="3"/>
    <x v="9"/>
  </r>
  <r>
    <s v="ORD-01107"/>
    <x v="110"/>
    <s v="CUST-0151"/>
    <s v="PROD-017"/>
    <x v="12"/>
    <n v="2"/>
    <n v="2510"/>
    <n v="10.6"/>
    <n v="4487.88"/>
    <s v="Completed"/>
    <s v="Mumbai"/>
    <x v="0"/>
    <x v="3"/>
    <x v="0"/>
  </r>
  <r>
    <s v="ORD-01108"/>
    <x v="264"/>
    <s v="CUST-0182"/>
    <s v="PROD-030"/>
    <x v="5"/>
    <n v="5"/>
    <n v="970"/>
    <n v="6.8"/>
    <n v="4520.2"/>
    <s v="Pending"/>
    <s v="Mumbai"/>
    <x v="2"/>
    <x v="2"/>
    <x v="2"/>
  </r>
  <r>
    <s v="ORD-01109"/>
    <x v="281"/>
    <s v="CUST-0152"/>
    <s v="PROD-027"/>
    <x v="25"/>
    <n v="5"/>
    <n v="3780"/>
    <n v="16.600000000000001"/>
    <n v="15762.6"/>
    <s v="Completed"/>
    <s v="Bengaluru"/>
    <x v="2"/>
    <x v="0"/>
    <x v="7"/>
  </r>
  <r>
    <s v="ORD-01110"/>
    <x v="229"/>
    <s v="CUST-0247"/>
    <s v="PROD-017"/>
    <x v="0"/>
    <n v="3"/>
    <n v="2510"/>
    <n v="24.9"/>
    <n v="5655.03"/>
    <s v="Cancelled"/>
    <s v="Pune"/>
    <x v="0"/>
    <x v="0"/>
    <x v="2"/>
  </r>
  <r>
    <s v="ORD-01111"/>
    <x v="289"/>
    <s v="CUST-0220"/>
    <s v="PROD-033"/>
    <x v="4"/>
    <n v="3"/>
    <n v="2030"/>
    <n v="3.8"/>
    <n v="5858.58"/>
    <s v="Completed"/>
    <s v="Chennai"/>
    <x v="3"/>
    <x v="0"/>
    <x v="0"/>
  </r>
  <r>
    <s v="ORD-01112"/>
    <x v="35"/>
    <s v="CUST-0206"/>
    <s v="PROD-060"/>
    <x v="2"/>
    <n v="9"/>
    <n v="190"/>
    <n v="5.4"/>
    <n v="1617.66"/>
    <s v="Completed"/>
    <s v="Mumbai"/>
    <x v="1"/>
    <x v="1"/>
    <x v="10"/>
  </r>
  <r>
    <s v="ORD-01113"/>
    <x v="200"/>
    <s v="CUST-0219"/>
    <s v="PROD-029"/>
    <x v="16"/>
    <n v="6"/>
    <n v="2210"/>
    <n v="29.4"/>
    <n v="9361.56"/>
    <s v="Completed"/>
    <s v="Chennai"/>
    <x v="2"/>
    <x v="3"/>
    <x v="1"/>
  </r>
  <r>
    <s v="ORD-01114"/>
    <x v="14"/>
    <s v="CUST-0298"/>
    <s v="PROD-013"/>
    <x v="1"/>
    <n v="4"/>
    <n v="3640"/>
    <n v="0.6"/>
    <n v="14472.64"/>
    <s v="Completed"/>
    <s v="Delhi"/>
    <x v="0"/>
    <x v="0"/>
    <x v="0"/>
  </r>
  <r>
    <s v="ORD-01115"/>
    <x v="17"/>
    <s v="CUST-0254"/>
    <s v="PROD-009"/>
    <x v="18"/>
    <n v="9"/>
    <n v="1220"/>
    <n v="24.1"/>
    <n v="8333.82"/>
    <s v="Completed"/>
    <s v="Bengaluru"/>
    <x v="4"/>
    <x v="1"/>
    <x v="4"/>
  </r>
  <r>
    <s v="ORD-01116"/>
    <x v="73"/>
    <s v="CUST-0085"/>
    <s v="PROD-056"/>
    <x v="18"/>
    <n v="2"/>
    <n v="6940"/>
    <n v="27"/>
    <n v="10132.4"/>
    <s v="Completed"/>
    <s v="Chennai"/>
    <x v="1"/>
    <x v="1"/>
    <x v="5"/>
  </r>
  <r>
    <s v="ORD-01117"/>
    <x v="117"/>
    <s v="CUST-0181"/>
    <s v="PROD-055"/>
    <x v="9"/>
    <n v="6"/>
    <n v="2860"/>
    <n v="6.6"/>
    <n v="16027.44"/>
    <s v="Completed"/>
    <s v="Delhi"/>
    <x v="1"/>
    <x v="1"/>
    <x v="4"/>
  </r>
  <r>
    <s v="ORD-01118"/>
    <x v="182"/>
    <s v="CUST-0143"/>
    <s v="PROD-015"/>
    <x v="26"/>
    <n v="5"/>
    <n v="2720"/>
    <n v="21.4"/>
    <n v="10689.6"/>
    <s v="Completed"/>
    <s v="Chennai"/>
    <x v="0"/>
    <x v="3"/>
    <x v="0"/>
  </r>
  <r>
    <s v="ORD-01119"/>
    <x v="338"/>
    <s v="CUST-0263"/>
    <s v="PROD-020"/>
    <x v="3"/>
    <n v="5"/>
    <n v="820"/>
    <n v="28.6"/>
    <n v="2927.4"/>
    <s v="Completed"/>
    <s v="Mumbai"/>
    <x v="0"/>
    <x v="0"/>
    <x v="6"/>
  </r>
  <r>
    <s v="ORD-01120"/>
    <x v="135"/>
    <s v="CUST-0105"/>
    <s v="PROD-042"/>
    <x v="24"/>
    <n v="6"/>
    <n v="2290"/>
    <n v="18.8"/>
    <n v="11156.88"/>
    <s v="Completed"/>
    <s v="Chennai"/>
    <x v="5"/>
    <x v="3"/>
    <x v="10"/>
  </r>
  <r>
    <s v="ORD-01121"/>
    <x v="18"/>
    <s v="CUST-0256"/>
    <s v="PROD-047"/>
    <x v="13"/>
    <n v="6"/>
    <n v="3450"/>
    <n v="28.4"/>
    <n v="14821.2"/>
    <s v="Completed"/>
    <s v="Hyderabad"/>
    <x v="5"/>
    <x v="3"/>
    <x v="5"/>
  </r>
  <r>
    <s v="ORD-01122"/>
    <x v="1"/>
    <s v="CUST-0260"/>
    <s v="PROD-033"/>
    <x v="25"/>
    <n v="10"/>
    <n v="2030"/>
    <n v="8"/>
    <n v="18676"/>
    <s v="Completed"/>
    <s v="Bengaluru"/>
    <x v="3"/>
    <x v="0"/>
    <x v="1"/>
  </r>
  <r>
    <s v="ORD-01123"/>
    <x v="239"/>
    <s v="CUST-0233"/>
    <s v="PROD-058"/>
    <x v="24"/>
    <n v="1"/>
    <n v="2400"/>
    <n v="9.6999999999999993"/>
    <n v="2167.1999999999998"/>
    <s v="Completed"/>
    <s v="Mumbai"/>
    <x v="1"/>
    <x v="3"/>
    <x v="2"/>
  </r>
  <r>
    <s v="ORD-01124"/>
    <x v="264"/>
    <s v="CUST-0183"/>
    <s v="PROD-033"/>
    <x v="2"/>
    <n v="4"/>
    <n v="2030"/>
    <n v="24.8"/>
    <n v="6106.24"/>
    <s v="Pending"/>
    <s v="Mumbai"/>
    <x v="3"/>
    <x v="1"/>
    <x v="2"/>
  </r>
  <r>
    <s v="ORD-01125"/>
    <x v="191"/>
    <s v="CUST-0142"/>
    <s v="PROD-025"/>
    <x v="25"/>
    <n v="5"/>
    <n v="4060"/>
    <n v="9.1"/>
    <n v="18452.7"/>
    <s v="Pending"/>
    <s v="Chennai"/>
    <x v="2"/>
    <x v="0"/>
    <x v="7"/>
  </r>
  <r>
    <s v="ORD-01126"/>
    <x v="334"/>
    <s v="CUST-0150"/>
    <s v="PROD-033"/>
    <x v="22"/>
    <n v="9"/>
    <n v="2030"/>
    <n v="15.9"/>
    <n v="15365.07"/>
    <s v="Pending"/>
    <s v="Pune"/>
    <x v="3"/>
    <x v="1"/>
    <x v="3"/>
  </r>
  <r>
    <s v="ORD-01127"/>
    <x v="201"/>
    <s v="CUST-0001"/>
    <s v="PROD-043"/>
    <x v="2"/>
    <n v="1"/>
    <n v="3350"/>
    <n v="23.2"/>
    <n v="2572.8000000000002"/>
    <s v="Refunded"/>
    <s v="Pune"/>
    <x v="5"/>
    <x v="1"/>
    <x v="7"/>
  </r>
  <r>
    <s v="ORD-01128"/>
    <x v="287"/>
    <s v="CUST-0104"/>
    <s v="PROD-037"/>
    <x v="3"/>
    <n v="4"/>
    <n v="660"/>
    <n v="27.1"/>
    <n v="1924.56"/>
    <s v="Completed"/>
    <s v="Hyderabad"/>
    <x v="3"/>
    <x v="0"/>
    <x v="8"/>
  </r>
  <r>
    <s v="ORD-01129"/>
    <x v="236"/>
    <s v="CUST-0261"/>
    <s v="PROD-045"/>
    <x v="2"/>
    <n v="3"/>
    <n v="3020"/>
    <n v="7.2"/>
    <n v="8407.68"/>
    <s v="Completed"/>
    <s v="Delhi"/>
    <x v="5"/>
    <x v="1"/>
    <x v="3"/>
  </r>
  <r>
    <s v="ORD-01130"/>
    <x v="132"/>
    <s v="CUST-0010"/>
    <s v="PROD-008"/>
    <x v="3"/>
    <n v="3"/>
    <n v="2660"/>
    <n v="0.2"/>
    <n v="7964.04"/>
    <s v="Completed"/>
    <s v="Mumbai"/>
    <x v="4"/>
    <x v="0"/>
    <x v="5"/>
  </r>
  <r>
    <s v="ORD-01131"/>
    <x v="181"/>
    <s v="CUST-0237"/>
    <s v="PROD-054"/>
    <x v="3"/>
    <n v="4"/>
    <n v="1010"/>
    <n v="3.1"/>
    <n v="3914.76"/>
    <s v="Completed"/>
    <s v="Mumbai"/>
    <x v="1"/>
    <x v="0"/>
    <x v="8"/>
  </r>
  <r>
    <s v="ORD-01132"/>
    <x v="82"/>
    <s v="CUST-0128"/>
    <s v="PROD-038"/>
    <x v="21"/>
    <n v="5"/>
    <n v="5490"/>
    <n v="3.6"/>
    <n v="26461.8"/>
    <s v="Completed"/>
    <s v="Hyderabad"/>
    <x v="3"/>
    <x v="3"/>
    <x v="2"/>
  </r>
  <r>
    <s v="ORD-01133"/>
    <x v="94"/>
    <s v="CUST-0182"/>
    <s v="PROD-058"/>
    <x v="7"/>
    <n v="1"/>
    <n v="2400"/>
    <n v="24.3"/>
    <n v="1816.8"/>
    <s v="Completed"/>
    <s v="Mumbai"/>
    <x v="1"/>
    <x v="3"/>
    <x v="11"/>
  </r>
  <r>
    <s v="ORD-01134"/>
    <x v="147"/>
    <s v="CUST-0131"/>
    <s v="PROD-037"/>
    <x v="18"/>
    <n v="8"/>
    <n v="660"/>
    <n v="19.8"/>
    <n v="4234.5600000000004"/>
    <s v="Completed"/>
    <s v="Delhi"/>
    <x v="3"/>
    <x v="1"/>
    <x v="7"/>
  </r>
  <r>
    <s v="ORD-01135"/>
    <x v="172"/>
    <s v="CUST-0023"/>
    <s v="PROD-001"/>
    <x v="29"/>
    <n v="9"/>
    <n v="5330"/>
    <n v="16.5"/>
    <n v="40054.949999999997"/>
    <s v="Completed"/>
    <s v="Chennai"/>
    <x v="4"/>
    <x v="1"/>
    <x v="10"/>
  </r>
  <r>
    <s v="ORD-01136"/>
    <x v="340"/>
    <s v="CUST-0171"/>
    <s v="PROD-002"/>
    <x v="0"/>
    <n v="5"/>
    <n v="2600"/>
    <n v="0.3"/>
    <n v="12961"/>
    <s v="Completed"/>
    <s v="Chennai"/>
    <x v="4"/>
    <x v="0"/>
    <x v="7"/>
  </r>
  <r>
    <s v="ORD-01137"/>
    <x v="32"/>
    <s v="CUST-0116"/>
    <s v="PROD-034"/>
    <x v="26"/>
    <n v="4"/>
    <n v="5080"/>
    <n v="13.8"/>
    <n v="17515.84"/>
    <s v="Pending"/>
    <s v="Bengaluru"/>
    <x v="3"/>
    <x v="3"/>
    <x v="6"/>
  </r>
  <r>
    <s v="ORD-01138"/>
    <x v="100"/>
    <s v="CUST-0021"/>
    <s v="PROD-023"/>
    <x v="25"/>
    <n v="7"/>
    <n v="2380"/>
    <n v="15.5"/>
    <n v="14077.7"/>
    <s v="Completed"/>
    <s v="Pune"/>
    <x v="2"/>
    <x v="0"/>
    <x v="4"/>
  </r>
  <r>
    <s v="ORD-01139"/>
    <x v="83"/>
    <s v="CUST-0234"/>
    <s v="PROD-046"/>
    <x v="3"/>
    <n v="3"/>
    <n v="4880"/>
    <n v="6.1"/>
    <n v="13746.96"/>
    <s v="Completed"/>
    <s v="Bengaluru"/>
    <x v="5"/>
    <x v="0"/>
    <x v="8"/>
  </r>
  <r>
    <s v="ORD-01140"/>
    <x v="36"/>
    <s v="CUST-0225"/>
    <s v="PROD-043"/>
    <x v="18"/>
    <n v="2"/>
    <n v="3350"/>
    <n v="17.2"/>
    <n v="5547.6"/>
    <s v="Completed"/>
    <s v="Chennai"/>
    <x v="5"/>
    <x v="1"/>
    <x v="2"/>
  </r>
  <r>
    <s v="ORD-01141"/>
    <x v="238"/>
    <s v="CUST-0268"/>
    <s v="PROD-030"/>
    <x v="6"/>
    <n v="5"/>
    <n v="970"/>
    <n v="23.6"/>
    <n v="3705.4"/>
    <s v="Completed"/>
    <s v="Chennai"/>
    <x v="2"/>
    <x v="2"/>
    <x v="1"/>
  </r>
  <r>
    <s v="ORD-01142"/>
    <x v="215"/>
    <s v="CUST-0248"/>
    <s v="PROD-005"/>
    <x v="24"/>
    <n v="5"/>
    <n v="300"/>
    <n v="3.8"/>
    <n v="1443"/>
    <s v="Completed"/>
    <s v="Chennai"/>
    <x v="4"/>
    <x v="3"/>
    <x v="8"/>
  </r>
  <r>
    <s v="ORD-01143"/>
    <x v="243"/>
    <s v="CUST-0026"/>
    <s v="PROD-006"/>
    <x v="1"/>
    <n v="9"/>
    <n v="3970"/>
    <n v="0.8"/>
    <n v="35444.160000000003"/>
    <s v="Completed"/>
    <s v="Pune"/>
    <x v="4"/>
    <x v="0"/>
    <x v="2"/>
  </r>
  <r>
    <s v="ORD-01144"/>
    <x v="242"/>
    <s v="CUST-0257"/>
    <s v="PROD-015"/>
    <x v="22"/>
    <n v="4"/>
    <n v="2720"/>
    <n v="12.7"/>
    <n v="9498.24"/>
    <s v="Completed"/>
    <s v="Mumbai"/>
    <x v="0"/>
    <x v="1"/>
    <x v="3"/>
  </r>
  <r>
    <s v="ORD-01145"/>
    <x v="249"/>
    <s v="CUST-0258"/>
    <s v="PROD-016"/>
    <x v="13"/>
    <n v="3"/>
    <n v="620"/>
    <n v="5.5"/>
    <n v="1757.7"/>
    <s v="Completed"/>
    <s v="Pune"/>
    <x v="0"/>
    <x v="3"/>
    <x v="5"/>
  </r>
  <r>
    <s v="ORD-01146"/>
    <x v="319"/>
    <s v="CUST-0142"/>
    <s v="PROD-041"/>
    <x v="6"/>
    <n v="2"/>
    <n v="1540"/>
    <n v="2.2000000000000002"/>
    <n v="3012.24"/>
    <s v="Pending"/>
    <s v="Chennai"/>
    <x v="5"/>
    <x v="2"/>
    <x v="10"/>
  </r>
  <r>
    <s v="ORD-01147"/>
    <x v="166"/>
    <s v="CUST-0020"/>
    <s v="PROD-042"/>
    <x v="17"/>
    <n v="1"/>
    <n v="2290"/>
    <n v="24.4"/>
    <n v="1731.24"/>
    <s v="Cancelled"/>
    <s v="Hyderabad"/>
    <x v="5"/>
    <x v="2"/>
    <x v="7"/>
  </r>
  <r>
    <s v="ORD-01148"/>
    <x v="343"/>
    <s v="CUST-0016"/>
    <s v="PROD-015"/>
    <x v="26"/>
    <n v="8"/>
    <n v="2720"/>
    <n v="1.7"/>
    <n v="21390.080000000002"/>
    <s v="Completed"/>
    <s v="Delhi"/>
    <x v="0"/>
    <x v="3"/>
    <x v="11"/>
  </r>
  <r>
    <s v="ORD-01149"/>
    <x v="69"/>
    <s v="CUST-0288"/>
    <s v="PROD-025"/>
    <x v="12"/>
    <n v="4"/>
    <n v="4060"/>
    <n v="19.600000000000001"/>
    <n v="13056.96"/>
    <s v="Cancelled"/>
    <s v="Hyderabad"/>
    <x v="2"/>
    <x v="3"/>
    <x v="5"/>
  </r>
  <r>
    <s v="ORD-01150"/>
    <x v="43"/>
    <s v="CUST-0133"/>
    <s v="PROD-003"/>
    <x v="29"/>
    <n v="8"/>
    <n v="3570"/>
    <n v="10.8"/>
    <n v="25475.52"/>
    <s v="Completed"/>
    <s v="Chennai"/>
    <x v="4"/>
    <x v="1"/>
    <x v="2"/>
  </r>
  <r>
    <s v="ORD-01151"/>
    <x v="258"/>
    <s v="CUST-0192"/>
    <s v="PROD-051"/>
    <x v="10"/>
    <n v="10"/>
    <n v="3450"/>
    <n v="13.5"/>
    <n v="29842.5"/>
    <s v="Pending"/>
    <s v="Bengaluru"/>
    <x v="1"/>
    <x v="0"/>
    <x v="1"/>
  </r>
  <r>
    <s v="ORD-01152"/>
    <x v="277"/>
    <s v="CUST-0298"/>
    <s v="PROD-010"/>
    <x v="0"/>
    <n v="10"/>
    <n v="2640"/>
    <n v="29.8"/>
    <n v="18532.8"/>
    <s v="Completed"/>
    <s v="Delhi"/>
    <x v="4"/>
    <x v="0"/>
    <x v="6"/>
  </r>
  <r>
    <s v="ORD-01153"/>
    <x v="204"/>
    <s v="CUST-0088"/>
    <s v="PROD-032"/>
    <x v="18"/>
    <n v="3"/>
    <n v="370"/>
    <n v="25.5"/>
    <n v="826.95"/>
    <s v="Completed"/>
    <s v="Chennai"/>
    <x v="3"/>
    <x v="1"/>
    <x v="4"/>
  </r>
  <r>
    <s v="ORD-01154"/>
    <x v="180"/>
    <s v="CUST-0274"/>
    <s v="PROD-009"/>
    <x v="14"/>
    <n v="3"/>
    <n v="1220"/>
    <n v="7.7"/>
    <n v="3378.18"/>
    <s v="Pending"/>
    <s v="Bengaluru"/>
    <x v="4"/>
    <x v="2"/>
    <x v="8"/>
  </r>
  <r>
    <s v="ORD-01155"/>
    <x v="59"/>
    <s v="CUST-0165"/>
    <s v="PROD-010"/>
    <x v="24"/>
    <n v="1"/>
    <n v="2640"/>
    <n v="23.6"/>
    <n v="2016.96"/>
    <s v="Completed"/>
    <s v="Pune"/>
    <x v="4"/>
    <x v="3"/>
    <x v="10"/>
  </r>
  <r>
    <s v="ORD-01156"/>
    <x v="232"/>
    <s v="CUST-0275"/>
    <s v="PROD-048"/>
    <x v="23"/>
    <n v="9"/>
    <n v="5100"/>
    <n v="9.5"/>
    <n v="41539.5"/>
    <s v="Completed"/>
    <s v="Mumbai"/>
    <x v="5"/>
    <x v="1"/>
    <x v="0"/>
  </r>
  <r>
    <s v="ORD-01157"/>
    <x v="347"/>
    <s v="CUST-0225"/>
    <s v="PROD-050"/>
    <x v="4"/>
    <n v="7"/>
    <n v="6080"/>
    <n v="17.5"/>
    <n v="35112"/>
    <s v="Completed"/>
    <s v="Chennai"/>
    <x v="5"/>
    <x v="0"/>
    <x v="3"/>
  </r>
  <r>
    <s v="ORD-01158"/>
    <x v="341"/>
    <s v="CUST-0059"/>
    <s v="PROD-005"/>
    <x v="17"/>
    <n v="1"/>
    <n v="300"/>
    <n v="26.9"/>
    <n v="219.3"/>
    <s v="Completed"/>
    <s v="Pune"/>
    <x v="4"/>
    <x v="2"/>
    <x v="4"/>
  </r>
  <r>
    <s v="ORD-01159"/>
    <x v="181"/>
    <s v="CUST-0149"/>
    <s v="PROD-045"/>
    <x v="16"/>
    <n v="6"/>
    <n v="3020"/>
    <n v="28.5"/>
    <n v="12955.8"/>
    <s v="Completed"/>
    <s v="Hyderabad"/>
    <x v="5"/>
    <x v="3"/>
    <x v="8"/>
  </r>
  <r>
    <s v="ORD-01160"/>
    <x v="137"/>
    <s v="CUST-0283"/>
    <s v="PROD-005"/>
    <x v="26"/>
    <n v="8"/>
    <n v="300"/>
    <n v="1.2"/>
    <n v="2371.1999999999998"/>
    <s v="Completed"/>
    <s v="Delhi"/>
    <x v="4"/>
    <x v="3"/>
    <x v="11"/>
  </r>
  <r>
    <s v="ORD-01161"/>
    <x v="271"/>
    <s v="CUST-0039"/>
    <s v="PROD-043"/>
    <x v="23"/>
    <n v="9"/>
    <n v="3350"/>
    <n v="0.6"/>
    <n v="29969.1"/>
    <s v="Refunded"/>
    <s v="Bengaluru"/>
    <x v="5"/>
    <x v="1"/>
    <x v="7"/>
  </r>
  <r>
    <s v="ORD-01162"/>
    <x v="319"/>
    <s v="CUST-0046"/>
    <s v="PROD-026"/>
    <x v="6"/>
    <n v="4"/>
    <n v="4070"/>
    <n v="10.1"/>
    <n v="14635.72"/>
    <s v="Completed"/>
    <s v="Delhi"/>
    <x v="2"/>
    <x v="2"/>
    <x v="10"/>
  </r>
  <r>
    <s v="ORD-01163"/>
    <x v="105"/>
    <s v="CUST-0105"/>
    <s v="PROD-059"/>
    <x v="6"/>
    <n v="9"/>
    <n v="3780"/>
    <n v="27.8"/>
    <n v="24562.44"/>
    <s v="Cancelled"/>
    <s v="Chennai"/>
    <x v="1"/>
    <x v="2"/>
    <x v="4"/>
  </r>
  <r>
    <s v="ORD-01164"/>
    <x v="192"/>
    <s v="CUST-0006"/>
    <s v="PROD-040"/>
    <x v="14"/>
    <n v="6"/>
    <n v="1080"/>
    <n v="17.5"/>
    <n v="5346"/>
    <s v="Completed"/>
    <s v="Pune"/>
    <x v="3"/>
    <x v="2"/>
    <x v="5"/>
  </r>
  <r>
    <s v="ORD-01165"/>
    <x v="348"/>
    <s v="CUST-0192"/>
    <s v="PROD-002"/>
    <x v="12"/>
    <n v="3"/>
    <n v="2600"/>
    <n v="1.9"/>
    <n v="7651.8"/>
    <s v="Completed"/>
    <s v="Bengaluru"/>
    <x v="4"/>
    <x v="3"/>
    <x v="4"/>
  </r>
  <r>
    <s v="ORD-01166"/>
    <x v="67"/>
    <s v="CUST-0290"/>
    <s v="PROD-015"/>
    <x v="4"/>
    <n v="5"/>
    <n v="2720"/>
    <n v="1.8"/>
    <n v="13355.2"/>
    <s v="Cancelled"/>
    <s v="Delhi"/>
    <x v="0"/>
    <x v="0"/>
    <x v="2"/>
  </r>
  <r>
    <s v="ORD-01167"/>
    <x v="270"/>
    <s v="CUST-0287"/>
    <s v="PROD-028"/>
    <x v="27"/>
    <n v="8"/>
    <n v="3660"/>
    <n v="29.5"/>
    <n v="20642.400000000001"/>
    <s v="Completed"/>
    <s v="Chennai"/>
    <x v="2"/>
    <x v="1"/>
    <x v="10"/>
  </r>
  <r>
    <s v="ORD-01168"/>
    <x v="237"/>
    <s v="CUST-0025"/>
    <s v="PROD-044"/>
    <x v="1"/>
    <n v="9"/>
    <n v="1650"/>
    <n v="19.8"/>
    <n v="11909.7"/>
    <s v="Refunded"/>
    <s v="Bengaluru"/>
    <x v="5"/>
    <x v="0"/>
    <x v="9"/>
  </r>
  <r>
    <s v="ORD-01169"/>
    <x v="349"/>
    <s v="CUST-0139"/>
    <s v="PROD-055"/>
    <x v="7"/>
    <n v="3"/>
    <n v="2860"/>
    <n v="22.7"/>
    <n v="6632.34"/>
    <s v="Completed"/>
    <s v="Hyderabad"/>
    <x v="1"/>
    <x v="3"/>
    <x v="10"/>
  </r>
  <r>
    <s v="ORD-01170"/>
    <x v="335"/>
    <s v="CUST-0278"/>
    <s v="PROD-051"/>
    <x v="5"/>
    <n v="4"/>
    <n v="3450"/>
    <n v="9.1999999999999993"/>
    <n v="12530.4"/>
    <s v="Completed"/>
    <s v="Hyderabad"/>
    <x v="1"/>
    <x v="2"/>
    <x v="3"/>
  </r>
  <r>
    <s v="ORD-01171"/>
    <x v="171"/>
    <s v="CUST-0258"/>
    <s v="PROD-033"/>
    <x v="11"/>
    <n v="4"/>
    <n v="2030"/>
    <n v="17.100000000000001"/>
    <n v="6731.48"/>
    <s v="Completed"/>
    <s v="Pune"/>
    <x v="3"/>
    <x v="0"/>
    <x v="5"/>
  </r>
  <r>
    <s v="ORD-01172"/>
    <x v="24"/>
    <s v="CUST-0106"/>
    <s v="PROD-022"/>
    <x v="29"/>
    <n v="4"/>
    <n v="2270"/>
    <n v="27.3"/>
    <n v="6601.16"/>
    <s v="Completed"/>
    <s v="Pune"/>
    <x v="2"/>
    <x v="1"/>
    <x v="5"/>
  </r>
  <r>
    <s v="ORD-01173"/>
    <x v="41"/>
    <s v="CUST-0009"/>
    <s v="PROD-034"/>
    <x v="22"/>
    <n v="9"/>
    <n v="5080"/>
    <n v="10.9"/>
    <n v="40736.519999999997"/>
    <s v="Completed"/>
    <s v="Mumbai"/>
    <x v="3"/>
    <x v="1"/>
    <x v="2"/>
  </r>
  <r>
    <s v="ORD-01174"/>
    <x v="341"/>
    <s v="CUST-0209"/>
    <s v="PROD-026"/>
    <x v="20"/>
    <n v="8"/>
    <n v="4070"/>
    <n v="17.7"/>
    <n v="26796.880000000001"/>
    <s v="Completed"/>
    <s v="Pune"/>
    <x v="2"/>
    <x v="2"/>
    <x v="4"/>
  </r>
  <r>
    <s v="ORD-01175"/>
    <x v="332"/>
    <s v="CUST-0111"/>
    <s v="PROD-041"/>
    <x v="1"/>
    <n v="1"/>
    <n v="1540"/>
    <n v="0.9"/>
    <n v="1526.14"/>
    <s v="Completed"/>
    <s v="Chennai"/>
    <x v="5"/>
    <x v="0"/>
    <x v="2"/>
  </r>
  <r>
    <s v="ORD-01176"/>
    <x v="104"/>
    <s v="CUST-0014"/>
    <s v="PROD-048"/>
    <x v="6"/>
    <n v="10"/>
    <n v="5100"/>
    <n v="3"/>
    <n v="49470"/>
    <s v="Completed"/>
    <s v="Bengaluru"/>
    <x v="5"/>
    <x v="2"/>
    <x v="3"/>
  </r>
  <r>
    <s v="ORD-01177"/>
    <x v="165"/>
    <s v="CUST-0073"/>
    <s v="PROD-014"/>
    <x v="3"/>
    <n v="6"/>
    <n v="3620"/>
    <n v="20.2"/>
    <n v="17332.560000000001"/>
    <s v="Completed"/>
    <s v="Pune"/>
    <x v="0"/>
    <x v="0"/>
    <x v="8"/>
  </r>
  <r>
    <s v="ORD-01178"/>
    <x v="258"/>
    <s v="CUST-0147"/>
    <s v="PROD-046"/>
    <x v="11"/>
    <n v="7"/>
    <n v="4880"/>
    <n v="5"/>
    <n v="32452"/>
    <s v="Completed"/>
    <s v="Pune"/>
    <x v="5"/>
    <x v="0"/>
    <x v="1"/>
  </r>
  <r>
    <s v="ORD-01179"/>
    <x v="22"/>
    <s v="CUST-0006"/>
    <s v="PROD-010"/>
    <x v="6"/>
    <n v="1"/>
    <n v="2640"/>
    <n v="4.0999999999999996"/>
    <n v="2531.7600000000002"/>
    <s v="Completed"/>
    <s v="Pune"/>
    <x v="4"/>
    <x v="2"/>
    <x v="6"/>
  </r>
  <r>
    <s v="ORD-01180"/>
    <x v="118"/>
    <s v="CUST-0031"/>
    <s v="PROD-026"/>
    <x v="16"/>
    <n v="9"/>
    <n v="4070"/>
    <n v="4.4000000000000004"/>
    <n v="35018.28"/>
    <s v="Completed"/>
    <s v="Hyderabad"/>
    <x v="2"/>
    <x v="3"/>
    <x v="7"/>
  </r>
  <r>
    <s v="ORD-01181"/>
    <x v="7"/>
    <s v="CUST-0084"/>
    <s v="PROD-003"/>
    <x v="5"/>
    <n v="9"/>
    <n v="3570"/>
    <n v="24.8"/>
    <n v="24161.759999999998"/>
    <s v="Completed"/>
    <s v="Chennai"/>
    <x v="4"/>
    <x v="2"/>
    <x v="4"/>
  </r>
  <r>
    <s v="ORD-01182"/>
    <x v="19"/>
    <s v="CUST-0203"/>
    <s v="PROD-043"/>
    <x v="1"/>
    <n v="10"/>
    <n v="3350"/>
    <n v="25.1"/>
    <n v="25091.5"/>
    <s v="Cancelled"/>
    <s v="Chennai"/>
    <x v="5"/>
    <x v="0"/>
    <x v="6"/>
  </r>
  <r>
    <s v="ORD-01183"/>
    <x v="246"/>
    <s v="CUST-0138"/>
    <s v="PROD-059"/>
    <x v="5"/>
    <n v="3"/>
    <n v="3780"/>
    <n v="3.8"/>
    <n v="10909.08"/>
    <s v="Completed"/>
    <s v="Chennai"/>
    <x v="1"/>
    <x v="2"/>
    <x v="11"/>
  </r>
  <r>
    <s v="ORD-01184"/>
    <x v="330"/>
    <s v="CUST-0157"/>
    <s v="PROD-003"/>
    <x v="4"/>
    <n v="4"/>
    <n v="3570"/>
    <n v="0.9"/>
    <n v="14151.48"/>
    <s v="Pending"/>
    <s v="Pune"/>
    <x v="4"/>
    <x v="0"/>
    <x v="8"/>
  </r>
  <r>
    <s v="ORD-01185"/>
    <x v="295"/>
    <s v="CUST-0298"/>
    <s v="PROD-055"/>
    <x v="6"/>
    <n v="5"/>
    <n v="2860"/>
    <n v="20.100000000000001"/>
    <n v="11425.7"/>
    <s v="Completed"/>
    <s v="Delhi"/>
    <x v="1"/>
    <x v="2"/>
    <x v="3"/>
  </r>
  <r>
    <s v="ORD-01186"/>
    <x v="79"/>
    <s v="CUST-0132"/>
    <s v="PROD-016"/>
    <x v="11"/>
    <n v="1"/>
    <n v="620"/>
    <n v="1.1000000000000001"/>
    <n v="613.17999999999995"/>
    <s v="Cancelled"/>
    <s v="Delhi"/>
    <x v="0"/>
    <x v="0"/>
    <x v="7"/>
  </r>
  <r>
    <s v="ORD-01187"/>
    <x v="39"/>
    <s v="CUST-0006"/>
    <s v="PROD-003"/>
    <x v="27"/>
    <n v="1"/>
    <n v="3570"/>
    <n v="11.1"/>
    <n v="3173.73"/>
    <s v="Cancelled"/>
    <s v="Pune"/>
    <x v="4"/>
    <x v="1"/>
    <x v="3"/>
  </r>
  <r>
    <s v="ORD-01188"/>
    <x v="317"/>
    <s v="CUST-0011"/>
    <s v="PROD-001"/>
    <x v="27"/>
    <n v="1"/>
    <n v="5330"/>
    <n v="3.5"/>
    <n v="5143.45"/>
    <s v="Completed"/>
    <s v="Chennai"/>
    <x v="4"/>
    <x v="1"/>
    <x v="0"/>
  </r>
  <r>
    <s v="ORD-01189"/>
    <x v="333"/>
    <s v="CUST-0170"/>
    <s v="PROD-052"/>
    <x v="26"/>
    <n v="7"/>
    <n v="5410"/>
    <n v="26.2"/>
    <n v="27948.06"/>
    <s v="Completed"/>
    <s v="Mumbai"/>
    <x v="1"/>
    <x v="3"/>
    <x v="1"/>
  </r>
  <r>
    <s v="ORD-01190"/>
    <x v="163"/>
    <s v="CUST-0109"/>
    <s v="PROD-034"/>
    <x v="29"/>
    <n v="10"/>
    <n v="5080"/>
    <n v="3.7"/>
    <n v="48920.4"/>
    <s v="Pending"/>
    <s v="Pune"/>
    <x v="3"/>
    <x v="1"/>
    <x v="2"/>
  </r>
  <r>
    <s v="ORD-01191"/>
    <x v="43"/>
    <s v="CUST-0066"/>
    <s v="PROD-003"/>
    <x v="1"/>
    <n v="9"/>
    <n v="3570"/>
    <n v="5.6"/>
    <n v="30330.720000000001"/>
    <s v="Completed"/>
    <s v="Delhi"/>
    <x v="4"/>
    <x v="0"/>
    <x v="2"/>
  </r>
  <r>
    <s v="ORD-01192"/>
    <x v="165"/>
    <s v="CUST-0055"/>
    <s v="PROD-030"/>
    <x v="24"/>
    <n v="9"/>
    <n v="970"/>
    <n v="19.5"/>
    <n v="7027.65"/>
    <s v="Completed"/>
    <s v="Bengaluru"/>
    <x v="2"/>
    <x v="3"/>
    <x v="8"/>
  </r>
  <r>
    <s v="ORD-01193"/>
    <x v="298"/>
    <s v="CUST-0298"/>
    <s v="PROD-005"/>
    <x v="18"/>
    <n v="10"/>
    <n v="300"/>
    <n v="23"/>
    <n v="2310"/>
    <s v="Cancelled"/>
    <s v="Delhi"/>
    <x v="4"/>
    <x v="1"/>
    <x v="2"/>
  </r>
  <r>
    <s v="ORD-01194"/>
    <x v="319"/>
    <s v="CUST-0024"/>
    <s v="PROD-050"/>
    <x v="11"/>
    <n v="10"/>
    <n v="6080"/>
    <n v="3.9"/>
    <n v="58428.800000000003"/>
    <s v="Completed"/>
    <s v="Chennai"/>
    <x v="5"/>
    <x v="0"/>
    <x v="10"/>
  </r>
  <r>
    <s v="ORD-01195"/>
    <x v="149"/>
    <s v="CUST-0008"/>
    <s v="PROD-048"/>
    <x v="23"/>
    <n v="2"/>
    <n v="5100"/>
    <n v="11"/>
    <n v="9078"/>
    <s v="Completed"/>
    <s v="Pune"/>
    <x v="5"/>
    <x v="1"/>
    <x v="0"/>
  </r>
  <r>
    <s v="ORD-01196"/>
    <x v="18"/>
    <s v="CUST-0070"/>
    <s v="PROD-011"/>
    <x v="7"/>
    <n v="9"/>
    <n v="3450"/>
    <n v="23.7"/>
    <n v="23691.15"/>
    <s v="Completed"/>
    <s v="Mumbai"/>
    <x v="0"/>
    <x v="3"/>
    <x v="5"/>
  </r>
  <r>
    <s v="ORD-01197"/>
    <x v="164"/>
    <s v="CUST-0270"/>
    <s v="PROD-019"/>
    <x v="23"/>
    <n v="5"/>
    <n v="2480"/>
    <n v="20.399999999999999"/>
    <n v="9870.4"/>
    <s v="Completed"/>
    <s v="Bengaluru"/>
    <x v="0"/>
    <x v="1"/>
    <x v="1"/>
  </r>
  <r>
    <s v="ORD-01198"/>
    <x v="323"/>
    <s v="CUST-0175"/>
    <s v="PROD-060"/>
    <x v="9"/>
    <n v="4"/>
    <n v="190"/>
    <n v="2.6"/>
    <n v="740.24"/>
    <s v="Completed"/>
    <s v="Delhi"/>
    <x v="1"/>
    <x v="1"/>
    <x v="1"/>
  </r>
  <r>
    <s v="ORD-01199"/>
    <x v="212"/>
    <s v="CUST-0227"/>
    <s v="PROD-022"/>
    <x v="16"/>
    <n v="4"/>
    <n v="2270"/>
    <n v="8.1"/>
    <n v="8344.52"/>
    <s v="Pending"/>
    <s v="Bengaluru"/>
    <x v="2"/>
    <x v="3"/>
    <x v="11"/>
  </r>
  <r>
    <s v="ORD-01200"/>
    <x v="169"/>
    <s v="CUST-0041"/>
    <s v="PROD-017"/>
    <x v="8"/>
    <n v="7"/>
    <n v="2510"/>
    <n v="25.5"/>
    <n v="13089.65"/>
    <s v="Completed"/>
    <s v="Bengaluru"/>
    <x v="0"/>
    <x v="2"/>
    <x v="5"/>
  </r>
  <r>
    <s v="ORD-01201"/>
    <x v="318"/>
    <s v="CUST-0147"/>
    <s v="PROD-059"/>
    <x v="10"/>
    <n v="3"/>
    <n v="3780"/>
    <n v="16.8"/>
    <n v="9434.8799999999992"/>
    <s v="Completed"/>
    <s v="Pune"/>
    <x v="1"/>
    <x v="0"/>
    <x v="3"/>
  </r>
  <r>
    <s v="ORD-01202"/>
    <x v="79"/>
    <s v="CUST-0185"/>
    <s v="PROD-003"/>
    <x v="9"/>
    <n v="7"/>
    <n v="3570"/>
    <n v="23.7"/>
    <n v="19067.37"/>
    <s v="Completed"/>
    <s v="Hyderabad"/>
    <x v="4"/>
    <x v="1"/>
    <x v="7"/>
  </r>
  <r>
    <s v="ORD-01203"/>
    <x v="115"/>
    <s v="CUST-0210"/>
    <s v="PROD-037"/>
    <x v="23"/>
    <n v="4"/>
    <n v="660"/>
    <n v="3.6"/>
    <n v="2544.96"/>
    <s v="Completed"/>
    <s v="Pune"/>
    <x v="3"/>
    <x v="1"/>
    <x v="0"/>
  </r>
  <r>
    <s v="ORD-01204"/>
    <x v="350"/>
    <s v="CUST-0289"/>
    <s v="PROD-030"/>
    <x v="9"/>
    <n v="7"/>
    <n v="970"/>
    <n v="23.7"/>
    <n v="5180.7700000000004"/>
    <s v="Completed"/>
    <s v="Mumbai"/>
    <x v="2"/>
    <x v="1"/>
    <x v="10"/>
  </r>
  <r>
    <s v="ORD-01205"/>
    <x v="200"/>
    <s v="CUST-0017"/>
    <s v="PROD-024"/>
    <x v="3"/>
    <n v="8"/>
    <n v="2270"/>
    <n v="6.8"/>
    <n v="16925.12"/>
    <s v="Completed"/>
    <s v="Delhi"/>
    <x v="2"/>
    <x v="0"/>
    <x v="1"/>
  </r>
  <r>
    <s v="ORD-01206"/>
    <x v="65"/>
    <s v="CUST-0115"/>
    <s v="PROD-058"/>
    <x v="27"/>
    <n v="1"/>
    <n v="2400"/>
    <n v="26.5"/>
    <n v="1764"/>
    <s v="Completed"/>
    <s v="Mumbai"/>
    <x v="1"/>
    <x v="1"/>
    <x v="9"/>
  </r>
  <r>
    <s v="ORD-01207"/>
    <x v="283"/>
    <s v="CUST-0183"/>
    <s v="PROD-034"/>
    <x v="9"/>
    <n v="5"/>
    <n v="5080"/>
    <n v="29.6"/>
    <n v="17881.599999999999"/>
    <s v="Completed"/>
    <s v="Mumbai"/>
    <x v="3"/>
    <x v="1"/>
    <x v="7"/>
  </r>
  <r>
    <s v="ORD-01208"/>
    <x v="116"/>
    <s v="CUST-0193"/>
    <s v="PROD-043"/>
    <x v="2"/>
    <n v="9"/>
    <n v="3350"/>
    <n v="6.2"/>
    <n v="28280.7"/>
    <s v="Completed"/>
    <s v="Bengaluru"/>
    <x v="5"/>
    <x v="1"/>
    <x v="1"/>
  </r>
  <r>
    <s v="ORD-01209"/>
    <x v="9"/>
    <s v="CUST-0019"/>
    <s v="PROD-041"/>
    <x v="19"/>
    <n v="4"/>
    <n v="1540"/>
    <n v="22.2"/>
    <n v="4792.4799999999996"/>
    <s v="Completed"/>
    <s v="Chennai"/>
    <x v="5"/>
    <x v="0"/>
    <x v="0"/>
  </r>
  <r>
    <s v="ORD-01210"/>
    <x v="313"/>
    <s v="CUST-0097"/>
    <s v="PROD-034"/>
    <x v="25"/>
    <n v="10"/>
    <n v="5080"/>
    <n v="11.8"/>
    <n v="44805.599999999999"/>
    <s v="Completed"/>
    <s v="Mumbai"/>
    <x v="3"/>
    <x v="0"/>
    <x v="3"/>
  </r>
  <r>
    <s v="ORD-01211"/>
    <x v="197"/>
    <s v="CUST-0237"/>
    <s v="PROD-018"/>
    <x v="27"/>
    <n v="9"/>
    <n v="3560"/>
    <n v="15.9"/>
    <n v="26945.64"/>
    <s v="Completed"/>
    <s v="Mumbai"/>
    <x v="0"/>
    <x v="1"/>
    <x v="11"/>
  </r>
  <r>
    <s v="ORD-01212"/>
    <x v="98"/>
    <s v="CUST-0252"/>
    <s v="PROD-040"/>
    <x v="18"/>
    <n v="2"/>
    <n v="1080"/>
    <n v="21.1"/>
    <n v="1704.24"/>
    <s v="Completed"/>
    <s v="Bengaluru"/>
    <x v="3"/>
    <x v="1"/>
    <x v="8"/>
  </r>
  <r>
    <s v="ORD-01213"/>
    <x v="202"/>
    <s v="CUST-0216"/>
    <s v="PROD-023"/>
    <x v="26"/>
    <n v="5"/>
    <n v="2380"/>
    <n v="20.5"/>
    <n v="9460.5"/>
    <s v="Completed"/>
    <s v="Mumbai"/>
    <x v="2"/>
    <x v="3"/>
    <x v="11"/>
  </r>
  <r>
    <s v="ORD-01214"/>
    <x v="71"/>
    <s v="CUST-0248"/>
    <s v="PROD-019"/>
    <x v="5"/>
    <n v="9"/>
    <n v="2480"/>
    <n v="1.2"/>
    <n v="22052.16"/>
    <s v="Completed"/>
    <s v="Chennai"/>
    <x v="0"/>
    <x v="2"/>
    <x v="10"/>
  </r>
  <r>
    <s v="ORD-01215"/>
    <x v="333"/>
    <s v="CUST-0044"/>
    <s v="PROD-042"/>
    <x v="27"/>
    <n v="9"/>
    <n v="2290"/>
    <n v="0.9"/>
    <n v="20424.509999999998"/>
    <s v="Completed"/>
    <s v="Hyderabad"/>
    <x v="5"/>
    <x v="1"/>
    <x v="1"/>
  </r>
  <r>
    <s v="ORD-01216"/>
    <x v="143"/>
    <s v="CUST-0251"/>
    <s v="PROD-011"/>
    <x v="23"/>
    <n v="3"/>
    <n v="3450"/>
    <n v="29.5"/>
    <n v="7296.75"/>
    <s v="Completed"/>
    <s v="Mumbai"/>
    <x v="0"/>
    <x v="1"/>
    <x v="2"/>
  </r>
  <r>
    <s v="ORD-01217"/>
    <x v="28"/>
    <s v="CUST-0280"/>
    <s v="PROD-047"/>
    <x v="6"/>
    <n v="9"/>
    <n v="3450"/>
    <n v="19.399999999999999"/>
    <n v="25026.3"/>
    <s v="Completed"/>
    <s v="Delhi"/>
    <x v="5"/>
    <x v="2"/>
    <x v="9"/>
  </r>
  <r>
    <s v="ORD-01218"/>
    <x v="340"/>
    <s v="CUST-0108"/>
    <s v="PROD-002"/>
    <x v="14"/>
    <n v="2"/>
    <n v="2600"/>
    <n v="20.2"/>
    <n v="4149.6000000000004"/>
    <s v="Cancelled"/>
    <s v="Bengaluru"/>
    <x v="4"/>
    <x v="2"/>
    <x v="7"/>
  </r>
  <r>
    <s v="ORD-01219"/>
    <x v="281"/>
    <s v="CUST-0058"/>
    <s v="PROD-021"/>
    <x v="5"/>
    <n v="1"/>
    <n v="2760"/>
    <n v="9.5"/>
    <n v="2497.8000000000002"/>
    <s v="Completed"/>
    <s v="Bengaluru"/>
    <x v="2"/>
    <x v="2"/>
    <x v="7"/>
  </r>
  <r>
    <s v="ORD-01220"/>
    <x v="106"/>
    <s v="CUST-0090"/>
    <s v="PROD-039"/>
    <x v="11"/>
    <n v="4"/>
    <n v="4610"/>
    <n v="14.8"/>
    <n v="15710.88"/>
    <s v="Completed"/>
    <s v="Bengaluru"/>
    <x v="3"/>
    <x v="0"/>
    <x v="9"/>
  </r>
  <r>
    <s v="ORD-01221"/>
    <x v="147"/>
    <s v="CUST-0204"/>
    <s v="PROD-019"/>
    <x v="6"/>
    <n v="3"/>
    <n v="2480"/>
    <n v="3.7"/>
    <n v="7164.72"/>
    <s v="Completed"/>
    <s v="Hyderabad"/>
    <x v="0"/>
    <x v="2"/>
    <x v="7"/>
  </r>
  <r>
    <s v="ORD-01222"/>
    <x v="294"/>
    <s v="CUST-0044"/>
    <s v="PROD-056"/>
    <x v="23"/>
    <n v="5"/>
    <n v="6940"/>
    <n v="0.3"/>
    <n v="34595.9"/>
    <s v="Completed"/>
    <s v="Hyderabad"/>
    <x v="1"/>
    <x v="1"/>
    <x v="4"/>
  </r>
  <r>
    <s v="ORD-01223"/>
    <x v="9"/>
    <s v="CUST-0068"/>
    <s v="PROD-022"/>
    <x v="12"/>
    <n v="8"/>
    <n v="2270"/>
    <n v="15.6"/>
    <n v="15327.04"/>
    <s v="Pending"/>
    <s v="Delhi"/>
    <x v="2"/>
    <x v="3"/>
    <x v="0"/>
  </r>
  <r>
    <s v="ORD-01224"/>
    <x v="313"/>
    <s v="CUST-0127"/>
    <s v="PROD-048"/>
    <x v="14"/>
    <n v="5"/>
    <n v="5100"/>
    <n v="9.5"/>
    <n v="23077.5"/>
    <s v="Completed"/>
    <s v="Bengaluru"/>
    <x v="5"/>
    <x v="2"/>
    <x v="3"/>
  </r>
  <r>
    <s v="ORD-01225"/>
    <x v="345"/>
    <s v="CUST-0191"/>
    <s v="PROD-036"/>
    <x v="23"/>
    <n v="5"/>
    <n v="3250"/>
    <n v="8.1"/>
    <n v="14933.75"/>
    <s v="Completed"/>
    <s v="Hyderabad"/>
    <x v="3"/>
    <x v="1"/>
    <x v="9"/>
  </r>
  <r>
    <s v="ORD-01226"/>
    <x v="303"/>
    <s v="CUST-0028"/>
    <s v="PROD-006"/>
    <x v="11"/>
    <n v="6"/>
    <n v="3970"/>
    <n v="18.8"/>
    <n v="19341.84"/>
    <s v="Pending"/>
    <s v="Bengaluru"/>
    <x v="4"/>
    <x v="0"/>
    <x v="4"/>
  </r>
  <r>
    <s v="ORD-01227"/>
    <x v="14"/>
    <s v="CUST-0027"/>
    <s v="PROD-001"/>
    <x v="5"/>
    <n v="4"/>
    <n v="5330"/>
    <n v="19.7"/>
    <n v="17119.96"/>
    <s v="Completed"/>
    <s v="Hyderabad"/>
    <x v="4"/>
    <x v="2"/>
    <x v="0"/>
  </r>
  <r>
    <s v="ORD-01228"/>
    <x v="84"/>
    <s v="CUST-0193"/>
    <s v="PROD-008"/>
    <x v="10"/>
    <n v="7"/>
    <n v="2660"/>
    <n v="8.5"/>
    <n v="17037.3"/>
    <s v="Completed"/>
    <s v="Bengaluru"/>
    <x v="4"/>
    <x v="0"/>
    <x v="4"/>
  </r>
  <r>
    <s v="ORD-01229"/>
    <x v="124"/>
    <s v="CUST-0202"/>
    <s v="PROD-012"/>
    <x v="20"/>
    <n v="5"/>
    <n v="3160"/>
    <n v="13.4"/>
    <n v="13682.8"/>
    <s v="Pending"/>
    <s v="Chennai"/>
    <x v="0"/>
    <x v="2"/>
    <x v="3"/>
  </r>
  <r>
    <s v="ORD-01230"/>
    <x v="287"/>
    <s v="CUST-0230"/>
    <s v="PROD-054"/>
    <x v="7"/>
    <n v="10"/>
    <n v="1010"/>
    <n v="14"/>
    <n v="8686"/>
    <s v="Completed"/>
    <s v="Pune"/>
    <x v="1"/>
    <x v="3"/>
    <x v="8"/>
  </r>
  <r>
    <s v="ORD-01231"/>
    <x v="351"/>
    <s v="CUST-0280"/>
    <s v="PROD-041"/>
    <x v="11"/>
    <n v="3"/>
    <n v="1540"/>
    <n v="13.7"/>
    <n v="3987.06"/>
    <s v="Pending"/>
    <s v="Delhi"/>
    <x v="5"/>
    <x v="0"/>
    <x v="2"/>
  </r>
  <r>
    <s v="ORD-01232"/>
    <x v="343"/>
    <s v="CUST-0196"/>
    <s v="PROD-048"/>
    <x v="18"/>
    <n v="10"/>
    <n v="5100"/>
    <n v="13.8"/>
    <n v="43962"/>
    <s v="Completed"/>
    <s v="Chennai"/>
    <x v="5"/>
    <x v="1"/>
    <x v="11"/>
  </r>
  <r>
    <s v="ORD-01233"/>
    <x v="136"/>
    <s v="CUST-0019"/>
    <s v="PROD-007"/>
    <x v="14"/>
    <n v="3"/>
    <n v="1430"/>
    <n v="1.5"/>
    <n v="4225.6499999999996"/>
    <s v="Completed"/>
    <s v="Chennai"/>
    <x v="4"/>
    <x v="2"/>
    <x v="6"/>
  </r>
  <r>
    <s v="ORD-01234"/>
    <x v="247"/>
    <s v="CUST-0201"/>
    <s v="PROD-038"/>
    <x v="22"/>
    <n v="8"/>
    <n v="5490"/>
    <n v="23.2"/>
    <n v="33730.559999999998"/>
    <s v="Completed"/>
    <s v="Hyderabad"/>
    <x v="3"/>
    <x v="1"/>
    <x v="4"/>
  </r>
  <r>
    <s v="ORD-01235"/>
    <x v="185"/>
    <s v="CUST-0146"/>
    <s v="PROD-044"/>
    <x v="4"/>
    <n v="6"/>
    <n v="1650"/>
    <n v="16.8"/>
    <n v="8236.7999999999993"/>
    <s v="Completed"/>
    <s v="Hyderabad"/>
    <x v="5"/>
    <x v="0"/>
    <x v="10"/>
  </r>
  <r>
    <s v="ORD-01236"/>
    <x v="151"/>
    <s v="CUST-0199"/>
    <s v="PROD-045"/>
    <x v="26"/>
    <n v="3"/>
    <n v="3020"/>
    <n v="14.5"/>
    <n v="7746.3"/>
    <s v="Completed"/>
    <s v="Hyderabad"/>
    <x v="5"/>
    <x v="3"/>
    <x v="6"/>
  </r>
  <r>
    <s v="ORD-01237"/>
    <x v="334"/>
    <s v="CUST-0099"/>
    <s v="PROD-041"/>
    <x v="11"/>
    <n v="5"/>
    <n v="1540"/>
    <n v="27.2"/>
    <n v="5605.6"/>
    <s v="Completed"/>
    <s v="Bengaluru"/>
    <x v="5"/>
    <x v="0"/>
    <x v="3"/>
  </r>
  <r>
    <s v="ORD-00372"/>
    <x v="246"/>
    <s v="CUST-0094"/>
    <s v="PROD-056"/>
    <x v="12"/>
    <n v="4"/>
    <n v="6940"/>
    <n v="3.2"/>
    <n v="26871.68"/>
    <s v="Completed"/>
    <s v="Pune"/>
    <x v="1"/>
    <x v="3"/>
    <x v="11"/>
  </r>
  <r>
    <s v="ORD-01239"/>
    <x v="25"/>
    <s v="CUST-0275"/>
    <s v="PROD-048"/>
    <x v="21"/>
    <n v="2"/>
    <n v="5100"/>
    <n v="18.100000000000001"/>
    <n v="8353.7999999999993"/>
    <s v="Completed"/>
    <s v="Mumbai"/>
    <x v="5"/>
    <x v="3"/>
    <x v="7"/>
  </r>
  <r>
    <s v="ORD-01240"/>
    <x v="189"/>
    <s v="CUST-0230"/>
    <s v="PROD-001"/>
    <x v="29"/>
    <n v="6"/>
    <n v="5330"/>
    <n v="0.3"/>
    <n v="31884.06"/>
    <s v="Pending"/>
    <s v="Pune"/>
    <x v="4"/>
    <x v="1"/>
    <x v="9"/>
  </r>
  <r>
    <s v="ORD-01241"/>
    <x v="121"/>
    <s v="CUST-0227"/>
    <s v="PROD-057"/>
    <x v="20"/>
    <n v="5"/>
    <n v="960"/>
    <n v="16.600000000000001"/>
    <n v="4003.2"/>
    <s v="Completed"/>
    <s v="Bengaluru"/>
    <x v="1"/>
    <x v="2"/>
    <x v="6"/>
  </r>
  <r>
    <s v="ORD-01365"/>
    <x v="214"/>
    <s v="CUST-0200"/>
    <s v="PROD-014"/>
    <x v="24"/>
    <n v="7"/>
    <n v="3620"/>
    <n v="5.4"/>
    <n v="23971.64"/>
    <s v="Completed"/>
    <s v="Hyderabad"/>
    <x v="0"/>
    <x v="3"/>
    <x v="10"/>
  </r>
  <r>
    <s v="ORD-01243"/>
    <x v="213"/>
    <s v="CUST-0268"/>
    <s v="PROD-002"/>
    <x v="3"/>
    <n v="6"/>
    <n v="2600"/>
    <n v="25.9"/>
    <n v="11559.6"/>
    <s v="Completed"/>
    <s v="Chennai"/>
    <x v="4"/>
    <x v="0"/>
    <x v="2"/>
  </r>
  <r>
    <s v="ORD-01244"/>
    <x v="129"/>
    <s v="CUST-0163"/>
    <s v="PROD-008"/>
    <x v="22"/>
    <n v="7"/>
    <n v="2660"/>
    <n v="20.2"/>
    <n v="14858.76"/>
    <s v="Completed"/>
    <s v="Pune"/>
    <x v="4"/>
    <x v="1"/>
    <x v="11"/>
  </r>
  <r>
    <s v="ORD-01245"/>
    <x v="22"/>
    <s v="CUST-0233"/>
    <s v="PROD-019"/>
    <x v="24"/>
    <n v="9"/>
    <n v="2480"/>
    <n v="14.7"/>
    <n v="19038.96"/>
    <s v="Completed"/>
    <s v="Mumbai"/>
    <x v="0"/>
    <x v="3"/>
    <x v="6"/>
  </r>
  <r>
    <s v="ORD-01246"/>
    <x v="296"/>
    <s v="CUST-0181"/>
    <s v="PROD-008"/>
    <x v="15"/>
    <n v="4"/>
    <n v="2660"/>
    <n v="8.9"/>
    <n v="9693.0400000000009"/>
    <s v="Completed"/>
    <s v="Delhi"/>
    <x v="4"/>
    <x v="1"/>
    <x v="9"/>
  </r>
  <r>
    <s v="ORD-01247"/>
    <x v="326"/>
    <s v="CUST-0254"/>
    <s v="PROD-001"/>
    <x v="9"/>
    <n v="1"/>
    <n v="5330"/>
    <n v="26.8"/>
    <n v="3901.56"/>
    <s v="Completed"/>
    <s v="Bengaluru"/>
    <x v="4"/>
    <x v="1"/>
    <x v="0"/>
  </r>
  <r>
    <s v="ORD-01248"/>
    <x v="227"/>
    <s v="CUST-0116"/>
    <s v="PROD-051"/>
    <x v="28"/>
    <n v="6"/>
    <n v="3450"/>
    <n v="19.2"/>
    <n v="16725.599999999999"/>
    <s v="Pending"/>
    <s v="Bengaluru"/>
    <x v="1"/>
    <x v="2"/>
    <x v="0"/>
  </r>
  <r>
    <s v="ORD-01249"/>
    <x v="323"/>
    <s v="CUST-0259"/>
    <s v="PROD-060"/>
    <x v="5"/>
    <n v="10"/>
    <n v="190"/>
    <n v="18.100000000000001"/>
    <n v="1556.1"/>
    <s v="Completed"/>
    <s v="Mumbai"/>
    <x v="1"/>
    <x v="2"/>
    <x v="1"/>
  </r>
  <r>
    <s v="ORD-01250"/>
    <x v="241"/>
    <s v="CUST-0198"/>
    <s v="PROD-006"/>
    <x v="18"/>
    <n v="9"/>
    <n v="3970"/>
    <n v="18.2"/>
    <n v="29227.14"/>
    <s v="Pending"/>
    <s v="Chennai"/>
    <x v="4"/>
    <x v="1"/>
    <x v="9"/>
  </r>
  <r>
    <s v="ORD-01251"/>
    <x v="280"/>
    <s v="CUST-0204"/>
    <s v="PROD-039"/>
    <x v="25"/>
    <n v="4"/>
    <n v="4610"/>
    <n v="15.1"/>
    <n v="15655.56"/>
    <s v="Cancelled"/>
    <s v="Hyderabad"/>
    <x v="3"/>
    <x v="0"/>
    <x v="5"/>
  </r>
  <r>
    <s v="ORD-01252"/>
    <x v="233"/>
    <s v="CUST-0216"/>
    <s v="PROD-016"/>
    <x v="5"/>
    <n v="2"/>
    <n v="620"/>
    <n v="3.3"/>
    <n v="1199.08"/>
    <s v="Completed"/>
    <s v="Mumbai"/>
    <x v="0"/>
    <x v="2"/>
    <x v="10"/>
  </r>
  <r>
    <s v="ORD-01253"/>
    <x v="214"/>
    <s v="CUST-0030"/>
    <s v="PROD-041"/>
    <x v="5"/>
    <n v="7"/>
    <n v="1540"/>
    <n v="27.5"/>
    <n v="7815.5"/>
    <s v="Completed"/>
    <s v="Bengaluru"/>
    <x v="5"/>
    <x v="2"/>
    <x v="10"/>
  </r>
  <r>
    <s v="ORD-01254"/>
    <x v="178"/>
    <s v="CUST-0019"/>
    <s v="PROD-053"/>
    <x v="21"/>
    <n v="10"/>
    <n v="470"/>
    <n v="3.9"/>
    <n v="4516.7"/>
    <s v="Completed"/>
    <s v="Chennai"/>
    <x v="1"/>
    <x v="3"/>
    <x v="10"/>
  </r>
  <r>
    <s v="ORD-01255"/>
    <x v="348"/>
    <s v="CUST-0034"/>
    <s v="PROD-046"/>
    <x v="25"/>
    <n v="5"/>
    <n v="4880"/>
    <n v="27.4"/>
    <n v="17714.400000000001"/>
    <s v="Completed"/>
    <s v="Delhi"/>
    <x v="5"/>
    <x v="0"/>
    <x v="4"/>
  </r>
  <r>
    <s v="ORD-01256"/>
    <x v="289"/>
    <s v="CUST-0063"/>
    <s v="PROD-052"/>
    <x v="20"/>
    <n v="1"/>
    <n v="5410"/>
    <n v="8.3000000000000007"/>
    <n v="4960.97"/>
    <s v="Completed"/>
    <s v="Mumbai"/>
    <x v="1"/>
    <x v="2"/>
    <x v="0"/>
  </r>
  <r>
    <s v="ORD-01257"/>
    <x v="337"/>
    <s v="CUST-0203"/>
    <s v="PROD-004"/>
    <x v="24"/>
    <n v="8"/>
    <n v="3870"/>
    <n v="9.3000000000000007"/>
    <n v="28080.720000000001"/>
    <s v="Pending"/>
    <s v="Chennai"/>
    <x v="4"/>
    <x v="3"/>
    <x v="10"/>
  </r>
  <r>
    <s v="ORD-01258"/>
    <x v="136"/>
    <s v="CUST-0016"/>
    <s v="PROD-010"/>
    <x v="21"/>
    <n v="10"/>
    <n v="2640"/>
    <n v="19.899999999999999"/>
    <n v="21146.400000000001"/>
    <s v="Completed"/>
    <s v="Delhi"/>
    <x v="4"/>
    <x v="3"/>
    <x v="6"/>
  </r>
  <r>
    <s v="ORD-01259"/>
    <x v="118"/>
    <s v="CUST-0198"/>
    <s v="PROD-034"/>
    <x v="0"/>
    <n v="1"/>
    <n v="5080"/>
    <n v="8.6"/>
    <n v="4643.12"/>
    <s v="Completed"/>
    <s v="Chennai"/>
    <x v="3"/>
    <x v="0"/>
    <x v="7"/>
  </r>
  <r>
    <s v="ORD-01260"/>
    <x v="342"/>
    <s v="CUST-0212"/>
    <s v="PROD-036"/>
    <x v="26"/>
    <n v="9"/>
    <n v="3250"/>
    <n v="18.2"/>
    <n v="23926.5"/>
    <s v="Pending"/>
    <s v="Chennai"/>
    <x v="3"/>
    <x v="3"/>
    <x v="5"/>
  </r>
  <r>
    <s v="ORD-01261"/>
    <x v="84"/>
    <s v="CUST-0265"/>
    <s v="PROD-006"/>
    <x v="25"/>
    <n v="8"/>
    <n v="3970"/>
    <n v="22.4"/>
    <n v="24645.759999999998"/>
    <s v="Completed"/>
    <s v="Chennai"/>
    <x v="4"/>
    <x v="0"/>
    <x v="4"/>
  </r>
  <r>
    <s v="ORD-01262"/>
    <x v="192"/>
    <s v="CUST-0165"/>
    <s v="PROD-037"/>
    <x v="21"/>
    <n v="3"/>
    <n v="660"/>
    <n v="3.1"/>
    <n v="1918.62"/>
    <s v="Completed"/>
    <s v="Pune"/>
    <x v="3"/>
    <x v="3"/>
    <x v="5"/>
  </r>
  <r>
    <s v="ORD-01263"/>
    <x v="298"/>
    <s v="CUST-0109"/>
    <s v="PROD-002"/>
    <x v="24"/>
    <n v="7"/>
    <n v="2600"/>
    <n v="15.4"/>
    <n v="15397.2"/>
    <s v="Completed"/>
    <s v="Pune"/>
    <x v="4"/>
    <x v="3"/>
    <x v="2"/>
  </r>
  <r>
    <s v="ORD-01264"/>
    <x v="45"/>
    <s v="CUST-0155"/>
    <s v="PROD-037"/>
    <x v="15"/>
    <n v="9"/>
    <n v="660"/>
    <n v="23.7"/>
    <n v="4532.22"/>
    <s v="Completed"/>
    <s v="Pune"/>
    <x v="3"/>
    <x v="1"/>
    <x v="0"/>
  </r>
  <r>
    <s v="ORD-01265"/>
    <x v="183"/>
    <s v="CUST-0194"/>
    <s v="PROD-023"/>
    <x v="13"/>
    <n v="3"/>
    <n v="2380"/>
    <n v="19.5"/>
    <n v="5747.7"/>
    <s v="Cancelled"/>
    <s v="Delhi"/>
    <x v="2"/>
    <x v="3"/>
    <x v="5"/>
  </r>
  <r>
    <s v="ORD-01266"/>
    <x v="207"/>
    <s v="CUST-0084"/>
    <s v="PROD-044"/>
    <x v="9"/>
    <n v="9"/>
    <n v="1650"/>
    <n v="2.5"/>
    <n v="14478.75"/>
    <s v="Completed"/>
    <s v="Chennai"/>
    <x v="5"/>
    <x v="1"/>
    <x v="4"/>
  </r>
  <r>
    <s v="ORD-01267"/>
    <x v="181"/>
    <s v="CUST-9684"/>
    <s v="PROD-010"/>
    <x v="3"/>
    <n v="8"/>
    <n v="2640"/>
    <n v="24.4"/>
    <n v="15966.72"/>
    <s v="Completed"/>
    <s v="Mumbai"/>
    <x v="4"/>
    <x v="0"/>
    <x v="8"/>
  </r>
  <r>
    <s v="ORD-01268"/>
    <x v="43"/>
    <s v="CUST-0218"/>
    <s v="PROD-023"/>
    <x v="22"/>
    <n v="8"/>
    <n v="2380"/>
    <n v="24.2"/>
    <n v="14432.32"/>
    <s v="Completed"/>
    <s v="Mumbai"/>
    <x v="2"/>
    <x v="1"/>
    <x v="2"/>
  </r>
  <r>
    <s v="ORD-01269"/>
    <x v="41"/>
    <s v="CUST-0194"/>
    <s v="PROD-029"/>
    <x v="0"/>
    <n v="10"/>
    <n v="2210"/>
    <n v="3.6"/>
    <n v="21304.400000000001"/>
    <s v="Completed"/>
    <s v="Delhi"/>
    <x v="2"/>
    <x v="0"/>
    <x v="2"/>
  </r>
  <r>
    <s v="ORD-01270"/>
    <x v="139"/>
    <s v="CUST-0037"/>
    <s v="PROD-050"/>
    <x v="26"/>
    <n v="9"/>
    <n v="6080"/>
    <n v="17.2"/>
    <n v="45308.160000000003"/>
    <s v="Pending"/>
    <s v="Bengaluru"/>
    <x v="5"/>
    <x v="3"/>
    <x v="5"/>
  </r>
  <r>
    <s v="ORD-01271"/>
    <x v="10"/>
    <s v="CUST-0245"/>
    <s v="PROD-054"/>
    <x v="24"/>
    <n v="8"/>
    <n v="1010"/>
    <n v="12.3"/>
    <n v="7086.16"/>
    <s v="Completed"/>
    <s v="Hyderabad"/>
    <x v="1"/>
    <x v="3"/>
    <x v="1"/>
  </r>
  <r>
    <s v="ORD-01272"/>
    <x v="329"/>
    <s v="CUST-0266"/>
    <s v="PROD-028"/>
    <x v="23"/>
    <n v="8"/>
    <n v="3660"/>
    <n v="8.4"/>
    <n v="26820.48"/>
    <s v="Completed"/>
    <s v="Pune"/>
    <x v="2"/>
    <x v="1"/>
    <x v="9"/>
  </r>
  <r>
    <s v="ORD-01273"/>
    <x v="68"/>
    <s v="CUST-0058"/>
    <s v="PROD-039"/>
    <x v="20"/>
    <n v="8"/>
    <n v="4610"/>
    <n v="15.4"/>
    <n v="31200.48"/>
    <s v="Cancelled"/>
    <s v="Bengaluru"/>
    <x v="3"/>
    <x v="2"/>
    <x v="3"/>
  </r>
  <r>
    <s v="ORD-01274"/>
    <x v="283"/>
    <s v="CUST-0058"/>
    <s v="PROD-048"/>
    <x v="3"/>
    <n v="9"/>
    <n v="5100"/>
    <n v="25.2"/>
    <n v="34333.199999999997"/>
    <s v="Cancelled"/>
    <s v="Bengaluru"/>
    <x v="5"/>
    <x v="0"/>
    <x v="7"/>
  </r>
  <r>
    <s v="ORD-01275"/>
    <x v="312"/>
    <s v="CUST-0028"/>
    <s v="PROD-045"/>
    <x v="7"/>
    <n v="5"/>
    <n v="3020"/>
    <n v="23"/>
    <n v="11627"/>
    <s v="Completed"/>
    <s v="Bengaluru"/>
    <x v="5"/>
    <x v="3"/>
    <x v="2"/>
  </r>
  <r>
    <s v="ORD-01276"/>
    <x v="3"/>
    <s v="CUST-0262"/>
    <s v="PROD-059"/>
    <x v="15"/>
    <n v="8"/>
    <n v="3780"/>
    <n v="17.100000000000001"/>
    <n v="25068.959999999999"/>
    <s v="Completed"/>
    <s v="Mumbai"/>
    <x v="1"/>
    <x v="1"/>
    <x v="3"/>
  </r>
  <r>
    <s v="ORD-01277"/>
    <x v="352"/>
    <s v="CUST-0241"/>
    <s v="PROD-029"/>
    <x v="19"/>
    <n v="10"/>
    <n v="2210"/>
    <n v="8.5"/>
    <n v="20221.5"/>
    <s v="Completed"/>
    <s v="Pune"/>
    <x v="2"/>
    <x v="0"/>
    <x v="3"/>
  </r>
  <r>
    <s v="ORD-01278"/>
    <x v="117"/>
    <s v="CUST-0109"/>
    <s v="PROD-029"/>
    <x v="15"/>
    <n v="4"/>
    <n v="2210"/>
    <n v="3.1"/>
    <n v="8565.9599999999991"/>
    <s v="Completed"/>
    <s v="Pune"/>
    <x v="2"/>
    <x v="1"/>
    <x v="4"/>
  </r>
  <r>
    <s v="ORD-01279"/>
    <x v="326"/>
    <s v="CUST-0228"/>
    <s v="PROD-044"/>
    <x v="15"/>
    <n v="1"/>
    <n v="1650"/>
    <n v="10"/>
    <n v="1485"/>
    <s v="Completed"/>
    <s v="Pune"/>
    <x v="5"/>
    <x v="1"/>
    <x v="0"/>
  </r>
  <r>
    <s v="ORD-01280"/>
    <x v="100"/>
    <s v="CUST-0239"/>
    <s v="PROD-060"/>
    <x v="1"/>
    <n v="6"/>
    <n v="190"/>
    <n v="3.5"/>
    <n v="1100.0999999999999"/>
    <s v="Cancelled"/>
    <s v="Mumbai"/>
    <x v="1"/>
    <x v="0"/>
    <x v="4"/>
  </r>
  <r>
    <s v="ORD-01281"/>
    <x v="55"/>
    <s v="CUST-0092"/>
    <s v="PROD-055"/>
    <x v="28"/>
    <n v="8"/>
    <n v="2860"/>
    <n v="14.7"/>
    <n v="19516.64"/>
    <s v="Completed"/>
    <s v="Bengaluru"/>
    <x v="1"/>
    <x v="2"/>
    <x v="9"/>
  </r>
  <r>
    <s v="ORD-01282"/>
    <x v="120"/>
    <s v="CUST-0283"/>
    <s v="PROD-005"/>
    <x v="14"/>
    <n v="9"/>
    <n v="300"/>
    <n v="19.5"/>
    <n v="2173.5"/>
    <s v="Completed"/>
    <s v="Delhi"/>
    <x v="4"/>
    <x v="2"/>
    <x v="6"/>
  </r>
  <r>
    <s v="ORD-01283"/>
    <x v="170"/>
    <s v="CUST-0206"/>
    <s v="PROD-049"/>
    <x v="0"/>
    <n v="10"/>
    <n v="960"/>
    <n v="9.6999999999999993"/>
    <n v="8668.7999999999993"/>
    <s v="Completed"/>
    <s v="Mumbai"/>
    <x v="5"/>
    <x v="0"/>
    <x v="4"/>
  </r>
  <r>
    <s v="ORD-01284"/>
    <x v="292"/>
    <s v="CUST-0174"/>
    <s v="PROD-020"/>
    <x v="22"/>
    <n v="5"/>
    <n v="820"/>
    <n v="0.5"/>
    <n v="4079.5"/>
    <s v="Completed"/>
    <s v="Pune"/>
    <x v="0"/>
    <x v="1"/>
    <x v="3"/>
  </r>
  <r>
    <s v="ORD-01285"/>
    <x v="266"/>
    <s v="CUST-0040"/>
    <s v="PROD-032"/>
    <x v="10"/>
    <n v="2"/>
    <n v="370"/>
    <n v="10.5"/>
    <n v="662.3"/>
    <s v="Pending"/>
    <s v="Chennai"/>
    <x v="3"/>
    <x v="0"/>
    <x v="5"/>
  </r>
  <r>
    <s v="ORD-01286"/>
    <x v="99"/>
    <s v="CUST-0153"/>
    <s v="PROD-038"/>
    <x v="12"/>
    <n v="9"/>
    <n v="5490"/>
    <n v="14.2"/>
    <n v="42393.78"/>
    <s v="Cancelled"/>
    <s v="Mumbai"/>
    <x v="3"/>
    <x v="3"/>
    <x v="6"/>
  </r>
  <r>
    <s v="ORD-01287"/>
    <x v="62"/>
    <s v="CUST-0236"/>
    <s v="PROD-032"/>
    <x v="26"/>
    <n v="3"/>
    <n v="370"/>
    <n v="18.399999999999999"/>
    <n v="905.76"/>
    <s v="Completed"/>
    <s v="Hyderabad"/>
    <x v="3"/>
    <x v="3"/>
    <x v="5"/>
  </r>
  <r>
    <s v="ORD-01288"/>
    <x v="241"/>
    <s v="CUST-0295"/>
    <s v="PROD-060"/>
    <x v="26"/>
    <n v="6"/>
    <n v="190"/>
    <n v="12.9"/>
    <n v="992.94"/>
    <s v="Completed"/>
    <s v="Delhi"/>
    <x v="1"/>
    <x v="3"/>
    <x v="9"/>
  </r>
  <r>
    <s v="ORD-01289"/>
    <x v="245"/>
    <s v="CUST-0145"/>
    <s v="PROD-029"/>
    <x v="12"/>
    <n v="8"/>
    <n v="2210"/>
    <n v="9.8000000000000007"/>
    <n v="15947.36"/>
    <s v="Completed"/>
    <s v="Bengaluru"/>
    <x v="2"/>
    <x v="3"/>
    <x v="5"/>
  </r>
  <r>
    <s v="ORD-01290"/>
    <x v="99"/>
    <s v="CUST-0192"/>
    <s v="PROD-044"/>
    <x v="18"/>
    <n v="7"/>
    <n v="1650"/>
    <n v="8.4"/>
    <n v="10579.8"/>
    <s v="Completed"/>
    <s v="Bengaluru"/>
    <x v="5"/>
    <x v="1"/>
    <x v="6"/>
  </r>
  <r>
    <s v="ORD-01291"/>
    <x v="353"/>
    <s v="CUST-0148"/>
    <s v="PROD-037"/>
    <x v="22"/>
    <n v="8"/>
    <n v="660"/>
    <n v="7.5"/>
    <n v="4884"/>
    <s v="Completed"/>
    <s v="Chennai"/>
    <x v="3"/>
    <x v="1"/>
    <x v="2"/>
  </r>
  <r>
    <s v="ORD-01292"/>
    <x v="128"/>
    <s v="CUST-0227"/>
    <s v="PROD-039"/>
    <x v="10"/>
    <n v="3"/>
    <n v="4610"/>
    <n v="29.6"/>
    <n v="9736.32"/>
    <s v="Completed"/>
    <s v="Bengaluru"/>
    <x v="3"/>
    <x v="0"/>
    <x v="8"/>
  </r>
  <r>
    <s v="ORD-01293"/>
    <x v="354"/>
    <s v="CUST-0170"/>
    <s v="PROD-029"/>
    <x v="5"/>
    <n v="6"/>
    <n v="2210"/>
    <n v="9.5"/>
    <n v="12000.3"/>
    <s v="Completed"/>
    <s v="Mumbai"/>
    <x v="2"/>
    <x v="2"/>
    <x v="1"/>
  </r>
  <r>
    <s v="ORD-01294"/>
    <x v="80"/>
    <s v="CUST-0102"/>
    <s v="PROD-042"/>
    <x v="21"/>
    <n v="4"/>
    <n v="2290"/>
    <n v="3.3"/>
    <n v="8857.7199999999993"/>
    <s v="Completed"/>
    <s v="Chennai"/>
    <x v="5"/>
    <x v="3"/>
    <x v="7"/>
  </r>
  <r>
    <s v="ORD-01295"/>
    <x v="264"/>
    <s v="CUST-0071"/>
    <s v="PROD-040"/>
    <x v="17"/>
    <n v="5"/>
    <n v="1080"/>
    <n v="26.1"/>
    <n v="3990.6"/>
    <s v="Completed"/>
    <s v="Delhi"/>
    <x v="3"/>
    <x v="2"/>
    <x v="2"/>
  </r>
  <r>
    <s v="ORD-01296"/>
    <x v="42"/>
    <s v="CUST-0080"/>
    <s v="PROD-057"/>
    <x v="9"/>
    <n v="7"/>
    <n v="960"/>
    <n v="17.7"/>
    <n v="5530.56"/>
    <s v="Completed"/>
    <s v="Pune"/>
    <x v="1"/>
    <x v="1"/>
    <x v="11"/>
  </r>
  <r>
    <s v="ORD-01297"/>
    <x v="338"/>
    <s v="CUST-0272"/>
    <s v="PROD-058"/>
    <x v="4"/>
    <n v="1"/>
    <n v="2400"/>
    <n v="29.9"/>
    <n v="1682.4"/>
    <s v="Completed"/>
    <s v="Mumbai"/>
    <x v="1"/>
    <x v="0"/>
    <x v="6"/>
  </r>
  <r>
    <s v="ORD-01298"/>
    <x v="184"/>
    <s v="CUST-0076"/>
    <s v="PROD-042"/>
    <x v="9"/>
    <n v="9"/>
    <n v="2290"/>
    <n v="28.8"/>
    <n v="14674.32"/>
    <s v="Completed"/>
    <s v="Mumbai"/>
    <x v="5"/>
    <x v="1"/>
    <x v="8"/>
  </r>
  <r>
    <s v="ORD-01299"/>
    <x v="137"/>
    <s v="CUST-0222"/>
    <s v="PROD-040"/>
    <x v="26"/>
    <n v="9"/>
    <n v="1080"/>
    <n v="10.3"/>
    <n v="8718.84"/>
    <s v="Completed"/>
    <s v="Chennai"/>
    <x v="3"/>
    <x v="3"/>
    <x v="11"/>
  </r>
  <r>
    <s v="ORD-01300"/>
    <x v="121"/>
    <s v="CUST-0091"/>
    <s v="PROD-035"/>
    <x v="10"/>
    <n v="1"/>
    <n v="1090"/>
    <n v="5.8"/>
    <n v="1026.78"/>
    <s v="Cancelled"/>
    <s v="Delhi"/>
    <x v="3"/>
    <x v="0"/>
    <x v="6"/>
  </r>
  <r>
    <s v="ORD-01301"/>
    <x v="9"/>
    <s v="CUST-0126"/>
    <s v="PROD-029"/>
    <x v="26"/>
    <n v="3"/>
    <n v="2210"/>
    <n v="18.2"/>
    <n v="5423.34"/>
    <s v="Pending"/>
    <s v="Mumbai"/>
    <x v="2"/>
    <x v="3"/>
    <x v="0"/>
  </r>
  <r>
    <s v="ORD-01302"/>
    <x v="276"/>
    <s v="CUST-0241"/>
    <s v="PROD-014"/>
    <x v="15"/>
    <n v="8"/>
    <n v="3620"/>
    <n v="1.4"/>
    <n v="28554.560000000001"/>
    <s v="Completed"/>
    <s v="Pune"/>
    <x v="0"/>
    <x v="1"/>
    <x v="9"/>
  </r>
  <r>
    <s v="ORD-01303"/>
    <x v="107"/>
    <s v="CUST-0118"/>
    <s v="PROD-033"/>
    <x v="23"/>
    <n v="7"/>
    <n v="2030"/>
    <n v="27.7"/>
    <n v="10273.83"/>
    <s v="Completed"/>
    <s v="Hyderabad"/>
    <x v="3"/>
    <x v="1"/>
    <x v="2"/>
  </r>
  <r>
    <s v="ORD-01304"/>
    <x v="309"/>
    <s v="CUST-0090"/>
    <s v="PROD-004"/>
    <x v="12"/>
    <n v="1"/>
    <n v="3870"/>
    <n v="29.6"/>
    <n v="2724.48"/>
    <s v="Completed"/>
    <s v="Bengaluru"/>
    <x v="4"/>
    <x v="3"/>
    <x v="11"/>
  </r>
  <r>
    <s v="ORD-01305"/>
    <x v="258"/>
    <s v="CUST-0037"/>
    <s v="PROD-003"/>
    <x v="2"/>
    <n v="5"/>
    <n v="3570"/>
    <n v="11.8"/>
    <n v="15743.7"/>
    <s v="Refunded"/>
    <s v="Bengaluru"/>
    <x v="4"/>
    <x v="1"/>
    <x v="1"/>
  </r>
  <r>
    <s v="ORD-01306"/>
    <x v="181"/>
    <s v="CUST-0083"/>
    <s v="PROD-001"/>
    <x v="7"/>
    <n v="7"/>
    <n v="5330"/>
    <n v="8.1999999999999993"/>
    <n v="34250.58"/>
    <s v="Completed"/>
    <s v="Bengaluru"/>
    <x v="4"/>
    <x v="3"/>
    <x v="8"/>
  </r>
  <r>
    <s v="ORD-01307"/>
    <x v="148"/>
    <s v="CUST-0154"/>
    <s v="PROD-009"/>
    <x v="18"/>
    <n v="5"/>
    <n v="1220"/>
    <n v="17.8"/>
    <n v="5014.2"/>
    <s v="Refunded"/>
    <s v="Pune"/>
    <x v="4"/>
    <x v="1"/>
    <x v="0"/>
  </r>
  <r>
    <s v="ORD-01308"/>
    <x v="78"/>
    <s v="CUST-0265"/>
    <s v="PROD-011"/>
    <x v="7"/>
    <n v="7"/>
    <n v="3450"/>
    <n v="29.3"/>
    <n v="17074.05"/>
    <s v="Completed"/>
    <s v="Chennai"/>
    <x v="0"/>
    <x v="3"/>
    <x v="9"/>
  </r>
  <r>
    <s v="ORD-01309"/>
    <x v="152"/>
    <s v="CUST-0115"/>
    <s v="PROD-018"/>
    <x v="22"/>
    <n v="6"/>
    <n v="3560"/>
    <n v="9.4"/>
    <n v="19352.16"/>
    <s v="Pending"/>
    <s v="Mumbai"/>
    <x v="0"/>
    <x v="1"/>
    <x v="0"/>
  </r>
  <r>
    <s v="ORD-01310"/>
    <x v="217"/>
    <s v="CUST-0274"/>
    <s v="PROD-032"/>
    <x v="1"/>
    <n v="4"/>
    <n v="370"/>
    <n v="4.9000000000000004"/>
    <n v="1407.48"/>
    <s v="Completed"/>
    <s v="Bengaluru"/>
    <x v="3"/>
    <x v="0"/>
    <x v="5"/>
  </r>
  <r>
    <s v="ORD-01311"/>
    <x v="262"/>
    <s v="CUST-0269"/>
    <s v="PROD-009"/>
    <x v="11"/>
    <n v="1"/>
    <n v="1220"/>
    <n v="15.2"/>
    <n v="1034.56"/>
    <s v="Completed"/>
    <s v="Pune"/>
    <x v="4"/>
    <x v="0"/>
    <x v="8"/>
  </r>
  <r>
    <s v="ORD-01312"/>
    <x v="12"/>
    <s v="CUST-0045"/>
    <s v="PROD-013"/>
    <x v="3"/>
    <n v="3"/>
    <n v="3640"/>
    <n v="12.3"/>
    <n v="9576.84"/>
    <s v="Pending"/>
    <s v="Chennai"/>
    <x v="0"/>
    <x v="0"/>
    <x v="6"/>
  </r>
  <r>
    <s v="ORD-01313"/>
    <x v="115"/>
    <s v="CUST-0054"/>
    <s v="PROD-045"/>
    <x v="9"/>
    <n v="8"/>
    <n v="3020"/>
    <n v="28.2"/>
    <n v="17346.88"/>
    <s v="Pending"/>
    <s v="Mumbai"/>
    <x v="5"/>
    <x v="1"/>
    <x v="0"/>
  </r>
  <r>
    <s v="ORD-01314"/>
    <x v="277"/>
    <s v="CUST-0160"/>
    <s v="PROD-048"/>
    <x v="4"/>
    <n v="3"/>
    <n v="5100"/>
    <n v="7.8"/>
    <n v="14106.6"/>
    <s v="Completed"/>
    <s v="Hyderabad"/>
    <x v="5"/>
    <x v="0"/>
    <x v="6"/>
  </r>
  <r>
    <s v="ORD-01315"/>
    <x v="192"/>
    <s v="CUST-0163"/>
    <s v="PROD-005"/>
    <x v="19"/>
    <n v="9"/>
    <n v="300"/>
    <n v="19"/>
    <n v="2187"/>
    <s v="Completed"/>
    <s v="Pune"/>
    <x v="4"/>
    <x v="0"/>
    <x v="5"/>
  </r>
  <r>
    <s v="ORD-01316"/>
    <x v="287"/>
    <s v="CUST-0006"/>
    <s v="PROD-042"/>
    <x v="0"/>
    <n v="10"/>
    <n v="2290"/>
    <n v="27.7"/>
    <n v="16556.7"/>
    <s v="Completed"/>
    <s v="Pune"/>
    <x v="5"/>
    <x v="0"/>
    <x v="8"/>
  </r>
  <r>
    <s v="ORD-01317"/>
    <x v="253"/>
    <s v="CUST-0142"/>
    <s v="PROD-013"/>
    <x v="6"/>
    <n v="9"/>
    <n v="3640"/>
    <n v="20.100000000000001"/>
    <n v="26175.24"/>
    <s v="Completed"/>
    <s v="Chennai"/>
    <x v="0"/>
    <x v="2"/>
    <x v="6"/>
  </r>
  <r>
    <s v="ORD-01318"/>
    <x v="45"/>
    <s v="CUST-0262"/>
    <s v="PROD-020"/>
    <x v="24"/>
    <n v="4"/>
    <n v="820"/>
    <n v="7.6"/>
    <n v="3030.72"/>
    <s v="Completed"/>
    <s v="Mumbai"/>
    <x v="0"/>
    <x v="3"/>
    <x v="0"/>
  </r>
  <r>
    <s v="ORD-01319"/>
    <x v="68"/>
    <s v="CUST-0049"/>
    <s v="PROD-030"/>
    <x v="2"/>
    <n v="1"/>
    <n v="970"/>
    <n v="1.7"/>
    <n v="953.51"/>
    <s v="Completed"/>
    <s v="Mumbai"/>
    <x v="2"/>
    <x v="1"/>
    <x v="3"/>
  </r>
  <r>
    <s v="ORD-01320"/>
    <x v="125"/>
    <s v="CUST-0204"/>
    <s v="PROD-018"/>
    <x v="7"/>
    <n v="5"/>
    <n v="3560"/>
    <n v="10.5"/>
    <n v="15931"/>
    <s v="Completed"/>
    <s v="Hyderabad"/>
    <x v="0"/>
    <x v="3"/>
    <x v="11"/>
  </r>
  <r>
    <s v="ORD-01321"/>
    <x v="231"/>
    <s v="CUST-0164"/>
    <s v="PROD-035"/>
    <x v="18"/>
    <n v="6"/>
    <n v="1090"/>
    <n v="2.4"/>
    <n v="6383.04"/>
    <s v="Pending"/>
    <s v="Chennai"/>
    <x v="3"/>
    <x v="1"/>
    <x v="11"/>
  </r>
  <r>
    <s v="ORD-01322"/>
    <x v="141"/>
    <s v="CUST-0003"/>
    <s v="PROD-008"/>
    <x v="21"/>
    <n v="6"/>
    <n v="2660"/>
    <n v="6.4"/>
    <n v="14938.56"/>
    <s v="Completed"/>
    <s v="Mumbai"/>
    <x v="4"/>
    <x v="3"/>
    <x v="11"/>
  </r>
  <r>
    <s v="ORD-01323"/>
    <x v="39"/>
    <s v="CUST-0032"/>
    <s v="PROD-006"/>
    <x v="19"/>
    <n v="5"/>
    <n v="3970"/>
    <n v="18.8"/>
    <n v="16118.2"/>
    <s v="Pending"/>
    <s v="Hyderabad"/>
    <x v="4"/>
    <x v="0"/>
    <x v="3"/>
  </r>
  <r>
    <s v="ORD-01324"/>
    <x v="264"/>
    <s v="CUST-0208"/>
    <s v="PROD-056"/>
    <x v="13"/>
    <n v="7"/>
    <n v="6940"/>
    <n v="23.8"/>
    <n v="37017.96"/>
    <s v="Refunded"/>
    <s v="Mumbai"/>
    <x v="1"/>
    <x v="3"/>
    <x v="2"/>
  </r>
  <r>
    <s v="ORD-01325"/>
    <x v="227"/>
    <s v="CUST-0183"/>
    <s v="PROD-058"/>
    <x v="10"/>
    <n v="3"/>
    <n v="2400"/>
    <n v="9.8000000000000007"/>
    <n v="6494.4"/>
    <s v="Completed"/>
    <s v="Mumbai"/>
    <x v="1"/>
    <x v="0"/>
    <x v="0"/>
  </r>
  <r>
    <s v="ORD-01326"/>
    <x v="183"/>
    <s v="CUST-0021"/>
    <s v="PROD-051"/>
    <x v="12"/>
    <n v="8"/>
    <n v="3450"/>
    <n v="26.6"/>
    <n v="20258.400000000001"/>
    <s v="Cancelled"/>
    <s v="Pune"/>
    <x v="1"/>
    <x v="3"/>
    <x v="5"/>
  </r>
  <r>
    <s v="ORD-01327"/>
    <x v="44"/>
    <s v="CUST-0080"/>
    <s v="PROD-009"/>
    <x v="10"/>
    <n v="4"/>
    <n v="1220"/>
    <n v="5.5"/>
    <n v="4611.6000000000004"/>
    <s v="Completed"/>
    <s v="Pune"/>
    <x v="4"/>
    <x v="0"/>
    <x v="5"/>
  </r>
  <r>
    <s v="ORD-01328"/>
    <x v="355"/>
    <s v="CUST-0286"/>
    <s v="PROD-016"/>
    <x v="0"/>
    <n v="1"/>
    <n v="620"/>
    <n v="22.3"/>
    <n v="481.74"/>
    <s v="Pending"/>
    <s v="Delhi"/>
    <x v="0"/>
    <x v="0"/>
    <x v="0"/>
  </r>
  <r>
    <s v="ORD-01329"/>
    <x v="333"/>
    <s v="CUST-0152"/>
    <s v="PROD-005"/>
    <x v="12"/>
    <n v="1"/>
    <n v="300"/>
    <n v="12.5"/>
    <n v="262.5"/>
    <s v="Completed"/>
    <s v="Bengaluru"/>
    <x v="4"/>
    <x v="3"/>
    <x v="1"/>
  </r>
  <r>
    <s v="ORD-01330"/>
    <x v="349"/>
    <s v="CUST-0254"/>
    <s v="PROD-054"/>
    <x v="16"/>
    <n v="3"/>
    <n v="1010"/>
    <n v="14.1"/>
    <n v="2602.77"/>
    <s v="Completed"/>
    <s v="Bengaluru"/>
    <x v="1"/>
    <x v="3"/>
    <x v="10"/>
  </r>
  <r>
    <s v="ORD-01331"/>
    <x v="77"/>
    <s v="CUST-0290"/>
    <s v="PROD-034"/>
    <x v="28"/>
    <n v="2"/>
    <n v="5080"/>
    <n v="16.8"/>
    <n v="8453.1200000000008"/>
    <s v="Completed"/>
    <s v="Delhi"/>
    <x v="3"/>
    <x v="2"/>
    <x v="4"/>
  </r>
  <r>
    <s v="ORD-01332"/>
    <x v="104"/>
    <s v="CUST-0101"/>
    <s v="PROD-012"/>
    <x v="28"/>
    <n v="2"/>
    <n v="3160"/>
    <n v="21.4"/>
    <n v="4967.5200000000004"/>
    <s v="Completed"/>
    <s v="Hyderabad"/>
    <x v="0"/>
    <x v="2"/>
    <x v="3"/>
  </r>
  <r>
    <s v="ORD-01333"/>
    <x v="275"/>
    <s v="CUST-0058"/>
    <s v="PROD-047"/>
    <x v="29"/>
    <n v="7"/>
    <n v="3450"/>
    <n v="21.3"/>
    <n v="19006.05"/>
    <s v="Completed"/>
    <s v="Bengaluru"/>
    <x v="5"/>
    <x v="1"/>
    <x v="7"/>
  </r>
  <r>
    <s v="ORD-01334"/>
    <x v="94"/>
    <s v="CUST-0296"/>
    <s v="PROD-001"/>
    <x v="3"/>
    <n v="2"/>
    <n v="5330"/>
    <n v="4.3"/>
    <n v="10201.620000000001"/>
    <s v="Completed"/>
    <s v="Delhi"/>
    <x v="4"/>
    <x v="0"/>
    <x v="11"/>
  </r>
  <r>
    <s v="ORD-01335"/>
    <x v="17"/>
    <s v="CUST-0249"/>
    <s v="PROD-056"/>
    <x v="2"/>
    <n v="5"/>
    <n v="6940"/>
    <n v="2.9"/>
    <n v="33693.699999999997"/>
    <s v="Completed"/>
    <s v="Mumbai"/>
    <x v="1"/>
    <x v="1"/>
    <x v="4"/>
  </r>
  <r>
    <s v="ORD-01336"/>
    <x v="166"/>
    <s v="CUST-0055"/>
    <s v="PROD-037"/>
    <x v="8"/>
    <n v="5"/>
    <n v="660"/>
    <n v="15.8"/>
    <n v="2778.6"/>
    <s v="Completed"/>
    <s v="Bengaluru"/>
    <x v="3"/>
    <x v="2"/>
    <x v="7"/>
  </r>
  <r>
    <s v="ORD-01337"/>
    <x v="281"/>
    <s v="CUST-0005"/>
    <s v="PROD-048"/>
    <x v="22"/>
    <n v="9"/>
    <n v="5100"/>
    <n v="0.4"/>
    <n v="45716.4"/>
    <s v="Completed"/>
    <s v="Chennai"/>
    <x v="5"/>
    <x v="1"/>
    <x v="7"/>
  </r>
  <r>
    <s v="ORD-01338"/>
    <x v="162"/>
    <s v="CUST-9595"/>
    <s v="PROD-044"/>
    <x v="2"/>
    <n v="5"/>
    <n v="1650"/>
    <n v="0.8"/>
    <n v="8184"/>
    <s v="Pending"/>
    <s v="Chennai"/>
    <x v="5"/>
    <x v="1"/>
    <x v="11"/>
  </r>
  <r>
    <s v="ORD-01339"/>
    <x v="286"/>
    <s v="CUST-0138"/>
    <s v="PROD-013"/>
    <x v="26"/>
    <n v="7"/>
    <n v="3640"/>
    <n v="25.5"/>
    <n v="18982.599999999999"/>
    <s v="Completed"/>
    <s v="Chennai"/>
    <x v="0"/>
    <x v="3"/>
    <x v="9"/>
  </r>
  <r>
    <s v="ORD-01340"/>
    <x v="175"/>
    <s v="CUST-0112"/>
    <s v="PROD-046"/>
    <x v="20"/>
    <n v="6"/>
    <n v="4880"/>
    <n v="12.6"/>
    <n v="25590.720000000001"/>
    <s v="Cancelled"/>
    <s v="Hyderabad"/>
    <x v="5"/>
    <x v="2"/>
    <x v="8"/>
  </r>
  <r>
    <s v="ORD-01341"/>
    <x v="124"/>
    <s v="CUST-0254"/>
    <s v="PROD-001"/>
    <x v="8"/>
    <n v="4"/>
    <n v="5330"/>
    <n v="16.2"/>
    <n v="17866.16"/>
    <s v="Completed"/>
    <s v="Bengaluru"/>
    <x v="4"/>
    <x v="2"/>
    <x v="3"/>
  </r>
  <r>
    <s v="ORD-01342"/>
    <x v="169"/>
    <s v="CUST-0087"/>
    <s v="PROD-038"/>
    <x v="12"/>
    <n v="3"/>
    <n v="5490"/>
    <n v="26.7"/>
    <n v="12072.51"/>
    <s v="Completed"/>
    <s v="Pune"/>
    <x v="3"/>
    <x v="3"/>
    <x v="5"/>
  </r>
  <r>
    <s v="ORD-01343"/>
    <x v="148"/>
    <s v="CUST-0142"/>
    <s v="PROD-060"/>
    <x v="25"/>
    <n v="7"/>
    <n v="190"/>
    <n v="11.6"/>
    <n v="1175.72"/>
    <s v="Completed"/>
    <s v="Chennai"/>
    <x v="1"/>
    <x v="0"/>
    <x v="0"/>
  </r>
  <r>
    <s v="ORD-01344"/>
    <x v="352"/>
    <s v="CUST-0293"/>
    <s v="PROD-012"/>
    <x v="29"/>
    <n v="5"/>
    <n v="3160"/>
    <n v="24.1"/>
    <n v="11992.2"/>
    <s v="Completed"/>
    <s v="Bengaluru"/>
    <x v="0"/>
    <x v="1"/>
    <x v="3"/>
  </r>
  <r>
    <s v="ORD-01345"/>
    <x v="183"/>
    <s v="CUST-0025"/>
    <s v="PROD-035"/>
    <x v="12"/>
    <n v="1"/>
    <n v="1090"/>
    <n v="9.6"/>
    <n v="985.36"/>
    <s v="Refunded"/>
    <s v="Bengaluru"/>
    <x v="3"/>
    <x v="3"/>
    <x v="5"/>
  </r>
  <r>
    <s v="ORD-01346"/>
    <x v="130"/>
    <s v="CUST-0096"/>
    <s v="PROD-032"/>
    <x v="10"/>
    <n v="9"/>
    <n v="370"/>
    <n v="4"/>
    <n v="3196.8"/>
    <s v="Completed"/>
    <s v="Delhi"/>
    <x v="3"/>
    <x v="0"/>
    <x v="6"/>
  </r>
  <r>
    <s v="ORD-01347"/>
    <x v="212"/>
    <s v="CUST-0069"/>
    <s v="PROD-008"/>
    <x v="25"/>
    <n v="5"/>
    <n v="2660"/>
    <n v="24.6"/>
    <n v="10028.200000000001"/>
    <s v="Cancelled"/>
    <s v="Chennai"/>
    <x v="4"/>
    <x v="0"/>
    <x v="11"/>
  </r>
  <r>
    <s v="ORD-01348"/>
    <x v="322"/>
    <s v="CUST-0220"/>
    <s v="PROD-018"/>
    <x v="26"/>
    <n v="4"/>
    <n v="3560"/>
    <n v="25.7"/>
    <n v="10580.32"/>
    <s v="Completed"/>
    <s v="Chennai"/>
    <x v="0"/>
    <x v="3"/>
    <x v="1"/>
  </r>
  <r>
    <s v="ORD-01349"/>
    <x v="306"/>
    <s v="CUST-0005"/>
    <s v="PROD-049"/>
    <x v="1"/>
    <n v="8"/>
    <n v="960"/>
    <n v="0.1"/>
    <n v="7672.32"/>
    <s v="Completed"/>
    <s v="Chennai"/>
    <x v="5"/>
    <x v="0"/>
    <x v="5"/>
  </r>
  <r>
    <s v="ORD-01350"/>
    <x v="128"/>
    <s v="CUST-0222"/>
    <s v="PROD-032"/>
    <x v="6"/>
    <n v="10"/>
    <n v="370"/>
    <n v="16.399999999999999"/>
    <n v="3093.2"/>
    <s v="Cancelled"/>
    <s v="Chennai"/>
    <x v="3"/>
    <x v="2"/>
    <x v="8"/>
  </r>
  <r>
    <s v="ORD-01351"/>
    <x v="342"/>
    <s v="CUST-0039"/>
    <s v="PROD-015"/>
    <x v="20"/>
    <n v="4"/>
    <n v="2720"/>
    <n v="3.1"/>
    <n v="10542.72"/>
    <s v="Completed"/>
    <s v="Bengaluru"/>
    <x v="0"/>
    <x v="2"/>
    <x v="5"/>
  </r>
  <r>
    <s v="ORD-01352"/>
    <x v="236"/>
    <s v="CUST-0224"/>
    <s v="PROD-034"/>
    <x v="1"/>
    <n v="10"/>
    <n v="5080"/>
    <n v="6.8"/>
    <n v="47345.599999999999"/>
    <s v="Completed"/>
    <s v="Chennai"/>
    <x v="3"/>
    <x v="0"/>
    <x v="3"/>
  </r>
  <r>
    <s v="ORD-01353"/>
    <x v="229"/>
    <s v="CUST-0288"/>
    <s v="PROD-042"/>
    <x v="4"/>
    <n v="6"/>
    <n v="2290"/>
    <n v="22.6"/>
    <n v="10634.76"/>
    <s v="Completed"/>
    <s v="Hyderabad"/>
    <x v="5"/>
    <x v="0"/>
    <x v="2"/>
  </r>
  <r>
    <s v="ORD-01354"/>
    <x v="349"/>
    <s v="CUST-0002"/>
    <s v="PROD-021"/>
    <x v="3"/>
    <n v="4"/>
    <n v="2760"/>
    <n v="27.2"/>
    <n v="8037.12"/>
    <s v="Refunded"/>
    <s v="Pune"/>
    <x v="2"/>
    <x v="0"/>
    <x v="10"/>
  </r>
  <r>
    <s v="ORD-01355"/>
    <x v="12"/>
    <s v="CUST-0172"/>
    <s v="PROD-024"/>
    <x v="28"/>
    <n v="9"/>
    <n v="2270"/>
    <n v="5.2"/>
    <n v="19367.64"/>
    <s v="Completed"/>
    <s v="Pune"/>
    <x v="2"/>
    <x v="2"/>
    <x v="6"/>
  </r>
  <r>
    <s v="ORD-01356"/>
    <x v="66"/>
    <s v="CUST-0287"/>
    <s v="PROD-017"/>
    <x v="4"/>
    <n v="3"/>
    <n v="2510"/>
    <n v="16.399999999999999"/>
    <n v="6295.08"/>
    <s v="Completed"/>
    <s v="Chennai"/>
    <x v="0"/>
    <x v="0"/>
    <x v="10"/>
  </r>
  <r>
    <s v="ORD-01357"/>
    <x v="186"/>
    <s v="CUST-0020"/>
    <s v="PROD-023"/>
    <x v="27"/>
    <n v="1"/>
    <n v="2380"/>
    <n v="23.5"/>
    <n v="1820.7"/>
    <s v="Completed"/>
    <s v="Hyderabad"/>
    <x v="2"/>
    <x v="1"/>
    <x v="1"/>
  </r>
  <r>
    <s v="ORD-01358"/>
    <x v="130"/>
    <s v="CUST-0039"/>
    <s v="PROD-059"/>
    <x v="7"/>
    <n v="2"/>
    <n v="3780"/>
    <n v="29.1"/>
    <n v="5360.04"/>
    <s v="Completed"/>
    <s v="Bengaluru"/>
    <x v="1"/>
    <x v="3"/>
    <x v="6"/>
  </r>
  <r>
    <s v="ORD-01359"/>
    <x v="14"/>
    <s v="CUST-0128"/>
    <s v="PROD-011"/>
    <x v="17"/>
    <n v="1"/>
    <n v="3450"/>
    <n v="17.8"/>
    <n v="2835.9"/>
    <s v="Completed"/>
    <s v="Hyderabad"/>
    <x v="0"/>
    <x v="2"/>
    <x v="0"/>
  </r>
  <r>
    <s v="ORD-01360"/>
    <x v="310"/>
    <s v="CUST-0149"/>
    <s v="PROD-046"/>
    <x v="3"/>
    <n v="6"/>
    <n v="4880"/>
    <n v="15.6"/>
    <n v="24712.32"/>
    <s v="Pending"/>
    <s v="Hyderabad"/>
    <x v="5"/>
    <x v="0"/>
    <x v="6"/>
  </r>
  <r>
    <s v="ORD-01361"/>
    <x v="273"/>
    <s v="CUST-0101"/>
    <s v="PROD-049"/>
    <x v="29"/>
    <n v="6"/>
    <n v="960"/>
    <n v="7.5"/>
    <n v="5328"/>
    <s v="Pending"/>
    <s v="Hyderabad"/>
    <x v="5"/>
    <x v="1"/>
    <x v="3"/>
  </r>
  <r>
    <s v="ORD-01362"/>
    <x v="147"/>
    <s v="CUST-0106"/>
    <s v="PROD-018"/>
    <x v="12"/>
    <n v="1"/>
    <n v="3560"/>
    <n v="12.9"/>
    <n v="3100.76"/>
    <s v="Completed"/>
    <s v="Pune"/>
    <x v="0"/>
    <x v="3"/>
    <x v="7"/>
  </r>
  <r>
    <s v="ORD-01363"/>
    <x v="12"/>
    <s v="CUST-0085"/>
    <s v="PROD-025"/>
    <x v="1"/>
    <n v="5"/>
    <n v="4060"/>
    <n v="18.100000000000001"/>
    <n v="16625.7"/>
    <s v="Pending"/>
    <s v="Chennai"/>
    <x v="2"/>
    <x v="0"/>
    <x v="6"/>
  </r>
  <r>
    <s v="ORD-01364"/>
    <x v="182"/>
    <s v="CUST-0071"/>
    <s v="PROD-015"/>
    <x v="16"/>
    <n v="10"/>
    <n v="2720"/>
    <n v="23.2"/>
    <n v="20889.599999999999"/>
    <s v="Completed"/>
    <s v="Delhi"/>
    <x v="0"/>
    <x v="3"/>
    <x v="0"/>
  </r>
  <r>
    <s v="ORD-01365"/>
    <x v="74"/>
    <s v="CUST-0185"/>
    <s v="PROD-029"/>
    <x v="24"/>
    <n v="1"/>
    <n v="2210"/>
    <n v="5.8"/>
    <n v="2081.8200000000002"/>
    <s v="Pending"/>
    <s v="Hyderabad"/>
    <x v="2"/>
    <x v="3"/>
    <x v="0"/>
  </r>
  <r>
    <s v="ORD-01366"/>
    <x v="74"/>
    <s v="CUST-0182"/>
    <s v="PROD-047"/>
    <x v="22"/>
    <n v="5"/>
    <n v="3450"/>
    <n v="27.9"/>
    <n v="12437.25"/>
    <s v="Pending"/>
    <s v="Mumbai"/>
    <x v="5"/>
    <x v="1"/>
    <x v="0"/>
  </r>
  <r>
    <s v="ORD-01367"/>
    <x v="269"/>
    <s v="CUST-0177"/>
    <s v="PROD-023"/>
    <x v="12"/>
    <n v="9"/>
    <n v="2380"/>
    <n v="15.2"/>
    <n v="18164.16"/>
    <s v="Refunded"/>
    <s v="Mumbai"/>
    <x v="2"/>
    <x v="3"/>
    <x v="0"/>
  </r>
  <r>
    <s v="ORD-01368"/>
    <x v="317"/>
    <s v="CUST-0253"/>
    <s v="PROD-023"/>
    <x v="25"/>
    <n v="2"/>
    <n v="2380"/>
    <n v="24.3"/>
    <n v="3603.32"/>
    <s v="Completed"/>
    <s v="Delhi"/>
    <x v="2"/>
    <x v="0"/>
    <x v="0"/>
  </r>
  <r>
    <s v="ORD-01369"/>
    <x v="9"/>
    <s v="CUST-0071"/>
    <s v="PROD-018"/>
    <x v="27"/>
    <n v="9"/>
    <n v="3560"/>
    <n v="6.6"/>
    <n v="29925.360000000001"/>
    <s v="Refunded"/>
    <s v="Delhi"/>
    <x v="0"/>
    <x v="1"/>
    <x v="0"/>
  </r>
  <r>
    <s v="ORD-01370"/>
    <x v="259"/>
    <s v="CUST-0240"/>
    <s v="PROD-009"/>
    <x v="26"/>
    <n v="7"/>
    <n v="1220"/>
    <n v="29.4"/>
    <n v="6029.24"/>
    <s v="Completed"/>
    <s v="Chennai"/>
    <x v="4"/>
    <x v="3"/>
    <x v="1"/>
  </r>
  <r>
    <s v="ORD-01371"/>
    <x v="9"/>
    <s v="CUST-0050"/>
    <s v="PROD-056"/>
    <x v="21"/>
    <n v="7"/>
    <n v="6940"/>
    <n v="9.6"/>
    <n v="43916.32"/>
    <s v="Completed"/>
    <s v="Mumbai"/>
    <x v="1"/>
    <x v="3"/>
    <x v="0"/>
  </r>
  <r>
    <s v="ORD-01372"/>
    <x v="183"/>
    <s v="CUST-0089"/>
    <s v="PROD-035"/>
    <x v="24"/>
    <n v="2"/>
    <n v="1090"/>
    <n v="17"/>
    <n v="1809.4"/>
    <s v="Completed"/>
    <s v="Mumbai"/>
    <x v="3"/>
    <x v="3"/>
    <x v="5"/>
  </r>
  <r>
    <s v="ORD-01373"/>
    <x v="97"/>
    <s v="CUST-0209"/>
    <s v="PROD-023"/>
    <x v="8"/>
    <n v="4"/>
    <n v="2380"/>
    <n v="18.899999999999999"/>
    <n v="7720.72"/>
    <s v="Pending"/>
    <s v="Pune"/>
    <x v="2"/>
    <x v="2"/>
    <x v="10"/>
  </r>
  <r>
    <s v="ORD-01374"/>
    <x v="344"/>
    <s v="CUST-0089"/>
    <s v="PROD-024"/>
    <x v="10"/>
    <n v="6"/>
    <n v="2270"/>
    <n v="20.9"/>
    <n v="10773.42"/>
    <s v="Pending"/>
    <s v="Mumbai"/>
    <x v="2"/>
    <x v="0"/>
    <x v="9"/>
  </r>
  <r>
    <s v="ORD-01375"/>
    <x v="248"/>
    <s v="CUST-0093"/>
    <s v="PROD-033"/>
    <x v="7"/>
    <n v="10"/>
    <n v="2030"/>
    <n v="25"/>
    <n v="15225"/>
    <s v="Completed"/>
    <s v="Pune"/>
    <x v="3"/>
    <x v="3"/>
    <x v="9"/>
  </r>
  <r>
    <s v="ORD-01376"/>
    <x v="118"/>
    <s v="CUST-0018"/>
    <s v="PROD-035"/>
    <x v="28"/>
    <n v="3"/>
    <n v="1090"/>
    <n v="12.1"/>
    <n v="2874.33"/>
    <s v="Completed"/>
    <s v="Pune"/>
    <x v="3"/>
    <x v="2"/>
    <x v="7"/>
  </r>
  <r>
    <s v="ORD-01377"/>
    <x v="291"/>
    <s v="CUST-0089"/>
    <s v="PROD-017"/>
    <x v="21"/>
    <n v="3"/>
    <n v="2510"/>
    <n v="28.7"/>
    <n v="5368.89"/>
    <s v="Completed"/>
    <s v="Mumbai"/>
    <x v="0"/>
    <x v="3"/>
    <x v="11"/>
  </r>
  <r>
    <s v="ORD-01378"/>
    <x v="249"/>
    <s v="CUST-0116"/>
    <s v="PROD-024"/>
    <x v="17"/>
    <n v="9"/>
    <n v="2270"/>
    <n v="25.4"/>
    <n v="15240.78"/>
    <s v="Pending"/>
    <s v="Bengaluru"/>
    <x v="2"/>
    <x v="2"/>
    <x v="5"/>
  </r>
  <r>
    <s v="ORD-01379"/>
    <x v="169"/>
    <s v="CUST-0071"/>
    <s v="PROD-006"/>
    <x v="20"/>
    <n v="9"/>
    <n v="3970"/>
    <n v="10.1"/>
    <n v="32121.27"/>
    <s v="Cancelled"/>
    <s v="Delhi"/>
    <x v="4"/>
    <x v="2"/>
    <x v="5"/>
  </r>
  <r>
    <s v="ORD-01380"/>
    <x v="23"/>
    <s v="CUST-0115"/>
    <s v="PROD-029"/>
    <x v="2"/>
    <n v="6"/>
    <n v="2210"/>
    <n v="7.4"/>
    <n v="12278.76"/>
    <s v="Completed"/>
    <s v="Mumbai"/>
    <x v="2"/>
    <x v="1"/>
    <x v="9"/>
  </r>
  <r>
    <s v="ORD-01381"/>
    <x v="107"/>
    <s v="CUST-0258"/>
    <s v="PROD-041"/>
    <x v="21"/>
    <n v="7"/>
    <n v="1540"/>
    <n v="20.6"/>
    <n v="8559.32"/>
    <s v="Completed"/>
    <s v="Pune"/>
    <x v="5"/>
    <x v="3"/>
    <x v="2"/>
  </r>
  <r>
    <s v="ORD-01382"/>
    <x v="323"/>
    <s v="CUST-0290"/>
    <s v="PROD-039"/>
    <x v="28"/>
    <n v="9"/>
    <n v="4610"/>
    <n v="2.1"/>
    <n v="40618.71"/>
    <s v="Completed"/>
    <s v="Delhi"/>
    <x v="3"/>
    <x v="2"/>
    <x v="1"/>
  </r>
  <r>
    <s v="ORD-01383"/>
    <x v="159"/>
    <s v="CUST-0279"/>
    <s v="PROD-006"/>
    <x v="25"/>
    <n v="10"/>
    <n v="3970"/>
    <n v="13.3"/>
    <n v="34419.9"/>
    <s v="Pending"/>
    <s v="Mumbai"/>
    <x v="4"/>
    <x v="0"/>
    <x v="7"/>
  </r>
  <r>
    <s v="ORD-01384"/>
    <x v="166"/>
    <s v="CUST-0132"/>
    <s v="PROD-008"/>
    <x v="4"/>
    <n v="8"/>
    <n v="2660"/>
    <n v="16.8"/>
    <n v="17704.96"/>
    <s v="Completed"/>
    <s v="Delhi"/>
    <x v="4"/>
    <x v="0"/>
    <x v="7"/>
  </r>
  <r>
    <s v="ORD-01385"/>
    <x v="90"/>
    <s v="CUST-0029"/>
    <s v="PROD-047"/>
    <x v="13"/>
    <n v="6"/>
    <n v="3450"/>
    <n v="23.4"/>
    <n v="15856.2"/>
    <s v="Completed"/>
    <s v="Chennai"/>
    <x v="5"/>
    <x v="3"/>
    <x v="1"/>
  </r>
  <r>
    <s v="ORD-01386"/>
    <x v="356"/>
    <s v="CUST-0295"/>
    <s v="PROD-053"/>
    <x v="0"/>
    <n v="10"/>
    <n v="470"/>
    <n v="21.2"/>
    <n v="3703.6"/>
    <s v="Completed"/>
    <s v="Delhi"/>
    <x v="1"/>
    <x v="0"/>
    <x v="4"/>
  </r>
  <r>
    <s v="ORD-00168"/>
    <x v="323"/>
    <s v="CUST-0106"/>
    <s v="PROD-059"/>
    <x v="24"/>
    <n v="7"/>
    <n v="3780"/>
    <n v="10.1"/>
    <n v="23787.54"/>
    <s v="Completed"/>
    <s v="Pune"/>
    <x v="1"/>
    <x v="3"/>
    <x v="1"/>
  </r>
  <r>
    <s v="ORD-01388"/>
    <x v="258"/>
    <s v="CUST-0127"/>
    <s v="PROD-014"/>
    <x v="28"/>
    <n v="3"/>
    <n v="3620"/>
    <n v="4.2"/>
    <n v="10403.879999999999"/>
    <s v="Completed"/>
    <s v="Bengaluru"/>
    <x v="0"/>
    <x v="2"/>
    <x v="1"/>
  </r>
  <r>
    <s v="ORD-01389"/>
    <x v="110"/>
    <s v="CUST-0031"/>
    <s v="PROD-049"/>
    <x v="8"/>
    <n v="7"/>
    <n v="960"/>
    <n v="9"/>
    <n v="6115.2"/>
    <s v="Completed"/>
    <s v="Hyderabad"/>
    <x v="5"/>
    <x v="2"/>
    <x v="0"/>
  </r>
  <r>
    <s v="ORD-01390"/>
    <x v="112"/>
    <s v="CUST-0256"/>
    <s v="PROD-043"/>
    <x v="0"/>
    <n v="10"/>
    <n v="3350"/>
    <n v="1.2"/>
    <n v="33098"/>
    <s v="Cancelled"/>
    <s v="Hyderabad"/>
    <x v="5"/>
    <x v="0"/>
    <x v="1"/>
  </r>
  <r>
    <s v="ORD-01391"/>
    <x v="321"/>
    <s v="CUST-0131"/>
    <s v="PROD-058"/>
    <x v="14"/>
    <n v="3"/>
    <n v="2400"/>
    <n v="15.4"/>
    <n v="6091.2"/>
    <s v="Completed"/>
    <s v="Delhi"/>
    <x v="1"/>
    <x v="2"/>
    <x v="5"/>
  </r>
  <r>
    <s v="ORD-01392"/>
    <x v="192"/>
    <s v="CUST-0270"/>
    <s v="PROD-055"/>
    <x v="25"/>
    <n v="2"/>
    <n v="2860"/>
    <n v="10.5"/>
    <n v="5119.3999999999996"/>
    <s v="Completed"/>
    <s v="Bengaluru"/>
    <x v="1"/>
    <x v="0"/>
    <x v="5"/>
  </r>
  <r>
    <s v="ORD-01393"/>
    <x v="247"/>
    <s v="CUST-0212"/>
    <s v="PROD-042"/>
    <x v="4"/>
    <n v="4"/>
    <n v="2290"/>
    <n v="5.9"/>
    <n v="8619.56"/>
    <s v="Completed"/>
    <s v="Chennai"/>
    <x v="5"/>
    <x v="0"/>
    <x v="4"/>
  </r>
  <r>
    <s v="ORD-01394"/>
    <x v="59"/>
    <s v="CUST-0216"/>
    <s v="PROD-001"/>
    <x v="12"/>
    <n v="7"/>
    <n v="5330"/>
    <n v="3.5"/>
    <n v="36004.15"/>
    <s v="Cancelled"/>
    <s v="Mumbai"/>
    <x v="4"/>
    <x v="3"/>
    <x v="10"/>
  </r>
  <r>
    <s v="ORD-01395"/>
    <x v="65"/>
    <s v="CUST-0189"/>
    <s v="PROD-013"/>
    <x v="26"/>
    <n v="10"/>
    <n v="3640"/>
    <n v="20.100000000000001"/>
    <n v="29083.599999999999"/>
    <s v="Completed"/>
    <s v="Chennai"/>
    <x v="0"/>
    <x v="3"/>
    <x v="9"/>
  </r>
  <r>
    <s v="ORD-01396"/>
    <x v="142"/>
    <s v="CUST-0064"/>
    <s v="PROD-034"/>
    <x v="6"/>
    <n v="10"/>
    <n v="5080"/>
    <n v="2.1"/>
    <n v="49733.2"/>
    <s v="Completed"/>
    <s v="Hyderabad"/>
    <x v="3"/>
    <x v="2"/>
    <x v="8"/>
  </r>
  <r>
    <s v="ORD-01397"/>
    <x v="25"/>
    <s v="CUST-0016"/>
    <s v="PROD-035"/>
    <x v="26"/>
    <n v="4"/>
    <n v="1090"/>
    <n v="18.5"/>
    <n v="3553.4"/>
    <s v="Refunded"/>
    <s v="Delhi"/>
    <x v="3"/>
    <x v="3"/>
    <x v="7"/>
  </r>
  <r>
    <s v="ORD-01398"/>
    <x v="218"/>
    <s v="CUST-0296"/>
    <s v="PROD-047"/>
    <x v="14"/>
    <n v="10"/>
    <n v="3450"/>
    <n v="26.5"/>
    <n v="25357.5"/>
    <s v="Refunded"/>
    <s v="Delhi"/>
    <x v="5"/>
    <x v="2"/>
    <x v="8"/>
  </r>
  <r>
    <s v="ORD-01399"/>
    <x v="64"/>
    <s v="CUST-0031"/>
    <s v="PROD-052"/>
    <x v="18"/>
    <n v="9"/>
    <n v="5410"/>
    <n v="11.5"/>
    <n v="43090.65"/>
    <s v="Completed"/>
    <s v="Hyderabad"/>
    <x v="1"/>
    <x v="1"/>
    <x v="10"/>
  </r>
  <r>
    <s v="ORD-01400"/>
    <x v="338"/>
    <s v="CUST-0207"/>
    <s v="PROD-011"/>
    <x v="14"/>
    <n v="9"/>
    <n v="3450"/>
    <n v="0.3"/>
    <n v="30956.85"/>
    <s v="Refunded"/>
    <s v="Hyderabad"/>
    <x v="0"/>
    <x v="2"/>
    <x v="6"/>
  </r>
  <r>
    <s v="ORD-01401"/>
    <x v="105"/>
    <s v="CUST-0165"/>
    <s v="PROD-012"/>
    <x v="5"/>
    <n v="10"/>
    <n v="3160"/>
    <n v="13.6"/>
    <n v="27302.400000000001"/>
    <s v="Completed"/>
    <s v="Pune"/>
    <x v="0"/>
    <x v="2"/>
    <x v="4"/>
  </r>
  <r>
    <s v="ORD-01402"/>
    <x v="301"/>
    <s v="CUST-0281"/>
    <s v="PROD-041"/>
    <x v="17"/>
    <n v="3"/>
    <n v="1540"/>
    <n v="21.2"/>
    <n v="3640.56"/>
    <s v="Completed"/>
    <s v="Bengaluru"/>
    <x v="5"/>
    <x v="2"/>
    <x v="3"/>
  </r>
  <r>
    <s v="ORD-01403"/>
    <x v="73"/>
    <s v="CUST-0018"/>
    <s v="PROD-013"/>
    <x v="24"/>
    <n v="5"/>
    <n v="3640"/>
    <n v="17.5"/>
    <n v="15015"/>
    <s v="Completed"/>
    <s v="Pune"/>
    <x v="0"/>
    <x v="3"/>
    <x v="5"/>
  </r>
  <r>
    <s v="ORD-01404"/>
    <x v="272"/>
    <s v="CUST-0204"/>
    <s v="PROD-059"/>
    <x v="25"/>
    <n v="4"/>
    <n v="3780"/>
    <n v="9"/>
    <n v="13759.2"/>
    <s v="Pending"/>
    <s v="Hyderabad"/>
    <x v="1"/>
    <x v="0"/>
    <x v="11"/>
  </r>
  <r>
    <s v="ORD-01405"/>
    <x v="357"/>
    <s v="CUST-0028"/>
    <s v="PROD-015"/>
    <x v="5"/>
    <n v="9"/>
    <n v="2720"/>
    <n v="8.9"/>
    <n v="22301.279999999999"/>
    <s v="Completed"/>
    <s v="Bengaluru"/>
    <x v="0"/>
    <x v="2"/>
    <x v="7"/>
  </r>
  <r>
    <s v="ORD-01406"/>
    <x v="83"/>
    <s v="CUST-0144"/>
    <s v="PROD-014"/>
    <x v="10"/>
    <n v="4"/>
    <n v="3620"/>
    <n v="8"/>
    <n v="13321.6"/>
    <s v="Pending"/>
    <s v="Chennai"/>
    <x v="0"/>
    <x v="0"/>
    <x v="8"/>
  </r>
  <r>
    <s v="ORD-01407"/>
    <x v="354"/>
    <s v="CUST-0043"/>
    <s v="PROD-011"/>
    <x v="10"/>
    <n v="1"/>
    <n v="3450"/>
    <n v="0.2"/>
    <n v="3443.1"/>
    <s v="Completed"/>
    <s v="Hyderabad"/>
    <x v="0"/>
    <x v="0"/>
    <x v="1"/>
  </r>
  <r>
    <s v="ORD-01408"/>
    <x v="93"/>
    <s v="CUST-0246"/>
    <s v="PROD-013"/>
    <x v="2"/>
    <n v="7"/>
    <n v="3640"/>
    <n v="4.5999999999999996"/>
    <n v="24307.919999999998"/>
    <s v="Completed"/>
    <s v="Delhi"/>
    <x v="0"/>
    <x v="1"/>
    <x v="8"/>
  </r>
  <r>
    <s v="ORD-01409"/>
    <x v="318"/>
    <s v="CUST-0156"/>
    <s v="PROD-016"/>
    <x v="12"/>
    <n v="9"/>
    <n v="620"/>
    <n v="8.5"/>
    <n v="5105.7"/>
    <s v="Completed"/>
    <s v="Mumbai"/>
    <x v="0"/>
    <x v="3"/>
    <x v="3"/>
  </r>
  <r>
    <s v="ORD-01410"/>
    <x v="318"/>
    <s v="CUST-0066"/>
    <s v="PROD-059"/>
    <x v="29"/>
    <n v="10"/>
    <n v="3780"/>
    <n v="5.8"/>
    <n v="35607.599999999999"/>
    <s v="Completed"/>
    <s v="Delhi"/>
    <x v="1"/>
    <x v="1"/>
    <x v="3"/>
  </r>
  <r>
    <s v="ORD-01411"/>
    <x v="79"/>
    <s v="CUST-0121"/>
    <s v="PROD-003"/>
    <x v="18"/>
    <n v="7"/>
    <n v="3570"/>
    <n v="26.1"/>
    <n v="18467.61"/>
    <s v="Completed"/>
    <s v="Delhi"/>
    <x v="4"/>
    <x v="1"/>
    <x v="7"/>
  </r>
  <r>
    <s v="ORD-01412"/>
    <x v="141"/>
    <s v="CUST-0066"/>
    <s v="PROD-044"/>
    <x v="25"/>
    <n v="2"/>
    <n v="1650"/>
    <n v="3.8"/>
    <n v="3174.6"/>
    <s v="Completed"/>
    <s v="Delhi"/>
    <x v="5"/>
    <x v="0"/>
    <x v="11"/>
  </r>
  <r>
    <s v="ORD-01413"/>
    <x v="63"/>
    <s v="CUST-0099"/>
    <s v="PROD-049"/>
    <x v="27"/>
    <n v="2"/>
    <n v="960"/>
    <n v="6.8"/>
    <n v="1789.44"/>
    <s v="Completed"/>
    <s v="Bengaluru"/>
    <x v="5"/>
    <x v="1"/>
    <x v="1"/>
  </r>
  <r>
    <s v="ORD-01414"/>
    <x v="351"/>
    <s v="CUST-0054"/>
    <s v="PROD-005"/>
    <x v="3"/>
    <n v="2"/>
    <n v="300"/>
    <n v="2.8"/>
    <n v="583.20000000000005"/>
    <s v="Completed"/>
    <s v="Mumbai"/>
    <x v="4"/>
    <x v="0"/>
    <x v="2"/>
  </r>
  <r>
    <s v="ORD-01415"/>
    <x v="230"/>
    <s v="CUST-0124"/>
    <s v="PROD-025"/>
    <x v="28"/>
    <n v="10"/>
    <n v="4060"/>
    <n v="15.1"/>
    <n v="34469.4"/>
    <s v="Completed"/>
    <s v="Pune"/>
    <x v="2"/>
    <x v="2"/>
    <x v="0"/>
  </r>
  <r>
    <s v="ORD-01416"/>
    <x v="153"/>
    <s v="CUST-0211"/>
    <s v="PROD-001"/>
    <x v="24"/>
    <n v="6"/>
    <n v="5330"/>
    <n v="2"/>
    <n v="31340.400000000001"/>
    <s v="Completed"/>
    <s v="Bengaluru"/>
    <x v="4"/>
    <x v="3"/>
    <x v="11"/>
  </r>
  <r>
    <s v="ORD-01417"/>
    <x v="160"/>
    <s v="CUST-0298"/>
    <s v="PROD-031"/>
    <x v="13"/>
    <n v="9"/>
    <n v="3730"/>
    <n v="24.5"/>
    <n v="25345.35"/>
    <s v="Refunded"/>
    <s v="Delhi"/>
    <x v="3"/>
    <x v="3"/>
    <x v="9"/>
  </r>
  <r>
    <s v="ORD-01418"/>
    <x v="4"/>
    <s v="CUST-0164"/>
    <s v="PROD-050"/>
    <x v="14"/>
    <n v="1"/>
    <n v="6080"/>
    <n v="4.4000000000000004"/>
    <n v="5812.48"/>
    <s v="Cancelled"/>
    <s v="Chennai"/>
    <x v="5"/>
    <x v="2"/>
    <x v="4"/>
  </r>
  <r>
    <s v="ORD-01419"/>
    <x v="111"/>
    <s v="CUST-0003"/>
    <s v="PROD-015"/>
    <x v="5"/>
    <n v="5"/>
    <n v="2720"/>
    <n v="9.1999999999999993"/>
    <n v="12348.8"/>
    <s v="Completed"/>
    <s v="Mumbai"/>
    <x v="0"/>
    <x v="2"/>
    <x v="7"/>
  </r>
  <r>
    <s v="ORD-01420"/>
    <x v="334"/>
    <s v="CUST-0239"/>
    <s v="PROD-011"/>
    <x v="12"/>
    <n v="1"/>
    <n v="3450"/>
    <n v="15.6"/>
    <n v="2911.8"/>
    <s v="Completed"/>
    <s v="Mumbai"/>
    <x v="0"/>
    <x v="3"/>
    <x v="3"/>
  </r>
  <r>
    <s v="ORD-01421"/>
    <x v="285"/>
    <s v="CUST-0116"/>
    <s v="PROD-035"/>
    <x v="24"/>
    <n v="2"/>
    <n v="1090"/>
    <n v="0.4"/>
    <n v="2171.2800000000002"/>
    <s v="Refunded"/>
    <s v="Bengaluru"/>
    <x v="3"/>
    <x v="3"/>
    <x v="10"/>
  </r>
  <r>
    <s v="ORD-01422"/>
    <x v="175"/>
    <s v="CUST-0232"/>
    <s v="PROD-003"/>
    <x v="21"/>
    <n v="2"/>
    <n v="3570"/>
    <n v="9"/>
    <n v="6497.4"/>
    <s v="Completed"/>
    <s v="Hyderabad"/>
    <x v="4"/>
    <x v="3"/>
    <x v="8"/>
  </r>
  <r>
    <s v="ORD-01423"/>
    <x v="352"/>
    <s v="CUST-0121"/>
    <s v="PROD-019"/>
    <x v="2"/>
    <n v="9"/>
    <n v="2480"/>
    <n v="3.6"/>
    <n v="21516.48"/>
    <s v="Pending"/>
    <s v="Delhi"/>
    <x v="0"/>
    <x v="1"/>
    <x v="3"/>
  </r>
  <r>
    <s v="ORD-01424"/>
    <x v="291"/>
    <s v="CUST-0178"/>
    <s v="PROD-027"/>
    <x v="24"/>
    <n v="9"/>
    <n v="3780"/>
    <n v="4.5"/>
    <n v="32489.1"/>
    <s v="Completed"/>
    <s v="Hyderabad"/>
    <x v="2"/>
    <x v="3"/>
    <x v="11"/>
  </r>
  <r>
    <s v="ORD-01425"/>
    <x v="252"/>
    <s v="CUST-0131"/>
    <s v="PROD-025"/>
    <x v="9"/>
    <n v="5"/>
    <n v="4060"/>
    <n v="2.7"/>
    <n v="19751.900000000001"/>
    <s v="Completed"/>
    <s v="Delhi"/>
    <x v="2"/>
    <x v="1"/>
    <x v="8"/>
  </r>
  <r>
    <s v="ORD-01426"/>
    <x v="148"/>
    <s v="CUST-0155"/>
    <s v="PROD-005"/>
    <x v="25"/>
    <n v="8"/>
    <n v="300"/>
    <n v="19.8"/>
    <n v="1924.8"/>
    <s v="Cancelled"/>
    <s v="Pune"/>
    <x v="4"/>
    <x v="0"/>
    <x v="0"/>
  </r>
  <r>
    <s v="ORD-01427"/>
    <x v="253"/>
    <s v="CUST-0170"/>
    <s v="PROD-036"/>
    <x v="25"/>
    <n v="10"/>
    <n v="3250"/>
    <n v="21.3"/>
    <n v="25577.5"/>
    <s v="Cancelled"/>
    <s v="Mumbai"/>
    <x v="3"/>
    <x v="0"/>
    <x v="6"/>
  </r>
  <r>
    <s v="ORD-01428"/>
    <x v="48"/>
    <s v="CUST-0180"/>
    <s v="PROD-055"/>
    <x v="18"/>
    <n v="2"/>
    <n v="2860"/>
    <n v="13.7"/>
    <n v="4936.3599999999997"/>
    <s v="Completed"/>
    <s v="Chennai"/>
    <x v="1"/>
    <x v="1"/>
    <x v="4"/>
  </r>
  <r>
    <s v="ORD-01429"/>
    <x v="271"/>
    <s v="CUST-0066"/>
    <s v="PROD-009"/>
    <x v="21"/>
    <n v="10"/>
    <n v="1220"/>
    <n v="15.4"/>
    <n v="10321.200000000001"/>
    <s v="Completed"/>
    <s v="Delhi"/>
    <x v="4"/>
    <x v="3"/>
    <x v="7"/>
  </r>
  <r>
    <s v="ORD-01430"/>
    <x v="96"/>
    <s v="CUST-0267"/>
    <s v="PROD-027"/>
    <x v="9"/>
    <n v="3"/>
    <n v="3780"/>
    <n v="1.9"/>
    <n v="11124.54"/>
    <s v="Completed"/>
    <s v="Hyderabad"/>
    <x v="2"/>
    <x v="1"/>
    <x v="3"/>
  </r>
  <r>
    <s v="ORD-01431"/>
    <x v="133"/>
    <s v="CUST-0034"/>
    <s v="PROD-038"/>
    <x v="26"/>
    <n v="6"/>
    <n v="5490"/>
    <n v="0.5"/>
    <n v="32775.300000000003"/>
    <s v="Pending"/>
    <s v="Delhi"/>
    <x v="3"/>
    <x v="3"/>
    <x v="9"/>
  </r>
  <r>
    <s v="ORD-01432"/>
    <x v="185"/>
    <s v="CUST-0029"/>
    <s v="PROD-022"/>
    <x v="20"/>
    <n v="6"/>
    <n v="2270"/>
    <n v="21.5"/>
    <n v="10691.7"/>
    <s v="Completed"/>
    <s v="Chennai"/>
    <x v="2"/>
    <x v="2"/>
    <x v="10"/>
  </r>
  <r>
    <s v="ORD-01433"/>
    <x v="77"/>
    <s v="CUST-0224"/>
    <s v="PROD-029"/>
    <x v="12"/>
    <n v="7"/>
    <n v="2210"/>
    <n v="10.3"/>
    <n v="13876.59"/>
    <s v="Completed"/>
    <s v="Chennai"/>
    <x v="2"/>
    <x v="3"/>
    <x v="4"/>
  </r>
  <r>
    <s v="ORD-01434"/>
    <x v="150"/>
    <s v="CUST-9889"/>
    <s v="PROD-035"/>
    <x v="18"/>
    <n v="8"/>
    <n v="1090"/>
    <n v="21.7"/>
    <n v="6827.76"/>
    <s v="Completed"/>
    <s v="Pune"/>
    <x v="3"/>
    <x v="1"/>
    <x v="4"/>
  </r>
  <r>
    <s v="ORD-01435"/>
    <x v="311"/>
    <s v="CUST-0130"/>
    <s v="PROD-018"/>
    <x v="25"/>
    <n v="5"/>
    <n v="3560"/>
    <n v="19.399999999999999"/>
    <n v="14346.8"/>
    <s v="Pending"/>
    <s v="Bengaluru"/>
    <x v="0"/>
    <x v="0"/>
    <x v="4"/>
  </r>
  <r>
    <s v="ORD-01436"/>
    <x v="358"/>
    <s v="CUST-0060"/>
    <s v="PROD-054"/>
    <x v="8"/>
    <n v="7"/>
    <n v="1010"/>
    <n v="28.2"/>
    <n v="5076.26"/>
    <s v="Completed"/>
    <s v="Pune"/>
    <x v="1"/>
    <x v="2"/>
    <x v="6"/>
  </r>
  <r>
    <s v="ORD-01437"/>
    <x v="19"/>
    <s v="CUST-0299"/>
    <s v="PROD-033"/>
    <x v="15"/>
    <n v="2"/>
    <n v="2030"/>
    <n v="27.3"/>
    <n v="2951.62"/>
    <s v="Refunded"/>
    <s v="Mumbai"/>
    <x v="3"/>
    <x v="1"/>
    <x v="6"/>
  </r>
  <r>
    <s v="ORD-01438"/>
    <x v="154"/>
    <s v="CUST-0013"/>
    <s v="PROD-001"/>
    <x v="27"/>
    <n v="6"/>
    <n v="5330"/>
    <n v="0.6"/>
    <n v="31788.12"/>
    <s v="Completed"/>
    <s v="Delhi"/>
    <x v="4"/>
    <x v="1"/>
    <x v="1"/>
  </r>
  <r>
    <s v="ORD-01439"/>
    <x v="282"/>
    <s v="CUST-0193"/>
    <s v="PROD-010"/>
    <x v="0"/>
    <n v="2"/>
    <n v="2640"/>
    <n v="26"/>
    <n v="3907.2"/>
    <s v="Pending"/>
    <s v="Bengaluru"/>
    <x v="4"/>
    <x v="0"/>
    <x v="7"/>
  </r>
  <r>
    <s v="ORD-01440"/>
    <x v="130"/>
    <s v="CUST-0170"/>
    <s v="PROD-008"/>
    <x v="27"/>
    <n v="8"/>
    <n v="2660"/>
    <n v="2.9"/>
    <n v="20662.88"/>
    <s v="Completed"/>
    <s v="Mumbai"/>
    <x v="4"/>
    <x v="1"/>
    <x v="6"/>
  </r>
  <r>
    <s v="ORD-01441"/>
    <x v="69"/>
    <s v="CUST-0063"/>
    <s v="PROD-036"/>
    <x v="12"/>
    <n v="6"/>
    <n v="3250"/>
    <n v="11.1"/>
    <n v="17335.5"/>
    <s v="Completed"/>
    <s v="Mumbai"/>
    <x v="3"/>
    <x v="3"/>
    <x v="5"/>
  </r>
  <r>
    <s v="ORD-01442"/>
    <x v="246"/>
    <s v="CUST-0168"/>
    <s v="PROD-029"/>
    <x v="10"/>
    <n v="1"/>
    <n v="2210"/>
    <n v="3.5"/>
    <n v="2132.65"/>
    <s v="Completed"/>
    <s v="Pune"/>
    <x v="2"/>
    <x v="0"/>
    <x v="11"/>
  </r>
  <r>
    <s v="ORD-01443"/>
    <x v="39"/>
    <s v="CUST-0124"/>
    <s v="PROD-032"/>
    <x v="7"/>
    <n v="9"/>
    <n v="370"/>
    <n v="12.4"/>
    <n v="2917.08"/>
    <s v="Completed"/>
    <s v="Pune"/>
    <x v="3"/>
    <x v="3"/>
    <x v="3"/>
  </r>
  <r>
    <s v="ORD-01444"/>
    <x v="99"/>
    <s v="CUST-0138"/>
    <s v="PROD-059"/>
    <x v="24"/>
    <n v="3"/>
    <n v="3780"/>
    <n v="8.5"/>
    <n v="10376.1"/>
    <s v="Pending"/>
    <s v="Chennai"/>
    <x v="1"/>
    <x v="3"/>
    <x v="6"/>
  </r>
  <r>
    <s v="ORD-01445"/>
    <x v="245"/>
    <s v="CUST-0146"/>
    <s v="PROD-054"/>
    <x v="25"/>
    <n v="2"/>
    <n v="1010"/>
    <n v="2.7"/>
    <n v="1965.46"/>
    <s v="Completed"/>
    <s v="Hyderabad"/>
    <x v="1"/>
    <x v="0"/>
    <x v="5"/>
  </r>
  <r>
    <s v="ORD-01446"/>
    <x v="167"/>
    <s v="CUST-0244"/>
    <s v="PROD-020"/>
    <x v="27"/>
    <n v="2"/>
    <n v="820"/>
    <n v="13.2"/>
    <n v="1423.52"/>
    <s v="Pending"/>
    <s v="Bengaluru"/>
    <x v="0"/>
    <x v="1"/>
    <x v="8"/>
  </r>
  <r>
    <s v="ORD-01447"/>
    <x v="337"/>
    <s v="CUST-0291"/>
    <s v="PROD-028"/>
    <x v="27"/>
    <n v="1"/>
    <n v="3660"/>
    <n v="14"/>
    <n v="3147.6"/>
    <s v="Refunded"/>
    <s v="Pune"/>
    <x v="2"/>
    <x v="1"/>
    <x v="10"/>
  </r>
  <r>
    <s v="ORD-01448"/>
    <x v="130"/>
    <s v="CUST-0222"/>
    <s v="PROD-022"/>
    <x v="21"/>
    <n v="6"/>
    <n v="2270"/>
    <n v="16"/>
    <n v="11440.8"/>
    <s v="Completed"/>
    <s v="Chennai"/>
    <x v="2"/>
    <x v="3"/>
    <x v="6"/>
  </r>
  <r>
    <s v="ORD-01449"/>
    <x v="311"/>
    <s v="CUST-0137"/>
    <s v="PROD-049"/>
    <x v="7"/>
    <n v="7"/>
    <n v="960"/>
    <n v="28.8"/>
    <n v="4784.6400000000003"/>
    <s v="Refunded"/>
    <s v="Mumbai"/>
    <x v="5"/>
    <x v="3"/>
    <x v="4"/>
  </r>
  <r>
    <s v="ORD-01450"/>
    <x v="218"/>
    <s v="CUST-0150"/>
    <s v="PROD-033"/>
    <x v="5"/>
    <n v="9"/>
    <n v="2030"/>
    <n v="3.4"/>
    <n v="17648.82"/>
    <s v="Completed"/>
    <s v="Pune"/>
    <x v="3"/>
    <x v="2"/>
    <x v="8"/>
  </r>
  <r>
    <s v="ORD-01451"/>
    <x v="193"/>
    <s v="CUST-0058"/>
    <s v="PROD-023"/>
    <x v="1"/>
    <n v="6"/>
    <n v="2380"/>
    <n v="13.2"/>
    <n v="12395.04"/>
    <s v="Completed"/>
    <s v="Bengaluru"/>
    <x v="2"/>
    <x v="0"/>
    <x v="11"/>
  </r>
  <r>
    <s v="ORD-01452"/>
    <x v="231"/>
    <s v="CUST-0187"/>
    <s v="PROD-047"/>
    <x v="18"/>
    <n v="10"/>
    <n v="3450"/>
    <n v="8.6999999999999993"/>
    <n v="31498.5"/>
    <s v="Completed"/>
    <s v="Chennai"/>
    <x v="5"/>
    <x v="1"/>
    <x v="11"/>
  </r>
  <r>
    <s v="ORD-01453"/>
    <x v="173"/>
    <s v="CUST-0116"/>
    <s v="PROD-049"/>
    <x v="13"/>
    <n v="6"/>
    <n v="960"/>
    <n v="20.6"/>
    <n v="4573.4399999999996"/>
    <s v="Pending"/>
    <s v="Bengaluru"/>
    <x v="5"/>
    <x v="3"/>
    <x v="10"/>
  </r>
  <r>
    <s v="ORD-01454"/>
    <x v="123"/>
    <s v="CUST-0290"/>
    <s v="PROD-018"/>
    <x v="22"/>
    <n v="10"/>
    <n v="3560"/>
    <n v="1.4"/>
    <n v="35101.599999999999"/>
    <s v="Pending"/>
    <s v="Delhi"/>
    <x v="0"/>
    <x v="1"/>
    <x v="1"/>
  </r>
  <r>
    <s v="ORD-01455"/>
    <x v="20"/>
    <s v="CUST-0053"/>
    <s v="PROD-015"/>
    <x v="2"/>
    <n v="4"/>
    <n v="2720"/>
    <n v="19.399999999999999"/>
    <n v="8769.2800000000007"/>
    <s v="Refunded"/>
    <s v="Delhi"/>
    <x v="0"/>
    <x v="1"/>
    <x v="2"/>
  </r>
  <r>
    <s v="ORD-01456"/>
    <x v="86"/>
    <s v="CUST-0044"/>
    <s v="PROD-009"/>
    <x v="20"/>
    <n v="5"/>
    <n v="1220"/>
    <n v="15.6"/>
    <n v="5148.3999999999996"/>
    <s v="Completed"/>
    <s v="Hyderabad"/>
    <x v="4"/>
    <x v="2"/>
    <x v="6"/>
  </r>
  <r>
    <s v="ORD-01457"/>
    <x v="234"/>
    <s v="CUST-0267"/>
    <s v="PROD-035"/>
    <x v="17"/>
    <n v="5"/>
    <n v="1090"/>
    <n v="15"/>
    <n v="4632.5"/>
    <s v="Completed"/>
    <s v="Hyderabad"/>
    <x v="3"/>
    <x v="2"/>
    <x v="2"/>
  </r>
  <r>
    <s v="ORD-01458"/>
    <x v="221"/>
    <s v="CUST-0179"/>
    <s v="PROD-032"/>
    <x v="20"/>
    <n v="9"/>
    <n v="370"/>
    <n v="25.4"/>
    <n v="2484.1799999999998"/>
    <s v="Completed"/>
    <s v="Mumbai"/>
    <x v="3"/>
    <x v="2"/>
    <x v="4"/>
  </r>
  <r>
    <s v="ORD-01459"/>
    <x v="145"/>
    <s v="CUST-0089"/>
    <s v="PROD-055"/>
    <x v="0"/>
    <n v="7"/>
    <n v="2860"/>
    <n v="14"/>
    <n v="17217.2"/>
    <s v="Completed"/>
    <s v="Mumbai"/>
    <x v="1"/>
    <x v="0"/>
    <x v="6"/>
  </r>
  <r>
    <s v="ORD-01460"/>
    <x v="156"/>
    <s v="CUST-0090"/>
    <s v="PROD-029"/>
    <x v="17"/>
    <n v="1"/>
    <n v="2210"/>
    <n v="1.7"/>
    <n v="2172.4299999999998"/>
    <s v="Completed"/>
    <s v="Bengaluru"/>
    <x v="2"/>
    <x v="2"/>
    <x v="10"/>
  </r>
  <r>
    <s v="ORD-01461"/>
    <x v="241"/>
    <s v="CUST-0135"/>
    <s v="PROD-030"/>
    <x v="5"/>
    <n v="3"/>
    <n v="970"/>
    <n v="20.3"/>
    <n v="2319.27"/>
    <s v="Pending"/>
    <s v="Pune"/>
    <x v="2"/>
    <x v="2"/>
    <x v="9"/>
  </r>
  <r>
    <s v="ORD-01462"/>
    <x v="233"/>
    <s v="CUST-0252"/>
    <s v="PROD-018"/>
    <x v="13"/>
    <n v="5"/>
    <n v="3560"/>
    <n v="17.100000000000001"/>
    <n v="14756.2"/>
    <s v="Completed"/>
    <s v="Bengaluru"/>
    <x v="0"/>
    <x v="3"/>
    <x v="10"/>
  </r>
  <r>
    <s v="ORD-01463"/>
    <x v="244"/>
    <s v="CUST-0086"/>
    <s v="PROD-040"/>
    <x v="12"/>
    <n v="10"/>
    <n v="1080"/>
    <n v="12.8"/>
    <n v="9417.6"/>
    <s v="Completed"/>
    <s v="Hyderabad"/>
    <x v="3"/>
    <x v="3"/>
    <x v="5"/>
  </r>
  <r>
    <s v="ORD-01464"/>
    <x v="258"/>
    <s v="CUST-0264"/>
    <s v="PROD-009"/>
    <x v="23"/>
    <n v="3"/>
    <n v="1220"/>
    <n v="1.9"/>
    <n v="3590.46"/>
    <s v="Completed"/>
    <s v="Pune"/>
    <x v="4"/>
    <x v="1"/>
    <x v="1"/>
  </r>
  <r>
    <s v="ORD-01465"/>
    <x v="319"/>
    <s v="CUST-9851"/>
    <s v="PROD-031"/>
    <x v="18"/>
    <n v="1"/>
    <n v="3730"/>
    <n v="14.7"/>
    <n v="3181.69"/>
    <s v="Pending"/>
    <s v="Pune"/>
    <x v="3"/>
    <x v="1"/>
    <x v="10"/>
  </r>
  <r>
    <s v="ORD-01466"/>
    <x v="108"/>
    <s v="CUST-0143"/>
    <s v="PROD-007"/>
    <x v="19"/>
    <n v="3"/>
    <n v="1430"/>
    <n v="13.2"/>
    <n v="3723.72"/>
    <s v="Completed"/>
    <s v="Chennai"/>
    <x v="4"/>
    <x v="0"/>
    <x v="8"/>
  </r>
  <r>
    <s v="ORD-01467"/>
    <x v="3"/>
    <s v="CUST-0086"/>
    <s v="PROD-050"/>
    <x v="26"/>
    <n v="2"/>
    <n v="6080"/>
    <n v="21.8"/>
    <n v="9509.1200000000008"/>
    <s v="Cancelled"/>
    <s v="Hyderabad"/>
    <x v="5"/>
    <x v="3"/>
    <x v="3"/>
  </r>
  <r>
    <s v="ORD-01468"/>
    <x v="30"/>
    <s v="CUST-0196"/>
    <s v="PROD-048"/>
    <x v="15"/>
    <n v="9"/>
    <n v="5100"/>
    <n v="29.3"/>
    <n v="32451.3"/>
    <s v="Completed"/>
    <s v="Chennai"/>
    <x v="5"/>
    <x v="1"/>
    <x v="1"/>
  </r>
  <r>
    <s v="ORD-01469"/>
    <x v="75"/>
    <s v="CUST-0089"/>
    <s v="PROD-011"/>
    <x v="2"/>
    <n v="5"/>
    <n v="3450"/>
    <n v="5.3"/>
    <n v="16335.75"/>
    <s v="Completed"/>
    <s v="Mumbai"/>
    <x v="0"/>
    <x v="1"/>
    <x v="3"/>
  </r>
  <r>
    <s v="ORD-01470"/>
    <x v="215"/>
    <s v="CUST-0149"/>
    <s v="PROD-003"/>
    <x v="25"/>
    <n v="6"/>
    <n v="3570"/>
    <n v="17.3"/>
    <n v="17714.34"/>
    <s v="Completed"/>
    <s v="Hyderabad"/>
    <x v="4"/>
    <x v="0"/>
    <x v="8"/>
  </r>
  <r>
    <s v="ORD-01471"/>
    <x v="328"/>
    <s v="CUST-0161"/>
    <s v="PROD-031"/>
    <x v="26"/>
    <n v="6"/>
    <n v="3730"/>
    <n v="1"/>
    <n v="22156.2"/>
    <s v="Completed"/>
    <s v="Chennai"/>
    <x v="3"/>
    <x v="3"/>
    <x v="6"/>
  </r>
  <r>
    <s v="ORD-01472"/>
    <x v="182"/>
    <s v="CUST-0022"/>
    <s v="PROD-059"/>
    <x v="7"/>
    <n v="4"/>
    <n v="3780"/>
    <n v="13.1"/>
    <n v="13139.28"/>
    <s v="Completed"/>
    <s v="Bengaluru"/>
    <x v="1"/>
    <x v="3"/>
    <x v="0"/>
  </r>
  <r>
    <s v="ORD-01473"/>
    <x v="187"/>
    <s v="CUST-0169"/>
    <s v="PROD-017"/>
    <x v="23"/>
    <n v="1"/>
    <n v="2510"/>
    <n v="27.8"/>
    <n v="1812.22"/>
    <s v="Cancelled"/>
    <s v="Bengaluru"/>
    <x v="0"/>
    <x v="1"/>
    <x v="7"/>
  </r>
  <r>
    <s v="ORD-01474"/>
    <x v="251"/>
    <s v="CUST-0290"/>
    <s v="PROD-037"/>
    <x v="0"/>
    <n v="9"/>
    <n v="660"/>
    <n v="29.3"/>
    <n v="4199.58"/>
    <s v="Completed"/>
    <s v="Delhi"/>
    <x v="3"/>
    <x v="0"/>
    <x v="9"/>
  </r>
  <r>
    <s v="ORD-01475"/>
    <x v="11"/>
    <s v="CUST-0156"/>
    <s v="PROD-013"/>
    <x v="14"/>
    <n v="7"/>
    <n v="3640"/>
    <n v="11.6"/>
    <n v="22524.32"/>
    <s v="Completed"/>
    <s v="Mumbai"/>
    <x v="0"/>
    <x v="2"/>
    <x v="7"/>
  </r>
  <r>
    <s v="ORD-01476"/>
    <x v="209"/>
    <s v="CUST-0005"/>
    <s v="PROD-052"/>
    <x v="7"/>
    <n v="8"/>
    <n v="5410"/>
    <n v="25.6"/>
    <n v="32200.32"/>
    <s v="Completed"/>
    <s v="Chennai"/>
    <x v="1"/>
    <x v="3"/>
    <x v="3"/>
  </r>
  <r>
    <s v="ORD-01477"/>
    <x v="305"/>
    <s v="CUST-0206"/>
    <s v="PROD-058"/>
    <x v="4"/>
    <n v="4"/>
    <n v="2400"/>
    <n v="10.4"/>
    <n v="8601.6"/>
    <s v="Completed"/>
    <s v="Mumbai"/>
    <x v="1"/>
    <x v="0"/>
    <x v="1"/>
  </r>
  <r>
    <s v="ORD-01478"/>
    <x v="144"/>
    <s v="CUST-0240"/>
    <s v="PROD-038"/>
    <x v="8"/>
    <n v="2"/>
    <n v="5490"/>
    <n v="5.4"/>
    <n v="10387.08"/>
    <s v="Completed"/>
    <s v="Chennai"/>
    <x v="3"/>
    <x v="2"/>
    <x v="1"/>
  </r>
  <r>
    <s v="ORD-01479"/>
    <x v="340"/>
    <s v="CUST-0109"/>
    <s v="PROD-041"/>
    <x v="29"/>
    <n v="6"/>
    <n v="1540"/>
    <n v="0.6"/>
    <n v="9184.56"/>
    <s v="Completed"/>
    <s v="Pune"/>
    <x v="5"/>
    <x v="1"/>
    <x v="7"/>
  </r>
  <r>
    <s v="ORD-01480"/>
    <x v="30"/>
    <s v="CUST-0201"/>
    <s v="PROD-001"/>
    <x v="19"/>
    <n v="3"/>
    <n v="5330"/>
    <n v="1"/>
    <n v="15830.1"/>
    <s v="Pending"/>
    <s v="Hyderabad"/>
    <x v="4"/>
    <x v="0"/>
    <x v="1"/>
  </r>
  <r>
    <s v="ORD-01481"/>
    <x v="190"/>
    <s v="CUST-0100"/>
    <s v="PROD-055"/>
    <x v="27"/>
    <n v="6"/>
    <n v="2860"/>
    <n v="13.3"/>
    <n v="14877.72"/>
    <s v="Completed"/>
    <s v="Hyderabad"/>
    <x v="1"/>
    <x v="1"/>
    <x v="7"/>
  </r>
  <r>
    <s v="ORD-01482"/>
    <x v="359"/>
    <s v="CUST-0262"/>
    <s v="PROD-046"/>
    <x v="3"/>
    <n v="3"/>
    <n v="4880"/>
    <n v="12.1"/>
    <n v="12868.56"/>
    <s v="Completed"/>
    <s v="Mumbai"/>
    <x v="5"/>
    <x v="0"/>
    <x v="11"/>
  </r>
  <r>
    <s v="ORD-01483"/>
    <x v="177"/>
    <s v="CUST-0067"/>
    <s v="PROD-017"/>
    <x v="1"/>
    <n v="5"/>
    <n v="2510"/>
    <n v="2.9"/>
    <n v="12186.05"/>
    <s v="Pending"/>
    <s v="Delhi"/>
    <x v="0"/>
    <x v="0"/>
    <x v="2"/>
  </r>
  <r>
    <s v="ORD-01484"/>
    <x v="283"/>
    <s v="CUST-9844"/>
    <s v="PROD-006"/>
    <x v="16"/>
    <n v="9"/>
    <n v="3970"/>
    <n v="28"/>
    <n v="25725.599999999999"/>
    <s v="Completed"/>
    <s v="Pune"/>
    <x v="4"/>
    <x v="3"/>
    <x v="7"/>
  </r>
  <r>
    <s v="ORD-01485"/>
    <x v="106"/>
    <s v="CUST-0122"/>
    <s v="PROD-053"/>
    <x v="28"/>
    <n v="4"/>
    <n v="470"/>
    <n v="19.100000000000001"/>
    <n v="1520.92"/>
    <s v="Pending"/>
    <s v="Mumbai"/>
    <x v="1"/>
    <x v="2"/>
    <x v="9"/>
  </r>
  <r>
    <s v="ORD-01486"/>
    <x v="269"/>
    <s v="CUST-0129"/>
    <s v="PROD-001"/>
    <x v="5"/>
    <n v="7"/>
    <n v="5330"/>
    <n v="17.2"/>
    <n v="30892.68"/>
    <s v="Cancelled"/>
    <s v="Hyderabad"/>
    <x v="4"/>
    <x v="2"/>
    <x v="0"/>
  </r>
  <r>
    <s v="ORD-01487"/>
    <x v="187"/>
    <s v="CUST-0056"/>
    <s v="PROD-035"/>
    <x v="27"/>
    <n v="4"/>
    <n v="1090"/>
    <n v="4.9000000000000004"/>
    <n v="4146.3599999999997"/>
    <s v="Cancelled"/>
    <s v="Bengaluru"/>
    <x v="3"/>
    <x v="1"/>
    <x v="7"/>
  </r>
  <r>
    <s v="ORD-01488"/>
    <x v="145"/>
    <s v="CUST-0080"/>
    <s v="PROD-054"/>
    <x v="18"/>
    <n v="2"/>
    <n v="1010"/>
    <n v="14"/>
    <n v="1737.2"/>
    <s v="Completed"/>
    <s v="Pune"/>
    <x v="1"/>
    <x v="1"/>
    <x v="6"/>
  </r>
  <r>
    <s v="ORD-01489"/>
    <x v="30"/>
    <s v="CUST-0155"/>
    <s v="PROD-004"/>
    <x v="29"/>
    <n v="9"/>
    <n v="3870"/>
    <n v="8.1999999999999993"/>
    <n v="31973.94"/>
    <s v="Completed"/>
    <s v="Pune"/>
    <x v="4"/>
    <x v="1"/>
    <x v="1"/>
  </r>
  <r>
    <s v="ORD-01490"/>
    <x v="304"/>
    <s v="CUST-0278"/>
    <s v="PROD-008"/>
    <x v="22"/>
    <n v="7"/>
    <n v="2660"/>
    <n v="15.9"/>
    <n v="15659.42"/>
    <s v="Completed"/>
    <s v="Hyderabad"/>
    <x v="4"/>
    <x v="1"/>
    <x v="10"/>
  </r>
  <r>
    <s v="ORD-01491"/>
    <x v="204"/>
    <s v="CUST-0075"/>
    <s v="PROD-007"/>
    <x v="7"/>
    <n v="4"/>
    <n v="1430"/>
    <n v="25.6"/>
    <n v="4255.68"/>
    <s v="Completed"/>
    <s v="Mumbai"/>
    <x v="4"/>
    <x v="3"/>
    <x v="4"/>
  </r>
  <r>
    <s v="ORD-01492"/>
    <x v="163"/>
    <s v="CUST-0274"/>
    <s v="PROD-046"/>
    <x v="12"/>
    <n v="4"/>
    <n v="4880"/>
    <n v="19.399999999999999"/>
    <n v="15733.12"/>
    <s v="Cancelled"/>
    <s v="Bengaluru"/>
    <x v="5"/>
    <x v="3"/>
    <x v="2"/>
  </r>
  <r>
    <s v="ORD-01493"/>
    <x v="286"/>
    <s v="CUST-0197"/>
    <s v="PROD-060"/>
    <x v="19"/>
    <n v="2"/>
    <n v="190"/>
    <n v="9"/>
    <n v="345.8"/>
    <s v="Completed"/>
    <s v="Bengaluru"/>
    <x v="1"/>
    <x v="0"/>
    <x v="9"/>
  </r>
  <r>
    <s v="ORD-01494"/>
    <x v="209"/>
    <s v="CUST-0294"/>
    <s v="PROD-045"/>
    <x v="7"/>
    <n v="1"/>
    <n v="3020"/>
    <n v="3.6"/>
    <n v="2911.28"/>
    <s v="Refunded"/>
    <s v="Delhi"/>
    <x v="5"/>
    <x v="3"/>
    <x v="3"/>
  </r>
  <r>
    <s v="ORD-01495"/>
    <x v="131"/>
    <s v="CUST-0281"/>
    <s v="PROD-046"/>
    <x v="7"/>
    <n v="2"/>
    <n v="4880"/>
    <n v="2"/>
    <n v="9564.7999999999993"/>
    <s v="Cancelled"/>
    <s v="Bengaluru"/>
    <x v="5"/>
    <x v="3"/>
    <x v="4"/>
  </r>
  <r>
    <s v="ORD-01496"/>
    <x v="158"/>
    <s v="CUST-0130"/>
    <s v="PROD-058"/>
    <x v="28"/>
    <n v="4"/>
    <n v="2400"/>
    <n v="11.5"/>
    <n v="8496"/>
    <s v="Completed"/>
    <s v="Bengaluru"/>
    <x v="1"/>
    <x v="2"/>
    <x v="11"/>
  </r>
  <r>
    <s v="ORD-01497"/>
    <x v="298"/>
    <s v="CUST-0097"/>
    <s v="PROD-050"/>
    <x v="25"/>
    <n v="2"/>
    <n v="6080"/>
    <n v="0.5"/>
    <n v="12099.2"/>
    <s v="Cancelled"/>
    <s v="Mumbai"/>
    <x v="5"/>
    <x v="0"/>
    <x v="2"/>
  </r>
  <r>
    <s v="ORD-01498"/>
    <x v="360"/>
    <s v="CUST-0148"/>
    <s v="PROD-023"/>
    <x v="12"/>
    <n v="7"/>
    <n v="2380"/>
    <n v="12.3"/>
    <n v="14610.82"/>
    <s v="Completed"/>
    <s v="Chennai"/>
    <x v="2"/>
    <x v="3"/>
    <x v="5"/>
  </r>
  <r>
    <s v="ORD-01499"/>
    <x v="89"/>
    <s v="CUST-0102"/>
    <s v="PROD-041"/>
    <x v="19"/>
    <n v="10"/>
    <n v="1540"/>
    <n v="20.6"/>
    <n v="12227.6"/>
    <s v="Completed"/>
    <s v="Chennai"/>
    <x v="5"/>
    <x v="0"/>
    <x v="7"/>
  </r>
  <r>
    <s v="ORD-01500"/>
    <x v="226"/>
    <s v="CUST-0265"/>
    <s v="PROD-004"/>
    <x v="8"/>
    <n v="7"/>
    <n v="3870"/>
    <n v="6.1"/>
    <n v="25437.51"/>
    <s v="Completed"/>
    <s v="Chennai"/>
    <x v="4"/>
    <x v="2"/>
    <x v="7"/>
  </r>
  <r>
    <s v="ORD-01501"/>
    <x v="266"/>
    <s v="CUST-0073"/>
    <s v="PROD-032"/>
    <x v="13"/>
    <n v="3"/>
    <n v="370"/>
    <n v="13.7"/>
    <n v="957.93"/>
    <s v="Completed"/>
    <s v="Pune"/>
    <x v="3"/>
    <x v="3"/>
    <x v="5"/>
  </r>
  <r>
    <s v="ORD-01502"/>
    <x v="60"/>
    <s v="CUST-0070"/>
    <s v="PROD-060"/>
    <x v="28"/>
    <n v="8"/>
    <n v="190"/>
    <n v="0.2"/>
    <n v="1516.96"/>
    <s v="Completed"/>
    <s v="Mumbai"/>
    <x v="1"/>
    <x v="2"/>
    <x v="1"/>
  </r>
  <r>
    <s v="ORD-01503"/>
    <x v="350"/>
    <s v="CUST-0202"/>
    <s v="PROD-007"/>
    <x v="23"/>
    <n v="6"/>
    <n v="1430"/>
    <n v="0.1"/>
    <n v="8571.42"/>
    <s v="Completed"/>
    <s v="Chennai"/>
    <x v="4"/>
    <x v="1"/>
    <x v="10"/>
  </r>
  <r>
    <s v="ORD-01504"/>
    <x v="63"/>
    <s v="CUST-0240"/>
    <s v="PROD-053"/>
    <x v="16"/>
    <n v="4"/>
    <n v="470"/>
    <n v="3"/>
    <n v="1823.6"/>
    <s v="Completed"/>
    <s v="Chennai"/>
    <x v="1"/>
    <x v="3"/>
    <x v="1"/>
  </r>
  <r>
    <s v="ORD-01505"/>
    <x v="225"/>
    <s v="CUST-0163"/>
    <s v="PROD-018"/>
    <x v="10"/>
    <n v="4"/>
    <n v="3560"/>
    <n v="1.1000000000000001"/>
    <n v="14083.36"/>
    <s v="Completed"/>
    <s v="Pune"/>
    <x v="0"/>
    <x v="0"/>
    <x v="6"/>
  </r>
  <r>
    <s v="ORD-01506"/>
    <x v="126"/>
    <s v="CUST-0238"/>
    <s v="PROD-046"/>
    <x v="27"/>
    <n v="5"/>
    <n v="4880"/>
    <n v="17"/>
    <n v="20252"/>
    <s v="Completed"/>
    <s v="Delhi"/>
    <x v="5"/>
    <x v="1"/>
    <x v="7"/>
  </r>
  <r>
    <s v="ORD-01507"/>
    <x v="64"/>
    <s v="CUST-0196"/>
    <s v="PROD-003"/>
    <x v="18"/>
    <n v="9"/>
    <n v="3570"/>
    <n v="12"/>
    <n v="28274.400000000001"/>
    <s v="Completed"/>
    <s v="Chennai"/>
    <x v="4"/>
    <x v="1"/>
    <x v="10"/>
  </r>
  <r>
    <s v="ORD-01508"/>
    <x v="43"/>
    <s v="CUST-0220"/>
    <s v="PROD-051"/>
    <x v="5"/>
    <n v="6"/>
    <n v="3450"/>
    <n v="22.7"/>
    <n v="16001.1"/>
    <s v="Cancelled"/>
    <s v="Chennai"/>
    <x v="1"/>
    <x v="2"/>
    <x v="2"/>
  </r>
  <r>
    <s v="ORD-01509"/>
    <x v="145"/>
    <s v="CUST-0142"/>
    <s v="PROD-040"/>
    <x v="25"/>
    <n v="10"/>
    <n v="1080"/>
    <n v="27.4"/>
    <n v="7840.8"/>
    <s v="Completed"/>
    <s v="Chennai"/>
    <x v="3"/>
    <x v="0"/>
    <x v="6"/>
  </r>
  <r>
    <s v="ORD-01510"/>
    <x v="150"/>
    <s v="CUST-0217"/>
    <s v="PROD-041"/>
    <x v="5"/>
    <n v="6"/>
    <n v="1540"/>
    <n v="17.100000000000001"/>
    <n v="7659.96"/>
    <s v="Completed"/>
    <s v="Pune"/>
    <x v="5"/>
    <x v="2"/>
    <x v="4"/>
  </r>
  <r>
    <s v="ORD-01511"/>
    <x v="361"/>
    <s v="CUST-9582"/>
    <s v="PROD-015"/>
    <x v="22"/>
    <n v="6"/>
    <n v="2720"/>
    <n v="28.1"/>
    <n v="11734.08"/>
    <s v="Completed"/>
    <s v="Mumbai"/>
    <x v="0"/>
    <x v="1"/>
    <x v="0"/>
  </r>
  <r>
    <s v="ORD-01512"/>
    <x v="28"/>
    <s v="CUST-0267"/>
    <s v="PROD-034"/>
    <x v="1"/>
    <n v="2"/>
    <n v="5080"/>
    <n v="11.1"/>
    <n v="9032.24"/>
    <s v="Completed"/>
    <s v="Hyderabad"/>
    <x v="3"/>
    <x v="0"/>
    <x v="9"/>
  </r>
  <r>
    <s v="ORD-01513"/>
    <x v="90"/>
    <s v="CUST-9565"/>
    <s v="PROD-016"/>
    <x v="4"/>
    <n v="5"/>
    <n v="620"/>
    <n v="10.9"/>
    <n v="2762.1"/>
    <s v="Pending"/>
    <s v="Chennai"/>
    <x v="0"/>
    <x v="0"/>
    <x v="1"/>
  </r>
  <r>
    <s v="ORD-01514"/>
    <x v="312"/>
    <s v="CUST-0051"/>
    <s v="PROD-019"/>
    <x v="11"/>
    <n v="3"/>
    <n v="2480"/>
    <n v="5"/>
    <n v="7068"/>
    <s v="Completed"/>
    <s v="Pune"/>
    <x v="0"/>
    <x v="0"/>
    <x v="2"/>
  </r>
  <r>
    <s v="ORD-01515"/>
    <x v="205"/>
    <s v="CUST-0075"/>
    <s v="PROD-054"/>
    <x v="1"/>
    <n v="9"/>
    <n v="1010"/>
    <n v="21.9"/>
    <n v="7099.29"/>
    <s v="Completed"/>
    <s v="Mumbai"/>
    <x v="1"/>
    <x v="0"/>
    <x v="0"/>
  </r>
  <r>
    <s v="ORD-01516"/>
    <x v="269"/>
    <s v="CUST-0106"/>
    <s v="PROD-040"/>
    <x v="10"/>
    <n v="2"/>
    <n v="1080"/>
    <n v="8.5"/>
    <n v="1976.4"/>
    <s v="Completed"/>
    <s v="Pune"/>
    <x v="3"/>
    <x v="0"/>
    <x v="0"/>
  </r>
  <r>
    <s v="ORD-01517"/>
    <x v="354"/>
    <s v="CUST-0053"/>
    <s v="PROD-053"/>
    <x v="5"/>
    <n v="5"/>
    <n v="470"/>
    <n v="8"/>
    <n v="2162"/>
    <s v="Completed"/>
    <s v="Delhi"/>
    <x v="1"/>
    <x v="2"/>
    <x v="1"/>
  </r>
  <r>
    <s v="ORD-01518"/>
    <x v="67"/>
    <s v="CUST-0042"/>
    <s v="PROD-006"/>
    <x v="16"/>
    <n v="9"/>
    <n v="3970"/>
    <n v="18.5"/>
    <n v="29119.95"/>
    <s v="Completed"/>
    <s v="Pune"/>
    <x v="4"/>
    <x v="3"/>
    <x v="2"/>
  </r>
  <r>
    <s v="ORD-01519"/>
    <x v="105"/>
    <s v="CUST-0120"/>
    <s v="PROD-044"/>
    <x v="9"/>
    <n v="9"/>
    <n v="1650"/>
    <n v="19.5"/>
    <n v="11954.25"/>
    <s v="Completed"/>
    <s v="Mumbai"/>
    <x v="5"/>
    <x v="1"/>
    <x v="4"/>
  </r>
  <r>
    <s v="ORD-01520"/>
    <x v="234"/>
    <s v="CUST-0166"/>
    <s v="PROD-043"/>
    <x v="3"/>
    <n v="9"/>
    <n v="3350"/>
    <n v="4.0999999999999996"/>
    <n v="28913.85"/>
    <s v="Completed"/>
    <s v="Hyderabad"/>
    <x v="5"/>
    <x v="0"/>
    <x v="2"/>
  </r>
  <r>
    <s v="ORD-01521"/>
    <x v="305"/>
    <s v="CUST-0175"/>
    <s v="PROD-006"/>
    <x v="12"/>
    <n v="7"/>
    <n v="3970"/>
    <n v="15.6"/>
    <n v="23454.76"/>
    <s v="Completed"/>
    <s v="Delhi"/>
    <x v="4"/>
    <x v="3"/>
    <x v="1"/>
  </r>
  <r>
    <s v="ORD-01522"/>
    <x v="253"/>
    <s v="CUST-0001"/>
    <s v="PROD-027"/>
    <x v="26"/>
    <n v="7"/>
    <n v="3780"/>
    <n v="18.7"/>
    <n v="21511.98"/>
    <s v="Completed"/>
    <s v="Pune"/>
    <x v="2"/>
    <x v="3"/>
    <x v="6"/>
  </r>
  <r>
    <s v="ORD-01523"/>
    <x v="327"/>
    <s v="CUST-0238"/>
    <s v="PROD-020"/>
    <x v="22"/>
    <n v="4"/>
    <n v="820"/>
    <n v="18.8"/>
    <n v="2663.36"/>
    <s v="Cancelled"/>
    <s v="Delhi"/>
    <x v="0"/>
    <x v="1"/>
    <x v="4"/>
  </r>
  <r>
    <s v="ORD-01524"/>
    <x v="77"/>
    <s v="CUST-0279"/>
    <s v="PROD-044"/>
    <x v="24"/>
    <n v="1"/>
    <n v="1650"/>
    <n v="18.8"/>
    <n v="1339.8"/>
    <s v="Cancelled"/>
    <s v="Mumbai"/>
    <x v="5"/>
    <x v="3"/>
    <x v="4"/>
  </r>
  <r>
    <s v="ORD-01525"/>
    <x v="245"/>
    <s v="CUST-0042"/>
    <s v="PROD-027"/>
    <x v="13"/>
    <n v="2"/>
    <n v="3780"/>
    <n v="1"/>
    <n v="7484.4"/>
    <s v="Refunded"/>
    <s v="Pune"/>
    <x v="2"/>
    <x v="3"/>
    <x v="5"/>
  </r>
  <r>
    <s v="ORD-01526"/>
    <x v="53"/>
    <s v="CUST-0137"/>
    <s v="PROD-029"/>
    <x v="28"/>
    <n v="5"/>
    <n v="2210"/>
    <n v="16.600000000000001"/>
    <n v="9215.7000000000007"/>
    <s v="Completed"/>
    <s v="Mumbai"/>
    <x v="2"/>
    <x v="2"/>
    <x v="3"/>
  </r>
  <r>
    <s v="ORD-01527"/>
    <x v="173"/>
    <s v="CUST-0160"/>
    <s v="PROD-056"/>
    <x v="9"/>
    <n v="10"/>
    <n v="6940"/>
    <n v="10.6"/>
    <n v="62043.6"/>
    <s v="Completed"/>
    <s v="Hyderabad"/>
    <x v="1"/>
    <x v="1"/>
    <x v="10"/>
  </r>
  <r>
    <s v="ORD-01528"/>
    <x v="253"/>
    <s v="CUST-0102"/>
    <s v="PROD-042"/>
    <x v="1"/>
    <n v="8"/>
    <n v="2290"/>
    <n v="12.2"/>
    <n v="16084.96"/>
    <s v="Completed"/>
    <s v="Chennai"/>
    <x v="5"/>
    <x v="0"/>
    <x v="6"/>
  </r>
  <r>
    <s v="ORD-01529"/>
    <x v="201"/>
    <s v="CUST-0133"/>
    <s v="PROD-033"/>
    <x v="5"/>
    <n v="5"/>
    <n v="2030"/>
    <n v="23.8"/>
    <n v="7734.3"/>
    <s v="Cancelled"/>
    <s v="Chennai"/>
    <x v="3"/>
    <x v="2"/>
    <x v="7"/>
  </r>
  <r>
    <s v="ORD-01530"/>
    <x v="14"/>
    <s v="CUST-0080"/>
    <s v="PROD-006"/>
    <x v="20"/>
    <n v="3"/>
    <n v="3970"/>
    <n v="7.7"/>
    <n v="10992.93"/>
    <s v="Completed"/>
    <s v="Pune"/>
    <x v="4"/>
    <x v="2"/>
    <x v="0"/>
  </r>
  <r>
    <s v="ORD-01821"/>
    <x v="214"/>
    <s v="CUST-0299"/>
    <s v="PROD-020"/>
    <x v="29"/>
    <n v="1"/>
    <n v="820"/>
    <n v="5.4"/>
    <n v="775.72"/>
    <s v="Completed"/>
    <s v="Mumbai"/>
    <x v="0"/>
    <x v="1"/>
    <x v="10"/>
  </r>
  <r>
    <s v="ORD-01532"/>
    <x v="22"/>
    <s v="CUST-0078"/>
    <s v="PROD-004"/>
    <x v="5"/>
    <n v="3"/>
    <n v="3870"/>
    <n v="1.9"/>
    <n v="11389.41"/>
    <s v="Completed"/>
    <s v="Delhi"/>
    <x v="4"/>
    <x v="2"/>
    <x v="6"/>
  </r>
  <r>
    <s v="ORD-01533"/>
    <x v="197"/>
    <s v="CUST-0251"/>
    <s v="PROD-030"/>
    <x v="24"/>
    <n v="6"/>
    <n v="970"/>
    <n v="27.1"/>
    <n v="4242.78"/>
    <s v="Completed"/>
    <s v="Mumbai"/>
    <x v="2"/>
    <x v="3"/>
    <x v="11"/>
  </r>
  <r>
    <s v="ORD-01534"/>
    <x v="237"/>
    <s v="CUST-0191"/>
    <s v="PROD-046"/>
    <x v="5"/>
    <n v="1"/>
    <n v="4880"/>
    <n v="26.8"/>
    <n v="3572.16"/>
    <s v="Completed"/>
    <s v="Hyderabad"/>
    <x v="5"/>
    <x v="2"/>
    <x v="9"/>
  </r>
  <r>
    <s v="ORD-01535"/>
    <x v="186"/>
    <s v="CUST-0130"/>
    <s v="PROD-022"/>
    <x v="12"/>
    <n v="1"/>
    <n v="2270"/>
    <n v="22.2"/>
    <n v="1766.06"/>
    <s v="Completed"/>
    <s v="Bengaluru"/>
    <x v="2"/>
    <x v="3"/>
    <x v="1"/>
  </r>
  <r>
    <s v="ORD-01536"/>
    <x v="351"/>
    <s v="CUST-0056"/>
    <s v="PROD-047"/>
    <x v="17"/>
    <n v="10"/>
    <n v="3450"/>
    <n v="21.9"/>
    <n v="26944.5"/>
    <s v="Completed"/>
    <s v="Bengaluru"/>
    <x v="5"/>
    <x v="2"/>
    <x v="2"/>
  </r>
  <r>
    <s v="ORD-01537"/>
    <x v="48"/>
    <s v="CUST-0185"/>
    <s v="PROD-022"/>
    <x v="23"/>
    <n v="3"/>
    <n v="2270"/>
    <n v="19.100000000000001"/>
    <n v="5509.29"/>
    <s v="Cancelled"/>
    <s v="Hyderabad"/>
    <x v="2"/>
    <x v="1"/>
    <x v="4"/>
  </r>
  <r>
    <s v="ORD-01538"/>
    <x v="107"/>
    <s v="CUST-0195"/>
    <s v="PROD-029"/>
    <x v="14"/>
    <n v="10"/>
    <n v="2210"/>
    <n v="22.3"/>
    <n v="17171.7"/>
    <s v="Completed"/>
    <s v="Bengaluru"/>
    <x v="2"/>
    <x v="2"/>
    <x v="2"/>
  </r>
  <r>
    <s v="ORD-01539"/>
    <x v="57"/>
    <s v="CUST-0067"/>
    <s v="PROD-033"/>
    <x v="23"/>
    <n v="9"/>
    <n v="2030"/>
    <n v="24.8"/>
    <n v="13739.04"/>
    <s v="Completed"/>
    <s v="Delhi"/>
    <x v="3"/>
    <x v="1"/>
    <x v="6"/>
  </r>
  <r>
    <s v="ORD-01540"/>
    <x v="82"/>
    <s v="CUST-0149"/>
    <s v="PROD-043"/>
    <x v="12"/>
    <n v="5"/>
    <n v="3350"/>
    <n v="18.2"/>
    <n v="13701.5"/>
    <s v="Completed"/>
    <s v="Hyderabad"/>
    <x v="5"/>
    <x v="3"/>
    <x v="2"/>
  </r>
  <r>
    <s v="ORD-01541"/>
    <x v="243"/>
    <s v="CUST-0268"/>
    <s v="PROD-013"/>
    <x v="4"/>
    <n v="7"/>
    <n v="3640"/>
    <n v="14.4"/>
    <n v="21810.880000000001"/>
    <s v="Completed"/>
    <s v="Chennai"/>
    <x v="0"/>
    <x v="0"/>
    <x v="2"/>
  </r>
  <r>
    <s v="ORD-01542"/>
    <x v="217"/>
    <s v="CUST-0126"/>
    <s v="PROD-051"/>
    <x v="26"/>
    <n v="9"/>
    <n v="3450"/>
    <n v="20.100000000000001"/>
    <n v="24808.95"/>
    <s v="Completed"/>
    <s v="Mumbai"/>
    <x v="1"/>
    <x v="3"/>
    <x v="5"/>
  </r>
  <r>
    <s v="ORD-01543"/>
    <x v="68"/>
    <s v="CUST-0017"/>
    <s v="PROD-047"/>
    <x v="11"/>
    <n v="6"/>
    <n v="3450"/>
    <n v="19.899999999999999"/>
    <n v="16580.7"/>
    <s v="Pending"/>
    <s v="Delhi"/>
    <x v="5"/>
    <x v="0"/>
    <x v="3"/>
  </r>
  <r>
    <s v="ORD-01544"/>
    <x v="37"/>
    <s v="CUST-0250"/>
    <s v="PROD-042"/>
    <x v="24"/>
    <n v="4"/>
    <n v="2290"/>
    <n v="4.8"/>
    <n v="8720.32"/>
    <s v="Pending"/>
    <s v="Delhi"/>
    <x v="5"/>
    <x v="3"/>
    <x v="4"/>
  </r>
  <r>
    <s v="ORD-01545"/>
    <x v="319"/>
    <s v="CUST-0245"/>
    <s v="PROD-057"/>
    <x v="9"/>
    <n v="9"/>
    <n v="960"/>
    <n v="2.4"/>
    <n v="8432.64"/>
    <s v="Completed"/>
    <s v="Hyderabad"/>
    <x v="1"/>
    <x v="1"/>
    <x v="10"/>
  </r>
  <r>
    <s v="ORD-01546"/>
    <x v="135"/>
    <s v="CUST-0016"/>
    <s v="PROD-039"/>
    <x v="5"/>
    <n v="9"/>
    <n v="4610"/>
    <n v="21.3"/>
    <n v="32652.63"/>
    <s v="Completed"/>
    <s v="Delhi"/>
    <x v="3"/>
    <x v="2"/>
    <x v="10"/>
  </r>
  <r>
    <s v="ORD-01547"/>
    <x v="282"/>
    <s v="CUST-0063"/>
    <s v="PROD-028"/>
    <x v="11"/>
    <n v="1"/>
    <n v="3660"/>
    <n v="15.6"/>
    <n v="3089.04"/>
    <s v="Completed"/>
    <s v="Mumbai"/>
    <x v="2"/>
    <x v="0"/>
    <x v="7"/>
  </r>
  <r>
    <s v="ORD-01548"/>
    <x v="168"/>
    <s v="CUST-0200"/>
    <s v="PROD-008"/>
    <x v="27"/>
    <n v="5"/>
    <n v="2660"/>
    <n v="20.399999999999999"/>
    <n v="10586.8"/>
    <s v="Completed"/>
    <s v="Hyderabad"/>
    <x v="4"/>
    <x v="1"/>
    <x v="8"/>
  </r>
  <r>
    <s v="ORD-01549"/>
    <x v="24"/>
    <s v="CUST-0017"/>
    <s v="PROD-041"/>
    <x v="17"/>
    <n v="8"/>
    <n v="1540"/>
    <n v="0.5"/>
    <n v="12258.4"/>
    <s v="Completed"/>
    <s v="Delhi"/>
    <x v="5"/>
    <x v="2"/>
    <x v="5"/>
  </r>
  <r>
    <s v="ORD-01550"/>
    <x v="356"/>
    <s v="CUST-0264"/>
    <s v="PROD-006"/>
    <x v="10"/>
    <n v="4"/>
    <n v="3970"/>
    <n v="22.5"/>
    <n v="12307"/>
    <s v="Completed"/>
    <s v="Pune"/>
    <x v="4"/>
    <x v="0"/>
    <x v="4"/>
  </r>
  <r>
    <s v="ORD-01551"/>
    <x v="213"/>
    <s v="CUST-0102"/>
    <s v="PROD-059"/>
    <x v="0"/>
    <n v="8"/>
    <n v="3780"/>
    <n v="3.8"/>
    <n v="29090.880000000001"/>
    <s v="Completed"/>
    <s v="Chennai"/>
    <x v="1"/>
    <x v="0"/>
    <x v="2"/>
  </r>
  <r>
    <s v="ORD-01552"/>
    <x v="269"/>
    <s v="CUST-0092"/>
    <s v="PROD-022"/>
    <x v="10"/>
    <n v="4"/>
    <n v="2270"/>
    <n v="3.8"/>
    <n v="8734.9599999999991"/>
    <s v="Cancelled"/>
    <s v="Bengaluru"/>
    <x v="2"/>
    <x v="0"/>
    <x v="0"/>
  </r>
  <r>
    <s v="ORD-01553"/>
    <x v="300"/>
    <s v="CUST-0139"/>
    <s v="PROD-009"/>
    <x v="18"/>
    <n v="10"/>
    <n v="1220"/>
    <n v="19.5"/>
    <n v="9821"/>
    <s v="Completed"/>
    <s v="Hyderabad"/>
    <x v="4"/>
    <x v="1"/>
    <x v="11"/>
  </r>
  <r>
    <s v="ORD-01554"/>
    <x v="188"/>
    <s v="CUST-0129"/>
    <s v="PROD-043"/>
    <x v="15"/>
    <n v="10"/>
    <n v="3350"/>
    <n v="7.8"/>
    <n v="30887"/>
    <s v="Completed"/>
    <s v="Hyderabad"/>
    <x v="5"/>
    <x v="1"/>
    <x v="11"/>
  </r>
  <r>
    <s v="ORD-01555"/>
    <x v="243"/>
    <s v="CUST-9841"/>
    <s v="PROD-043"/>
    <x v="14"/>
    <n v="7"/>
    <n v="3350"/>
    <n v="14.5"/>
    <n v="20049.75"/>
    <s v="Completed"/>
    <s v="Bengaluru"/>
    <x v="5"/>
    <x v="2"/>
    <x v="2"/>
  </r>
  <r>
    <s v="ORD-01556"/>
    <x v="242"/>
    <s v="CUST-0069"/>
    <s v="PROD-038"/>
    <x v="2"/>
    <n v="6"/>
    <n v="5490"/>
    <n v="8"/>
    <n v="30304.799999999999"/>
    <s v="Completed"/>
    <s v="Chennai"/>
    <x v="3"/>
    <x v="1"/>
    <x v="3"/>
  </r>
  <r>
    <s v="ORD-01557"/>
    <x v="221"/>
    <s v="CUST-0140"/>
    <s v="PROD-055"/>
    <x v="26"/>
    <n v="3"/>
    <n v="2860"/>
    <n v="19.899999999999999"/>
    <n v="6872.58"/>
    <s v="Completed"/>
    <s v="Hyderabad"/>
    <x v="1"/>
    <x v="3"/>
    <x v="4"/>
  </r>
  <r>
    <s v="ORD-01558"/>
    <x v="146"/>
    <s v="CUST-0138"/>
    <s v="PROD-010"/>
    <x v="6"/>
    <n v="3"/>
    <n v="2640"/>
    <n v="29.3"/>
    <n v="5599.44"/>
    <s v="Completed"/>
    <s v="Chennai"/>
    <x v="4"/>
    <x v="2"/>
    <x v="11"/>
  </r>
  <r>
    <s v="ORD-01559"/>
    <x v="360"/>
    <s v="CUST-0277"/>
    <s v="PROD-011"/>
    <x v="20"/>
    <n v="8"/>
    <n v="3450"/>
    <n v="15.2"/>
    <n v="23404.799999999999"/>
    <s v="Cancelled"/>
    <s v="Chennai"/>
    <x v="0"/>
    <x v="2"/>
    <x v="5"/>
  </r>
  <r>
    <s v="ORD-01560"/>
    <x v="134"/>
    <s v="CUST-0017"/>
    <s v="PROD-032"/>
    <x v="5"/>
    <n v="6"/>
    <n v="370"/>
    <n v="7"/>
    <n v="2064.6"/>
    <s v="Completed"/>
    <s v="Delhi"/>
    <x v="3"/>
    <x v="2"/>
    <x v="1"/>
  </r>
  <r>
    <s v="ORD-01561"/>
    <x v="96"/>
    <s v="CUST-0170"/>
    <s v="PROD-025"/>
    <x v="20"/>
    <n v="10"/>
    <n v="4060"/>
    <n v="4.7"/>
    <n v="38691.800000000003"/>
    <s v="Cancelled"/>
    <s v="Mumbai"/>
    <x v="2"/>
    <x v="2"/>
    <x v="3"/>
  </r>
  <r>
    <s v="ORD-01562"/>
    <x v="87"/>
    <s v="CUST-0022"/>
    <s v="PROD-004"/>
    <x v="6"/>
    <n v="1"/>
    <n v="3870"/>
    <n v="18.2"/>
    <n v="3165.66"/>
    <s v="Pending"/>
    <s v="Bengaluru"/>
    <x v="4"/>
    <x v="2"/>
    <x v="3"/>
  </r>
  <r>
    <s v="ORD-01563"/>
    <x v="217"/>
    <s v="CUST-0158"/>
    <s v="PROD-001"/>
    <x v="3"/>
    <n v="1"/>
    <n v="5330"/>
    <n v="3.9"/>
    <n v="5122.13"/>
    <s v="Refunded"/>
    <s v="Pune"/>
    <x v="4"/>
    <x v="0"/>
    <x v="5"/>
  </r>
  <r>
    <s v="ORD-01564"/>
    <x v="42"/>
    <s v="CUST-0160"/>
    <s v="PROD-032"/>
    <x v="16"/>
    <n v="8"/>
    <n v="370"/>
    <n v="1.3"/>
    <n v="2921.52"/>
    <s v="Completed"/>
    <s v="Hyderabad"/>
    <x v="3"/>
    <x v="3"/>
    <x v="11"/>
  </r>
  <r>
    <s v="ORD-01565"/>
    <x v="81"/>
    <s v="CUST-0009"/>
    <s v="PROD-005"/>
    <x v="16"/>
    <n v="7"/>
    <n v="300"/>
    <n v="7.1"/>
    <n v="1950.9"/>
    <s v="Completed"/>
    <s v="Mumbai"/>
    <x v="4"/>
    <x v="3"/>
    <x v="4"/>
  </r>
  <r>
    <s v="ORD-01566"/>
    <x v="118"/>
    <s v="CUST-0151"/>
    <s v="PROD-043"/>
    <x v="27"/>
    <n v="8"/>
    <n v="3350"/>
    <n v="11.2"/>
    <n v="23798.400000000001"/>
    <s v="Completed"/>
    <s v="Mumbai"/>
    <x v="5"/>
    <x v="1"/>
    <x v="7"/>
  </r>
  <r>
    <s v="ORD-01567"/>
    <x v="72"/>
    <s v="CUST-0105"/>
    <s v="PROD-056"/>
    <x v="18"/>
    <n v="6"/>
    <n v="6940"/>
    <n v="0.3"/>
    <n v="41515.08"/>
    <s v="Completed"/>
    <s v="Chennai"/>
    <x v="1"/>
    <x v="1"/>
    <x v="7"/>
  </r>
  <r>
    <s v="ORD-01568"/>
    <x v="64"/>
    <s v="CUST-0292"/>
    <s v="PROD-049"/>
    <x v="4"/>
    <n v="10"/>
    <n v="960"/>
    <n v="9.3000000000000007"/>
    <n v="8707.2000000000007"/>
    <s v="Cancelled"/>
    <s v="Bengaluru"/>
    <x v="5"/>
    <x v="0"/>
    <x v="10"/>
  </r>
  <r>
    <s v="ORD-01569"/>
    <x v="327"/>
    <s v="CUST-0076"/>
    <s v="PROD-021"/>
    <x v="13"/>
    <n v="10"/>
    <n v="2760"/>
    <n v="17.2"/>
    <n v="22852.799999999999"/>
    <s v="Completed"/>
    <s v="Mumbai"/>
    <x v="2"/>
    <x v="3"/>
    <x v="4"/>
  </r>
  <r>
    <s v="ORD-01570"/>
    <x v="243"/>
    <s v="CUST-0152"/>
    <s v="PROD-024"/>
    <x v="17"/>
    <n v="4"/>
    <n v="2270"/>
    <n v="26.8"/>
    <n v="6646.56"/>
    <s v="Completed"/>
    <s v="Bengaluru"/>
    <x v="2"/>
    <x v="2"/>
    <x v="2"/>
  </r>
  <r>
    <s v="ORD-01571"/>
    <x v="305"/>
    <s v="CUST-0146"/>
    <s v="PROD-002"/>
    <x v="13"/>
    <n v="2"/>
    <n v="2600"/>
    <n v="27"/>
    <n v="3796"/>
    <s v="Completed"/>
    <s v="Hyderabad"/>
    <x v="4"/>
    <x v="3"/>
    <x v="1"/>
  </r>
  <r>
    <s v="ORD-01572"/>
    <x v="300"/>
    <s v="CUST-0127"/>
    <s v="PROD-003"/>
    <x v="6"/>
    <n v="4"/>
    <n v="3570"/>
    <n v="12.3"/>
    <n v="12523.56"/>
    <s v="Completed"/>
    <s v="Bengaluru"/>
    <x v="4"/>
    <x v="2"/>
    <x v="11"/>
  </r>
  <r>
    <s v="ORD-01573"/>
    <x v="309"/>
    <s v="CUST-0173"/>
    <s v="PROD-034"/>
    <x v="29"/>
    <n v="5"/>
    <n v="5080"/>
    <n v="1.3"/>
    <n v="25069.8"/>
    <s v="Completed"/>
    <s v="Mumbai"/>
    <x v="3"/>
    <x v="1"/>
    <x v="11"/>
  </r>
  <r>
    <s v="ORD-01574"/>
    <x v="1"/>
    <s v="CUST-0206"/>
    <s v="PROD-049"/>
    <x v="29"/>
    <n v="5"/>
    <n v="960"/>
    <n v="25.2"/>
    <n v="3590.4"/>
    <s v="Completed"/>
    <s v="Mumbai"/>
    <x v="5"/>
    <x v="1"/>
    <x v="1"/>
  </r>
  <r>
    <s v="ORD-01575"/>
    <x v="117"/>
    <s v="CUST-0072"/>
    <s v="PROD-053"/>
    <x v="9"/>
    <n v="7"/>
    <n v="470"/>
    <n v="21.6"/>
    <n v="2579.36"/>
    <s v="Completed"/>
    <s v="Mumbai"/>
    <x v="1"/>
    <x v="1"/>
    <x v="4"/>
  </r>
  <r>
    <s v="ORD-01576"/>
    <x v="327"/>
    <s v="CUST-0004"/>
    <s v="PROD-009"/>
    <x v="28"/>
    <n v="4"/>
    <n v="1220"/>
    <n v="12.6"/>
    <n v="4265.12"/>
    <s v="Completed"/>
    <s v="Delhi"/>
    <x v="4"/>
    <x v="2"/>
    <x v="4"/>
  </r>
  <r>
    <s v="ORD-01577"/>
    <x v="174"/>
    <s v="CUST-0249"/>
    <s v="PROD-054"/>
    <x v="4"/>
    <n v="4"/>
    <n v="1010"/>
    <n v="11.3"/>
    <n v="3583.48"/>
    <s v="Completed"/>
    <s v="Mumbai"/>
    <x v="1"/>
    <x v="0"/>
    <x v="11"/>
  </r>
  <r>
    <s v="ORD-01578"/>
    <x v="253"/>
    <s v="CUST-0139"/>
    <s v="PROD-028"/>
    <x v="1"/>
    <n v="4"/>
    <n v="3660"/>
    <n v="7.2"/>
    <n v="13585.92"/>
    <s v="Completed"/>
    <s v="Hyderabad"/>
    <x v="2"/>
    <x v="0"/>
    <x v="6"/>
  </r>
  <r>
    <s v="ORD-01579"/>
    <x v="138"/>
    <s v="CUST-0019"/>
    <s v="PROD-038"/>
    <x v="9"/>
    <n v="4"/>
    <n v="5490"/>
    <n v="8"/>
    <n v="20203.2"/>
    <s v="Completed"/>
    <s v="Chennai"/>
    <x v="3"/>
    <x v="1"/>
    <x v="1"/>
  </r>
  <r>
    <s v="ORD-01580"/>
    <x v="218"/>
    <s v="CUST-0210"/>
    <s v="PROD-022"/>
    <x v="11"/>
    <n v="6"/>
    <n v="2270"/>
    <n v="17.100000000000001"/>
    <n v="11290.98"/>
    <s v="Completed"/>
    <s v="Pune"/>
    <x v="2"/>
    <x v="0"/>
    <x v="8"/>
  </r>
  <r>
    <s v="ORD-01581"/>
    <x v="276"/>
    <s v="CUST-0168"/>
    <s v="PROD-022"/>
    <x v="15"/>
    <n v="8"/>
    <n v="2270"/>
    <n v="11.9"/>
    <n v="15998.96"/>
    <s v="Pending"/>
    <s v="Pune"/>
    <x v="2"/>
    <x v="1"/>
    <x v="9"/>
  </r>
  <r>
    <s v="ORD-01582"/>
    <x v="95"/>
    <s v="CUST-0094"/>
    <s v="PROD-002"/>
    <x v="26"/>
    <n v="6"/>
    <n v="2600"/>
    <n v="5.0999999999999996"/>
    <n v="14804.4"/>
    <s v="Completed"/>
    <s v="Pune"/>
    <x v="4"/>
    <x v="3"/>
    <x v="9"/>
  </r>
  <r>
    <s v="ORD-01583"/>
    <x v="210"/>
    <s v="CUST-0259"/>
    <s v="PROD-004"/>
    <x v="28"/>
    <n v="9"/>
    <n v="3870"/>
    <n v="1.8"/>
    <n v="34203.06"/>
    <s v="Cancelled"/>
    <s v="Mumbai"/>
    <x v="4"/>
    <x v="2"/>
    <x v="5"/>
  </r>
  <r>
    <s v="ORD-01584"/>
    <x v="61"/>
    <s v="CUST-0150"/>
    <s v="PROD-006"/>
    <x v="3"/>
    <n v="3"/>
    <n v="3970"/>
    <n v="8.1999999999999993"/>
    <n v="10933.38"/>
    <s v="Completed"/>
    <s v="Pune"/>
    <x v="4"/>
    <x v="0"/>
    <x v="6"/>
  </r>
  <r>
    <s v="ORD-01585"/>
    <x v="334"/>
    <s v="CUST-0040"/>
    <s v="PROD-049"/>
    <x v="8"/>
    <n v="9"/>
    <n v="960"/>
    <n v="21.7"/>
    <n v="6765.12"/>
    <s v="Cancelled"/>
    <s v="Chennai"/>
    <x v="5"/>
    <x v="2"/>
    <x v="3"/>
  </r>
  <r>
    <s v="ORD-01586"/>
    <x v="215"/>
    <s v="CUST-0290"/>
    <s v="PROD-052"/>
    <x v="5"/>
    <n v="3"/>
    <n v="5410"/>
    <n v="20.3"/>
    <n v="12935.31"/>
    <s v="Completed"/>
    <s v="Delhi"/>
    <x v="1"/>
    <x v="2"/>
    <x v="8"/>
  </r>
  <r>
    <s v="ORD-01587"/>
    <x v="133"/>
    <s v="CUST-0123"/>
    <s v="PROD-011"/>
    <x v="1"/>
    <n v="3"/>
    <n v="3450"/>
    <n v="11.6"/>
    <n v="9149.4"/>
    <s v="Completed"/>
    <s v="Chennai"/>
    <x v="0"/>
    <x v="0"/>
    <x v="9"/>
  </r>
  <r>
    <s v="ORD-01588"/>
    <x v="40"/>
    <s v="CUST-0053"/>
    <s v="PROD-045"/>
    <x v="4"/>
    <n v="2"/>
    <n v="3020"/>
    <n v="20.8"/>
    <n v="4783.68"/>
    <s v="Pending"/>
    <s v="Delhi"/>
    <x v="5"/>
    <x v="0"/>
    <x v="5"/>
  </r>
  <r>
    <s v="ORD-01589"/>
    <x v="232"/>
    <s v="CUST-0179"/>
    <s v="PROD-060"/>
    <x v="25"/>
    <n v="3"/>
    <n v="190"/>
    <n v="10.7"/>
    <n v="509.01"/>
    <s v="Completed"/>
    <s v="Mumbai"/>
    <x v="1"/>
    <x v="0"/>
    <x v="0"/>
  </r>
  <r>
    <s v="ORD-01590"/>
    <x v="137"/>
    <s v="CUST-0006"/>
    <s v="PROD-031"/>
    <x v="27"/>
    <n v="4"/>
    <n v="3730"/>
    <n v="6.9"/>
    <n v="13890.52"/>
    <s v="Completed"/>
    <s v="Pune"/>
    <x v="3"/>
    <x v="1"/>
    <x v="11"/>
  </r>
  <r>
    <s v="ORD-01591"/>
    <x v="240"/>
    <s v="CUST-0272"/>
    <s v="PROD-051"/>
    <x v="5"/>
    <n v="9"/>
    <n v="3450"/>
    <n v="22.2"/>
    <n v="24156.9"/>
    <s v="Cancelled"/>
    <s v="Mumbai"/>
    <x v="1"/>
    <x v="2"/>
    <x v="10"/>
  </r>
  <r>
    <s v="ORD-01592"/>
    <x v="260"/>
    <s v="CUST-0274"/>
    <s v="PROD-006"/>
    <x v="25"/>
    <n v="3"/>
    <n v="3970"/>
    <n v="6.8"/>
    <n v="11100.12"/>
    <s v="Completed"/>
    <s v="Bengaluru"/>
    <x v="4"/>
    <x v="0"/>
    <x v="1"/>
  </r>
  <r>
    <s v="ORD-01593"/>
    <x v="32"/>
    <s v="CUST-0262"/>
    <s v="PROD-035"/>
    <x v="24"/>
    <n v="3"/>
    <n v="1090"/>
    <n v="23.7"/>
    <n v="2495.0100000000002"/>
    <s v="Completed"/>
    <s v="Mumbai"/>
    <x v="3"/>
    <x v="3"/>
    <x v="6"/>
  </r>
  <r>
    <s v="ORD-01594"/>
    <x v="212"/>
    <s v="CUST-0087"/>
    <s v="PROD-033"/>
    <x v="12"/>
    <n v="3"/>
    <n v="2030"/>
    <n v="18.8"/>
    <n v="4945.08"/>
    <s v="Completed"/>
    <s v="Pune"/>
    <x v="3"/>
    <x v="3"/>
    <x v="11"/>
  </r>
  <r>
    <s v="ORD-01595"/>
    <x v="27"/>
    <s v="CUST-0198"/>
    <s v="PROD-026"/>
    <x v="4"/>
    <n v="2"/>
    <n v="4070"/>
    <n v="14.3"/>
    <n v="6975.98"/>
    <s v="Completed"/>
    <s v="Chennai"/>
    <x v="2"/>
    <x v="0"/>
    <x v="2"/>
  </r>
  <r>
    <s v="ORD-01596"/>
    <x v="306"/>
    <s v="CUST-0065"/>
    <s v="PROD-014"/>
    <x v="8"/>
    <n v="3"/>
    <n v="3620"/>
    <n v="13.5"/>
    <n v="9393.9"/>
    <s v="Completed"/>
    <s v="Chennai"/>
    <x v="0"/>
    <x v="2"/>
    <x v="5"/>
  </r>
  <r>
    <s v="ORD-01597"/>
    <x v="235"/>
    <s v="CUST-0209"/>
    <s v="PROD-054"/>
    <x v="19"/>
    <n v="4"/>
    <n v="1010"/>
    <n v="3.3"/>
    <n v="3906.68"/>
    <s v="Completed"/>
    <s v="Pune"/>
    <x v="1"/>
    <x v="0"/>
    <x v="4"/>
  </r>
  <r>
    <s v="ORD-01598"/>
    <x v="304"/>
    <s v="CUST-0181"/>
    <s v="PROD-030"/>
    <x v="1"/>
    <n v="7"/>
    <n v="970"/>
    <n v="0.1"/>
    <n v="6783.21"/>
    <s v="Completed"/>
    <s v="Delhi"/>
    <x v="2"/>
    <x v="0"/>
    <x v="10"/>
  </r>
  <r>
    <s v="ORD-01599"/>
    <x v="297"/>
    <s v="CUST-0007"/>
    <s v="PROD-053"/>
    <x v="28"/>
    <n v="5"/>
    <n v="470"/>
    <n v="18.3"/>
    <n v="1919.95"/>
    <s v="Refunded"/>
    <s v="Bengaluru"/>
    <x v="1"/>
    <x v="2"/>
    <x v="9"/>
  </r>
  <r>
    <s v="ORD-01600"/>
    <x v="274"/>
    <s v="CUST-0050"/>
    <s v="PROD-011"/>
    <x v="9"/>
    <n v="8"/>
    <n v="3450"/>
    <n v="5.0999999999999996"/>
    <n v="26192.400000000001"/>
    <s v="Refunded"/>
    <s v="Mumbai"/>
    <x v="0"/>
    <x v="1"/>
    <x v="5"/>
  </r>
  <r>
    <s v="ORD-01601"/>
    <x v="57"/>
    <s v="CUST-0155"/>
    <s v="PROD-010"/>
    <x v="24"/>
    <n v="1"/>
    <n v="2640"/>
    <n v="5.9"/>
    <n v="2484.2399999999998"/>
    <s v="Completed"/>
    <s v="Pune"/>
    <x v="4"/>
    <x v="3"/>
    <x v="6"/>
  </r>
  <r>
    <s v="ORD-01602"/>
    <x v="20"/>
    <s v="CUST-0085"/>
    <s v="PROD-003"/>
    <x v="16"/>
    <n v="10"/>
    <n v="3570"/>
    <n v="21.5"/>
    <n v="28024.5"/>
    <s v="Completed"/>
    <s v="Chennai"/>
    <x v="4"/>
    <x v="3"/>
    <x v="2"/>
  </r>
  <r>
    <s v="ORD-01603"/>
    <x v="248"/>
    <s v="CUST-0285"/>
    <s v="PROD-007"/>
    <x v="29"/>
    <n v="10"/>
    <n v="1430"/>
    <n v="11.4"/>
    <n v="12669.8"/>
    <s v="Cancelled"/>
    <s v="Hyderabad"/>
    <x v="4"/>
    <x v="1"/>
    <x v="9"/>
  </r>
  <r>
    <s v="ORD-01604"/>
    <x v="175"/>
    <s v="CUST-0148"/>
    <s v="PROD-057"/>
    <x v="22"/>
    <n v="7"/>
    <n v="960"/>
    <n v="22.9"/>
    <n v="5181.12"/>
    <s v="Completed"/>
    <s v="Chennai"/>
    <x v="1"/>
    <x v="1"/>
    <x v="8"/>
  </r>
  <r>
    <s v="ORD-01605"/>
    <x v="38"/>
    <s v="CUST-0252"/>
    <s v="PROD-036"/>
    <x v="9"/>
    <n v="8"/>
    <n v="3250"/>
    <n v="1.9"/>
    <n v="25506"/>
    <s v="Completed"/>
    <s v="Bengaluru"/>
    <x v="3"/>
    <x v="1"/>
    <x v="4"/>
  </r>
  <r>
    <s v="ORD-01606"/>
    <x v="320"/>
    <s v="CUST-0141"/>
    <s v="PROD-051"/>
    <x v="26"/>
    <n v="9"/>
    <n v="3450"/>
    <n v="18"/>
    <n v="25461"/>
    <s v="Completed"/>
    <s v="Hyderabad"/>
    <x v="1"/>
    <x v="3"/>
    <x v="2"/>
  </r>
  <r>
    <s v="ORD-01607"/>
    <x v="30"/>
    <s v="CUST-0101"/>
    <s v="PROD-024"/>
    <x v="29"/>
    <n v="5"/>
    <n v="2270"/>
    <n v="11.5"/>
    <n v="10044.75"/>
    <s v="Completed"/>
    <s v="Hyderabad"/>
    <x v="2"/>
    <x v="1"/>
    <x v="1"/>
  </r>
  <r>
    <s v="ORD-01608"/>
    <x v="121"/>
    <s v="CUST-0223"/>
    <s v="PROD-045"/>
    <x v="7"/>
    <n v="6"/>
    <n v="3020"/>
    <n v="12.6"/>
    <n v="15836.88"/>
    <s v="Completed"/>
    <s v="Bengaluru"/>
    <x v="5"/>
    <x v="3"/>
    <x v="6"/>
  </r>
  <r>
    <s v="ORD-01609"/>
    <x v="58"/>
    <s v="CUST-0197"/>
    <s v="PROD-010"/>
    <x v="4"/>
    <n v="8"/>
    <n v="2640"/>
    <n v="14.5"/>
    <n v="18057.599999999999"/>
    <s v="Refunded"/>
    <s v="Bengaluru"/>
    <x v="4"/>
    <x v="0"/>
    <x v="11"/>
  </r>
  <r>
    <s v="ORD-01610"/>
    <x v="230"/>
    <s v="CUST-0260"/>
    <s v="PROD-024"/>
    <x v="28"/>
    <n v="2"/>
    <n v="2270"/>
    <n v="27"/>
    <n v="3314.2"/>
    <s v="Completed"/>
    <s v="Bengaluru"/>
    <x v="2"/>
    <x v="2"/>
    <x v="0"/>
  </r>
  <r>
    <s v="ORD-01611"/>
    <x v="184"/>
    <s v="CUST-0180"/>
    <s v="PROD-021"/>
    <x v="28"/>
    <n v="8"/>
    <n v="2760"/>
    <n v="18"/>
    <n v="18105.599999999999"/>
    <s v="Cancelled"/>
    <s v="Chennai"/>
    <x v="2"/>
    <x v="2"/>
    <x v="8"/>
  </r>
  <r>
    <s v="ORD-01612"/>
    <x v="62"/>
    <s v="CUST-0166"/>
    <s v="PROD-014"/>
    <x v="12"/>
    <n v="8"/>
    <n v="3620"/>
    <n v="7.1"/>
    <n v="26903.84"/>
    <s v="Completed"/>
    <s v="Hyderabad"/>
    <x v="0"/>
    <x v="3"/>
    <x v="5"/>
  </r>
  <r>
    <s v="ORD-01613"/>
    <x v="302"/>
    <s v="CUST-0062"/>
    <s v="PROD-042"/>
    <x v="13"/>
    <n v="8"/>
    <n v="2290"/>
    <n v="16.399999999999999"/>
    <n v="15315.52"/>
    <s v="Completed"/>
    <s v="Pune"/>
    <x v="5"/>
    <x v="3"/>
    <x v="10"/>
  </r>
  <r>
    <s v="ORD-01614"/>
    <x v="32"/>
    <s v="CUST-0130"/>
    <s v="PROD-044"/>
    <x v="7"/>
    <n v="3"/>
    <n v="1650"/>
    <n v="1.8"/>
    <n v="4860.8999999999996"/>
    <s v="Cancelled"/>
    <s v="Bengaluru"/>
    <x v="5"/>
    <x v="3"/>
    <x v="6"/>
  </r>
  <r>
    <s v="ORD-01615"/>
    <x v="362"/>
    <s v="CUST-0162"/>
    <s v="PROD-001"/>
    <x v="26"/>
    <n v="3"/>
    <n v="5330"/>
    <n v="22.2"/>
    <n v="12440.22"/>
    <s v="Completed"/>
    <s v="Mumbai"/>
    <x v="4"/>
    <x v="3"/>
    <x v="8"/>
  </r>
  <r>
    <s v="ORD-01616"/>
    <x v="166"/>
    <s v="CUST-0153"/>
    <s v="PROD-040"/>
    <x v="24"/>
    <n v="7"/>
    <n v="1080"/>
    <n v="17.899999999999999"/>
    <n v="6206.76"/>
    <s v="Completed"/>
    <s v="Mumbai"/>
    <x v="3"/>
    <x v="3"/>
    <x v="7"/>
  </r>
  <r>
    <s v="ORD-01617"/>
    <x v="151"/>
    <s v="CUST-0071"/>
    <s v="PROD-009"/>
    <x v="24"/>
    <n v="10"/>
    <n v="1220"/>
    <n v="5.7"/>
    <n v="11504.6"/>
    <s v="Completed"/>
    <s v="Delhi"/>
    <x v="4"/>
    <x v="3"/>
    <x v="6"/>
  </r>
  <r>
    <s v="ORD-01618"/>
    <x v="83"/>
    <s v="CUST-0200"/>
    <s v="PROD-037"/>
    <x v="14"/>
    <n v="10"/>
    <n v="660"/>
    <n v="7.5"/>
    <n v="6105"/>
    <s v="Completed"/>
    <s v="Hyderabad"/>
    <x v="3"/>
    <x v="2"/>
    <x v="8"/>
  </r>
  <r>
    <s v="ORD-01619"/>
    <x v="88"/>
    <s v="CUST-0266"/>
    <s v="PROD-040"/>
    <x v="16"/>
    <n v="6"/>
    <n v="1080"/>
    <n v="28.9"/>
    <n v="4607.28"/>
    <s v="Completed"/>
    <s v="Pune"/>
    <x v="3"/>
    <x v="3"/>
    <x v="0"/>
  </r>
  <r>
    <s v="ORD-01620"/>
    <x v="241"/>
    <s v="CUST-0171"/>
    <s v="PROD-022"/>
    <x v="16"/>
    <n v="7"/>
    <n v="2270"/>
    <n v="1.4"/>
    <n v="15667.54"/>
    <s v="Completed"/>
    <s v="Chennai"/>
    <x v="2"/>
    <x v="3"/>
    <x v="9"/>
  </r>
  <r>
    <s v="ORD-01621"/>
    <x v="206"/>
    <s v="CUST-0221"/>
    <s v="PROD-032"/>
    <x v="8"/>
    <n v="3"/>
    <n v="370"/>
    <n v="9.6"/>
    <n v="1003.44"/>
    <s v="Refunded"/>
    <s v="Delhi"/>
    <x v="3"/>
    <x v="2"/>
    <x v="10"/>
  </r>
  <r>
    <s v="ORD-01622"/>
    <x v="13"/>
    <s v="CUST-0038"/>
    <s v="PROD-030"/>
    <x v="18"/>
    <n v="9"/>
    <n v="970"/>
    <n v="29.7"/>
    <n v="6137.19"/>
    <s v="Completed"/>
    <s v="Mumbai"/>
    <x v="2"/>
    <x v="1"/>
    <x v="2"/>
  </r>
  <r>
    <s v="ORD-00613"/>
    <x v="171"/>
    <s v="CUST-0174"/>
    <s v="PROD-016"/>
    <x v="11"/>
    <n v="1"/>
    <n v="620"/>
    <n v="10.4"/>
    <n v="555.52"/>
    <s v="Cancelled"/>
    <s v="Pune"/>
    <x v="0"/>
    <x v="0"/>
    <x v="5"/>
  </r>
  <r>
    <s v="ORD-01624"/>
    <x v="80"/>
    <s v="CUST-0054"/>
    <s v="PROD-028"/>
    <x v="20"/>
    <n v="5"/>
    <n v="3660"/>
    <n v="8"/>
    <n v="16836"/>
    <s v="Completed"/>
    <s v="Mumbai"/>
    <x v="2"/>
    <x v="2"/>
    <x v="7"/>
  </r>
  <r>
    <s v="ORD-01625"/>
    <x v="108"/>
    <s v="CUST-0071"/>
    <s v="PROD-029"/>
    <x v="6"/>
    <n v="7"/>
    <n v="2210"/>
    <n v="13.7"/>
    <n v="13350.61"/>
    <s v="Refunded"/>
    <s v="Delhi"/>
    <x v="2"/>
    <x v="2"/>
    <x v="8"/>
  </r>
  <r>
    <s v="ORD-01626"/>
    <x v="252"/>
    <s v="CUST-0004"/>
    <s v="PROD-059"/>
    <x v="8"/>
    <n v="1"/>
    <n v="3780"/>
    <n v="11.5"/>
    <n v="3345.3"/>
    <s v="Completed"/>
    <s v="Delhi"/>
    <x v="1"/>
    <x v="2"/>
    <x v="8"/>
  </r>
  <r>
    <s v="ORD-01627"/>
    <x v="131"/>
    <s v="CUST-0033"/>
    <s v="PROD-002"/>
    <x v="1"/>
    <n v="10"/>
    <n v="2600"/>
    <n v="29.4"/>
    <n v="18356"/>
    <s v="Completed"/>
    <s v="Delhi"/>
    <x v="4"/>
    <x v="0"/>
    <x v="4"/>
  </r>
  <r>
    <s v="ORD-01628"/>
    <x v="13"/>
    <s v="CUST-0079"/>
    <s v="PROD-027"/>
    <x v="21"/>
    <n v="3"/>
    <n v="3780"/>
    <n v="14.4"/>
    <n v="9707.0400000000009"/>
    <s v="Completed"/>
    <s v="Mumbai"/>
    <x v="2"/>
    <x v="3"/>
    <x v="2"/>
  </r>
  <r>
    <s v="ORD-01629"/>
    <x v="292"/>
    <s v="CUST-0176"/>
    <s v="PROD-010"/>
    <x v="11"/>
    <n v="10"/>
    <n v="2640"/>
    <n v="26.8"/>
    <n v="19324.8"/>
    <s v="Pending"/>
    <s v="Bengaluru"/>
    <x v="4"/>
    <x v="0"/>
    <x v="3"/>
  </r>
  <r>
    <s v="ORD-01630"/>
    <x v="324"/>
    <s v="CUST-0254"/>
    <s v="PROD-035"/>
    <x v="22"/>
    <n v="3"/>
    <n v="1090"/>
    <n v="9.1"/>
    <n v="2972.43"/>
    <s v="Completed"/>
    <s v="Bengaluru"/>
    <x v="3"/>
    <x v="1"/>
    <x v="1"/>
  </r>
  <r>
    <s v="ORD-01631"/>
    <x v="308"/>
    <s v="CUST-0212"/>
    <s v="PROD-011"/>
    <x v="6"/>
    <n v="3"/>
    <n v="3450"/>
    <n v="23"/>
    <n v="7969.5"/>
    <s v="Pending"/>
    <s v="Chennai"/>
    <x v="0"/>
    <x v="2"/>
    <x v="9"/>
  </r>
  <r>
    <s v="ORD-01632"/>
    <x v="13"/>
    <s v="CUST-0109"/>
    <s v="PROD-049"/>
    <x v="15"/>
    <n v="1"/>
    <n v="960"/>
    <n v="1.1000000000000001"/>
    <n v="949.44"/>
    <s v="Completed"/>
    <s v="Pune"/>
    <x v="5"/>
    <x v="1"/>
    <x v="2"/>
  </r>
  <r>
    <s v="ORD-01633"/>
    <x v="251"/>
    <s v="CUST-0087"/>
    <s v="PROD-028"/>
    <x v="14"/>
    <n v="9"/>
    <n v="3660"/>
    <n v="9"/>
    <n v="29975.4"/>
    <s v="Completed"/>
    <s v="Pune"/>
    <x v="2"/>
    <x v="2"/>
    <x v="9"/>
  </r>
  <r>
    <s v="ORD-01634"/>
    <x v="103"/>
    <s v="CUST-0167"/>
    <s v="PROD-031"/>
    <x v="4"/>
    <n v="3"/>
    <n v="3730"/>
    <n v="15.8"/>
    <n v="9421.98"/>
    <s v="Completed"/>
    <s v="Delhi"/>
    <x v="3"/>
    <x v="0"/>
    <x v="3"/>
  </r>
  <r>
    <s v="ORD-01635"/>
    <x v="324"/>
    <s v="CUST-0079"/>
    <s v="PROD-026"/>
    <x v="10"/>
    <n v="6"/>
    <n v="4070"/>
    <n v="6.2"/>
    <n v="22905.96"/>
    <s v="Completed"/>
    <s v="Mumbai"/>
    <x v="2"/>
    <x v="0"/>
    <x v="1"/>
  </r>
  <r>
    <s v="ORD-01636"/>
    <x v="90"/>
    <s v="CUST-0115"/>
    <s v="PROD-008"/>
    <x v="24"/>
    <n v="1"/>
    <n v="2660"/>
    <n v="14.6"/>
    <n v="2271.64"/>
    <s v="Completed"/>
    <s v="Mumbai"/>
    <x v="4"/>
    <x v="3"/>
    <x v="1"/>
  </r>
  <r>
    <s v="ORD-01637"/>
    <x v="239"/>
    <s v="CUST-0184"/>
    <s v="PROD-033"/>
    <x v="11"/>
    <n v="3"/>
    <n v="2030"/>
    <n v="13.3"/>
    <n v="5280.03"/>
    <s v="Cancelled"/>
    <s v="Pune"/>
    <x v="3"/>
    <x v="0"/>
    <x v="2"/>
  </r>
  <r>
    <s v="ORD-01638"/>
    <x v="274"/>
    <s v="CUST-0084"/>
    <s v="PROD-028"/>
    <x v="19"/>
    <n v="4"/>
    <n v="3660"/>
    <n v="2.2000000000000002"/>
    <n v="14317.92"/>
    <s v="Completed"/>
    <s v="Chennai"/>
    <x v="2"/>
    <x v="0"/>
    <x v="5"/>
  </r>
  <r>
    <s v="ORD-01639"/>
    <x v="234"/>
    <s v="CUST-0186"/>
    <s v="PROD-008"/>
    <x v="3"/>
    <n v="2"/>
    <n v="2660"/>
    <n v="7.2"/>
    <n v="4936.96"/>
    <s v="Cancelled"/>
    <s v="Bengaluru"/>
    <x v="4"/>
    <x v="0"/>
    <x v="2"/>
  </r>
  <r>
    <s v="ORD-01640"/>
    <x v="207"/>
    <s v="CUST-0077"/>
    <s v="PROD-046"/>
    <x v="22"/>
    <n v="2"/>
    <n v="4880"/>
    <n v="23.8"/>
    <n v="7437.12"/>
    <s v="Completed"/>
    <s v="Hyderabad"/>
    <x v="5"/>
    <x v="1"/>
    <x v="4"/>
  </r>
  <r>
    <s v="ORD-01641"/>
    <x v="91"/>
    <s v="CUST-0093"/>
    <s v="PROD-011"/>
    <x v="23"/>
    <n v="1"/>
    <n v="3450"/>
    <n v="1.7"/>
    <n v="3391.35"/>
    <s v="Completed"/>
    <s v="Pune"/>
    <x v="0"/>
    <x v="1"/>
    <x v="5"/>
  </r>
  <r>
    <s v="ORD-01642"/>
    <x v="269"/>
    <s v="CUST-0018"/>
    <s v="PROD-045"/>
    <x v="12"/>
    <n v="4"/>
    <n v="3020"/>
    <n v="17.8"/>
    <n v="9929.76"/>
    <s v="Completed"/>
    <s v="Pune"/>
    <x v="5"/>
    <x v="3"/>
    <x v="0"/>
  </r>
  <r>
    <s v="ORD-01643"/>
    <x v="15"/>
    <s v="CUST-0034"/>
    <s v="PROD-056"/>
    <x v="13"/>
    <n v="6"/>
    <n v="6940"/>
    <n v="8.9"/>
    <n v="37934.04"/>
    <s v="Completed"/>
    <s v="Delhi"/>
    <x v="1"/>
    <x v="3"/>
    <x v="7"/>
  </r>
  <r>
    <s v="ORD-01644"/>
    <x v="271"/>
    <s v="CUST-0111"/>
    <s v="PROD-021"/>
    <x v="12"/>
    <n v="10"/>
    <n v="2760"/>
    <n v="8.9"/>
    <n v="25143.599999999999"/>
    <s v="Completed"/>
    <s v="Chennai"/>
    <x v="2"/>
    <x v="3"/>
    <x v="7"/>
  </r>
  <r>
    <s v="ORD-01645"/>
    <x v="202"/>
    <s v="CUST-0210"/>
    <s v="PROD-049"/>
    <x v="16"/>
    <n v="8"/>
    <n v="960"/>
    <n v="20.9"/>
    <n v="6074.88"/>
    <s v="Completed"/>
    <s v="Pune"/>
    <x v="5"/>
    <x v="3"/>
    <x v="11"/>
  </r>
  <r>
    <s v="ORD-01646"/>
    <x v="71"/>
    <s v="CUST-0037"/>
    <s v="PROD-049"/>
    <x v="27"/>
    <n v="4"/>
    <n v="960"/>
    <n v="29.1"/>
    <n v="2722.56"/>
    <s v="Completed"/>
    <s v="Bengaluru"/>
    <x v="5"/>
    <x v="1"/>
    <x v="10"/>
  </r>
  <r>
    <s v="ORD-01647"/>
    <x v="306"/>
    <s v="CUST-0192"/>
    <s v="PROD-030"/>
    <x v="13"/>
    <n v="1"/>
    <n v="970"/>
    <n v="8.4"/>
    <n v="888.52"/>
    <s v="Cancelled"/>
    <s v="Bengaluru"/>
    <x v="2"/>
    <x v="3"/>
    <x v="5"/>
  </r>
  <r>
    <s v="ORD-01648"/>
    <x v="169"/>
    <s v="CUST-0038"/>
    <s v="PROD-050"/>
    <x v="12"/>
    <n v="5"/>
    <n v="6080"/>
    <n v="17.600000000000001"/>
    <n v="25049.599999999999"/>
    <s v="Completed"/>
    <s v="Mumbai"/>
    <x v="5"/>
    <x v="3"/>
    <x v="5"/>
  </r>
  <r>
    <s v="ORD-01649"/>
    <x v="283"/>
    <s v="CUST-0034"/>
    <s v="PROD-028"/>
    <x v="22"/>
    <n v="4"/>
    <n v="3660"/>
    <n v="21.8"/>
    <n v="11448.48"/>
    <s v="Pending"/>
    <s v="Delhi"/>
    <x v="2"/>
    <x v="1"/>
    <x v="7"/>
  </r>
  <r>
    <s v="ORD-01650"/>
    <x v="32"/>
    <s v="CUST-0248"/>
    <s v="PROD-031"/>
    <x v="4"/>
    <n v="6"/>
    <n v="3730"/>
    <n v="13.3"/>
    <n v="19403.46"/>
    <s v="Cancelled"/>
    <s v="Chennai"/>
    <x v="3"/>
    <x v="0"/>
    <x v="6"/>
  </r>
  <r>
    <s v="ORD-01651"/>
    <x v="327"/>
    <s v="CUST-0194"/>
    <s v="PROD-004"/>
    <x v="20"/>
    <n v="8"/>
    <n v="3870"/>
    <n v="21.2"/>
    <n v="24396.48"/>
    <s v="Pending"/>
    <s v="Delhi"/>
    <x v="4"/>
    <x v="2"/>
    <x v="4"/>
  </r>
  <r>
    <s v="ORD-01652"/>
    <x v="69"/>
    <s v="CUST-0114"/>
    <s v="PROD-021"/>
    <x v="29"/>
    <n v="4"/>
    <n v="2760"/>
    <n v="14"/>
    <n v="9494.4"/>
    <s v="Completed"/>
    <s v="Bengaluru"/>
    <x v="2"/>
    <x v="1"/>
    <x v="5"/>
  </r>
  <r>
    <s v="ORD-01653"/>
    <x v="100"/>
    <s v="CUST-0118"/>
    <s v="PROD-023"/>
    <x v="16"/>
    <n v="5"/>
    <n v="2380"/>
    <n v="16.399999999999999"/>
    <n v="9948.4"/>
    <s v="Completed"/>
    <s v="Hyderabad"/>
    <x v="2"/>
    <x v="3"/>
    <x v="4"/>
  </r>
  <r>
    <s v="ORD-01654"/>
    <x v="246"/>
    <s v="CUST-9719"/>
    <s v="PROD-050"/>
    <x v="15"/>
    <n v="2"/>
    <n v="6080"/>
    <n v="20.100000000000001"/>
    <n v="9715.84"/>
    <s v="Cancelled"/>
    <s v="Mumbai"/>
    <x v="5"/>
    <x v="1"/>
    <x v="11"/>
  </r>
  <r>
    <s v="ORD-01655"/>
    <x v="296"/>
    <s v="CUST-0232"/>
    <s v="PROD-016"/>
    <x v="29"/>
    <n v="2"/>
    <n v="620"/>
    <n v="4.3"/>
    <n v="1186.68"/>
    <s v="Completed"/>
    <s v="Hyderabad"/>
    <x v="0"/>
    <x v="1"/>
    <x v="9"/>
  </r>
  <r>
    <s v="ORD-01656"/>
    <x v="16"/>
    <s v="CUST-0240"/>
    <s v="PROD-004"/>
    <x v="27"/>
    <n v="7"/>
    <n v="3870"/>
    <n v="5.9"/>
    <n v="25491.69"/>
    <s v="Completed"/>
    <s v="Chennai"/>
    <x v="4"/>
    <x v="1"/>
    <x v="8"/>
  </r>
  <r>
    <s v="ORD-01657"/>
    <x v="249"/>
    <s v="CUST-0227"/>
    <s v="PROD-003"/>
    <x v="16"/>
    <n v="8"/>
    <n v="3570"/>
    <n v="24.6"/>
    <n v="21534.240000000002"/>
    <s v="Completed"/>
    <s v="Bengaluru"/>
    <x v="4"/>
    <x v="3"/>
    <x v="5"/>
  </r>
  <r>
    <s v="ORD-01658"/>
    <x v="168"/>
    <s v="CUST-0234"/>
    <s v="PROD-026"/>
    <x v="9"/>
    <n v="1"/>
    <n v="4070"/>
    <n v="29.1"/>
    <n v="2885.63"/>
    <s v="Pending"/>
    <s v="Bengaluru"/>
    <x v="2"/>
    <x v="1"/>
    <x v="8"/>
  </r>
  <r>
    <s v="ORD-01659"/>
    <x v="296"/>
    <s v="CUST-0041"/>
    <s v="PROD-020"/>
    <x v="21"/>
    <n v="1"/>
    <n v="820"/>
    <n v="17.899999999999999"/>
    <n v="673.22"/>
    <s v="Completed"/>
    <s v="Bengaluru"/>
    <x v="0"/>
    <x v="3"/>
    <x v="9"/>
  </r>
  <r>
    <s v="ORD-01660"/>
    <x v="175"/>
    <s v="CUST-0129"/>
    <s v="PROD-045"/>
    <x v="20"/>
    <n v="5"/>
    <n v="3020"/>
    <n v="26.2"/>
    <n v="11143.8"/>
    <s v="Completed"/>
    <s v="Hyderabad"/>
    <x v="5"/>
    <x v="2"/>
    <x v="8"/>
  </r>
  <r>
    <s v="ORD-01661"/>
    <x v="91"/>
    <s v="CUST-0141"/>
    <s v="PROD-018"/>
    <x v="24"/>
    <n v="10"/>
    <n v="3560"/>
    <n v="15.4"/>
    <n v="30117.599999999999"/>
    <s v="Refunded"/>
    <s v="Hyderabad"/>
    <x v="0"/>
    <x v="3"/>
    <x v="5"/>
  </r>
  <r>
    <s v="ORD-01662"/>
    <x v="299"/>
    <s v="CUST-0282"/>
    <s v="PROD-043"/>
    <x v="19"/>
    <n v="3"/>
    <n v="3350"/>
    <n v="8.1"/>
    <n v="9235.9500000000007"/>
    <s v="Completed"/>
    <s v="Hyderabad"/>
    <x v="5"/>
    <x v="0"/>
    <x v="6"/>
  </r>
  <r>
    <s v="ORD-01663"/>
    <x v="176"/>
    <s v="CUST-0269"/>
    <s v="PROD-042"/>
    <x v="5"/>
    <n v="10"/>
    <n v="2290"/>
    <n v="7"/>
    <n v="21297"/>
    <s v="Completed"/>
    <s v="Pune"/>
    <x v="5"/>
    <x v="2"/>
    <x v="0"/>
  </r>
  <r>
    <s v="ORD-01664"/>
    <x v="64"/>
    <s v="CUST-0239"/>
    <s v="PROD-028"/>
    <x v="11"/>
    <n v="6"/>
    <n v="3660"/>
    <n v="29.9"/>
    <n v="15393.96"/>
    <s v="Completed"/>
    <s v="Mumbai"/>
    <x v="2"/>
    <x v="0"/>
    <x v="10"/>
  </r>
  <r>
    <s v="ORD-01665"/>
    <x v="87"/>
    <s v="CUST-0075"/>
    <s v="PROD-010"/>
    <x v="22"/>
    <n v="8"/>
    <n v="2640"/>
    <n v="4.2"/>
    <n v="20232.96"/>
    <s v="Refunded"/>
    <s v="Mumbai"/>
    <x v="4"/>
    <x v="1"/>
    <x v="3"/>
  </r>
  <r>
    <s v="ORD-01666"/>
    <x v="194"/>
    <s v="CUST-0184"/>
    <s v="PROD-032"/>
    <x v="3"/>
    <n v="5"/>
    <n v="370"/>
    <n v="6"/>
    <n v="1739"/>
    <s v="Completed"/>
    <s v="Pune"/>
    <x v="3"/>
    <x v="0"/>
    <x v="5"/>
  </r>
  <r>
    <s v="ORD-01667"/>
    <x v="312"/>
    <s v="CUST-0144"/>
    <s v="PROD-024"/>
    <x v="0"/>
    <n v="9"/>
    <n v="2270"/>
    <n v="4.7"/>
    <n v="19469.79"/>
    <s v="Completed"/>
    <s v="Chennai"/>
    <x v="2"/>
    <x v="0"/>
    <x v="2"/>
  </r>
  <r>
    <s v="ORD-01668"/>
    <x v="85"/>
    <s v="CUST-0039"/>
    <s v="PROD-037"/>
    <x v="23"/>
    <n v="5"/>
    <n v="660"/>
    <n v="21"/>
    <n v="2607"/>
    <s v="Completed"/>
    <s v="Bengaluru"/>
    <x v="3"/>
    <x v="1"/>
    <x v="3"/>
  </r>
  <r>
    <s v="ORD-01669"/>
    <x v="192"/>
    <s v="CUST-9765"/>
    <s v="PROD-057"/>
    <x v="11"/>
    <n v="2"/>
    <n v="960"/>
    <n v="7.3"/>
    <n v="1779.84"/>
    <s v="Completed"/>
    <s v="Bengaluru"/>
    <x v="1"/>
    <x v="0"/>
    <x v="5"/>
  </r>
  <r>
    <s v="ORD-01670"/>
    <x v="89"/>
    <s v="CUST-0159"/>
    <s v="PROD-048"/>
    <x v="18"/>
    <n v="3"/>
    <n v="5100"/>
    <n v="21"/>
    <n v="12087"/>
    <s v="Completed"/>
    <s v="Hyderabad"/>
    <x v="5"/>
    <x v="1"/>
    <x v="7"/>
  </r>
  <r>
    <s v="ORD-01671"/>
    <x v="286"/>
    <s v="CUST-0168"/>
    <s v="PROD-012"/>
    <x v="10"/>
    <n v="3"/>
    <n v="3160"/>
    <n v="13.5"/>
    <n v="8200.2000000000007"/>
    <s v="Completed"/>
    <s v="Pune"/>
    <x v="0"/>
    <x v="0"/>
    <x v="9"/>
  </r>
  <r>
    <s v="ORD-01672"/>
    <x v="111"/>
    <s v="CUST-9552"/>
    <s v="PROD-041"/>
    <x v="1"/>
    <n v="9"/>
    <n v="1540"/>
    <n v="18.2"/>
    <n v="11337.48"/>
    <s v="Cancelled"/>
    <s v="Bengaluru"/>
    <x v="5"/>
    <x v="0"/>
    <x v="7"/>
  </r>
  <r>
    <s v="ORD-01673"/>
    <x v="313"/>
    <s v="CUST-0056"/>
    <s v="PROD-047"/>
    <x v="6"/>
    <n v="4"/>
    <n v="3450"/>
    <n v="26.4"/>
    <n v="10156.799999999999"/>
    <s v="Pending"/>
    <s v="Bengaluru"/>
    <x v="5"/>
    <x v="2"/>
    <x v="3"/>
  </r>
  <r>
    <s v="ORD-01674"/>
    <x v="311"/>
    <s v="CUST-0239"/>
    <s v="PROD-023"/>
    <x v="17"/>
    <n v="4"/>
    <n v="2380"/>
    <n v="6.9"/>
    <n v="8863.1200000000008"/>
    <s v="Completed"/>
    <s v="Mumbai"/>
    <x v="2"/>
    <x v="2"/>
    <x v="4"/>
  </r>
  <r>
    <s v="ORD-01675"/>
    <x v="140"/>
    <s v="CUST-0168"/>
    <s v="PROD-031"/>
    <x v="11"/>
    <n v="2"/>
    <n v="3730"/>
    <n v="22.9"/>
    <n v="5751.66"/>
    <s v="Completed"/>
    <s v="Pune"/>
    <x v="3"/>
    <x v="0"/>
    <x v="3"/>
  </r>
  <r>
    <s v="ORD-01676"/>
    <x v="0"/>
    <s v="CUST-0012"/>
    <s v="PROD-036"/>
    <x v="25"/>
    <n v="7"/>
    <n v="3250"/>
    <n v="6"/>
    <n v="21385"/>
    <s v="Completed"/>
    <s v="Pune"/>
    <x v="3"/>
    <x v="0"/>
    <x v="0"/>
  </r>
  <r>
    <s v="ORD-01677"/>
    <x v="281"/>
    <s v="CUST-0057"/>
    <s v="PROD-053"/>
    <x v="16"/>
    <n v="9"/>
    <n v="470"/>
    <n v="11.6"/>
    <n v="3739.32"/>
    <s v="Completed"/>
    <s v="Pune"/>
    <x v="1"/>
    <x v="3"/>
    <x v="7"/>
  </r>
  <r>
    <s v="ORD-01678"/>
    <x v="308"/>
    <s v="CUST-0030"/>
    <s v="PROD-042"/>
    <x v="17"/>
    <n v="5"/>
    <n v="2290"/>
    <n v="27.6"/>
    <n v="8289.7999999999993"/>
    <s v="Completed"/>
    <s v="Bengaluru"/>
    <x v="5"/>
    <x v="2"/>
    <x v="9"/>
  </r>
  <r>
    <s v="ORD-01679"/>
    <x v="32"/>
    <s v="CUST-0166"/>
    <s v="PROD-007"/>
    <x v="20"/>
    <n v="6"/>
    <n v="1430"/>
    <n v="18.399999999999999"/>
    <n v="7001.28"/>
    <s v="Pending"/>
    <s v="Hyderabad"/>
    <x v="4"/>
    <x v="2"/>
    <x v="6"/>
  </r>
  <r>
    <s v="ORD-01680"/>
    <x v="260"/>
    <s v="CUST-0188"/>
    <s v="PROD-055"/>
    <x v="25"/>
    <n v="7"/>
    <n v="2860"/>
    <n v="19.5"/>
    <n v="16116.1"/>
    <s v="Completed"/>
    <s v="Bengaluru"/>
    <x v="1"/>
    <x v="0"/>
    <x v="1"/>
  </r>
  <r>
    <s v="ORD-01681"/>
    <x v="96"/>
    <s v="CUST-0097"/>
    <s v="PROD-047"/>
    <x v="16"/>
    <n v="8"/>
    <n v="3450"/>
    <n v="25.5"/>
    <n v="20562"/>
    <s v="Pending"/>
    <s v="Mumbai"/>
    <x v="5"/>
    <x v="3"/>
    <x v="3"/>
  </r>
  <r>
    <s v="ORD-01682"/>
    <x v="344"/>
    <s v="CUST-0026"/>
    <s v="PROD-052"/>
    <x v="7"/>
    <n v="7"/>
    <n v="5410"/>
    <n v="15.2"/>
    <n v="32113.759999999998"/>
    <s v="Cancelled"/>
    <s v="Pune"/>
    <x v="1"/>
    <x v="3"/>
    <x v="9"/>
  </r>
  <r>
    <s v="ORD-01683"/>
    <x v="276"/>
    <s v="CUST-0026"/>
    <s v="PROD-040"/>
    <x v="5"/>
    <n v="3"/>
    <n v="1080"/>
    <n v="26"/>
    <n v="2397.6"/>
    <s v="Completed"/>
    <s v="Pune"/>
    <x v="3"/>
    <x v="2"/>
    <x v="9"/>
  </r>
  <r>
    <s v="ORD-01684"/>
    <x v="20"/>
    <s v="CUST-0020"/>
    <s v="PROD-055"/>
    <x v="7"/>
    <n v="8"/>
    <n v="2860"/>
    <n v="14.8"/>
    <n v="19493.759999999998"/>
    <s v="Completed"/>
    <s v="Hyderabad"/>
    <x v="1"/>
    <x v="3"/>
    <x v="2"/>
  </r>
  <r>
    <s v="ORD-01685"/>
    <x v="10"/>
    <s v="CUST-9740"/>
    <s v="PROD-045"/>
    <x v="22"/>
    <n v="4"/>
    <n v="3020"/>
    <n v="8.1"/>
    <n v="11101.52"/>
    <s v="Completed"/>
    <s v="Hyderabad"/>
    <x v="5"/>
    <x v="1"/>
    <x v="1"/>
  </r>
  <r>
    <s v="ORD-01686"/>
    <x v="51"/>
    <s v="CUST-0095"/>
    <s v="PROD-057"/>
    <x v="5"/>
    <n v="4"/>
    <n v="960"/>
    <n v="6.4"/>
    <n v="3594.24"/>
    <s v="Cancelled"/>
    <s v="Mumbai"/>
    <x v="1"/>
    <x v="2"/>
    <x v="8"/>
  </r>
  <r>
    <s v="ORD-01687"/>
    <x v="102"/>
    <s v="CUST-0079"/>
    <s v="PROD-004"/>
    <x v="20"/>
    <n v="4"/>
    <n v="3870"/>
    <n v="15.9"/>
    <n v="13018.68"/>
    <s v="Completed"/>
    <s v="Mumbai"/>
    <x v="4"/>
    <x v="2"/>
    <x v="9"/>
  </r>
  <r>
    <s v="ORD-01688"/>
    <x v="239"/>
    <s v="CUST-0060"/>
    <s v="PROD-012"/>
    <x v="16"/>
    <n v="5"/>
    <n v="3160"/>
    <n v="29.8"/>
    <n v="11091.6"/>
    <s v="Completed"/>
    <s v="Pune"/>
    <x v="0"/>
    <x v="3"/>
    <x v="2"/>
  </r>
  <r>
    <s v="ORD-01689"/>
    <x v="210"/>
    <s v="CUST-0080"/>
    <s v="PROD-047"/>
    <x v="28"/>
    <n v="5"/>
    <n v="3450"/>
    <n v="29.4"/>
    <n v="12178.5"/>
    <s v="Completed"/>
    <s v="Pune"/>
    <x v="5"/>
    <x v="2"/>
    <x v="5"/>
  </r>
  <r>
    <s v="ORD-01690"/>
    <x v="275"/>
    <s v="CUST-0136"/>
    <s v="PROD-049"/>
    <x v="26"/>
    <n v="10"/>
    <n v="960"/>
    <n v="27"/>
    <n v="7008"/>
    <s v="Cancelled"/>
    <s v="Chennai"/>
    <x v="5"/>
    <x v="3"/>
    <x v="7"/>
  </r>
  <r>
    <s v="ORD-01691"/>
    <x v="335"/>
    <s v="CUST-0074"/>
    <s v="PROD-056"/>
    <x v="26"/>
    <n v="10"/>
    <n v="6940"/>
    <n v="20.100000000000001"/>
    <n v="55450.6"/>
    <s v="Completed"/>
    <s v="Bengaluru"/>
    <x v="1"/>
    <x v="3"/>
    <x v="3"/>
  </r>
  <r>
    <s v="ORD-01692"/>
    <x v="295"/>
    <s v="CUST-0090"/>
    <s v="PROD-058"/>
    <x v="18"/>
    <n v="9"/>
    <n v="2400"/>
    <n v="7.8"/>
    <n v="19915.2"/>
    <s v="Completed"/>
    <s v="Bengaluru"/>
    <x v="1"/>
    <x v="1"/>
    <x v="3"/>
  </r>
  <r>
    <s v="ORD-01693"/>
    <x v="245"/>
    <s v="CUST-0300"/>
    <s v="PROD-052"/>
    <x v="21"/>
    <n v="1"/>
    <n v="5410"/>
    <n v="22.8"/>
    <n v="4176.5200000000004"/>
    <s v="Completed"/>
    <s v="Mumbai"/>
    <x v="1"/>
    <x v="3"/>
    <x v="5"/>
  </r>
  <r>
    <s v="ORD-01694"/>
    <x v="98"/>
    <s v="CUST-0188"/>
    <s v="PROD-009"/>
    <x v="10"/>
    <n v="7"/>
    <n v="1220"/>
    <n v="18.8"/>
    <n v="6934.48"/>
    <s v="Pending"/>
    <s v="Bengaluru"/>
    <x v="4"/>
    <x v="0"/>
    <x v="8"/>
  </r>
  <r>
    <s v="ORD-01695"/>
    <x v="127"/>
    <s v="CUST-0250"/>
    <s v="PROD-035"/>
    <x v="7"/>
    <n v="1"/>
    <n v="1090"/>
    <n v="23.5"/>
    <n v="833.85"/>
    <s v="Completed"/>
    <s v="Delhi"/>
    <x v="3"/>
    <x v="3"/>
    <x v="9"/>
  </r>
  <r>
    <s v="ORD-01696"/>
    <x v="101"/>
    <s v="CUST-0195"/>
    <s v="PROD-021"/>
    <x v="12"/>
    <n v="2"/>
    <n v="2760"/>
    <n v="2.2999999999999998"/>
    <n v="5393.04"/>
    <s v="Completed"/>
    <s v="Bengaluru"/>
    <x v="2"/>
    <x v="3"/>
    <x v="7"/>
  </r>
  <r>
    <s v="ORD-01697"/>
    <x v="17"/>
    <s v="CUST-0185"/>
    <s v="PROD-003"/>
    <x v="17"/>
    <n v="3"/>
    <n v="3570"/>
    <n v="18.399999999999999"/>
    <n v="8739.36"/>
    <s v="Refunded"/>
    <s v="Hyderabad"/>
    <x v="4"/>
    <x v="2"/>
    <x v="4"/>
  </r>
  <r>
    <s v="ORD-01698"/>
    <x v="349"/>
    <s v="CUST-0256"/>
    <s v="PROD-009"/>
    <x v="10"/>
    <n v="7"/>
    <n v="1220"/>
    <n v="25.8"/>
    <n v="6336.68"/>
    <s v="Refunded"/>
    <s v="Hyderabad"/>
    <x v="4"/>
    <x v="0"/>
    <x v="10"/>
  </r>
  <r>
    <s v="ORD-01699"/>
    <x v="350"/>
    <s v="CUST-0060"/>
    <s v="PROD-051"/>
    <x v="20"/>
    <n v="6"/>
    <n v="3450"/>
    <n v="13.1"/>
    <n v="17988.3"/>
    <s v="Completed"/>
    <s v="Pune"/>
    <x v="1"/>
    <x v="2"/>
    <x v="10"/>
  </r>
  <r>
    <s v="ORD-01700"/>
    <x v="347"/>
    <s v="CUST-0275"/>
    <s v="PROD-029"/>
    <x v="10"/>
    <n v="10"/>
    <n v="2210"/>
    <n v="16.600000000000001"/>
    <n v="18431.400000000001"/>
    <s v="Completed"/>
    <s v="Mumbai"/>
    <x v="2"/>
    <x v="0"/>
    <x v="3"/>
  </r>
  <r>
    <s v="ORD-01701"/>
    <x v="146"/>
    <s v="CUST-0114"/>
    <s v="PROD-019"/>
    <x v="28"/>
    <n v="10"/>
    <n v="2480"/>
    <n v="17.5"/>
    <n v="20460"/>
    <s v="Completed"/>
    <s v="Bengaluru"/>
    <x v="0"/>
    <x v="2"/>
    <x v="11"/>
  </r>
  <r>
    <s v="ORD-01702"/>
    <x v="286"/>
    <s v="CUST-0060"/>
    <s v="PROD-036"/>
    <x v="7"/>
    <n v="9"/>
    <n v="3250"/>
    <n v="25.9"/>
    <n v="21674.25"/>
    <s v="Completed"/>
    <s v="Pune"/>
    <x v="3"/>
    <x v="3"/>
    <x v="9"/>
  </r>
  <r>
    <s v="ORD-01703"/>
    <x v="267"/>
    <s v="CUST-0039"/>
    <s v="PROD-058"/>
    <x v="4"/>
    <n v="3"/>
    <n v="2400"/>
    <n v="17.5"/>
    <n v="5940"/>
    <s v="Completed"/>
    <s v="Bengaluru"/>
    <x v="1"/>
    <x v="0"/>
    <x v="10"/>
  </r>
  <r>
    <s v="ORD-01704"/>
    <x v="332"/>
    <s v="CUST-0033"/>
    <s v="PROD-052"/>
    <x v="3"/>
    <n v="8"/>
    <n v="5410"/>
    <n v="8.3000000000000007"/>
    <n v="39687.760000000002"/>
    <s v="Completed"/>
    <s v="Delhi"/>
    <x v="1"/>
    <x v="0"/>
    <x v="2"/>
  </r>
  <r>
    <s v="ORD-01705"/>
    <x v="81"/>
    <s v="CUST-0037"/>
    <s v="PROD-002"/>
    <x v="26"/>
    <n v="1"/>
    <n v="2600"/>
    <n v="5.9"/>
    <n v="2446.6"/>
    <s v="Completed"/>
    <s v="Bengaluru"/>
    <x v="4"/>
    <x v="3"/>
    <x v="4"/>
  </r>
  <r>
    <s v="ORD-01706"/>
    <x v="348"/>
    <s v="CUST-0081"/>
    <s v="PROD-025"/>
    <x v="11"/>
    <n v="10"/>
    <n v="4060"/>
    <n v="2.2999999999999998"/>
    <n v="39666.199999999997"/>
    <s v="Completed"/>
    <s v="Mumbai"/>
    <x v="2"/>
    <x v="0"/>
    <x v="4"/>
  </r>
  <r>
    <s v="ORD-01707"/>
    <x v="279"/>
    <s v="CUST-0279"/>
    <s v="PROD-001"/>
    <x v="16"/>
    <n v="9"/>
    <n v="5330"/>
    <n v="23.5"/>
    <n v="36697.050000000003"/>
    <s v="Completed"/>
    <s v="Mumbai"/>
    <x v="4"/>
    <x v="3"/>
    <x v="2"/>
  </r>
  <r>
    <s v="ORD-01708"/>
    <x v="77"/>
    <s v="CUST-0129"/>
    <s v="PROD-043"/>
    <x v="5"/>
    <n v="7"/>
    <n v="3350"/>
    <n v="13.4"/>
    <n v="20307.7"/>
    <s v="Pending"/>
    <s v="Hyderabad"/>
    <x v="5"/>
    <x v="2"/>
    <x v="4"/>
  </r>
  <r>
    <s v="ORD-01709"/>
    <x v="252"/>
    <s v="CUST-0010"/>
    <s v="PROD-017"/>
    <x v="2"/>
    <n v="4"/>
    <n v="2510"/>
    <n v="26.6"/>
    <n v="7369.36"/>
    <s v="Completed"/>
    <s v="Mumbai"/>
    <x v="0"/>
    <x v="1"/>
    <x v="8"/>
  </r>
  <r>
    <s v="ORD-01710"/>
    <x v="145"/>
    <s v="CUST-0006"/>
    <s v="PROD-045"/>
    <x v="13"/>
    <n v="1"/>
    <n v="3020"/>
    <n v="15.2"/>
    <n v="2560.96"/>
    <s v="Cancelled"/>
    <s v="Pune"/>
    <x v="5"/>
    <x v="3"/>
    <x v="6"/>
  </r>
  <r>
    <s v="ORD-01711"/>
    <x v="149"/>
    <s v="CUST-0206"/>
    <s v="PROD-020"/>
    <x v="20"/>
    <n v="1"/>
    <n v="820"/>
    <n v="6.3"/>
    <n v="768.34"/>
    <s v="Completed"/>
    <s v="Mumbai"/>
    <x v="0"/>
    <x v="2"/>
    <x v="0"/>
  </r>
  <r>
    <s v="ORD-01712"/>
    <x v="56"/>
    <s v="CUST-0034"/>
    <s v="PROD-012"/>
    <x v="28"/>
    <n v="4"/>
    <n v="3160"/>
    <n v="3.6"/>
    <n v="12184.96"/>
    <s v="Pending"/>
    <s v="Delhi"/>
    <x v="0"/>
    <x v="2"/>
    <x v="10"/>
  </r>
  <r>
    <s v="ORD-01713"/>
    <x v="43"/>
    <s v="CUST-0121"/>
    <s v="PROD-028"/>
    <x v="27"/>
    <n v="1"/>
    <n v="3660"/>
    <n v="28.2"/>
    <n v="2627.88"/>
    <s v="Pending"/>
    <s v="Delhi"/>
    <x v="2"/>
    <x v="1"/>
    <x v="2"/>
  </r>
  <r>
    <s v="ORD-01714"/>
    <x v="18"/>
    <s v="CUST-0098"/>
    <s v="PROD-020"/>
    <x v="17"/>
    <n v="2"/>
    <n v="820"/>
    <n v="7"/>
    <n v="1525.2"/>
    <s v="Completed"/>
    <s v="Delhi"/>
    <x v="0"/>
    <x v="2"/>
    <x v="5"/>
  </r>
  <r>
    <s v="ORD-01715"/>
    <x v="225"/>
    <s v="CUST-0031"/>
    <s v="PROD-023"/>
    <x v="24"/>
    <n v="5"/>
    <n v="2380"/>
    <n v="23"/>
    <n v="9163"/>
    <s v="Completed"/>
    <s v="Hyderabad"/>
    <x v="2"/>
    <x v="3"/>
    <x v="6"/>
  </r>
  <r>
    <s v="ORD-01716"/>
    <x v="109"/>
    <s v="CUST-0185"/>
    <s v="PROD-004"/>
    <x v="22"/>
    <n v="1"/>
    <n v="3870"/>
    <n v="27.3"/>
    <n v="2813.49"/>
    <s v="Completed"/>
    <s v="Hyderabad"/>
    <x v="4"/>
    <x v="1"/>
    <x v="4"/>
  </r>
  <r>
    <s v="ORD-01717"/>
    <x v="114"/>
    <s v="CUST-0011"/>
    <s v="PROD-005"/>
    <x v="0"/>
    <n v="10"/>
    <n v="300"/>
    <n v="14.1"/>
    <n v="2577"/>
    <s v="Cancelled"/>
    <s v="Chennai"/>
    <x v="4"/>
    <x v="0"/>
    <x v="11"/>
  </r>
  <r>
    <s v="ORD-01718"/>
    <x v="262"/>
    <s v="CUST-0223"/>
    <s v="PROD-048"/>
    <x v="28"/>
    <n v="10"/>
    <n v="5100"/>
    <n v="12.7"/>
    <n v="44523"/>
    <s v="Completed"/>
    <s v="Bengaluru"/>
    <x v="5"/>
    <x v="2"/>
    <x v="8"/>
  </r>
  <r>
    <s v="ORD-01719"/>
    <x v="55"/>
    <s v="CUST-0126"/>
    <s v="PROD-021"/>
    <x v="22"/>
    <n v="1"/>
    <n v="2760"/>
    <n v="17.8"/>
    <n v="2268.7199999999998"/>
    <s v="Refunded"/>
    <s v="Mumbai"/>
    <x v="2"/>
    <x v="1"/>
    <x v="9"/>
  </r>
  <r>
    <s v="ORD-01720"/>
    <x v="143"/>
    <s v="CUST-0284"/>
    <s v="PROD-001"/>
    <x v="25"/>
    <n v="8"/>
    <n v="5330"/>
    <n v="16.399999999999999"/>
    <n v="35647.040000000001"/>
    <s v="Completed"/>
    <s v="Hyderabad"/>
    <x v="4"/>
    <x v="0"/>
    <x v="2"/>
  </r>
  <r>
    <s v="ORD-01721"/>
    <x v="136"/>
    <s v="CUST-0011"/>
    <s v="PROD-054"/>
    <x v="29"/>
    <n v="1"/>
    <n v="1010"/>
    <n v="20.399999999999999"/>
    <n v="803.96"/>
    <s v="Cancelled"/>
    <s v="Chennai"/>
    <x v="1"/>
    <x v="1"/>
    <x v="6"/>
  </r>
  <r>
    <s v="ORD-01722"/>
    <x v="351"/>
    <s v="CUST-0275"/>
    <s v="PROD-008"/>
    <x v="7"/>
    <n v="10"/>
    <n v="2660"/>
    <n v="29.3"/>
    <n v="18806.2"/>
    <s v="Completed"/>
    <s v="Mumbai"/>
    <x v="4"/>
    <x v="3"/>
    <x v="2"/>
  </r>
  <r>
    <s v="ORD-01723"/>
    <x v="47"/>
    <s v="CUST-0259"/>
    <s v="PROD-006"/>
    <x v="23"/>
    <n v="9"/>
    <n v="3970"/>
    <n v="10.4"/>
    <n v="32014.080000000002"/>
    <s v="Pending"/>
    <s v="Mumbai"/>
    <x v="4"/>
    <x v="1"/>
    <x v="7"/>
  </r>
  <r>
    <s v="ORD-01724"/>
    <x v="22"/>
    <s v="CUST-0089"/>
    <s v="PROD-014"/>
    <x v="4"/>
    <n v="3"/>
    <n v="3620"/>
    <n v="22"/>
    <n v="8470.7999999999993"/>
    <s v="Completed"/>
    <s v="Mumbai"/>
    <x v="0"/>
    <x v="0"/>
    <x v="6"/>
  </r>
  <r>
    <s v="ORD-01725"/>
    <x v="266"/>
    <s v="CUST-0232"/>
    <s v="PROD-022"/>
    <x v="26"/>
    <n v="6"/>
    <n v="2270"/>
    <n v="11.1"/>
    <n v="12108.18"/>
    <s v="Cancelled"/>
    <s v="Hyderabad"/>
    <x v="2"/>
    <x v="3"/>
    <x v="5"/>
  </r>
  <r>
    <s v="ORD-01726"/>
    <x v="363"/>
    <s v="CUST-0220"/>
    <s v="PROD-022"/>
    <x v="2"/>
    <n v="4"/>
    <n v="2270"/>
    <n v="27.2"/>
    <n v="6610.24"/>
    <s v="Pending"/>
    <s v="Chennai"/>
    <x v="2"/>
    <x v="1"/>
    <x v="0"/>
  </r>
  <r>
    <s v="ORD-01727"/>
    <x v="31"/>
    <s v="CUST-0137"/>
    <s v="PROD-039"/>
    <x v="27"/>
    <n v="8"/>
    <n v="4610"/>
    <n v="24.5"/>
    <n v="27844.400000000001"/>
    <s v="Completed"/>
    <s v="Mumbai"/>
    <x v="3"/>
    <x v="1"/>
    <x v="9"/>
  </r>
  <r>
    <s v="ORD-01728"/>
    <x v="250"/>
    <s v="CUST-0132"/>
    <s v="PROD-060"/>
    <x v="16"/>
    <n v="6"/>
    <n v="190"/>
    <n v="8.6999999999999993"/>
    <n v="1040.82"/>
    <s v="Cancelled"/>
    <s v="Delhi"/>
    <x v="1"/>
    <x v="3"/>
    <x v="2"/>
  </r>
  <r>
    <s v="ORD-01729"/>
    <x v="7"/>
    <s v="CUST-0226"/>
    <s v="PROD-033"/>
    <x v="17"/>
    <n v="5"/>
    <n v="2030"/>
    <n v="0.9"/>
    <n v="10058.65"/>
    <s v="Cancelled"/>
    <s v="Chennai"/>
    <x v="3"/>
    <x v="2"/>
    <x v="4"/>
  </r>
  <r>
    <s v="ORD-01730"/>
    <x v="105"/>
    <s v="CUST-0080"/>
    <s v="PROD-026"/>
    <x v="16"/>
    <n v="1"/>
    <n v="4070"/>
    <n v="9.3000000000000007"/>
    <n v="3691.49"/>
    <s v="Refunded"/>
    <s v="Pune"/>
    <x v="2"/>
    <x v="3"/>
    <x v="4"/>
  </r>
  <r>
    <s v="ORD-01731"/>
    <x v="151"/>
    <s v="CUST-0068"/>
    <s v="PROD-042"/>
    <x v="19"/>
    <n v="3"/>
    <n v="2290"/>
    <n v="12.1"/>
    <n v="6038.73"/>
    <s v="Completed"/>
    <s v="Delhi"/>
    <x v="5"/>
    <x v="0"/>
    <x v="6"/>
  </r>
  <r>
    <s v="ORD-01732"/>
    <x v="282"/>
    <s v="CUST-0146"/>
    <s v="PROD-031"/>
    <x v="16"/>
    <n v="7"/>
    <n v="3730"/>
    <n v="4.5"/>
    <n v="24935.05"/>
    <s v="Completed"/>
    <s v="Hyderabad"/>
    <x v="3"/>
    <x v="3"/>
    <x v="7"/>
  </r>
  <r>
    <s v="ORD-01733"/>
    <x v="141"/>
    <s v="CUST-0106"/>
    <s v="PROD-016"/>
    <x v="1"/>
    <n v="5"/>
    <n v="620"/>
    <n v="7.5"/>
    <n v="2867.5"/>
    <s v="Completed"/>
    <s v="Pune"/>
    <x v="0"/>
    <x v="0"/>
    <x v="11"/>
  </r>
  <r>
    <s v="ORD-01734"/>
    <x v="6"/>
    <s v="CUST-0096"/>
    <s v="PROD-010"/>
    <x v="9"/>
    <n v="8"/>
    <n v="2640"/>
    <n v="16.399999999999999"/>
    <n v="17656.32"/>
    <s v="Completed"/>
    <s v="Delhi"/>
    <x v="4"/>
    <x v="1"/>
    <x v="6"/>
  </r>
  <r>
    <s v="ORD-01735"/>
    <x v="148"/>
    <s v="CUST-0248"/>
    <s v="PROD-028"/>
    <x v="10"/>
    <n v="6"/>
    <n v="3660"/>
    <n v="6.2"/>
    <n v="20598.48"/>
    <s v="Completed"/>
    <s v="Chennai"/>
    <x v="2"/>
    <x v="0"/>
    <x v="0"/>
  </r>
  <r>
    <s v="ORD-01736"/>
    <x v="11"/>
    <s v="CUST-0297"/>
    <s v="PROD-020"/>
    <x v="16"/>
    <n v="2"/>
    <n v="820"/>
    <n v="25.4"/>
    <n v="1223.44"/>
    <s v="Completed"/>
    <s v="Hyderabad"/>
    <x v="0"/>
    <x v="3"/>
    <x v="7"/>
  </r>
  <r>
    <s v="ORD-01737"/>
    <x v="102"/>
    <s v="CUST-0120"/>
    <s v="PROD-019"/>
    <x v="13"/>
    <n v="3"/>
    <n v="2480"/>
    <n v="28.7"/>
    <n v="5304.72"/>
    <s v="Pending"/>
    <s v="Mumbai"/>
    <x v="0"/>
    <x v="3"/>
    <x v="9"/>
  </r>
  <r>
    <s v="ORD-01738"/>
    <x v="166"/>
    <s v="CUST-0148"/>
    <s v="PROD-050"/>
    <x v="8"/>
    <n v="10"/>
    <n v="6080"/>
    <n v="18.899999999999999"/>
    <n v="49308.800000000003"/>
    <s v="Completed"/>
    <s v="Chennai"/>
    <x v="5"/>
    <x v="2"/>
    <x v="7"/>
  </r>
  <r>
    <s v="ORD-01739"/>
    <x v="260"/>
    <s v="CUST-0008"/>
    <s v="PROD-060"/>
    <x v="24"/>
    <n v="1"/>
    <n v="190"/>
    <n v="5.7"/>
    <n v="179.17"/>
    <s v="Completed"/>
    <s v="Pune"/>
    <x v="1"/>
    <x v="3"/>
    <x v="1"/>
  </r>
  <r>
    <s v="ORD-01740"/>
    <x v="113"/>
    <s v="CUST-0013"/>
    <s v="PROD-059"/>
    <x v="17"/>
    <n v="2"/>
    <n v="3780"/>
    <n v="11.8"/>
    <n v="6667.92"/>
    <s v="Completed"/>
    <s v="Delhi"/>
    <x v="1"/>
    <x v="2"/>
    <x v="6"/>
  </r>
  <r>
    <s v="ORD-01741"/>
    <x v="341"/>
    <s v="CUST-0234"/>
    <s v="PROD-036"/>
    <x v="19"/>
    <n v="5"/>
    <n v="3250"/>
    <n v="19.899999999999999"/>
    <n v="13016.25"/>
    <s v="Completed"/>
    <s v="Bengaluru"/>
    <x v="3"/>
    <x v="0"/>
    <x v="4"/>
  </r>
  <r>
    <s v="ORD-01742"/>
    <x v="13"/>
    <s v="CUST-0207"/>
    <s v="PROD-033"/>
    <x v="4"/>
    <n v="7"/>
    <n v="2030"/>
    <n v="4.0999999999999996"/>
    <n v="13627.39"/>
    <s v="Completed"/>
    <s v="Hyderabad"/>
    <x v="3"/>
    <x v="0"/>
    <x v="2"/>
  </r>
  <r>
    <s v="ORD-01743"/>
    <x v="330"/>
    <s v="CUST-0245"/>
    <s v="PROD-046"/>
    <x v="27"/>
    <n v="5"/>
    <n v="4880"/>
    <n v="22.9"/>
    <n v="18812.400000000001"/>
    <s v="Completed"/>
    <s v="Hyderabad"/>
    <x v="5"/>
    <x v="1"/>
    <x v="8"/>
  </r>
  <r>
    <s v="ORD-01744"/>
    <x v="92"/>
    <s v="CUST-0044"/>
    <s v="PROD-043"/>
    <x v="16"/>
    <n v="3"/>
    <n v="3350"/>
    <n v="15.2"/>
    <n v="8522.4"/>
    <s v="Pending"/>
    <s v="Hyderabad"/>
    <x v="5"/>
    <x v="3"/>
    <x v="11"/>
  </r>
  <r>
    <s v="ORD-01745"/>
    <x v="54"/>
    <s v="CUST-0264"/>
    <s v="PROD-055"/>
    <x v="20"/>
    <n v="10"/>
    <n v="2860"/>
    <n v="15"/>
    <n v="24310"/>
    <s v="Completed"/>
    <s v="Pune"/>
    <x v="1"/>
    <x v="2"/>
    <x v="3"/>
  </r>
  <r>
    <s v="ORD-01746"/>
    <x v="328"/>
    <s v="CUST-0193"/>
    <s v="PROD-047"/>
    <x v="26"/>
    <n v="5"/>
    <n v="3450"/>
    <n v="2.2999999999999998"/>
    <n v="16853.25"/>
    <s v="Completed"/>
    <s v="Bengaluru"/>
    <x v="5"/>
    <x v="3"/>
    <x v="6"/>
  </r>
  <r>
    <s v="ORD-01747"/>
    <x v="245"/>
    <s v="CUST-0006"/>
    <s v="PROD-024"/>
    <x v="15"/>
    <n v="3"/>
    <n v="2270"/>
    <n v="2.8"/>
    <n v="6619.32"/>
    <s v="Pending"/>
    <s v="Pune"/>
    <x v="2"/>
    <x v="1"/>
    <x v="5"/>
  </r>
  <r>
    <s v="ORD-01748"/>
    <x v="20"/>
    <s v="CUST-0221"/>
    <s v="PROD-028"/>
    <x v="0"/>
    <n v="8"/>
    <n v="3660"/>
    <n v="16.8"/>
    <n v="24360.959999999999"/>
    <s v="Completed"/>
    <s v="Delhi"/>
    <x v="2"/>
    <x v="0"/>
    <x v="2"/>
  </r>
  <r>
    <s v="ORD-01749"/>
    <x v="277"/>
    <s v="CUST-0151"/>
    <s v="PROD-045"/>
    <x v="4"/>
    <n v="7"/>
    <n v="3020"/>
    <n v="17.8"/>
    <n v="17377.080000000002"/>
    <s v="Completed"/>
    <s v="Mumbai"/>
    <x v="5"/>
    <x v="0"/>
    <x v="6"/>
  </r>
  <r>
    <s v="ORD-01750"/>
    <x v="78"/>
    <s v="CUST-0188"/>
    <s v="PROD-040"/>
    <x v="2"/>
    <n v="7"/>
    <n v="1080"/>
    <n v="12.9"/>
    <n v="6584.76"/>
    <s v="Completed"/>
    <s v="Bengaluru"/>
    <x v="3"/>
    <x v="1"/>
    <x v="9"/>
  </r>
  <r>
    <s v="ORD-01751"/>
    <x v="315"/>
    <s v="CUST-0010"/>
    <s v="PROD-022"/>
    <x v="27"/>
    <n v="2"/>
    <n v="2270"/>
    <n v="8.6"/>
    <n v="4149.5600000000004"/>
    <s v="Cancelled"/>
    <s v="Mumbai"/>
    <x v="2"/>
    <x v="1"/>
    <x v="10"/>
  </r>
  <r>
    <s v="ORD-01752"/>
    <x v="338"/>
    <s v="CUST-0018"/>
    <s v="PROD-016"/>
    <x v="27"/>
    <n v="10"/>
    <n v="620"/>
    <n v="26.1"/>
    <n v="4581.8"/>
    <s v="Completed"/>
    <s v="Pune"/>
    <x v="0"/>
    <x v="1"/>
    <x v="6"/>
  </r>
  <r>
    <s v="ORD-01753"/>
    <x v="230"/>
    <s v="CUST-0262"/>
    <s v="PROD-025"/>
    <x v="15"/>
    <n v="2"/>
    <n v="4060"/>
    <n v="3.8"/>
    <n v="7811.44"/>
    <s v="Completed"/>
    <s v="Mumbai"/>
    <x v="2"/>
    <x v="1"/>
    <x v="0"/>
  </r>
  <r>
    <s v="ORD-01754"/>
    <x v="56"/>
    <s v="CUST-0282"/>
    <s v="PROD-027"/>
    <x v="27"/>
    <n v="1"/>
    <n v="3780"/>
    <n v="27.9"/>
    <n v="2725.38"/>
    <s v="Completed"/>
    <s v="Hyderabad"/>
    <x v="2"/>
    <x v="1"/>
    <x v="10"/>
  </r>
  <r>
    <s v="ORD-01755"/>
    <x v="7"/>
    <s v="CUST-0194"/>
    <s v="PROD-023"/>
    <x v="24"/>
    <n v="8"/>
    <n v="2380"/>
    <n v="3.8"/>
    <n v="18316.48"/>
    <s v="Completed"/>
    <s v="Delhi"/>
    <x v="2"/>
    <x v="3"/>
    <x v="4"/>
  </r>
  <r>
    <s v="ORD-01756"/>
    <x v="239"/>
    <s v="CUST-0161"/>
    <s v="PROD-026"/>
    <x v="6"/>
    <n v="7"/>
    <n v="4070"/>
    <n v="0.3"/>
    <n v="28404.53"/>
    <s v="Completed"/>
    <s v="Chennai"/>
    <x v="2"/>
    <x v="2"/>
    <x v="2"/>
  </r>
  <r>
    <s v="ORD-01757"/>
    <x v="61"/>
    <s v="CUST-0120"/>
    <s v="PROD-010"/>
    <x v="16"/>
    <n v="6"/>
    <n v="2640"/>
    <n v="3.4"/>
    <n v="15301.44"/>
    <s v="Completed"/>
    <s v="Mumbai"/>
    <x v="4"/>
    <x v="3"/>
    <x v="6"/>
  </r>
  <r>
    <s v="ORD-01758"/>
    <x v="312"/>
    <s v="CUST-0250"/>
    <s v="PROD-059"/>
    <x v="14"/>
    <n v="10"/>
    <n v="3780"/>
    <n v="13.3"/>
    <n v="32772.6"/>
    <s v="Completed"/>
    <s v="Delhi"/>
    <x v="1"/>
    <x v="2"/>
    <x v="2"/>
  </r>
  <r>
    <s v="ORD-01759"/>
    <x v="272"/>
    <s v="CUST-0054"/>
    <s v="PROD-043"/>
    <x v="18"/>
    <n v="9"/>
    <n v="3350"/>
    <n v="12.8"/>
    <n v="26290.799999999999"/>
    <s v="Completed"/>
    <s v="Mumbai"/>
    <x v="5"/>
    <x v="1"/>
    <x v="11"/>
  </r>
  <r>
    <s v="ORD-01760"/>
    <x v="61"/>
    <s v="CUST-0247"/>
    <s v="PROD-012"/>
    <x v="6"/>
    <n v="7"/>
    <n v="3160"/>
    <n v="15.3"/>
    <n v="18735.64"/>
    <s v="Completed"/>
    <s v="Pune"/>
    <x v="0"/>
    <x v="2"/>
    <x v="6"/>
  </r>
  <r>
    <s v="ORD-01761"/>
    <x v="49"/>
    <s v="CUST-0127"/>
    <s v="PROD-055"/>
    <x v="10"/>
    <n v="6"/>
    <n v="2860"/>
    <n v="17.5"/>
    <n v="14157"/>
    <s v="Completed"/>
    <s v="Bengaluru"/>
    <x v="1"/>
    <x v="0"/>
    <x v="3"/>
  </r>
  <r>
    <s v="ORD-01762"/>
    <x v="123"/>
    <s v="CUST-0030"/>
    <s v="PROD-005"/>
    <x v="9"/>
    <n v="9"/>
    <n v="300"/>
    <n v="25.2"/>
    <n v="2019.6"/>
    <s v="Completed"/>
    <s v="Bengaluru"/>
    <x v="4"/>
    <x v="1"/>
    <x v="1"/>
  </r>
  <r>
    <s v="ORD-01763"/>
    <x v="197"/>
    <s v="CUST-0205"/>
    <s v="PROD-060"/>
    <x v="16"/>
    <n v="5"/>
    <n v="190"/>
    <n v="1.8"/>
    <n v="932.9"/>
    <s v="Completed"/>
    <s v="Pune"/>
    <x v="1"/>
    <x v="3"/>
    <x v="11"/>
  </r>
  <r>
    <s v="ORD-01764"/>
    <x v="80"/>
    <s v="CUST-0172"/>
    <s v="PROD-054"/>
    <x v="13"/>
    <n v="7"/>
    <n v="1010"/>
    <n v="11.2"/>
    <n v="6278.16"/>
    <s v="Completed"/>
    <s v="Pune"/>
    <x v="1"/>
    <x v="3"/>
    <x v="7"/>
  </r>
  <r>
    <s v="ORD-01765"/>
    <x v="50"/>
    <s v="CUST-0283"/>
    <s v="PROD-051"/>
    <x v="19"/>
    <n v="8"/>
    <n v="3450"/>
    <n v="8.4"/>
    <n v="25281.599999999999"/>
    <s v="Completed"/>
    <s v="Delhi"/>
    <x v="1"/>
    <x v="0"/>
    <x v="7"/>
  </r>
  <r>
    <s v="ORD-01766"/>
    <x v="100"/>
    <s v="CUST-0005"/>
    <s v="PROD-005"/>
    <x v="19"/>
    <n v="3"/>
    <n v="300"/>
    <n v="7.5"/>
    <n v="832.5"/>
    <s v="Refunded"/>
    <s v="Chennai"/>
    <x v="4"/>
    <x v="0"/>
    <x v="4"/>
  </r>
  <r>
    <s v="ORD-01767"/>
    <x v="43"/>
    <s v="CUST-0095"/>
    <s v="PROD-031"/>
    <x v="26"/>
    <n v="4"/>
    <n v="3730"/>
    <n v="24.8"/>
    <n v="11219.84"/>
    <s v="Completed"/>
    <s v="Mumbai"/>
    <x v="3"/>
    <x v="3"/>
    <x v="2"/>
  </r>
  <r>
    <s v="ORD-01768"/>
    <x v="32"/>
    <s v="CUST-0142"/>
    <s v="PROD-058"/>
    <x v="16"/>
    <n v="5"/>
    <n v="2400"/>
    <n v="9.1999999999999993"/>
    <n v="10896"/>
    <s v="Completed"/>
    <s v="Chennai"/>
    <x v="1"/>
    <x v="3"/>
    <x v="6"/>
  </r>
  <r>
    <s v="ORD-01769"/>
    <x v="303"/>
    <s v="CUST-0028"/>
    <s v="PROD-021"/>
    <x v="19"/>
    <n v="3"/>
    <n v="2760"/>
    <n v="2.4"/>
    <n v="8081.28"/>
    <s v="Completed"/>
    <s v="Bengaluru"/>
    <x v="2"/>
    <x v="0"/>
    <x v="4"/>
  </r>
  <r>
    <s v="ORD-01770"/>
    <x v="289"/>
    <s v="CUST-0118"/>
    <s v="PROD-053"/>
    <x v="18"/>
    <n v="8"/>
    <n v="470"/>
    <n v="24.8"/>
    <n v="2827.52"/>
    <s v="Pending"/>
    <s v="Hyderabad"/>
    <x v="1"/>
    <x v="1"/>
    <x v="0"/>
  </r>
  <r>
    <s v="ORD-01771"/>
    <x v="142"/>
    <s v="CUST-0231"/>
    <s v="PROD-053"/>
    <x v="28"/>
    <n v="3"/>
    <n v="470"/>
    <n v="18.600000000000001"/>
    <n v="1147.74"/>
    <s v="Completed"/>
    <s v="Chennai"/>
    <x v="1"/>
    <x v="2"/>
    <x v="8"/>
  </r>
  <r>
    <s v="ORD-01772"/>
    <x v="228"/>
    <s v="CUST-0264"/>
    <s v="PROD-032"/>
    <x v="8"/>
    <n v="2"/>
    <n v="370"/>
    <n v="24"/>
    <n v="562.4"/>
    <s v="Completed"/>
    <s v="Pune"/>
    <x v="3"/>
    <x v="2"/>
    <x v="9"/>
  </r>
  <r>
    <s v="ORD-01773"/>
    <x v="90"/>
    <s v="CUST-0120"/>
    <s v="PROD-029"/>
    <x v="19"/>
    <n v="6"/>
    <n v="2210"/>
    <n v="28.3"/>
    <n v="9507.42"/>
    <s v="Cancelled"/>
    <s v="Mumbai"/>
    <x v="2"/>
    <x v="0"/>
    <x v="1"/>
  </r>
  <r>
    <s v="ORD-01774"/>
    <x v="0"/>
    <s v="CUST-0185"/>
    <s v="PROD-056"/>
    <x v="25"/>
    <n v="3"/>
    <n v="6940"/>
    <n v="27.2"/>
    <n v="15156.96"/>
    <s v="Refunded"/>
    <s v="Hyderabad"/>
    <x v="1"/>
    <x v="0"/>
    <x v="0"/>
  </r>
  <r>
    <s v="ORD-01775"/>
    <x v="318"/>
    <s v="CUST-0174"/>
    <s v="PROD-033"/>
    <x v="26"/>
    <n v="10"/>
    <n v="2030"/>
    <n v="25.6"/>
    <n v="15103.2"/>
    <s v="Completed"/>
    <s v="Pune"/>
    <x v="3"/>
    <x v="3"/>
    <x v="3"/>
  </r>
  <r>
    <s v="ORD-01776"/>
    <x v="80"/>
    <s v="CUST-0174"/>
    <s v="PROD-054"/>
    <x v="21"/>
    <n v="9"/>
    <n v="1010"/>
    <n v="9.3000000000000007"/>
    <n v="8244.6299999999992"/>
    <s v="Completed"/>
    <s v="Pune"/>
    <x v="1"/>
    <x v="3"/>
    <x v="7"/>
  </r>
  <r>
    <s v="ORD-01777"/>
    <x v="297"/>
    <s v="CUST-0084"/>
    <s v="PROD-017"/>
    <x v="25"/>
    <n v="5"/>
    <n v="2510"/>
    <n v="22.2"/>
    <n v="9763.9"/>
    <s v="Completed"/>
    <s v="Chennai"/>
    <x v="0"/>
    <x v="0"/>
    <x v="9"/>
  </r>
  <r>
    <s v="ORD-01778"/>
    <x v="236"/>
    <s v="CUST-0270"/>
    <s v="PROD-032"/>
    <x v="25"/>
    <n v="10"/>
    <n v="370"/>
    <n v="29"/>
    <n v="2627"/>
    <s v="Completed"/>
    <s v="Bengaluru"/>
    <x v="3"/>
    <x v="0"/>
    <x v="3"/>
  </r>
  <r>
    <s v="ORD-01779"/>
    <x v="210"/>
    <s v="CUST-0178"/>
    <s v="PROD-019"/>
    <x v="13"/>
    <n v="3"/>
    <n v="2480"/>
    <n v="9.6"/>
    <n v="6725.76"/>
    <s v="Completed"/>
    <s v="Hyderabad"/>
    <x v="0"/>
    <x v="3"/>
    <x v="5"/>
  </r>
  <r>
    <s v="ORD-01780"/>
    <x v="128"/>
    <s v="CUST-0019"/>
    <s v="PROD-010"/>
    <x v="21"/>
    <n v="3"/>
    <n v="2640"/>
    <n v="10.199999999999999"/>
    <n v="7112.16"/>
    <s v="Cancelled"/>
    <s v="Chennai"/>
    <x v="4"/>
    <x v="3"/>
    <x v="8"/>
  </r>
  <r>
    <s v="ORD-01781"/>
    <x v="172"/>
    <s v="CUST-0276"/>
    <s v="PROD-035"/>
    <x v="16"/>
    <n v="1"/>
    <n v="1090"/>
    <n v="21.6"/>
    <n v="854.56"/>
    <s v="Cancelled"/>
    <s v="Chennai"/>
    <x v="3"/>
    <x v="3"/>
    <x v="10"/>
  </r>
  <r>
    <s v="ORD-01782"/>
    <x v="38"/>
    <s v="CUST-0076"/>
    <s v="PROD-043"/>
    <x v="25"/>
    <n v="10"/>
    <n v="3350"/>
    <n v="12.1"/>
    <n v="29446.5"/>
    <s v="Completed"/>
    <s v="Mumbai"/>
    <x v="5"/>
    <x v="0"/>
    <x v="4"/>
  </r>
  <r>
    <s v="ORD-01783"/>
    <x v="254"/>
    <s v="CUST-0085"/>
    <s v="PROD-050"/>
    <x v="15"/>
    <n v="4"/>
    <n v="6080"/>
    <n v="26.7"/>
    <n v="17826.560000000001"/>
    <s v="Cancelled"/>
    <s v="Chennai"/>
    <x v="5"/>
    <x v="1"/>
    <x v="0"/>
  </r>
  <r>
    <s v="ORD-01784"/>
    <x v="332"/>
    <s v="CUST-0245"/>
    <s v="PROD-049"/>
    <x v="25"/>
    <n v="3"/>
    <n v="960"/>
    <n v="13.2"/>
    <n v="2499.84"/>
    <s v="Completed"/>
    <s v="Hyderabad"/>
    <x v="5"/>
    <x v="0"/>
    <x v="2"/>
  </r>
  <r>
    <s v="ORD-01785"/>
    <x v="294"/>
    <s v="CUST-0135"/>
    <s v="PROD-028"/>
    <x v="0"/>
    <n v="9"/>
    <n v="3660"/>
    <n v="9.3000000000000007"/>
    <n v="29876.58"/>
    <s v="Cancelled"/>
    <s v="Pune"/>
    <x v="2"/>
    <x v="0"/>
    <x v="4"/>
  </r>
  <r>
    <s v="ORD-01786"/>
    <x v="321"/>
    <s v="CUST-0224"/>
    <s v="PROD-047"/>
    <x v="7"/>
    <n v="6"/>
    <n v="3450"/>
    <n v="8.1999999999999993"/>
    <n v="19002.599999999999"/>
    <s v="Completed"/>
    <s v="Chennai"/>
    <x v="5"/>
    <x v="3"/>
    <x v="5"/>
  </r>
  <r>
    <s v="ORD-01787"/>
    <x v="292"/>
    <s v="CUST-0036"/>
    <s v="PROD-039"/>
    <x v="16"/>
    <n v="7"/>
    <n v="4610"/>
    <n v="10.4"/>
    <n v="28913.919999999998"/>
    <s v="Completed"/>
    <s v="Mumbai"/>
    <x v="3"/>
    <x v="3"/>
    <x v="3"/>
  </r>
  <r>
    <s v="ORD-01788"/>
    <x v="201"/>
    <s v="CUST-0197"/>
    <s v="PROD-057"/>
    <x v="18"/>
    <n v="2"/>
    <n v="960"/>
    <n v="16.5"/>
    <n v="1603.2"/>
    <s v="Completed"/>
    <s v="Bengaluru"/>
    <x v="1"/>
    <x v="1"/>
    <x v="7"/>
  </r>
  <r>
    <s v="ORD-01789"/>
    <x v="223"/>
    <s v="CUST-0111"/>
    <s v="PROD-032"/>
    <x v="12"/>
    <n v="7"/>
    <n v="370"/>
    <n v="1.4"/>
    <n v="2553.7399999999998"/>
    <s v="Refunded"/>
    <s v="Chennai"/>
    <x v="3"/>
    <x v="3"/>
    <x v="0"/>
  </r>
  <r>
    <s v="ORD-01790"/>
    <x v="275"/>
    <s v="CUST-0198"/>
    <s v="PROD-024"/>
    <x v="10"/>
    <n v="3"/>
    <n v="2270"/>
    <n v="12.6"/>
    <n v="5951.94"/>
    <s v="Completed"/>
    <s v="Chennai"/>
    <x v="2"/>
    <x v="0"/>
    <x v="7"/>
  </r>
  <r>
    <s v="ORD-00268"/>
    <x v="114"/>
    <s v="CUST-0049"/>
    <s v="PROD-036"/>
    <x v="2"/>
    <n v="1"/>
    <n v="3250"/>
    <n v="17.8"/>
    <n v="2671.5"/>
    <s v="Completed"/>
    <s v="Mumbai"/>
    <x v="3"/>
    <x v="1"/>
    <x v="11"/>
  </r>
  <r>
    <s v="ORD-01792"/>
    <x v="280"/>
    <s v="CUST-0029"/>
    <s v="PROD-016"/>
    <x v="26"/>
    <n v="5"/>
    <n v="620"/>
    <n v="19.399999999999999"/>
    <n v="2498.6"/>
    <s v="Pending"/>
    <s v="Chennai"/>
    <x v="0"/>
    <x v="3"/>
    <x v="5"/>
  </r>
  <r>
    <s v="ORD-01793"/>
    <x v="77"/>
    <s v="CUST-0018"/>
    <s v="PROD-008"/>
    <x v="1"/>
    <n v="6"/>
    <n v="2660"/>
    <n v="14.9"/>
    <n v="13581.96"/>
    <s v="Completed"/>
    <s v="Pune"/>
    <x v="4"/>
    <x v="0"/>
    <x v="4"/>
  </r>
  <r>
    <s v="ORD-01794"/>
    <x v="357"/>
    <s v="CUST-0007"/>
    <s v="PROD-014"/>
    <x v="19"/>
    <n v="5"/>
    <n v="3620"/>
    <n v="21"/>
    <n v="14299"/>
    <s v="Cancelled"/>
    <s v="Bengaluru"/>
    <x v="0"/>
    <x v="0"/>
    <x v="7"/>
  </r>
  <r>
    <s v="ORD-01795"/>
    <x v="228"/>
    <s v="CUST-0014"/>
    <s v="PROD-013"/>
    <x v="13"/>
    <n v="1"/>
    <n v="3640"/>
    <n v="15.8"/>
    <n v="3064.88"/>
    <s v="Completed"/>
    <s v="Bengaluru"/>
    <x v="0"/>
    <x v="3"/>
    <x v="9"/>
  </r>
  <r>
    <s v="ORD-01796"/>
    <x v="328"/>
    <s v="CUST-0215"/>
    <s v="PROD-009"/>
    <x v="0"/>
    <n v="1"/>
    <n v="1220"/>
    <n v="0.6"/>
    <n v="1212.68"/>
    <s v="Refunded"/>
    <s v="Hyderabad"/>
    <x v="4"/>
    <x v="0"/>
    <x v="6"/>
  </r>
  <r>
    <s v="ORD-01797"/>
    <x v="154"/>
    <s v="CUST-0056"/>
    <s v="PROD-019"/>
    <x v="25"/>
    <n v="10"/>
    <n v="2480"/>
    <n v="0.6"/>
    <n v="24651.200000000001"/>
    <s v="Completed"/>
    <s v="Bengaluru"/>
    <x v="0"/>
    <x v="0"/>
    <x v="1"/>
  </r>
  <r>
    <s v="ORD-01798"/>
    <x v="287"/>
    <s v="CUST-0231"/>
    <s v="PROD-044"/>
    <x v="28"/>
    <n v="9"/>
    <n v="1650"/>
    <n v="26.8"/>
    <n v="10870.2"/>
    <s v="Completed"/>
    <s v="Chennai"/>
    <x v="5"/>
    <x v="2"/>
    <x v="8"/>
  </r>
  <r>
    <s v="ORD-01799"/>
    <x v="9"/>
    <s v="CUST-0138"/>
    <s v="PROD-045"/>
    <x v="4"/>
    <n v="10"/>
    <n v="3020"/>
    <n v="2.6"/>
    <n v="29414.799999999999"/>
    <s v="Completed"/>
    <s v="Chennai"/>
    <x v="5"/>
    <x v="0"/>
    <x v="0"/>
  </r>
  <r>
    <s v="ORD-01800"/>
    <x v="227"/>
    <s v="CUST-0007"/>
    <s v="PROD-011"/>
    <x v="2"/>
    <n v="5"/>
    <n v="3450"/>
    <n v="25.3"/>
    <n v="12885.75"/>
    <s v="Completed"/>
    <s v="Bengaluru"/>
    <x v="0"/>
    <x v="1"/>
    <x v="0"/>
  </r>
  <r>
    <s v="ORD-01801"/>
    <x v="136"/>
    <s v="CUST-0118"/>
    <s v="PROD-009"/>
    <x v="7"/>
    <n v="7"/>
    <n v="1220"/>
    <n v="13.1"/>
    <n v="7421.26"/>
    <s v="Completed"/>
    <s v="Hyderabad"/>
    <x v="4"/>
    <x v="3"/>
    <x v="6"/>
  </r>
  <r>
    <s v="ORD-01802"/>
    <x v="344"/>
    <s v="CUST-0064"/>
    <s v="PROD-027"/>
    <x v="1"/>
    <n v="10"/>
    <n v="3780"/>
    <n v="23.7"/>
    <n v="28841.4"/>
    <s v="Completed"/>
    <s v="Hyderabad"/>
    <x v="2"/>
    <x v="0"/>
    <x v="9"/>
  </r>
  <r>
    <s v="ORD-01803"/>
    <x v="171"/>
    <s v="CUST-0298"/>
    <s v="PROD-008"/>
    <x v="25"/>
    <n v="8"/>
    <n v="2660"/>
    <n v="16.100000000000001"/>
    <n v="17853.919999999998"/>
    <s v="Completed"/>
    <s v="Delhi"/>
    <x v="4"/>
    <x v="0"/>
    <x v="5"/>
  </r>
  <r>
    <s v="ORD-01804"/>
    <x v="200"/>
    <s v="CUST-0020"/>
    <s v="PROD-035"/>
    <x v="4"/>
    <n v="6"/>
    <n v="1090"/>
    <n v="20"/>
    <n v="5232"/>
    <s v="Pending"/>
    <s v="Hyderabad"/>
    <x v="3"/>
    <x v="0"/>
    <x v="1"/>
  </r>
  <r>
    <s v="ORD-01805"/>
    <x v="258"/>
    <s v="CUST-9725"/>
    <s v="PROD-037"/>
    <x v="29"/>
    <n v="2"/>
    <n v="660"/>
    <n v="18.7"/>
    <n v="1073.1600000000001"/>
    <s v="Completed"/>
    <s v="Mumbai"/>
    <x v="3"/>
    <x v="1"/>
    <x v="1"/>
  </r>
  <r>
    <s v="ORD-01806"/>
    <x v="10"/>
    <s v="CUST-0063"/>
    <s v="PROD-035"/>
    <x v="15"/>
    <n v="7"/>
    <n v="1090"/>
    <n v="19.399999999999999"/>
    <n v="6149.78"/>
    <s v="Pending"/>
    <s v="Mumbai"/>
    <x v="3"/>
    <x v="1"/>
    <x v="1"/>
  </r>
  <r>
    <s v="ORD-01807"/>
    <x v="335"/>
    <s v="CUST-0193"/>
    <s v="PROD-029"/>
    <x v="15"/>
    <n v="3"/>
    <n v="2210"/>
    <n v="11"/>
    <n v="5900.7"/>
    <s v="Completed"/>
    <s v="Bengaluru"/>
    <x v="2"/>
    <x v="1"/>
    <x v="3"/>
  </r>
  <r>
    <s v="ORD-01808"/>
    <x v="103"/>
    <s v="CUST-0142"/>
    <s v="PROD-006"/>
    <x v="20"/>
    <n v="2"/>
    <n v="3970"/>
    <n v="24.9"/>
    <n v="5962.94"/>
    <s v="Completed"/>
    <s v="Chennai"/>
    <x v="4"/>
    <x v="2"/>
    <x v="3"/>
  </r>
  <r>
    <s v="ORD-01809"/>
    <x v="210"/>
    <s v="CUST-0264"/>
    <s v="PROD-039"/>
    <x v="13"/>
    <n v="7"/>
    <n v="4610"/>
    <n v="6.3"/>
    <n v="30236.99"/>
    <s v="Completed"/>
    <s v="Pune"/>
    <x v="3"/>
    <x v="3"/>
    <x v="5"/>
  </r>
  <r>
    <s v="ORD-01810"/>
    <x v="210"/>
    <s v="CUST-0121"/>
    <s v="PROD-049"/>
    <x v="17"/>
    <n v="10"/>
    <n v="960"/>
    <n v="14.6"/>
    <n v="8198.4"/>
    <s v="Completed"/>
    <s v="Delhi"/>
    <x v="5"/>
    <x v="2"/>
    <x v="5"/>
  </r>
  <r>
    <s v="ORD-01811"/>
    <x v="77"/>
    <s v="CUST-0152"/>
    <s v="PROD-045"/>
    <x v="29"/>
    <n v="8"/>
    <n v="3020"/>
    <n v="14.5"/>
    <n v="20656.8"/>
    <s v="Completed"/>
    <s v="Bengaluru"/>
    <x v="5"/>
    <x v="1"/>
    <x v="4"/>
  </r>
  <r>
    <s v="ORD-01812"/>
    <x v="98"/>
    <s v="CUST-0008"/>
    <s v="PROD-019"/>
    <x v="17"/>
    <n v="7"/>
    <n v="2480"/>
    <n v="17.3"/>
    <n v="14356.72"/>
    <s v="Completed"/>
    <s v="Pune"/>
    <x v="0"/>
    <x v="2"/>
    <x v="8"/>
  </r>
  <r>
    <s v="ORD-01813"/>
    <x v="259"/>
    <s v="CUST-0285"/>
    <s v="PROD-004"/>
    <x v="22"/>
    <n v="10"/>
    <n v="3870"/>
    <n v="22.4"/>
    <n v="30031.200000000001"/>
    <s v="Pending"/>
    <s v="Hyderabad"/>
    <x v="4"/>
    <x v="1"/>
    <x v="1"/>
  </r>
  <r>
    <s v="ORD-01814"/>
    <x v="317"/>
    <s v="CUST-0072"/>
    <s v="PROD-037"/>
    <x v="24"/>
    <n v="6"/>
    <n v="660"/>
    <n v="27.3"/>
    <n v="2878.92"/>
    <s v="Completed"/>
    <s v="Mumbai"/>
    <x v="3"/>
    <x v="3"/>
    <x v="0"/>
  </r>
  <r>
    <s v="ORD-01815"/>
    <x v="188"/>
    <s v="CUST-9630"/>
    <s v="PROD-004"/>
    <x v="17"/>
    <n v="3"/>
    <n v="3870"/>
    <n v="7.6"/>
    <n v="10727.64"/>
    <s v="Cancelled"/>
    <s v="Chennai"/>
    <x v="4"/>
    <x v="2"/>
    <x v="11"/>
  </r>
  <r>
    <s v="ORD-01816"/>
    <x v="176"/>
    <s v="CUST-0243"/>
    <s v="PROD-019"/>
    <x v="3"/>
    <n v="10"/>
    <n v="2480"/>
    <n v="21.5"/>
    <n v="19468"/>
    <s v="Pending"/>
    <s v="Pune"/>
    <x v="0"/>
    <x v="0"/>
    <x v="0"/>
  </r>
  <r>
    <s v="ORD-01817"/>
    <x v="175"/>
    <s v="CUST-0231"/>
    <s v="PROD-010"/>
    <x v="19"/>
    <n v="8"/>
    <n v="2640"/>
    <n v="22.3"/>
    <n v="16410.240000000002"/>
    <s v="Completed"/>
    <s v="Chennai"/>
    <x v="4"/>
    <x v="0"/>
    <x v="8"/>
  </r>
  <r>
    <s v="ORD-01818"/>
    <x v="115"/>
    <s v="CUST-0229"/>
    <s v="PROD-030"/>
    <x v="19"/>
    <n v="8"/>
    <n v="970"/>
    <n v="13.1"/>
    <n v="6743.44"/>
    <s v="Completed"/>
    <s v="Hyderabad"/>
    <x v="2"/>
    <x v="0"/>
    <x v="0"/>
  </r>
  <r>
    <s v="ORD-01819"/>
    <x v="104"/>
    <s v="CUST-0218"/>
    <s v="PROD-057"/>
    <x v="19"/>
    <n v="6"/>
    <n v="960"/>
    <n v="3.2"/>
    <n v="5575.68"/>
    <s v="Completed"/>
    <s v="Mumbai"/>
    <x v="1"/>
    <x v="0"/>
    <x v="3"/>
  </r>
  <r>
    <s v="ORD-01820"/>
    <x v="277"/>
    <s v="CUST-0015"/>
    <s v="PROD-033"/>
    <x v="4"/>
    <n v="9"/>
    <n v="2030"/>
    <n v="12.6"/>
    <n v="15967.98"/>
    <s v="Cancelled"/>
    <s v="Chennai"/>
    <x v="3"/>
    <x v="0"/>
    <x v="6"/>
  </r>
  <r>
    <s v="ORD-01821"/>
    <x v="244"/>
    <s v="CUST-0291"/>
    <s v="PROD-042"/>
    <x v="6"/>
    <n v="10"/>
    <n v="2290"/>
    <n v="22.2"/>
    <n v="17816.2"/>
    <s v="Completed"/>
    <s v="Pune"/>
    <x v="5"/>
    <x v="2"/>
    <x v="5"/>
  </r>
  <r>
    <s v="ORD-01822"/>
    <x v="41"/>
    <s v="CUST-0276"/>
    <s v="PROD-020"/>
    <x v="28"/>
    <n v="7"/>
    <n v="820"/>
    <n v="6.4"/>
    <n v="5372.64"/>
    <s v="Refunded"/>
    <s v="Chennai"/>
    <x v="0"/>
    <x v="2"/>
    <x v="2"/>
  </r>
  <r>
    <s v="ORD-01823"/>
    <x v="105"/>
    <s v="CUST-0139"/>
    <s v="PROD-040"/>
    <x v="14"/>
    <n v="5"/>
    <n v="1080"/>
    <n v="6"/>
    <n v="5076"/>
    <s v="Completed"/>
    <s v="Hyderabad"/>
    <x v="3"/>
    <x v="2"/>
    <x v="4"/>
  </r>
  <r>
    <s v="ORD-01824"/>
    <x v="202"/>
    <s v="CUST-0087"/>
    <s v="PROD-060"/>
    <x v="8"/>
    <n v="4"/>
    <n v="190"/>
    <n v="6.3"/>
    <n v="712.12"/>
    <s v="Refunded"/>
    <s v="Pune"/>
    <x v="1"/>
    <x v="2"/>
    <x v="11"/>
  </r>
  <r>
    <s v="ORD-01825"/>
    <x v="158"/>
    <s v="CUST-0203"/>
    <s v="PROD-017"/>
    <x v="20"/>
    <n v="6"/>
    <n v="2510"/>
    <n v="11.5"/>
    <n v="13328.1"/>
    <s v="Completed"/>
    <s v="Chennai"/>
    <x v="0"/>
    <x v="2"/>
    <x v="11"/>
  </r>
  <r>
    <s v="ORD-01826"/>
    <x v="193"/>
    <s v="CUST-0180"/>
    <s v="PROD-018"/>
    <x v="15"/>
    <n v="2"/>
    <n v="3560"/>
    <n v="10.5"/>
    <n v="6372.4"/>
    <s v="Completed"/>
    <s v="Chennai"/>
    <x v="0"/>
    <x v="1"/>
    <x v="11"/>
  </r>
  <r>
    <s v="ORD-01827"/>
    <x v="361"/>
    <s v="CUST-0130"/>
    <s v="PROD-020"/>
    <x v="22"/>
    <n v="3"/>
    <n v="820"/>
    <n v="13"/>
    <n v="2140.1999999999998"/>
    <s v="Cancelled"/>
    <s v="Bengaluru"/>
    <x v="0"/>
    <x v="1"/>
    <x v="0"/>
  </r>
  <r>
    <s v="ORD-01828"/>
    <x v="66"/>
    <s v="CUST-0049"/>
    <s v="PROD-013"/>
    <x v="11"/>
    <n v="6"/>
    <n v="3640"/>
    <n v="14"/>
    <n v="18782.400000000001"/>
    <s v="Completed"/>
    <s v="Mumbai"/>
    <x v="0"/>
    <x v="0"/>
    <x v="10"/>
  </r>
  <r>
    <s v="ORD-01829"/>
    <x v="43"/>
    <s v="CUST-0182"/>
    <s v="PROD-028"/>
    <x v="7"/>
    <n v="5"/>
    <n v="3660"/>
    <n v="28.7"/>
    <n v="13047.9"/>
    <s v="Completed"/>
    <s v="Mumbai"/>
    <x v="2"/>
    <x v="3"/>
    <x v="2"/>
  </r>
  <r>
    <s v="ORD-01830"/>
    <x v="126"/>
    <s v="CUST-0291"/>
    <s v="PROD-055"/>
    <x v="14"/>
    <n v="2"/>
    <n v="2860"/>
    <n v="21.1"/>
    <n v="4513.08"/>
    <s v="Completed"/>
    <s v="Pune"/>
    <x v="1"/>
    <x v="2"/>
    <x v="7"/>
  </r>
  <r>
    <s v="ORD-01831"/>
    <x v="214"/>
    <s v="CUST-0167"/>
    <s v="PROD-015"/>
    <x v="7"/>
    <n v="1"/>
    <n v="2720"/>
    <n v="22.1"/>
    <n v="2118.88"/>
    <s v="Completed"/>
    <s v="Delhi"/>
    <x v="0"/>
    <x v="3"/>
    <x v="10"/>
  </r>
  <r>
    <s v="ORD-01832"/>
    <x v="142"/>
    <s v="CUST-0223"/>
    <s v="PROD-055"/>
    <x v="10"/>
    <n v="6"/>
    <n v="2860"/>
    <n v="10.5"/>
    <n v="15358.2"/>
    <s v="Cancelled"/>
    <s v="Bengaluru"/>
    <x v="1"/>
    <x v="0"/>
    <x v="8"/>
  </r>
  <r>
    <s v="ORD-01833"/>
    <x v="359"/>
    <s v="CUST-0050"/>
    <s v="PROD-017"/>
    <x v="16"/>
    <n v="1"/>
    <n v="2510"/>
    <n v="12"/>
    <n v="2208.8000000000002"/>
    <s v="Completed"/>
    <s v="Mumbai"/>
    <x v="0"/>
    <x v="3"/>
    <x v="11"/>
  </r>
  <r>
    <s v="ORD-01834"/>
    <x v="106"/>
    <s v="CUST-0242"/>
    <s v="PROD-017"/>
    <x v="16"/>
    <n v="4"/>
    <n v="2510"/>
    <n v="23.2"/>
    <n v="7710.72"/>
    <s v="Completed"/>
    <s v="Chennai"/>
    <x v="0"/>
    <x v="3"/>
    <x v="9"/>
  </r>
  <r>
    <s v="ORD-01835"/>
    <x v="122"/>
    <s v="CUST-0144"/>
    <s v="PROD-049"/>
    <x v="1"/>
    <n v="8"/>
    <n v="960"/>
    <n v="20.3"/>
    <n v="6120.96"/>
    <s v="Pending"/>
    <s v="Chennai"/>
    <x v="5"/>
    <x v="0"/>
    <x v="0"/>
  </r>
  <r>
    <s v="ORD-01836"/>
    <x v="5"/>
    <s v="CUST-0140"/>
    <s v="PROD-038"/>
    <x v="9"/>
    <n v="3"/>
    <n v="5490"/>
    <n v="25.2"/>
    <n v="12319.56"/>
    <s v="Completed"/>
    <s v="Hyderabad"/>
    <x v="3"/>
    <x v="1"/>
    <x v="5"/>
  </r>
  <r>
    <s v="ORD-01837"/>
    <x v="262"/>
    <s v="CUST-0174"/>
    <s v="PROD-017"/>
    <x v="3"/>
    <n v="2"/>
    <n v="2510"/>
    <n v="28.2"/>
    <n v="3604.36"/>
    <s v="Completed"/>
    <s v="Pune"/>
    <x v="0"/>
    <x v="0"/>
    <x v="8"/>
  </r>
  <r>
    <s v="ORD-01838"/>
    <x v="194"/>
    <s v="CUST-0290"/>
    <s v="PROD-020"/>
    <x v="23"/>
    <n v="1"/>
    <n v="820"/>
    <n v="4.7"/>
    <n v="781.46"/>
    <s v="Completed"/>
    <s v="Delhi"/>
    <x v="0"/>
    <x v="1"/>
    <x v="5"/>
  </r>
  <r>
    <s v="ORD-01839"/>
    <x v="99"/>
    <s v="CUST-0170"/>
    <s v="PROD-005"/>
    <x v="26"/>
    <n v="6"/>
    <n v="300"/>
    <n v="13.3"/>
    <n v="1560.6"/>
    <s v="Completed"/>
    <s v="Mumbai"/>
    <x v="4"/>
    <x v="3"/>
    <x v="6"/>
  </r>
  <r>
    <s v="ORD-01840"/>
    <x v="155"/>
    <s v="CUST-0180"/>
    <s v="PROD-043"/>
    <x v="29"/>
    <n v="4"/>
    <n v="3350"/>
    <n v="5.8"/>
    <n v="12622.8"/>
    <s v="Pending"/>
    <s v="Chennai"/>
    <x v="5"/>
    <x v="1"/>
    <x v="10"/>
  </r>
  <r>
    <s v="ORD-01841"/>
    <x v="150"/>
    <s v="CUST-0286"/>
    <s v="PROD-036"/>
    <x v="5"/>
    <n v="3"/>
    <n v="3250"/>
    <n v="19.600000000000001"/>
    <n v="7839"/>
    <s v="Pending"/>
    <s v="Delhi"/>
    <x v="3"/>
    <x v="2"/>
    <x v="4"/>
  </r>
  <r>
    <s v="ORD-01842"/>
    <x v="112"/>
    <s v="CUST-0056"/>
    <s v="PROD-044"/>
    <x v="28"/>
    <n v="10"/>
    <n v="1650"/>
    <n v="22.5"/>
    <n v="12787.5"/>
    <s v="Cancelled"/>
    <s v="Bengaluru"/>
    <x v="5"/>
    <x v="2"/>
    <x v="1"/>
  </r>
  <r>
    <s v="ORD-01843"/>
    <x v="47"/>
    <s v="CUST-0292"/>
    <s v="PROD-009"/>
    <x v="17"/>
    <n v="2"/>
    <n v="1220"/>
    <n v="10.5"/>
    <n v="2183.8000000000002"/>
    <s v="Completed"/>
    <s v="Bengaluru"/>
    <x v="4"/>
    <x v="2"/>
    <x v="7"/>
  </r>
  <r>
    <s v="ORD-01844"/>
    <x v="126"/>
    <s v="CUST-0020"/>
    <s v="PROD-049"/>
    <x v="17"/>
    <n v="7"/>
    <n v="960"/>
    <n v="5.4"/>
    <n v="6357.12"/>
    <s v="Refunded"/>
    <s v="Hyderabad"/>
    <x v="5"/>
    <x v="2"/>
    <x v="7"/>
  </r>
  <r>
    <s v="ORD-01845"/>
    <x v="44"/>
    <s v="CUST-0089"/>
    <s v="PROD-046"/>
    <x v="2"/>
    <n v="3"/>
    <n v="4880"/>
    <n v="17.100000000000001"/>
    <n v="12136.56"/>
    <s v="Completed"/>
    <s v="Mumbai"/>
    <x v="5"/>
    <x v="1"/>
    <x v="5"/>
  </r>
  <r>
    <s v="ORD-01846"/>
    <x v="69"/>
    <s v="CUST-0242"/>
    <s v="PROD-024"/>
    <x v="8"/>
    <n v="5"/>
    <n v="2270"/>
    <n v="12.4"/>
    <n v="9942.6"/>
    <s v="Completed"/>
    <s v="Chennai"/>
    <x v="2"/>
    <x v="2"/>
    <x v="5"/>
  </r>
  <r>
    <s v="ORD-01847"/>
    <x v="3"/>
    <s v="CUST-0249"/>
    <s v="PROD-035"/>
    <x v="8"/>
    <n v="1"/>
    <n v="1090"/>
    <n v="17.3"/>
    <n v="901.43"/>
    <s v="Completed"/>
    <s v="Mumbai"/>
    <x v="3"/>
    <x v="2"/>
    <x v="3"/>
  </r>
  <r>
    <s v="ORD-01848"/>
    <x v="275"/>
    <s v="CUST-0032"/>
    <s v="PROD-034"/>
    <x v="20"/>
    <n v="8"/>
    <n v="5080"/>
    <n v="0.9"/>
    <n v="40274.239999999998"/>
    <s v="Completed"/>
    <s v="Hyderabad"/>
    <x v="3"/>
    <x v="2"/>
    <x v="7"/>
  </r>
  <r>
    <s v="ORD-01849"/>
    <x v="28"/>
    <s v="CUST-0217"/>
    <s v="PROD-039"/>
    <x v="21"/>
    <n v="7"/>
    <n v="4610"/>
    <n v="0.9"/>
    <n v="31979.57"/>
    <s v="Completed"/>
    <s v="Pune"/>
    <x v="3"/>
    <x v="3"/>
    <x v="9"/>
  </r>
  <r>
    <s v="ORD-01850"/>
    <x v="159"/>
    <s v="CUST-0284"/>
    <s v="PROD-045"/>
    <x v="8"/>
    <n v="1"/>
    <n v="3020"/>
    <n v="10.3"/>
    <n v="2708.94"/>
    <s v="Completed"/>
    <s v="Hyderabad"/>
    <x v="5"/>
    <x v="2"/>
    <x v="7"/>
  </r>
  <r>
    <s v="ORD-01851"/>
    <x v="99"/>
    <s v="CUST-0167"/>
    <s v="PROD-022"/>
    <x v="8"/>
    <n v="6"/>
    <n v="2270"/>
    <n v="23.1"/>
    <n v="10473.780000000001"/>
    <s v="Completed"/>
    <s v="Delhi"/>
    <x v="2"/>
    <x v="2"/>
    <x v="6"/>
  </r>
  <r>
    <s v="ORD-01852"/>
    <x v="150"/>
    <s v="CUST-0008"/>
    <s v="PROD-026"/>
    <x v="9"/>
    <n v="6"/>
    <n v="4070"/>
    <n v="28.9"/>
    <n v="17362.62"/>
    <s v="Completed"/>
    <s v="Pune"/>
    <x v="2"/>
    <x v="1"/>
    <x v="4"/>
  </r>
  <r>
    <s v="ORD-01853"/>
    <x v="181"/>
    <s v="CUST-0277"/>
    <s v="PROD-009"/>
    <x v="21"/>
    <n v="5"/>
    <n v="1220"/>
    <n v="18.7"/>
    <n v="4959.3"/>
    <s v="Completed"/>
    <s v="Chennai"/>
    <x v="4"/>
    <x v="3"/>
    <x v="8"/>
  </r>
  <r>
    <s v="ORD-01854"/>
    <x v="249"/>
    <s v="CUST-0025"/>
    <s v="PROD-019"/>
    <x v="6"/>
    <n v="8"/>
    <n v="2480"/>
    <n v="3.2"/>
    <n v="19205.12"/>
    <s v="Cancelled"/>
    <s v="Bengaluru"/>
    <x v="0"/>
    <x v="2"/>
    <x v="5"/>
  </r>
  <r>
    <s v="ORD-01855"/>
    <x v="211"/>
    <s v="CUST-0228"/>
    <s v="PROD-055"/>
    <x v="0"/>
    <n v="7"/>
    <n v="2860"/>
    <n v="8.4"/>
    <n v="18338.32"/>
    <s v="Completed"/>
    <s v="Pune"/>
    <x v="1"/>
    <x v="0"/>
    <x v="0"/>
  </r>
  <r>
    <s v="ORD-01856"/>
    <x v="13"/>
    <s v="CUST-0078"/>
    <s v="PROD-027"/>
    <x v="6"/>
    <n v="1"/>
    <n v="3780"/>
    <n v="16.3"/>
    <n v="3163.86"/>
    <s v="Cancelled"/>
    <s v="Delhi"/>
    <x v="2"/>
    <x v="2"/>
    <x v="2"/>
  </r>
  <r>
    <s v="ORD-01857"/>
    <x v="172"/>
    <s v="CUST-0205"/>
    <s v="PROD-055"/>
    <x v="5"/>
    <n v="6"/>
    <n v="2860"/>
    <n v="10.7"/>
    <n v="15323.88"/>
    <s v="Completed"/>
    <s v="Pune"/>
    <x v="1"/>
    <x v="2"/>
    <x v="10"/>
  </r>
  <r>
    <s v="ORD-01858"/>
    <x v="325"/>
    <s v="CUST-0044"/>
    <s v="PROD-058"/>
    <x v="28"/>
    <n v="3"/>
    <n v="2400"/>
    <n v="20.7"/>
    <n v="5709.6"/>
    <s v="Completed"/>
    <s v="Hyderabad"/>
    <x v="1"/>
    <x v="2"/>
    <x v="8"/>
  </r>
  <r>
    <s v="ORD-01859"/>
    <x v="259"/>
    <s v="CUST-0188"/>
    <s v="PROD-023"/>
    <x v="5"/>
    <n v="8"/>
    <n v="2380"/>
    <n v="22.3"/>
    <n v="14794.08"/>
    <s v="Refunded"/>
    <s v="Bengaluru"/>
    <x v="2"/>
    <x v="2"/>
    <x v="1"/>
  </r>
  <r>
    <s v="ORD-01860"/>
    <x v="80"/>
    <s v="CUST-0165"/>
    <s v="PROD-048"/>
    <x v="3"/>
    <n v="7"/>
    <n v="5100"/>
    <n v="22.9"/>
    <n v="27524.7"/>
    <s v="Cancelled"/>
    <s v="Pune"/>
    <x v="5"/>
    <x v="0"/>
    <x v="7"/>
  </r>
  <r>
    <s v="ORD-01861"/>
    <x v="113"/>
    <s v="CUST-0059"/>
    <s v="PROD-005"/>
    <x v="15"/>
    <n v="7"/>
    <n v="300"/>
    <n v="15.3"/>
    <n v="1778.7"/>
    <s v="Completed"/>
    <s v="Pune"/>
    <x v="4"/>
    <x v="1"/>
    <x v="6"/>
  </r>
  <r>
    <s v="ORD-01862"/>
    <x v="49"/>
    <s v="CUST-0280"/>
    <s v="PROD-051"/>
    <x v="9"/>
    <n v="5"/>
    <n v="3450"/>
    <n v="16.8"/>
    <n v="14352"/>
    <s v="Completed"/>
    <s v="Delhi"/>
    <x v="1"/>
    <x v="1"/>
    <x v="3"/>
  </r>
  <r>
    <s v="ORD-01863"/>
    <x v="287"/>
    <s v="CUST-0153"/>
    <s v="PROD-055"/>
    <x v="2"/>
    <n v="4"/>
    <n v="2860"/>
    <n v="14.3"/>
    <n v="9804.08"/>
    <s v="Completed"/>
    <s v="Mumbai"/>
    <x v="1"/>
    <x v="1"/>
    <x v="8"/>
  </r>
  <r>
    <s v="ORD-01864"/>
    <x v="180"/>
    <s v="CUST-0251"/>
    <s v="PROD-015"/>
    <x v="19"/>
    <n v="6"/>
    <n v="2720"/>
    <n v="25.1"/>
    <n v="12223.68"/>
    <s v="Cancelled"/>
    <s v="Mumbai"/>
    <x v="0"/>
    <x v="0"/>
    <x v="8"/>
  </r>
  <r>
    <s v="ORD-01865"/>
    <x v="335"/>
    <s v="CUST-0255"/>
    <s v="PROD-031"/>
    <x v="8"/>
    <n v="3"/>
    <n v="3730"/>
    <n v="24.8"/>
    <n v="8414.8799999999992"/>
    <s v="Completed"/>
    <s v="Chennai"/>
    <x v="3"/>
    <x v="2"/>
    <x v="3"/>
  </r>
  <r>
    <s v="ORD-01866"/>
    <x v="83"/>
    <s v="CUST-0076"/>
    <s v="PROD-025"/>
    <x v="25"/>
    <n v="2"/>
    <n v="4060"/>
    <n v="11.3"/>
    <n v="7202.44"/>
    <s v="Completed"/>
    <s v="Mumbai"/>
    <x v="2"/>
    <x v="0"/>
    <x v="8"/>
  </r>
  <r>
    <s v="ORD-01867"/>
    <x v="146"/>
    <s v="CUST-0195"/>
    <s v="PROD-042"/>
    <x v="26"/>
    <n v="6"/>
    <n v="2290"/>
    <n v="26.8"/>
    <n v="10057.68"/>
    <s v="Refunded"/>
    <s v="Bengaluru"/>
    <x v="5"/>
    <x v="3"/>
    <x v="11"/>
  </r>
  <r>
    <s v="ORD-01868"/>
    <x v="196"/>
    <s v="CUST-0164"/>
    <s v="PROD-056"/>
    <x v="22"/>
    <n v="1"/>
    <n v="6940"/>
    <n v="15.7"/>
    <n v="5850.42"/>
    <s v="Completed"/>
    <s v="Chennai"/>
    <x v="1"/>
    <x v="1"/>
    <x v="3"/>
  </r>
  <r>
    <s v="ORD-01869"/>
    <x v="235"/>
    <s v="CUST-0239"/>
    <s v="PROD-031"/>
    <x v="18"/>
    <n v="3"/>
    <n v="3730"/>
    <n v="18.100000000000001"/>
    <n v="9164.61"/>
    <s v="Completed"/>
    <s v="Mumbai"/>
    <x v="3"/>
    <x v="1"/>
    <x v="4"/>
  </r>
  <r>
    <s v="ORD-01870"/>
    <x v="72"/>
    <s v="CUST-0133"/>
    <s v="PROD-031"/>
    <x v="25"/>
    <n v="8"/>
    <n v="3730"/>
    <n v="12.5"/>
    <n v="26110"/>
    <s v="Completed"/>
    <s v="Chennai"/>
    <x v="3"/>
    <x v="0"/>
    <x v="7"/>
  </r>
  <r>
    <s v="ORD-01871"/>
    <x v="128"/>
    <s v="CUST-0286"/>
    <s v="PROD-023"/>
    <x v="15"/>
    <n v="9"/>
    <n v="2380"/>
    <n v="8.1"/>
    <n v="19684.98"/>
    <s v="Cancelled"/>
    <s v="Delhi"/>
    <x v="2"/>
    <x v="1"/>
    <x v="8"/>
  </r>
  <r>
    <s v="ORD-01872"/>
    <x v="206"/>
    <s v="CUST-0122"/>
    <s v="PROD-040"/>
    <x v="25"/>
    <n v="6"/>
    <n v="1080"/>
    <n v="8.8000000000000007"/>
    <n v="5909.76"/>
    <s v="Completed"/>
    <s v="Mumbai"/>
    <x v="3"/>
    <x v="0"/>
    <x v="10"/>
  </r>
  <r>
    <s v="ORD-01712"/>
    <x v="24"/>
    <s v="CUST-0285"/>
    <s v="PROD-053"/>
    <x v="22"/>
    <n v="5"/>
    <n v="470"/>
    <n v="1.3"/>
    <n v="2319.4499999999998"/>
    <s v="Completed"/>
    <s v="Hyderabad"/>
    <x v="1"/>
    <x v="1"/>
    <x v="5"/>
  </r>
  <r>
    <s v="ORD-01874"/>
    <x v="340"/>
    <s v="CUST-0174"/>
    <s v="PROD-032"/>
    <x v="17"/>
    <n v="4"/>
    <n v="370"/>
    <n v="13.1"/>
    <n v="1286.1199999999999"/>
    <s v="Completed"/>
    <s v="Pune"/>
    <x v="3"/>
    <x v="2"/>
    <x v="7"/>
  </r>
  <r>
    <s v="ORD-01875"/>
    <x v="25"/>
    <s v="CUST-0115"/>
    <s v="PROD-012"/>
    <x v="0"/>
    <n v="7"/>
    <n v="3160"/>
    <n v="12.3"/>
    <n v="19399.240000000002"/>
    <s v="Completed"/>
    <s v="Mumbai"/>
    <x v="0"/>
    <x v="0"/>
    <x v="7"/>
  </r>
  <r>
    <s v="ORD-01876"/>
    <x v="218"/>
    <s v="CUST-0028"/>
    <s v="PROD-018"/>
    <x v="6"/>
    <n v="5"/>
    <n v="3560"/>
    <n v="24"/>
    <n v="13528"/>
    <s v="Completed"/>
    <s v="Bengaluru"/>
    <x v="0"/>
    <x v="2"/>
    <x v="8"/>
  </r>
  <r>
    <s v="ORD-01877"/>
    <x v="53"/>
    <s v="CUST-0111"/>
    <s v="PROD-033"/>
    <x v="13"/>
    <n v="6"/>
    <n v="2030"/>
    <n v="20.5"/>
    <n v="9683.1"/>
    <s v="Completed"/>
    <s v="Chennai"/>
    <x v="3"/>
    <x v="3"/>
    <x v="3"/>
  </r>
  <r>
    <s v="ORD-01878"/>
    <x v="116"/>
    <s v="CUST-0240"/>
    <s v="PROD-010"/>
    <x v="26"/>
    <n v="5"/>
    <n v="2640"/>
    <n v="21.3"/>
    <n v="10388.4"/>
    <s v="Pending"/>
    <s v="Chennai"/>
    <x v="4"/>
    <x v="3"/>
    <x v="1"/>
  </r>
  <r>
    <s v="ORD-01879"/>
    <x v="98"/>
    <s v="CUST-0222"/>
    <s v="PROD-022"/>
    <x v="25"/>
    <n v="4"/>
    <n v="2270"/>
    <n v="15.8"/>
    <n v="7645.36"/>
    <s v="Completed"/>
    <s v="Chennai"/>
    <x v="2"/>
    <x v="0"/>
    <x v="8"/>
  </r>
  <r>
    <s v="ORD-01880"/>
    <x v="276"/>
    <s v="CUST-0251"/>
    <s v="PROD-032"/>
    <x v="25"/>
    <n v="1"/>
    <n v="370"/>
    <n v="27"/>
    <n v="270.10000000000002"/>
    <s v="Pending"/>
    <s v="Mumbai"/>
    <x v="3"/>
    <x v="0"/>
    <x v="9"/>
  </r>
  <r>
    <s v="ORD-01881"/>
    <x v="250"/>
    <s v="CUST-0203"/>
    <s v="PROD-048"/>
    <x v="21"/>
    <n v="9"/>
    <n v="5100"/>
    <n v="2.4"/>
    <n v="44798.400000000001"/>
    <s v="Completed"/>
    <s v="Chennai"/>
    <x v="5"/>
    <x v="3"/>
    <x v="2"/>
  </r>
  <r>
    <s v="ORD-01882"/>
    <x v="94"/>
    <s v="CUST-0285"/>
    <s v="PROD-032"/>
    <x v="12"/>
    <n v="6"/>
    <n v="370"/>
    <n v="18.7"/>
    <n v="1804.86"/>
    <s v="Cancelled"/>
    <s v="Hyderabad"/>
    <x v="3"/>
    <x v="3"/>
    <x v="11"/>
  </r>
  <r>
    <s v="ORD-01883"/>
    <x v="57"/>
    <s v="CUST-0135"/>
    <s v="PROD-030"/>
    <x v="10"/>
    <n v="6"/>
    <n v="970"/>
    <n v="21.6"/>
    <n v="4562.88"/>
    <s v="Completed"/>
    <s v="Pune"/>
    <x v="2"/>
    <x v="0"/>
    <x v="6"/>
  </r>
  <r>
    <s v="ORD-01884"/>
    <x v="81"/>
    <s v="CUST-9967"/>
    <s v="PROD-029"/>
    <x v="20"/>
    <n v="3"/>
    <n v="2210"/>
    <n v="8.5"/>
    <n v="6066.45"/>
    <s v="Completed"/>
    <s v="Delhi"/>
    <x v="2"/>
    <x v="2"/>
    <x v="4"/>
  </r>
  <r>
    <s v="ORD-01885"/>
    <x v="136"/>
    <s v="CUST-0096"/>
    <s v="PROD-044"/>
    <x v="25"/>
    <n v="1"/>
    <n v="1650"/>
    <n v="19.7"/>
    <n v="1324.95"/>
    <s v="Completed"/>
    <s v="Delhi"/>
    <x v="5"/>
    <x v="0"/>
    <x v="6"/>
  </r>
  <r>
    <s v="ORD-01886"/>
    <x v="178"/>
    <s v="CUST-0266"/>
    <s v="PROD-056"/>
    <x v="11"/>
    <n v="5"/>
    <n v="6940"/>
    <n v="7.7"/>
    <n v="32028.1"/>
    <s v="Completed"/>
    <s v="Pune"/>
    <x v="1"/>
    <x v="0"/>
    <x v="10"/>
  </r>
  <r>
    <s v="ORD-01887"/>
    <x v="40"/>
    <s v="CUST-0059"/>
    <s v="PROD-029"/>
    <x v="24"/>
    <n v="2"/>
    <n v="2210"/>
    <n v="5.6"/>
    <n v="4172.4799999999996"/>
    <s v="Cancelled"/>
    <s v="Pune"/>
    <x v="2"/>
    <x v="3"/>
    <x v="5"/>
  </r>
  <r>
    <s v="ORD-01888"/>
    <x v="82"/>
    <s v="CUST-0094"/>
    <s v="PROD-002"/>
    <x v="2"/>
    <n v="9"/>
    <n v="2600"/>
    <n v="3.1"/>
    <n v="22674.6"/>
    <s v="Completed"/>
    <s v="Pune"/>
    <x v="4"/>
    <x v="1"/>
    <x v="2"/>
  </r>
  <r>
    <s v="ORD-01889"/>
    <x v="315"/>
    <s v="CUST-0254"/>
    <s v="PROD-059"/>
    <x v="11"/>
    <n v="7"/>
    <n v="3780"/>
    <n v="13.3"/>
    <n v="22940.82"/>
    <s v="Completed"/>
    <s v="Bengaluru"/>
    <x v="1"/>
    <x v="0"/>
    <x v="10"/>
  </r>
  <r>
    <s v="ORD-01890"/>
    <x v="356"/>
    <s v="CUST-0022"/>
    <s v="PROD-058"/>
    <x v="22"/>
    <n v="4"/>
    <n v="2400"/>
    <n v="16.600000000000001"/>
    <n v="8006.4"/>
    <s v="Pending"/>
    <s v="Bengaluru"/>
    <x v="1"/>
    <x v="1"/>
    <x v="4"/>
  </r>
  <r>
    <s v="ORD-01891"/>
    <x v="348"/>
    <s v="CUST-0168"/>
    <s v="PROD-005"/>
    <x v="1"/>
    <n v="10"/>
    <n v="300"/>
    <n v="23.9"/>
    <n v="2283"/>
    <s v="Completed"/>
    <s v="Pune"/>
    <x v="4"/>
    <x v="0"/>
    <x v="4"/>
  </r>
  <r>
    <s v="ORD-01892"/>
    <x v="93"/>
    <s v="CUST-0175"/>
    <s v="PROD-028"/>
    <x v="9"/>
    <n v="1"/>
    <n v="3660"/>
    <n v="1.5"/>
    <n v="3605.1"/>
    <s v="Pending"/>
    <s v="Delhi"/>
    <x v="2"/>
    <x v="1"/>
    <x v="8"/>
  </r>
  <r>
    <s v="ORD-01893"/>
    <x v="166"/>
    <s v="CUST-0193"/>
    <s v="PROD-051"/>
    <x v="23"/>
    <n v="9"/>
    <n v="3450"/>
    <n v="21.8"/>
    <n v="24281.1"/>
    <s v="Completed"/>
    <s v="Bengaluru"/>
    <x v="1"/>
    <x v="1"/>
    <x v="7"/>
  </r>
  <r>
    <s v="ORD-01894"/>
    <x v="306"/>
    <s v="CUST-0284"/>
    <s v="PROD-011"/>
    <x v="0"/>
    <n v="10"/>
    <n v="3450"/>
    <n v="15.7"/>
    <n v="29083.5"/>
    <s v="Cancelled"/>
    <s v="Hyderabad"/>
    <x v="0"/>
    <x v="0"/>
    <x v="5"/>
  </r>
  <r>
    <s v="ORD-01895"/>
    <x v="249"/>
    <s v="CUST-0071"/>
    <s v="PROD-026"/>
    <x v="4"/>
    <n v="2"/>
    <n v="4070"/>
    <n v="10.8"/>
    <n v="7260.88"/>
    <s v="Completed"/>
    <s v="Delhi"/>
    <x v="2"/>
    <x v="0"/>
    <x v="5"/>
  </r>
  <r>
    <s v="ORD-01896"/>
    <x v="332"/>
    <s v="CUST-0102"/>
    <s v="PROD-059"/>
    <x v="12"/>
    <n v="4"/>
    <n v="3780"/>
    <n v="17.100000000000001"/>
    <n v="12534.48"/>
    <s v="Completed"/>
    <s v="Chennai"/>
    <x v="1"/>
    <x v="3"/>
    <x v="2"/>
  </r>
  <r>
    <s v="ORD-01897"/>
    <x v="81"/>
    <s v="CUST-0036"/>
    <s v="PROD-021"/>
    <x v="10"/>
    <n v="1"/>
    <n v="2760"/>
    <n v="2.5"/>
    <n v="2691"/>
    <s v="Cancelled"/>
    <s v="Mumbai"/>
    <x v="2"/>
    <x v="0"/>
    <x v="4"/>
  </r>
  <r>
    <s v="ORD-01898"/>
    <x v="293"/>
    <s v="CUST-0273"/>
    <s v="PROD-046"/>
    <x v="14"/>
    <n v="2"/>
    <n v="4880"/>
    <n v="11"/>
    <n v="8686.4"/>
    <s v="Completed"/>
    <s v="Hyderabad"/>
    <x v="5"/>
    <x v="2"/>
    <x v="10"/>
  </r>
  <r>
    <s v="ORD-01899"/>
    <x v="228"/>
    <s v="CUST-0262"/>
    <s v="PROD-023"/>
    <x v="24"/>
    <n v="10"/>
    <n v="2380"/>
    <n v="28.3"/>
    <n v="17064.599999999999"/>
    <s v="Completed"/>
    <s v="Mumbai"/>
    <x v="2"/>
    <x v="3"/>
    <x v="9"/>
  </r>
  <r>
    <s v="ORD-01900"/>
    <x v="121"/>
    <s v="CUST-0083"/>
    <s v="PROD-042"/>
    <x v="11"/>
    <n v="3"/>
    <n v="2290"/>
    <n v="11.1"/>
    <n v="6107.43"/>
    <s v="Cancelled"/>
    <s v="Bengaluru"/>
    <x v="5"/>
    <x v="0"/>
    <x v="6"/>
  </r>
  <r>
    <s v="ORD-01901"/>
    <x v="53"/>
    <s v="CUST-0273"/>
    <s v="PROD-021"/>
    <x v="10"/>
    <n v="6"/>
    <n v="2760"/>
    <n v="16.5"/>
    <n v="13827.6"/>
    <s v="Completed"/>
    <s v="Hyderabad"/>
    <x v="2"/>
    <x v="0"/>
    <x v="3"/>
  </r>
  <r>
    <s v="ORD-01902"/>
    <x v="271"/>
    <s v="CUST-0047"/>
    <s v="PROD-025"/>
    <x v="28"/>
    <n v="5"/>
    <n v="4060"/>
    <n v="22.5"/>
    <n v="15732.5"/>
    <s v="Completed"/>
    <s v="Pune"/>
    <x v="2"/>
    <x v="2"/>
    <x v="7"/>
  </r>
  <r>
    <s v="ORD-01903"/>
    <x v="27"/>
    <s v="CUST-0084"/>
    <s v="PROD-010"/>
    <x v="3"/>
    <n v="8"/>
    <n v="2640"/>
    <n v="11.8"/>
    <n v="18627.84"/>
    <s v="Completed"/>
    <s v="Chennai"/>
    <x v="4"/>
    <x v="0"/>
    <x v="2"/>
  </r>
  <r>
    <s v="ORD-01904"/>
    <x v="119"/>
    <s v="CUST-0093"/>
    <s v="PROD-039"/>
    <x v="1"/>
    <n v="2"/>
    <n v="4610"/>
    <n v="10.4"/>
    <n v="8261.1200000000008"/>
    <s v="Pending"/>
    <s v="Pune"/>
    <x v="3"/>
    <x v="0"/>
    <x v="11"/>
  </r>
  <r>
    <s v="ORD-01905"/>
    <x v="266"/>
    <s v="CUST-0282"/>
    <s v="PROD-029"/>
    <x v="8"/>
    <n v="6"/>
    <n v="2210"/>
    <n v="22.5"/>
    <n v="10276.5"/>
    <s v="Cancelled"/>
    <s v="Hyderabad"/>
    <x v="2"/>
    <x v="2"/>
    <x v="5"/>
  </r>
  <r>
    <s v="ORD-01906"/>
    <x v="103"/>
    <s v="CUST-0246"/>
    <s v="PROD-029"/>
    <x v="23"/>
    <n v="4"/>
    <n v="2210"/>
    <n v="21.5"/>
    <n v="6939.4"/>
    <s v="Pending"/>
    <s v="Delhi"/>
    <x v="2"/>
    <x v="1"/>
    <x v="3"/>
  </r>
  <r>
    <s v="ORD-01907"/>
    <x v="169"/>
    <s v="CUST-0243"/>
    <s v="PROD-035"/>
    <x v="22"/>
    <n v="6"/>
    <n v="1090"/>
    <n v="28.3"/>
    <n v="4689.18"/>
    <s v="Completed"/>
    <s v="Pune"/>
    <x v="3"/>
    <x v="1"/>
    <x v="5"/>
  </r>
  <r>
    <s v="ORD-01908"/>
    <x v="327"/>
    <s v="CUST-0298"/>
    <s v="PROD-032"/>
    <x v="11"/>
    <n v="9"/>
    <n v="370"/>
    <n v="13.8"/>
    <n v="2870.46"/>
    <s v="Completed"/>
    <s v="Delhi"/>
    <x v="3"/>
    <x v="0"/>
    <x v="4"/>
  </r>
  <r>
    <s v="ORD-01909"/>
    <x v="122"/>
    <s v="CUST-0124"/>
    <s v="PROD-003"/>
    <x v="5"/>
    <n v="10"/>
    <n v="3570"/>
    <n v="3"/>
    <n v="34629"/>
    <s v="Cancelled"/>
    <s v="Pune"/>
    <x v="4"/>
    <x v="2"/>
    <x v="0"/>
  </r>
  <r>
    <s v="ORD-01910"/>
    <x v="89"/>
    <s v="CUST-0070"/>
    <s v="PROD-036"/>
    <x v="29"/>
    <n v="10"/>
    <n v="3250"/>
    <n v="20.3"/>
    <n v="25902.5"/>
    <s v="Completed"/>
    <s v="Mumbai"/>
    <x v="3"/>
    <x v="1"/>
    <x v="7"/>
  </r>
  <r>
    <s v="ORD-01911"/>
    <x v="295"/>
    <s v="CUST-0054"/>
    <s v="PROD-036"/>
    <x v="8"/>
    <n v="6"/>
    <n v="3250"/>
    <n v="25.8"/>
    <n v="14469"/>
    <s v="Pending"/>
    <s v="Mumbai"/>
    <x v="3"/>
    <x v="2"/>
    <x v="3"/>
  </r>
  <r>
    <s v="ORD-01912"/>
    <x v="294"/>
    <s v="CUST-0208"/>
    <s v="PROD-057"/>
    <x v="6"/>
    <n v="9"/>
    <n v="960"/>
    <n v="29"/>
    <n v="6134.4"/>
    <s v="Completed"/>
    <s v="Mumbai"/>
    <x v="1"/>
    <x v="2"/>
    <x v="4"/>
  </r>
  <r>
    <s v="ORD-01913"/>
    <x v="275"/>
    <s v="CUST-0181"/>
    <s v="PROD-050"/>
    <x v="15"/>
    <n v="9"/>
    <n v="6080"/>
    <n v="21"/>
    <n v="43228.800000000003"/>
    <s v="Completed"/>
    <s v="Delhi"/>
    <x v="5"/>
    <x v="1"/>
    <x v="7"/>
  </r>
  <r>
    <s v="ORD-01914"/>
    <x v="250"/>
    <s v="CUST-0259"/>
    <s v="PROD-039"/>
    <x v="16"/>
    <n v="6"/>
    <n v="4610"/>
    <n v="13.5"/>
    <n v="23925.9"/>
    <s v="Completed"/>
    <s v="Mumbai"/>
    <x v="3"/>
    <x v="3"/>
    <x v="2"/>
  </r>
  <r>
    <s v="ORD-01915"/>
    <x v="225"/>
    <s v="CUST-0277"/>
    <s v="PROD-034"/>
    <x v="13"/>
    <n v="7"/>
    <n v="5080"/>
    <n v="25.4"/>
    <n v="26527.759999999998"/>
    <s v="Completed"/>
    <s v="Chennai"/>
    <x v="3"/>
    <x v="3"/>
    <x v="6"/>
  </r>
  <r>
    <s v="ORD-01916"/>
    <x v="269"/>
    <s v="CUST-0173"/>
    <s v="PROD-043"/>
    <x v="21"/>
    <n v="5"/>
    <n v="3350"/>
    <n v="2.2000000000000002"/>
    <n v="16381.5"/>
    <s v="Completed"/>
    <s v="Mumbai"/>
    <x v="5"/>
    <x v="3"/>
    <x v="0"/>
  </r>
  <r>
    <s v="ORD-01917"/>
    <x v="77"/>
    <s v="CUST-0091"/>
    <s v="PROD-027"/>
    <x v="2"/>
    <n v="1"/>
    <n v="3780"/>
    <n v="13.7"/>
    <n v="3262.14"/>
    <s v="Completed"/>
    <s v="Delhi"/>
    <x v="2"/>
    <x v="1"/>
    <x v="4"/>
  </r>
  <r>
    <s v="ORD-01918"/>
    <x v="279"/>
    <s v="CUST-0142"/>
    <s v="PROD-046"/>
    <x v="16"/>
    <n v="4"/>
    <n v="4880"/>
    <n v="11.6"/>
    <n v="17255.68"/>
    <s v="Completed"/>
    <s v="Chennai"/>
    <x v="5"/>
    <x v="3"/>
    <x v="2"/>
  </r>
  <r>
    <s v="ORD-01919"/>
    <x v="217"/>
    <s v="CUST-0011"/>
    <s v="PROD-048"/>
    <x v="20"/>
    <n v="3"/>
    <n v="5100"/>
    <n v="24.2"/>
    <n v="11597.4"/>
    <s v="Completed"/>
    <s v=" Chennai "/>
    <x v="5"/>
    <x v="2"/>
    <x v="5"/>
  </r>
  <r>
    <s v="ORD-01920"/>
    <x v="287"/>
    <s v="CUST-0074"/>
    <s v="PROD-008"/>
    <x v="12"/>
    <n v="5"/>
    <n v="2660"/>
    <n v="4.7"/>
    <n v="12674.9"/>
    <s v="Completed"/>
    <s v="Bengaluru"/>
    <x v="4"/>
    <x v="3"/>
    <x v="8"/>
  </r>
  <r>
    <s v="ORD-01921"/>
    <x v="328"/>
    <s v="CUST-0131"/>
    <s v="PROD-023"/>
    <x v="21"/>
    <n v="10"/>
    <n v="2380"/>
    <n v="1"/>
    <n v="23562"/>
    <s v="Completed"/>
    <s v="Delhi"/>
    <x v="2"/>
    <x v="3"/>
    <x v="6"/>
  </r>
  <r>
    <s v="ORD-01922"/>
    <x v="223"/>
    <s v="CUST-0093"/>
    <s v="PROD-046"/>
    <x v="25"/>
    <n v="9"/>
    <n v="4880"/>
    <n v="7.2"/>
    <n v="40757.760000000002"/>
    <s v="Completed"/>
    <s v="Pune"/>
    <x v="5"/>
    <x v="0"/>
    <x v="0"/>
  </r>
  <r>
    <s v="ORD-01923"/>
    <x v="91"/>
    <s v="CUST-0229"/>
    <s v="PROD-031"/>
    <x v="2"/>
    <n v="1"/>
    <n v="3730"/>
    <n v="15.3"/>
    <n v="3159.31"/>
    <s v="Completed"/>
    <s v="Hyderabad"/>
    <x v="3"/>
    <x v="1"/>
    <x v="5"/>
  </r>
  <r>
    <s v="ORD-01924"/>
    <x v="33"/>
    <s v="CUST-0293"/>
    <s v="PROD-059"/>
    <x v="11"/>
    <n v="10"/>
    <n v="3780"/>
    <n v="2.7"/>
    <n v="36779.4"/>
    <s v="Completed"/>
    <s v="Bengaluru"/>
    <x v="1"/>
    <x v="0"/>
    <x v="3"/>
  </r>
  <r>
    <s v="ORD-01925"/>
    <x v="257"/>
    <s v="CUST-0105"/>
    <s v="PROD-014"/>
    <x v="12"/>
    <n v="2"/>
    <n v="3620"/>
    <n v="23"/>
    <n v="5574.8"/>
    <s v="Completed"/>
    <s v="Chennai"/>
    <x v="0"/>
    <x v="3"/>
    <x v="2"/>
  </r>
  <r>
    <s v="ORD-01926"/>
    <x v="355"/>
    <s v="CUST-0003"/>
    <s v="PROD-034"/>
    <x v="13"/>
    <n v="9"/>
    <n v="5080"/>
    <n v="19.899999999999999"/>
    <n v="36621.72"/>
    <s v="Completed"/>
    <s v="Mumbai"/>
    <x v="3"/>
    <x v="3"/>
    <x v="0"/>
  </r>
  <r>
    <s v="ORD-01927"/>
    <x v="230"/>
    <s v="CUST-0092"/>
    <s v="PROD-018"/>
    <x v="6"/>
    <n v="2"/>
    <n v="3560"/>
    <n v="5.5"/>
    <n v="6728.4"/>
    <s v="Completed"/>
    <s v="Bengaluru"/>
    <x v="0"/>
    <x v="2"/>
    <x v="0"/>
  </r>
  <r>
    <s v="ORD-01928"/>
    <x v="134"/>
    <s v="CUST-0050"/>
    <s v="PROD-030"/>
    <x v="19"/>
    <n v="6"/>
    <n v="970"/>
    <n v="22.5"/>
    <n v="4510.5"/>
    <s v="Refunded"/>
    <s v="Mumbai"/>
    <x v="2"/>
    <x v="0"/>
    <x v="1"/>
  </r>
  <r>
    <s v="ORD-01929"/>
    <x v="181"/>
    <s v="CUST-0237"/>
    <s v="PROD-043"/>
    <x v="2"/>
    <n v="9"/>
    <n v="3350"/>
    <n v="5.0999999999999996"/>
    <n v="28612.35"/>
    <s v="Completed"/>
    <s v="Mumbai"/>
    <x v="5"/>
    <x v="1"/>
    <x v="8"/>
  </r>
  <r>
    <s v="ORD-01930"/>
    <x v="283"/>
    <s v="CUST-9905"/>
    <s v="PROD-032"/>
    <x v="23"/>
    <n v="6"/>
    <n v="370"/>
    <n v="17.8"/>
    <n v="1824.84"/>
    <s v="Completed"/>
    <s v="Mumbai"/>
    <x v="3"/>
    <x v="1"/>
    <x v="7"/>
  </r>
  <r>
    <s v="ORD-01931"/>
    <x v="13"/>
    <s v="CUST-0175"/>
    <s v="PROD-024"/>
    <x v="23"/>
    <n v="3"/>
    <n v="2270"/>
    <n v="8.4"/>
    <n v="6237.96"/>
    <s v="Pending"/>
    <s v="Delhi"/>
    <x v="2"/>
    <x v="1"/>
    <x v="2"/>
  </r>
  <r>
    <s v="ORD-01932"/>
    <x v="364"/>
    <s v="CUST-0271"/>
    <s v="PROD-051"/>
    <x v="13"/>
    <n v="3"/>
    <n v="3450"/>
    <n v="7.2"/>
    <n v="9604.7999999999993"/>
    <s v="Completed"/>
    <s v="Bengaluru"/>
    <x v="1"/>
    <x v="3"/>
    <x v="6"/>
  </r>
  <r>
    <s v="ORD-01933"/>
    <x v="142"/>
    <s v="CUST-0129"/>
    <s v="PROD-054"/>
    <x v="4"/>
    <n v="9"/>
    <n v="1010"/>
    <n v="17.8"/>
    <n v="7471.98"/>
    <s v="Completed"/>
    <s v="Hyderabad"/>
    <x v="1"/>
    <x v="0"/>
    <x v="8"/>
  </r>
  <r>
    <s v="ORD-01934"/>
    <x v="41"/>
    <s v="CUST-0156"/>
    <s v="PROD-039"/>
    <x v="11"/>
    <n v="5"/>
    <n v="4610"/>
    <n v="29.8"/>
    <n v="16181.1"/>
    <s v="Cancelled"/>
    <s v="Mumbai"/>
    <x v="3"/>
    <x v="0"/>
    <x v="2"/>
  </r>
  <r>
    <s v="ORD-01935"/>
    <x v="255"/>
    <s v="CUST-0048"/>
    <s v="PROD-032"/>
    <x v="11"/>
    <n v="6"/>
    <n v="370"/>
    <n v="17.899999999999999"/>
    <n v="1822.62"/>
    <s v="Completed"/>
    <s v="Delhi"/>
    <x v="3"/>
    <x v="0"/>
    <x v="10"/>
  </r>
  <r>
    <s v="ORD-01936"/>
    <x v="279"/>
    <s v="CUST-0224"/>
    <s v="PROD-023"/>
    <x v="17"/>
    <n v="6"/>
    <n v="2380"/>
    <n v="13.6"/>
    <n v="12337.92"/>
    <s v="Cancelled"/>
    <s v="Chennai"/>
    <x v="2"/>
    <x v="2"/>
    <x v="2"/>
  </r>
  <r>
    <s v="ORD-01937"/>
    <x v="229"/>
    <s v="CUST-0101"/>
    <s v="PROD-049"/>
    <x v="12"/>
    <n v="6"/>
    <n v="960"/>
    <n v="15"/>
    <n v="4896"/>
    <s v="Pending"/>
    <s v="Hyderabad"/>
    <x v="5"/>
    <x v="3"/>
    <x v="2"/>
  </r>
  <r>
    <s v="ORD-01938"/>
    <x v="124"/>
    <s v="CUST-0269"/>
    <s v="PROD-057"/>
    <x v="25"/>
    <n v="3"/>
    <n v="960"/>
    <n v="12.3"/>
    <n v="2525.7600000000002"/>
    <s v="Completed"/>
    <s v="Pune"/>
    <x v="1"/>
    <x v="0"/>
    <x v="3"/>
  </r>
  <r>
    <s v="ORD-01939"/>
    <x v="3"/>
    <s v="CUST-0097"/>
    <s v="PROD-016"/>
    <x v="20"/>
    <n v="7"/>
    <n v="620"/>
    <n v="5.8"/>
    <n v="4088.28"/>
    <s v="Completed"/>
    <s v="Mumbai"/>
    <x v="0"/>
    <x v="2"/>
    <x v="3"/>
  </r>
  <r>
    <s v="ORD-01940"/>
    <x v="299"/>
    <s v="CUST-0062"/>
    <s v="PROD-057"/>
    <x v="16"/>
    <n v="1"/>
    <n v="960"/>
    <n v="4.5999999999999996"/>
    <n v="915.84"/>
    <s v="Completed"/>
    <s v="Pune"/>
    <x v="1"/>
    <x v="3"/>
    <x v="6"/>
  </r>
  <r>
    <s v="ORD-01941"/>
    <x v="226"/>
    <s v="CUST-0124"/>
    <s v="PROD-047"/>
    <x v="8"/>
    <n v="4"/>
    <n v="3450"/>
    <n v="13.3"/>
    <n v="11964.6"/>
    <s v="Completed"/>
    <s v="Pune"/>
    <x v="5"/>
    <x v="2"/>
    <x v="7"/>
  </r>
  <r>
    <s v="ORD-01942"/>
    <x v="17"/>
    <s v="CUST-0185"/>
    <s v="PROD-015"/>
    <x v="7"/>
    <n v="10"/>
    <n v="2720"/>
    <n v="3.4"/>
    <n v="26275.200000000001"/>
    <s v="Completed"/>
    <s v="Hyderabad"/>
    <x v="0"/>
    <x v="3"/>
    <x v="4"/>
  </r>
  <r>
    <s v="ORD-01943"/>
    <x v="358"/>
    <s v="CUST-0115"/>
    <s v="PROD-047"/>
    <x v="7"/>
    <n v="1"/>
    <n v="3450"/>
    <n v="29.4"/>
    <n v="2435.6999999999998"/>
    <s v="Completed"/>
    <s v="Mumbai"/>
    <x v="5"/>
    <x v="3"/>
    <x v="6"/>
  </r>
  <r>
    <s v="ORD-01944"/>
    <x v="201"/>
    <s v="CUST-0097"/>
    <s v="PROD-044"/>
    <x v="6"/>
    <n v="5"/>
    <n v="1650"/>
    <n v="29.4"/>
    <n v="5824.5"/>
    <s v="Completed"/>
    <s v="Mumbai"/>
    <x v="5"/>
    <x v="2"/>
    <x v="7"/>
  </r>
  <r>
    <s v="ORD-01945"/>
    <x v="167"/>
    <s v="CUST-0221"/>
    <s v="PROD-014"/>
    <x v="18"/>
    <n v="2"/>
    <n v="3620"/>
    <n v="15.6"/>
    <n v="6110.56"/>
    <s v="Completed"/>
    <s v="Delhi"/>
    <x v="0"/>
    <x v="1"/>
    <x v="8"/>
  </r>
  <r>
    <s v="ORD-01946"/>
    <x v="95"/>
    <s v="CUST-0098"/>
    <s v="PROD-005"/>
    <x v="27"/>
    <n v="3"/>
    <n v="300"/>
    <n v="24.8"/>
    <n v="676.8"/>
    <s v="Completed"/>
    <s v="Delhi"/>
    <x v="4"/>
    <x v="1"/>
    <x v="9"/>
  </r>
  <r>
    <s v="ORD-01947"/>
    <x v="200"/>
    <s v="CUST-0203"/>
    <s v="PROD-041"/>
    <x v="19"/>
    <n v="3"/>
    <n v="1540"/>
    <n v="29.5"/>
    <n v="3257.1"/>
    <s v="Completed"/>
    <s v="Chennai"/>
    <x v="5"/>
    <x v="0"/>
    <x v="1"/>
  </r>
  <r>
    <s v="ORD-01948"/>
    <x v="317"/>
    <s v="CUST-0074"/>
    <s v="PROD-024"/>
    <x v="7"/>
    <n v="10"/>
    <n v="2270"/>
    <n v="5.5"/>
    <n v="21451.5"/>
    <s v="Cancelled"/>
    <s v="Bengaluru"/>
    <x v="2"/>
    <x v="3"/>
    <x v="0"/>
  </r>
  <r>
    <s v="ORD-01949"/>
    <x v="154"/>
    <s v="CUST-0217"/>
    <s v="PROD-010"/>
    <x v="4"/>
    <n v="3"/>
    <n v="2640"/>
    <n v="28.2"/>
    <n v="5686.56"/>
    <s v="Refunded"/>
    <s v="Pune"/>
    <x v="4"/>
    <x v="0"/>
    <x v="1"/>
  </r>
  <r>
    <s v="ORD-01950"/>
    <x v="11"/>
    <s v="CUST-0021"/>
    <s v="PROD-010"/>
    <x v="15"/>
    <n v="10"/>
    <n v="2640"/>
    <n v="25.9"/>
    <n v="19562.400000000001"/>
    <s v="Completed"/>
    <s v="Pune"/>
    <x v="4"/>
    <x v="1"/>
    <x v="7"/>
  </r>
  <r>
    <s v="ORD-01951"/>
    <x v="152"/>
    <s v="CUST-0004"/>
    <s v="PROD-007"/>
    <x v="14"/>
    <n v="2"/>
    <n v="1430"/>
    <n v="5"/>
    <n v="2717"/>
    <s v="Cancelled"/>
    <s v="Delhi"/>
    <x v="4"/>
    <x v="2"/>
    <x v="0"/>
  </r>
  <r>
    <s v="ORD-01952"/>
    <x v="221"/>
    <s v="CUST-0080"/>
    <s v="PROD-003"/>
    <x v="16"/>
    <n v="6"/>
    <n v="3570"/>
    <n v="28.5"/>
    <n v="15315.3"/>
    <s v="Cancelled"/>
    <s v="Pune"/>
    <x v="4"/>
    <x v="3"/>
    <x v="4"/>
  </r>
  <r>
    <s v="ORD-01953"/>
    <x v="328"/>
    <s v="CUST-0113"/>
    <s v="PROD-003"/>
    <x v="6"/>
    <n v="1"/>
    <n v="3570"/>
    <n v="7.7"/>
    <n v="3295.11"/>
    <s v="Completed"/>
    <s v="Delhi"/>
    <x v="4"/>
    <x v="2"/>
    <x v="6"/>
  </r>
  <r>
    <s v="ORD-01954"/>
    <x v="312"/>
    <s v="CUST-0023"/>
    <s v="PROD-004"/>
    <x v="14"/>
    <n v="9"/>
    <n v="3870"/>
    <n v="11.9"/>
    <n v="30685.23"/>
    <s v="Cancelled"/>
    <s v="Chennai"/>
    <x v="4"/>
    <x v="2"/>
    <x v="2"/>
  </r>
  <r>
    <s v="ORD-01955"/>
    <x v="50"/>
    <s v="CUST-0136"/>
    <s v="PROD-056"/>
    <x v="2"/>
    <n v="5"/>
    <n v="6940"/>
    <n v="17.399999999999999"/>
    <n v="28662.2"/>
    <s v="Completed"/>
    <s v="Chennai"/>
    <x v="1"/>
    <x v="1"/>
    <x v="7"/>
  </r>
  <r>
    <s v="ORD-01956"/>
    <x v="42"/>
    <s v="CUST-0031"/>
    <s v="PROD-032"/>
    <x v="17"/>
    <n v="6"/>
    <n v="370"/>
    <n v="8.1"/>
    <n v="2040.18"/>
    <s v="Cancelled"/>
    <s v="Hyderabad"/>
    <x v="3"/>
    <x v="2"/>
    <x v="11"/>
  </r>
  <r>
    <s v="ORD-01957"/>
    <x v="0"/>
    <s v="CUST-0175"/>
    <s v="PROD-018"/>
    <x v="28"/>
    <n v="8"/>
    <n v="3560"/>
    <n v="23.3"/>
    <n v="21844.16"/>
    <s v="Completed"/>
    <s v="Delhi"/>
    <x v="0"/>
    <x v="2"/>
    <x v="0"/>
  </r>
  <r>
    <s v="ORD-01958"/>
    <x v="142"/>
    <s v="CUST-0249"/>
    <s v="PROD-009"/>
    <x v="8"/>
    <n v="4"/>
    <n v="1220"/>
    <n v="2.7"/>
    <n v="4748.24"/>
    <s v="Completed"/>
    <s v="Mumbai"/>
    <x v="4"/>
    <x v="2"/>
    <x v="8"/>
  </r>
  <r>
    <s v="ORD-01959"/>
    <x v="311"/>
    <s v="CUST-0138"/>
    <s v="PROD-026"/>
    <x v="16"/>
    <n v="10"/>
    <n v="4070"/>
    <n v="11.6"/>
    <n v="35978.800000000003"/>
    <s v="Completed"/>
    <s v="Chennai"/>
    <x v="2"/>
    <x v="3"/>
    <x v="4"/>
  </r>
  <r>
    <s v="ORD-01960"/>
    <x v="260"/>
    <s v="CUST-0290"/>
    <s v="PROD-028"/>
    <x v="7"/>
    <n v="10"/>
    <n v="3660"/>
    <n v="28.8"/>
    <n v="26059.200000000001"/>
    <s v="Completed"/>
    <s v="Delhi"/>
    <x v="2"/>
    <x v="3"/>
    <x v="1"/>
  </r>
  <r>
    <s v="ORD-01961"/>
    <x v="121"/>
    <s v="CUST-0151"/>
    <s v="PROD-034"/>
    <x v="26"/>
    <n v="5"/>
    <n v="5080"/>
    <n v="12.1"/>
    <n v="22326.6"/>
    <s v="Completed"/>
    <s v="Mumbai"/>
    <x v="3"/>
    <x v="3"/>
    <x v="6"/>
  </r>
  <r>
    <s v="ORD-01962"/>
    <x v="200"/>
    <s v="CUST-0290"/>
    <s v="PROD-039"/>
    <x v="22"/>
    <n v="10"/>
    <n v="4610"/>
    <n v="22.5"/>
    <n v="35727.5"/>
    <s v="Completed"/>
    <s v="Delhi"/>
    <x v="3"/>
    <x v="1"/>
    <x v="1"/>
  </r>
  <r>
    <s v="ORD-01963"/>
    <x v="58"/>
    <s v="CUST-0074"/>
    <s v="PROD-008"/>
    <x v="0"/>
    <n v="3"/>
    <n v="2660"/>
    <n v="15"/>
    <n v="6783"/>
    <s v="Completed"/>
    <s v="Bengaluru"/>
    <x v="4"/>
    <x v="0"/>
    <x v="11"/>
  </r>
  <r>
    <s v="ORD-01964"/>
    <x v="360"/>
    <s v="CUST-0295"/>
    <s v="PROD-012"/>
    <x v="3"/>
    <n v="5"/>
    <n v="3160"/>
    <n v="1.3"/>
    <n v="15594.6"/>
    <s v="Completed"/>
    <s v="Delhi"/>
    <x v="0"/>
    <x v="0"/>
    <x v="5"/>
  </r>
  <r>
    <s v="ORD-01965"/>
    <x v="354"/>
    <s v="CUST-0132"/>
    <s v="PROD-032"/>
    <x v="10"/>
    <n v="10"/>
    <n v="370"/>
    <n v="29"/>
    <n v="2627"/>
    <s v="Completed"/>
    <s v="Delhi"/>
    <x v="3"/>
    <x v="0"/>
    <x v="1"/>
  </r>
  <r>
    <s v="ORD-01966"/>
    <x v="243"/>
    <s v="CUST-0289"/>
    <s v="PROD-054"/>
    <x v="4"/>
    <n v="10"/>
    <n v="1010"/>
    <n v="14.1"/>
    <n v="8675.9"/>
    <s v="Refunded"/>
    <s v="Mumbai"/>
    <x v="1"/>
    <x v="0"/>
    <x v="2"/>
  </r>
  <r>
    <s v="ORD-01967"/>
    <x v="261"/>
    <s v="CUST-0139"/>
    <s v="PROD-018"/>
    <x v="14"/>
    <n v="3"/>
    <n v="3560"/>
    <n v="23.6"/>
    <n v="8159.52"/>
    <s v="Completed"/>
    <s v="Hyderabad"/>
    <x v="0"/>
    <x v="2"/>
    <x v="9"/>
  </r>
  <r>
    <s v="ORD-01968"/>
    <x v="1"/>
    <s v="CUST-0032"/>
    <s v="PROD-009"/>
    <x v="8"/>
    <n v="9"/>
    <n v="1220"/>
    <n v="16.600000000000001"/>
    <n v="9157.32"/>
    <s v="Completed"/>
    <s v="Hyderabad"/>
    <x v="4"/>
    <x v="2"/>
    <x v="1"/>
  </r>
  <r>
    <s v="ORD-01969"/>
    <x v="30"/>
    <s v="CUST-0109"/>
    <s v="PROD-060"/>
    <x v="4"/>
    <n v="8"/>
    <n v="190"/>
    <n v="22.3"/>
    <n v="1181.04"/>
    <s v="Completed"/>
    <s v="Pune"/>
    <x v="1"/>
    <x v="0"/>
    <x v="1"/>
  </r>
  <r>
    <s v="ORD-01970"/>
    <x v="290"/>
    <s v="CUST-0224"/>
    <s v="PROD-054"/>
    <x v="25"/>
    <n v="2"/>
    <n v="1010"/>
    <n v="3.8"/>
    <n v="1943.24"/>
    <s v="Completed"/>
    <s v="Chennai"/>
    <x v="1"/>
    <x v="0"/>
    <x v="6"/>
  </r>
  <r>
    <s v="ORD-01971"/>
    <x v="96"/>
    <s v="CUST-0038"/>
    <s v="PROD-002"/>
    <x v="18"/>
    <n v="4"/>
    <n v="2600"/>
    <n v="29.1"/>
    <n v="7373.6"/>
    <s v="Completed"/>
    <s v="Mumbai"/>
    <x v="4"/>
    <x v="1"/>
    <x v="3"/>
  </r>
  <r>
    <s v="ORD-01972"/>
    <x v="25"/>
    <s v="CUST-0132"/>
    <s v="PROD-011"/>
    <x v="20"/>
    <n v="7"/>
    <n v="3450"/>
    <n v="4"/>
    <n v="23184"/>
    <s v="Completed"/>
    <s v="Delhi"/>
    <x v="0"/>
    <x v="2"/>
    <x v="7"/>
  </r>
  <r>
    <s v="ORD-01973"/>
    <x v="288"/>
    <s v="CUST-0226"/>
    <s v="PROD-017"/>
    <x v="7"/>
    <n v="6"/>
    <n v="2510"/>
    <n v="12.7"/>
    <n v="13147.38"/>
    <s v="Completed"/>
    <s v="Chennai"/>
    <x v="0"/>
    <x v="3"/>
    <x v="11"/>
  </r>
  <r>
    <s v="ORD-01974"/>
    <x v="9"/>
    <s v="CUST-0275"/>
    <s v="PROD-060"/>
    <x v="28"/>
    <n v="6"/>
    <n v="190"/>
    <n v="20"/>
    <n v="912"/>
    <s v="Cancelled"/>
    <s v="Mumbai"/>
    <x v="1"/>
    <x v="2"/>
    <x v="0"/>
  </r>
  <r>
    <s v="ORD-01975"/>
    <x v="201"/>
    <s v="CUST-0109"/>
    <s v="PROD-044"/>
    <x v="20"/>
    <n v="10"/>
    <n v="1650"/>
    <n v="21.5"/>
    <n v="12952.5"/>
    <s v="Completed"/>
    <s v="Pune"/>
    <x v="5"/>
    <x v="2"/>
    <x v="7"/>
  </r>
  <r>
    <s v="ORD-01976"/>
    <x v="112"/>
    <s v="CUST-0281"/>
    <s v="PROD-055"/>
    <x v="18"/>
    <n v="4"/>
    <n v="2860"/>
    <n v="15.2"/>
    <n v="9701.1200000000008"/>
    <s v="Completed"/>
    <s v="Bengaluru"/>
    <x v="1"/>
    <x v="1"/>
    <x v="1"/>
  </r>
  <r>
    <s v="ORD-01977"/>
    <x v="55"/>
    <s v="CUST-0174"/>
    <s v="PROD-053"/>
    <x v="8"/>
    <n v="3"/>
    <n v="470"/>
    <n v="14.2"/>
    <n v="1209.78"/>
    <s v="Completed"/>
    <s v="Pune"/>
    <x v="1"/>
    <x v="2"/>
    <x v="9"/>
  </r>
  <r>
    <s v="ORD-01978"/>
    <x v="277"/>
    <s v="CUST-0103"/>
    <s v="PROD-055"/>
    <x v="14"/>
    <n v="2"/>
    <n v="2860"/>
    <n v="17.899999999999999"/>
    <n v="4696.12"/>
    <s v="Completed"/>
    <s v="Hyderabad"/>
    <x v="1"/>
    <x v="2"/>
    <x v="6"/>
  </r>
  <r>
    <s v="ORD-01979"/>
    <x v="192"/>
    <s v="CUST-0076"/>
    <s v="PROD-019"/>
    <x v="26"/>
    <n v="2"/>
    <n v="2480"/>
    <n v="11.5"/>
    <n v="4389.6000000000004"/>
    <s v="Cancelled"/>
    <s v="Mumbai"/>
    <x v="0"/>
    <x v="3"/>
    <x v="5"/>
  </r>
  <r>
    <s v="ORD-01980"/>
    <x v="208"/>
    <s v="CUST-0227"/>
    <s v="PROD-033"/>
    <x v="3"/>
    <n v="10"/>
    <n v="2030"/>
    <n v="29.2"/>
    <n v="14372.4"/>
    <s v="Completed"/>
    <s v="Bengaluru"/>
    <x v="3"/>
    <x v="0"/>
    <x v="8"/>
  </r>
  <r>
    <s v="ORD-01981"/>
    <x v="135"/>
    <s v="CUST-0006"/>
    <s v="PROD-047"/>
    <x v="27"/>
    <n v="6"/>
    <n v="3450"/>
    <n v="3.5"/>
    <n v="19975.5"/>
    <s v="Refunded"/>
    <s v="Pune"/>
    <x v="5"/>
    <x v="1"/>
    <x v="10"/>
  </r>
  <r>
    <s v="ORD-01982"/>
    <x v="320"/>
    <s v="CUST-0231"/>
    <s v="PROD-007"/>
    <x v="23"/>
    <n v="10"/>
    <n v="1430"/>
    <n v="3.5"/>
    <n v="13799.5"/>
    <s v="Completed"/>
    <s v="Chennai"/>
    <x v="4"/>
    <x v="1"/>
    <x v="2"/>
  </r>
  <r>
    <s v="ORD-01983"/>
    <x v="124"/>
    <s v="CUST-0085"/>
    <s v="PROD-020"/>
    <x v="21"/>
    <n v="1"/>
    <n v="820"/>
    <n v="14.5"/>
    <n v="701.1"/>
    <s v="Cancelled"/>
    <s v="Chennai"/>
    <x v="0"/>
    <x v="3"/>
    <x v="3"/>
  </r>
  <r>
    <s v="ORD-01984"/>
    <x v="144"/>
    <s v="CUST-0022"/>
    <s v="PROD-046"/>
    <x v="12"/>
    <n v="5"/>
    <n v="4880"/>
    <n v="1.8"/>
    <n v="23960.799999999999"/>
    <s v="Completed"/>
    <s v="Bengaluru"/>
    <x v="5"/>
    <x v="3"/>
    <x v="1"/>
  </r>
  <r>
    <s v="ORD-01985"/>
    <x v="217"/>
    <s v="CUST-0275"/>
    <s v="PROD-043"/>
    <x v="29"/>
    <n v="8"/>
    <n v="3350"/>
    <n v="26.3"/>
    <n v="19751.599999999999"/>
    <s v="Cancelled"/>
    <s v="Mumbai"/>
    <x v="5"/>
    <x v="1"/>
    <x v="5"/>
  </r>
  <r>
    <s v="ORD-01986"/>
    <x v="129"/>
    <s v="CUST-0159"/>
    <s v="PROD-019"/>
    <x v="24"/>
    <n v="9"/>
    <n v="2480"/>
    <n v="24.3"/>
    <n v="16896.240000000002"/>
    <s v="Completed"/>
    <s v="Hyderabad"/>
    <x v="0"/>
    <x v="3"/>
    <x v="11"/>
  </r>
  <r>
    <s v="ORD-01987"/>
    <x v="66"/>
    <s v="CUST-0152"/>
    <s v="PROD-039"/>
    <x v="6"/>
    <n v="9"/>
    <n v="4610"/>
    <n v="10"/>
    <n v="37341"/>
    <s v="Completed"/>
    <s v="Bengaluru"/>
    <x v="3"/>
    <x v="2"/>
    <x v="10"/>
  </r>
  <r>
    <s v="ORD-01988"/>
    <x v="132"/>
    <s v="CUST-0289"/>
    <s v="PROD-027"/>
    <x v="10"/>
    <n v="1"/>
    <n v="3780"/>
    <n v="2.2000000000000002"/>
    <n v="3696.84"/>
    <s v="Completed"/>
    <s v="Mumbai"/>
    <x v="2"/>
    <x v="0"/>
    <x v="5"/>
  </r>
  <r>
    <s v="ORD-01989"/>
    <x v="24"/>
    <s v="CUST-0004"/>
    <s v="PROD-045"/>
    <x v="17"/>
    <n v="3"/>
    <n v="3020"/>
    <n v="21.4"/>
    <n v="7121.16"/>
    <s v="Cancelled"/>
    <s v="Delhi"/>
    <x v="5"/>
    <x v="2"/>
    <x v="5"/>
  </r>
  <r>
    <s v="ORD-01990"/>
    <x v="218"/>
    <s v="CUST-0159"/>
    <s v="PROD-035"/>
    <x v="3"/>
    <n v="10"/>
    <n v="1090"/>
    <n v="29.2"/>
    <n v="7717.2"/>
    <s v="Cancelled"/>
    <s v="Hyderabad"/>
    <x v="3"/>
    <x v="0"/>
    <x v="8"/>
  </r>
  <r>
    <s v="ORD-01991"/>
    <x v="48"/>
    <s v="CUST-0083"/>
    <s v="PROD-048"/>
    <x v="22"/>
    <n v="5"/>
    <n v="5100"/>
    <n v="28.4"/>
    <n v="18258"/>
    <s v="Completed"/>
    <s v="Bengaluru"/>
    <x v="5"/>
    <x v="1"/>
    <x v="4"/>
  </r>
  <r>
    <s v="ORD-01992"/>
    <x v="279"/>
    <s v="CUST-0242"/>
    <s v="PROD-046"/>
    <x v="4"/>
    <n v="6"/>
    <n v="4880"/>
    <n v="16.8"/>
    <n v="24360.959999999999"/>
    <s v="Completed"/>
    <s v="Chennai"/>
    <x v="5"/>
    <x v="0"/>
    <x v="2"/>
  </r>
  <r>
    <s v="ORD-01993"/>
    <x v="310"/>
    <s v="CUST-0245"/>
    <s v="PROD-001"/>
    <x v="28"/>
    <n v="1"/>
    <n v="5330"/>
    <n v="27.5"/>
    <n v="3864.25"/>
    <s v="Completed"/>
    <s v="Hyderabad"/>
    <x v="4"/>
    <x v="2"/>
    <x v="6"/>
  </r>
  <r>
    <s v="ORD-01994"/>
    <x v="302"/>
    <s v="CUST-0008"/>
    <s v="PROD-033"/>
    <x v="20"/>
    <n v="7"/>
    <n v="2030"/>
    <n v="5.3"/>
    <n v="13456.87"/>
    <s v="Cancelled"/>
    <s v="Pune"/>
    <x v="3"/>
    <x v="2"/>
    <x v="10"/>
  </r>
  <r>
    <s v="ORD-01995"/>
    <x v="107"/>
    <s v="CUST-0260"/>
    <s v="PROD-043"/>
    <x v="6"/>
    <n v="7"/>
    <n v="3350"/>
    <n v="0.4"/>
    <n v="23356.2"/>
    <s v="Completed"/>
    <s v="Bengaluru"/>
    <x v="5"/>
    <x v="2"/>
    <x v="2"/>
  </r>
  <r>
    <s v="ORD-01996"/>
    <x v="346"/>
    <s v="CUST-0265"/>
    <s v="PROD-031"/>
    <x v="15"/>
    <n v="6"/>
    <n v="3730"/>
    <n v="13.8"/>
    <n v="19291.560000000001"/>
    <s v="Completed"/>
    <s v="Chennai"/>
    <x v="3"/>
    <x v="1"/>
    <x v="11"/>
  </r>
  <r>
    <s v="ORD-01997"/>
    <x v="65"/>
    <s v="CUST-0135"/>
    <s v="PROD-006"/>
    <x v="21"/>
    <n v="6"/>
    <n v="3970"/>
    <n v="5.8"/>
    <n v="22438.44"/>
    <s v="Pending"/>
    <s v="Pune"/>
    <x v="4"/>
    <x v="3"/>
    <x v="9"/>
  </r>
  <r>
    <s v="ORD-01998"/>
    <x v="95"/>
    <s v="CUST-0030"/>
    <s v="PROD-029"/>
    <x v="23"/>
    <n v="4"/>
    <n v="2210"/>
    <n v="18.2"/>
    <n v="7231.12"/>
    <s v="Pending"/>
    <s v="Bengaluru"/>
    <x v="2"/>
    <x v="1"/>
    <x v="9"/>
  </r>
  <r>
    <s v="ORD-01999"/>
    <x v="43"/>
    <s v="CUST-0167"/>
    <s v="PROD-052"/>
    <x v="4"/>
    <n v="6"/>
    <n v="5410"/>
    <n v="15.5"/>
    <n v="27428.7"/>
    <s v="Completed"/>
    <s v="Delhi"/>
    <x v="1"/>
    <x v="0"/>
    <x v="2"/>
  </r>
  <r>
    <s v="ORD-02000"/>
    <x v="354"/>
    <s v="CUST-0238"/>
    <s v="PROD-034"/>
    <x v="12"/>
    <n v="6"/>
    <n v="5080"/>
    <n v="28.1"/>
    <n v="21915.119999999999"/>
    <s v="Completed"/>
    <s v="Delhi"/>
    <x v="3"/>
    <x v="3"/>
    <x v="1"/>
  </r>
  <r>
    <m/>
    <x v="365"/>
    <m/>
    <m/>
    <x v="30"/>
    <m/>
    <m/>
    <m/>
    <m/>
    <m/>
    <m/>
    <x v="6"/>
    <x v="4"/>
    <x v="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ORD-00001"/>
    <d v="2024-09-14T00:00:00"/>
    <s v="CUST-0243"/>
    <s v="PROD-014"/>
    <s v="R007"/>
    <n v="8"/>
    <n v="3620"/>
    <n v="15.4"/>
    <n v="24500.16"/>
    <s v="Completed"/>
    <s v="Pune"/>
    <s v="Apparel"/>
    <s v="North"/>
    <s v="Sep-24"/>
    <x v="0"/>
  </r>
  <r>
    <s v="ORD-00002"/>
    <d v="2024-02-18T00:00:00"/>
    <s v="CUST-0202"/>
    <s v="PROD-020"/>
    <s v="R005"/>
    <n v="2"/>
    <n v="820"/>
    <n v="10.8"/>
    <n v="1462.88"/>
    <s v="Pending"/>
    <s v="Chennai"/>
    <s v="Apparel"/>
    <s v="North"/>
    <s v="Feb-24"/>
    <x v="1"/>
  </r>
  <r>
    <s v="ORD-00003"/>
    <d v="2024-03-20T00:00:00"/>
    <s v="CUST-0098"/>
    <s v="PROD-053"/>
    <s v="R014"/>
    <n v="8"/>
    <n v="470"/>
    <n v="3.3"/>
    <n v="3635.92"/>
    <s v="Pending"/>
    <s v="Delhi"/>
    <s v="Sports"/>
    <s v="South"/>
    <s v="Mar-24"/>
    <x v="1"/>
  </r>
  <r>
    <s v="ORD-00004"/>
    <d v="2024-05-01T00:00:00"/>
    <s v="CUST-0071"/>
    <s v="PROD-028"/>
    <s v="R006"/>
    <n v="1"/>
    <n v="3660"/>
    <n v="15.7"/>
    <n v="3085.38"/>
    <s v="Completed"/>
    <s v="Delhi"/>
    <s v="Grocery"/>
    <s v="North"/>
    <s v="May-24"/>
    <x v="2"/>
  </r>
  <r>
    <s v="ORD-00005"/>
    <d v="2024-11-15T00:00:00"/>
    <s v="CUST-0180"/>
    <s v="PROD-012"/>
    <s v="R008"/>
    <n v="1"/>
    <n v="3160"/>
    <n v="26"/>
    <n v="2338.4"/>
    <s v="Completed"/>
    <s v="Chennai"/>
    <s v="Apparel"/>
    <s v="North"/>
    <s v="Nov-24"/>
    <x v="3"/>
  </r>
  <r>
    <s v="ORD-00006"/>
    <d v="2024-04-24T00:00:00"/>
    <s v="CUST-0275"/>
    <s v="PROD-032"/>
    <s v="R025"/>
    <n v="4"/>
    <n v="370"/>
    <n v="29"/>
    <n v="1050.8"/>
    <s v="Completed"/>
    <s v="Mumbai"/>
    <s v="Home"/>
    <s v="West"/>
    <s v="Apr-24"/>
    <x v="2"/>
  </r>
  <r>
    <s v="ORD-00007"/>
    <d v="2024-06-12T00:00:00"/>
    <s v="CUST-0293"/>
    <s v="PROD-057"/>
    <s v="R024"/>
    <n v="3"/>
    <n v="960"/>
    <n v="5.8"/>
    <n v="2712.96"/>
    <s v="Completed"/>
    <s v="Bengaluru"/>
    <s v="Sports"/>
    <s v="West"/>
    <s v="Jun-24"/>
    <x v="2"/>
  </r>
  <r>
    <s v="ORD-00008"/>
    <d v="2024-11-21T00:00:00"/>
    <s v="CUST-0281"/>
    <s v="PROD-007"/>
    <s v="R019"/>
    <n v="8"/>
    <n v="1430"/>
    <n v="2.4"/>
    <n v="11165.44"/>
    <s v="Completed"/>
    <s v="Bengaluru"/>
    <s v="Electronics"/>
    <s v="East"/>
    <s v="Nov-24"/>
    <x v="3"/>
  </r>
  <r>
    <s v="ORD-00009"/>
    <d v="2024-09-14T00:00:00"/>
    <s v="CUST-0260"/>
    <s v="PROD-038"/>
    <s v="R008"/>
    <n v="3"/>
    <n v="5490"/>
    <n v="14.2"/>
    <n v="14131.26"/>
    <s v="Completed"/>
    <s v="Bengaluru"/>
    <s v="Home"/>
    <s v="North"/>
    <s v="Sep-24"/>
    <x v="0"/>
  </r>
  <r>
    <s v="ORD-00010"/>
    <d v="2024-04-14T00:00:00"/>
    <s v="CUST-0147"/>
    <s v="PROD-030"/>
    <s v="R028"/>
    <n v="3"/>
    <n v="970"/>
    <n v="1.2"/>
    <n v="2875.08"/>
    <s v="Completed"/>
    <s v="Pune"/>
    <s v="Grocery"/>
    <s v="West"/>
    <s v="Apr-24"/>
    <x v="2"/>
  </r>
  <r>
    <s v="ORD-00011"/>
    <d v="2024-09-25T00:00:00"/>
    <s v="CUST-0204"/>
    <s v="PROD-024"/>
    <s v="R010"/>
    <n v="7"/>
    <n v="2270"/>
    <n v="7.1"/>
    <n v="14761.81"/>
    <s v="Pending"/>
    <s v="Hyderabad"/>
    <s v="Grocery"/>
    <s v="South"/>
    <s v="Sep-24"/>
    <x v="0"/>
  </r>
  <r>
    <s v="ORD-00012"/>
    <d v="2024-02-10T00:00:00"/>
    <s v="CUST-0147"/>
    <s v="PROD-010"/>
    <s v="R024"/>
    <n v="9"/>
    <n v="2640"/>
    <n v="21.7"/>
    <n v="18604.080000000002"/>
    <s v="Completed"/>
    <s v="Pune"/>
    <s v="Electronics"/>
    <s v="West"/>
    <s v="Feb-24"/>
    <x v="1"/>
  </r>
  <r>
    <s v="ORD-00013"/>
    <d v="2024-08-03T00:00:00"/>
    <s v="CUST-0280"/>
    <s v="PROD-002"/>
    <s v="R004"/>
    <n v="3"/>
    <n v="2600"/>
    <n v="4.3"/>
    <n v="7464.6"/>
    <s v="Cancelled"/>
    <s v="Delhi"/>
    <s v="Electronics"/>
    <s v="North"/>
    <s v="Aug-24"/>
    <x v="0"/>
  </r>
  <r>
    <s v="ORD-00014"/>
    <d v="2024-06-23T00:00:00"/>
    <s v="CUST-0008"/>
    <s v="PROD-036"/>
    <s v="R025"/>
    <n v="3"/>
    <n v="3250"/>
    <n v="14.1"/>
    <n v="8375.25"/>
    <s v="Refunded"/>
    <s v="Pune"/>
    <s v="Home"/>
    <s v="West"/>
    <s v="Jun-24"/>
    <x v="2"/>
  </r>
  <r>
    <s v="ORD-00015"/>
    <d v="2024-03-14T00:00:00"/>
    <s v="CUST-0052"/>
    <s v="PROD-060"/>
    <s v="R003"/>
    <n v="1"/>
    <n v="190"/>
    <n v="20.7"/>
    <n v="150.66999999999999"/>
    <s v="Completed"/>
    <s v="Pune"/>
    <s v="Sports"/>
    <s v="North"/>
    <s v="Mar-24"/>
    <x v="1"/>
  </r>
  <r>
    <s v="ORD-00016"/>
    <d v="2024-09-11T00:00:00"/>
    <s v="CUST-0184"/>
    <s v="PROD-058"/>
    <s v="R014"/>
    <n v="7"/>
    <n v="2400"/>
    <n v="10.199999999999999"/>
    <n v="15086.4"/>
    <s v="Pending"/>
    <s v="Pune"/>
    <s v="Sports"/>
    <s v="South"/>
    <s v="Sep-24"/>
    <x v="0"/>
  </r>
  <r>
    <s v="ORD-00017"/>
    <d v="2024-08-08T00:00:00"/>
    <s v="CUST-0056"/>
    <s v="PROD-028"/>
    <s v="R023"/>
    <n v="4"/>
    <n v="3660"/>
    <n v="2.6"/>
    <n v="14259.36"/>
    <s v="Completed"/>
    <s v="Bengaluru"/>
    <s v="Grocery"/>
    <s v="East"/>
    <s v="Aug-24"/>
    <x v="0"/>
  </r>
  <r>
    <s v="ORD-00018"/>
    <d v="2024-12-28T00:00:00"/>
    <s v="CUST-0273"/>
    <s v="PROD-047"/>
    <s v="R021"/>
    <n v="8"/>
    <n v="3450"/>
    <n v="18.5"/>
    <n v="22494"/>
    <s v="Completed"/>
    <s v="Hyderabad"/>
    <s v="Beauty"/>
    <s v="East"/>
    <s v="Dec-24"/>
    <x v="3"/>
  </r>
  <r>
    <s v="ORD-00019"/>
    <d v="2024-11-30T00:00:00"/>
    <s v="CUST-0182"/>
    <s v="PROD-051"/>
    <s v="R023"/>
    <n v="5"/>
    <n v="3450"/>
    <n v="7.3"/>
    <n v="15990.75"/>
    <s v="Completed"/>
    <s v="Mumbai"/>
    <s v="Sports"/>
    <s v="East"/>
    <s v="Nov-24"/>
    <x v="3"/>
  </r>
  <r>
    <s v="ORD-00020"/>
    <d v="2024-04-12T00:00:00"/>
    <s v="CUST-0265"/>
    <s v="PROD-040"/>
    <s v="R023"/>
    <n v="8"/>
    <n v="1080"/>
    <n v="2.2000000000000002"/>
    <n v="8449.92"/>
    <s v="Completed"/>
    <s v="Chennai"/>
    <s v="Home"/>
    <s v="East"/>
    <s v="Apr-24"/>
    <x v="2"/>
  </r>
  <r>
    <s v="ORD-00021"/>
    <d v="2024-06-27T00:00:00"/>
    <s v="CUST-0159"/>
    <s v="PROD-019"/>
    <s v="R006"/>
    <n v="7"/>
    <n v="2480"/>
    <n v="28.7"/>
    <n v="12377.68"/>
    <s v="Completed"/>
    <s v="Hyderabad"/>
    <s v="Apparel"/>
    <s v="North"/>
    <s v="Jun-24"/>
    <x v="2"/>
  </r>
  <r>
    <s v="ORD-00022"/>
    <d v="2024-03-03T00:00:00"/>
    <s v="CUST-0259"/>
    <s v="PROD-036"/>
    <s v="R030"/>
    <n v="4"/>
    <n v="3250"/>
    <n v="24.6"/>
    <n v="9802"/>
    <s v="Completed"/>
    <s v="Mumbai"/>
    <s v="Home"/>
    <s v="West"/>
    <s v="Mar-24"/>
    <x v="1"/>
  </r>
  <r>
    <s v="ORD-00023"/>
    <d v="2024-08-26T00:00:00"/>
    <s v="CUST-0107"/>
    <s v="PROD-015"/>
    <s v="R030"/>
    <n v="9"/>
    <n v="2720"/>
    <n v="26.2"/>
    <n v="18066.240000000002"/>
    <s v="Completed"/>
    <s v="Pune"/>
    <s v="Apparel"/>
    <s v="West"/>
    <s v="Aug-24"/>
    <x v="0"/>
  </r>
  <r>
    <s v="ORD-00024"/>
    <d v="2024-06-29T00:00:00"/>
    <s v="CUST-0101"/>
    <s v="PROD-044"/>
    <s v="R003"/>
    <n v="2"/>
    <n v="1650"/>
    <n v="9.4"/>
    <n v="2989.8"/>
    <s v="Completed"/>
    <s v="Hyderabad"/>
    <s v="Beauty"/>
    <s v="North"/>
    <s v="Jun-24"/>
    <x v="2"/>
  </r>
  <r>
    <s v="ORD-00025"/>
    <d v="2024-04-12T00:00:00"/>
    <s v="CUST-0142"/>
    <s v="PROD-043"/>
    <s v="R023"/>
    <n v="6"/>
    <n v="3350"/>
    <n v="6.1"/>
    <n v="18873.900000000001"/>
    <s v="Pending"/>
    <s v="Chennai"/>
    <s v="Beauty"/>
    <s v="East"/>
    <s v="Apr-24"/>
    <x v="2"/>
  </r>
  <r>
    <s v="ORD-00026"/>
    <d v="2024-10-05T00:00:00"/>
    <s v="CUST-0250"/>
    <s v="PROD-054"/>
    <s v="R019"/>
    <n v="2"/>
    <n v="1010"/>
    <n v="16.5"/>
    <n v="1686.7"/>
    <s v="Cancelled"/>
    <s v="Delhi"/>
    <s v="Sports"/>
    <s v="East"/>
    <s v="Oct-24"/>
    <x v="3"/>
  </r>
  <r>
    <s v="ORD-00027"/>
    <d v="2024-04-19T00:00:00"/>
    <s v="CUST-0098"/>
    <s v="PROD-046"/>
    <s v="R006"/>
    <n v="5"/>
    <n v="4880"/>
    <n v="23.6"/>
    <n v="18641.599999999999"/>
    <s v="Completed"/>
    <s v="Delhi"/>
    <s v="Beauty"/>
    <s v="North"/>
    <s v="Apr-24"/>
    <x v="2"/>
  </r>
  <r>
    <s v="ORD-00028"/>
    <d v="2024-08-13T00:00:00"/>
    <s v="CUST-0143"/>
    <s v="PROD-003"/>
    <s v="R015"/>
    <n v="7"/>
    <n v="3570"/>
    <n v="5.8"/>
    <n v="23540.58"/>
    <s v="Cancelled"/>
    <s v="Chennai"/>
    <s v="Electronics"/>
    <s v="South"/>
    <s v="Aug-24"/>
    <x v="0"/>
  </r>
  <r>
    <s v="ORD-00029"/>
    <d v="2024-03-12T00:00:00"/>
    <s v="CUST-0086"/>
    <s v="PROD-048"/>
    <s v="R020"/>
    <n v="9"/>
    <n v="5100"/>
    <n v="16.7"/>
    <n v="38234.699999999997"/>
    <s v="Completed"/>
    <s v="Hyderabad"/>
    <s v="Beauty"/>
    <s v="East"/>
    <s v="Mar-24"/>
    <x v="1"/>
  </r>
  <r>
    <s v="ORD-00030"/>
    <d v="2024-03-16T00:00:00"/>
    <s v="CUST-0006"/>
    <s v="PROD-055"/>
    <s v="R005"/>
    <n v="3"/>
    <n v="2860"/>
    <n v="25.8"/>
    <n v="6366.36"/>
    <s v="Completed"/>
    <s v="Pune"/>
    <s v="Sports"/>
    <s v="North"/>
    <s v="Mar-24"/>
    <x v="1"/>
  </r>
  <r>
    <s v="ORD-00031"/>
    <d v="2024-10-04T00:00:00"/>
    <s v="CUST-0241"/>
    <s v="PROD-030"/>
    <s v="R006"/>
    <n v="7"/>
    <n v="970"/>
    <n v="29.8"/>
    <n v="4766.58"/>
    <s v="Completed"/>
    <s v="Pune"/>
    <s v="Grocery"/>
    <s v="North"/>
    <s v="Oct-24"/>
    <x v="3"/>
  </r>
  <r>
    <s v="ORD-00032"/>
    <d v="2024-12-15T00:00:00"/>
    <s v="CUST-0035"/>
    <s v="PROD-021"/>
    <s v="R026"/>
    <n v="4"/>
    <n v="2760"/>
    <n v="5.9"/>
    <n v="10388.64"/>
    <s v="Completed"/>
    <s v="Hyderabad"/>
    <s v="Grocery"/>
    <s v="West"/>
    <s v="Dec-24"/>
    <x v="3"/>
  </r>
  <r>
    <s v="ORD-00033"/>
    <d v="2024-02-21T00:00:00"/>
    <s v="CUST-0273"/>
    <s v="PROD-037"/>
    <s v="R009"/>
    <n v="10"/>
    <n v="660"/>
    <n v="18.3"/>
    <n v="5392.2"/>
    <s v="Pending"/>
    <s v="Hyderabad"/>
    <s v="Home"/>
    <s v="South"/>
    <s v="Feb-24"/>
    <x v="1"/>
  </r>
  <r>
    <s v="ORD-00034"/>
    <d v="2024-10-11T00:00:00"/>
    <s v="CUST-0064"/>
    <s v="PROD-036"/>
    <s v="R019"/>
    <n v="1"/>
    <n v="3250"/>
    <n v="10.7"/>
    <n v="2902.25"/>
    <s v="Completed"/>
    <s v="Hyderabad"/>
    <s v="Home"/>
    <s v="East"/>
    <s v="Oct-24"/>
    <x v="3"/>
  </r>
  <r>
    <s v="ORD-00035"/>
    <d v="2024-06-19T00:00:00"/>
    <s v="CUST-0118"/>
    <s v="PROD-048"/>
    <s v="R019"/>
    <n v="8"/>
    <n v="5100"/>
    <n v="26.4"/>
    <n v="30028.799999999999"/>
    <s v="Cancelled"/>
    <s v="Hyderabad"/>
    <s v="Beauty"/>
    <s v="East"/>
    <s v="Jun-24"/>
    <x v="2"/>
  </r>
  <r>
    <s v="ORD-00036"/>
    <d v="2024-05-30T00:00:00"/>
    <s v="CUST-0013"/>
    <s v="PROD-040"/>
    <s v="R021"/>
    <n v="1"/>
    <n v="1080"/>
    <n v="5.0999999999999996"/>
    <n v="1024.92"/>
    <s v="Completed"/>
    <s v="Delhi"/>
    <s v="Home"/>
    <s v="East"/>
    <s v="May-24"/>
    <x v="2"/>
  </r>
  <r>
    <s v="ORD-00037"/>
    <d v="2024-12-20T00:00:00"/>
    <s v="CUST-0177"/>
    <s v="PROD-038"/>
    <s v="R009"/>
    <n v="2"/>
    <n v="5490"/>
    <n v="21.1"/>
    <n v="8663.2199999999993"/>
    <s v="Cancelled"/>
    <s v="Mumbai"/>
    <s v="Home"/>
    <s v="South"/>
    <s v="Dec-24"/>
    <x v="3"/>
  </r>
  <r>
    <s v="ORD-00038"/>
    <d v="2024-07-05T00:00:00"/>
    <s v="CUST-0186"/>
    <s v="PROD-060"/>
    <s v="R001"/>
    <n v="7"/>
    <n v="190"/>
    <n v="28.7"/>
    <n v="948.29"/>
    <s v="Completed"/>
    <s v="Bengaluru"/>
    <s v="Sports"/>
    <s v="North"/>
    <s v="Jul-24"/>
    <x v="0"/>
  </r>
  <r>
    <s v="ORD-00039"/>
    <d v="2024-03-04T00:00:00"/>
    <s v="CUST-0069"/>
    <s v="PROD-058"/>
    <s v="R015"/>
    <n v="6"/>
    <n v="2400"/>
    <n v="2.7"/>
    <n v="14011.2"/>
    <s v="Completed"/>
    <s v="Chennai"/>
    <s v="Sports"/>
    <s v="South"/>
    <s v="Mar-24"/>
    <x v="1"/>
  </r>
  <r>
    <s v="ORD-00040"/>
    <d v="2024-11-03T00:00:00"/>
    <s v="CUST-0283"/>
    <s v="PROD-044"/>
    <s v="R023"/>
    <n v="9"/>
    <n v="1650"/>
    <n v="11.6"/>
    <n v="13127.4"/>
    <s v="Completed"/>
    <s v="Delhi"/>
    <s v="Beauty"/>
    <s v="East"/>
    <s v="Nov-24"/>
    <x v="3"/>
  </r>
  <r>
    <s v="ORD-00041"/>
    <d v="2024-11-10T00:00:00"/>
    <s v="CUST-9507"/>
    <s v="PROD-038"/>
    <s v="R006"/>
    <n v="4"/>
    <n v="5490"/>
    <n v="12.8"/>
    <n v="19149.12"/>
    <s v="Cancelled"/>
    <s v="Chennai"/>
    <s v="Home"/>
    <s v="North"/>
    <s v="Nov-24"/>
    <x v="3"/>
  </r>
  <r>
    <s v="ORD-00042"/>
    <d v="2024-05-20T00:00:00"/>
    <s v="CUST-0053"/>
    <s v="PROD-046"/>
    <s v="R014"/>
    <n v="10"/>
    <n v="4880"/>
    <n v="12.7"/>
    <n v="42602.400000000001"/>
    <s v="Completed"/>
    <s v="Delhi"/>
    <s v="Beauty"/>
    <s v="South"/>
    <s v="May-24"/>
    <x v="2"/>
  </r>
  <r>
    <s v="ORD-00043"/>
    <d v="2024-04-10T00:00:00"/>
    <s v="CUST-0222"/>
    <s v="PROD-031"/>
    <s v="R019"/>
    <n v="2"/>
    <n v="3730"/>
    <n v="25.8"/>
    <n v="5535.32"/>
    <s v="Completed"/>
    <s v="Chennai"/>
    <s v="Home"/>
    <s v="East"/>
    <s v="Apr-24"/>
    <x v="2"/>
  </r>
  <r>
    <s v="ORD-00044"/>
    <d v="2024-04-14T00:00:00"/>
    <s v="CUST-0095"/>
    <s v="PROD-047"/>
    <s v="R029"/>
    <n v="4"/>
    <n v="3450"/>
    <n v="20.7"/>
    <n v="10943.4"/>
    <s v="Completed"/>
    <s v="Mumbai"/>
    <s v="Beauty"/>
    <s v="West"/>
    <s v="Apr-24"/>
    <x v="2"/>
  </r>
  <r>
    <s v="ORD-00045"/>
    <d v="2024-03-22T00:00:00"/>
    <s v="CUST-0152"/>
    <s v="PROD-019"/>
    <s v="R019"/>
    <n v="2"/>
    <n v="2480"/>
    <n v="17.3"/>
    <n v="4101.92"/>
    <s v="Completed"/>
    <s v="Bengaluru"/>
    <s v="Apparel"/>
    <s v="East"/>
    <s v="Mar-24"/>
    <x v="1"/>
  </r>
  <r>
    <s v="ORD-00046"/>
    <d v="2024-01-21T00:00:00"/>
    <s v="CUST-0291"/>
    <s v="PROD-027"/>
    <s v="R015"/>
    <n v="9"/>
    <n v="3780"/>
    <n v="8.6999999999999993"/>
    <n v="31060.26"/>
    <s v="Pending"/>
    <s v="Pune"/>
    <s v="Grocery"/>
    <s v="South"/>
    <s v="Jan-24"/>
    <x v="1"/>
  </r>
  <r>
    <s v="ORD-00047"/>
    <d v="2024-02-18T00:00:00"/>
    <s v="CUST-0112"/>
    <s v="PROD-013"/>
    <s v="R017"/>
    <n v="4"/>
    <n v="3640"/>
    <n v="20.7"/>
    <n v="11546.08"/>
    <s v="Completed"/>
    <s v="Hyderabad"/>
    <s v="Apparel"/>
    <s v="East"/>
    <s v="Feb-24"/>
    <x v="1"/>
  </r>
  <r>
    <s v="ORD-00048"/>
    <d v="2024-03-19T00:00:00"/>
    <s v="CUST-9800"/>
    <s v="PROD-050"/>
    <s v="R003"/>
    <n v="8"/>
    <n v="6080"/>
    <n v="24.4"/>
    <n v="36771.839999999997"/>
    <s v="Completed"/>
    <s v="Pune"/>
    <s v="Beauty"/>
    <s v="North"/>
    <s v="Mar-24"/>
    <x v="1"/>
  </r>
  <r>
    <s v="ORD-00049"/>
    <d v="2024-04-07T00:00:00"/>
    <s v="CUST-0143"/>
    <s v="PROD-030"/>
    <s v="R007"/>
    <n v="10"/>
    <n v="970"/>
    <n v="0.6"/>
    <n v="9641.7999999999993"/>
    <s v="Cancelled"/>
    <s v="Chennai"/>
    <s v="Grocery"/>
    <s v="North"/>
    <s v="Apr-24"/>
    <x v="2"/>
  </r>
  <r>
    <s v="ORD-00050"/>
    <d v="2024-09-30T00:00:00"/>
    <s v="CUST-0226"/>
    <s v="PROD-022"/>
    <s v="R028"/>
    <n v="1"/>
    <n v="2270"/>
    <n v="11.5"/>
    <n v="2008.95"/>
    <s v="Pending"/>
    <s v="Chennai"/>
    <s v="Grocery"/>
    <s v="West"/>
    <s v="Sep-24"/>
    <x v="0"/>
  </r>
  <r>
    <s v="ORD-00051"/>
    <d v="2024-02-01T00:00:00"/>
    <s v="CUST-0234"/>
    <s v="PROD-004"/>
    <s v="R023"/>
    <n v="7"/>
    <n v="3870"/>
    <n v="0.3"/>
    <n v="27008.73"/>
    <s v="Cancelled"/>
    <s v="Bengaluru"/>
    <s v="Electronics"/>
    <s v="East"/>
    <s v="Feb-24"/>
    <x v="1"/>
  </r>
  <r>
    <s v="ORD-00052"/>
    <d v="2024-08-02T00:00:00"/>
    <s v="CUST-0176"/>
    <s v="PROD-046"/>
    <s v="R009"/>
    <n v="1"/>
    <n v="4880"/>
    <n v="23.9"/>
    <n v="3713.68"/>
    <s v="Pending"/>
    <s v="Bengaluru"/>
    <s v="Beauty"/>
    <s v="South"/>
    <s v="Aug-24"/>
    <x v="0"/>
  </r>
  <r>
    <s v="ORD-00053"/>
    <d v="2024-11-20T00:00:00"/>
    <s v="CUST-0180"/>
    <s v="PROD-027"/>
    <s v="R013"/>
    <n v="5"/>
    <n v="3780"/>
    <n v="18.5"/>
    <n v="15403.5"/>
    <s v="Completed"/>
    <s v="Chennai"/>
    <s v="Grocery"/>
    <s v="South"/>
    <s v="Nov-24"/>
    <x v="3"/>
  </r>
  <r>
    <s v="ORD-00054"/>
    <d v="2024-05-16T00:00:00"/>
    <s v="CUST-0088"/>
    <s v="PROD-036"/>
    <s v="R020"/>
    <n v="10"/>
    <n v="3250"/>
    <n v="25.5"/>
    <n v="24212.5"/>
    <s v="Completed"/>
    <s v="Chennai"/>
    <s v="Home"/>
    <s v="East"/>
    <s v="May-24"/>
    <x v="2"/>
  </r>
  <r>
    <s v="ORD-00055"/>
    <d v="2024-08-11T00:00:00"/>
    <s v="CUST-0267"/>
    <s v="PROD-013"/>
    <s v="R007"/>
    <n v="4"/>
    <n v="3640"/>
    <n v="9.9"/>
    <n v="13118.56"/>
    <s v="Refunded"/>
    <s v="Hyderabad"/>
    <s v="Apparel"/>
    <s v="North"/>
    <s v="Aug-24"/>
    <x v="0"/>
  </r>
  <r>
    <s v="ORD-00056"/>
    <d v="2024-12-23T00:00:00"/>
    <s v="CUST-0194"/>
    <s v="PROD-041"/>
    <s v="R023"/>
    <n v="4"/>
    <n v="1540"/>
    <n v="28.8"/>
    <n v="4385.92"/>
    <s v="Completed"/>
    <s v="Delhi"/>
    <s v="Beauty"/>
    <s v="East"/>
    <s v="Dec-24"/>
    <x v="3"/>
  </r>
  <r>
    <s v="ORD-00057"/>
    <d v="2024-11-20T00:00:00"/>
    <s v="CUST-0261"/>
    <s v="PROD-040"/>
    <s v="R017"/>
    <n v="1"/>
    <n v="1080"/>
    <n v="23"/>
    <n v="831.6"/>
    <s v="Cancelled"/>
    <s v="Delhi"/>
    <s v="Home"/>
    <s v="East"/>
    <s v="Nov-24"/>
    <x v="3"/>
  </r>
  <r>
    <s v="ORD-00058"/>
    <d v="2024-10-08T00:00:00"/>
    <s v="CUST-0031"/>
    <s v="PROD-026"/>
    <s v="R007"/>
    <n v="1"/>
    <n v="4070"/>
    <n v="6.7"/>
    <n v="3797.31"/>
    <s v="Completed"/>
    <s v="Hyderabad"/>
    <s v="Grocery"/>
    <s v="North"/>
    <s v="Oct-24"/>
    <x v="3"/>
  </r>
  <r>
    <s v="ORD-00059"/>
    <d v="2024-05-05T00:00:00"/>
    <s v="CUST-0175"/>
    <s v="PROD-009"/>
    <s v="R030"/>
    <n v="2"/>
    <n v="1220"/>
    <n v="11.7"/>
    <n v="2154.52"/>
    <s v="Cancelled"/>
    <s v="Delhi"/>
    <s v="Electronics"/>
    <s v="West"/>
    <s v="May-24"/>
    <x v="2"/>
  </r>
  <r>
    <s v="ORD-00060"/>
    <d v="2024-05-13T00:00:00"/>
    <s v="CUST-0263"/>
    <s v="PROD-039"/>
    <s v="R029"/>
    <n v="4"/>
    <n v="4610"/>
    <n v="26.9"/>
    <n v="13479.64"/>
    <s v="Pending"/>
    <s v="Mumbai"/>
    <s v="Home"/>
    <s v="West"/>
    <s v="May-24"/>
    <x v="2"/>
  </r>
  <r>
    <s v="ORD-00061"/>
    <d v="2024-10-24T00:00:00"/>
    <s v="CUST-0203"/>
    <s v="PROD-040"/>
    <s v="R011"/>
    <n v="8"/>
    <n v="1080"/>
    <n v="28.4"/>
    <n v="6186.24"/>
    <s v="Completed"/>
    <s v="Chennai"/>
    <s v="Home"/>
    <s v="South"/>
    <s v="Oct-24"/>
    <x v="3"/>
  </r>
  <r>
    <s v="ORD-00062"/>
    <d v="2024-07-15T00:00:00"/>
    <s v="CUST-0258"/>
    <s v="PROD-045"/>
    <s v="R006"/>
    <n v="10"/>
    <n v="3020"/>
    <n v="25.4"/>
    <n v="22529.200000000001"/>
    <s v="Completed"/>
    <s v="Pune"/>
    <s v="Beauty"/>
    <s v="North"/>
    <s v="Jul-24"/>
    <x v="0"/>
  </r>
  <r>
    <s v="ORD-00063"/>
    <d v="2024-06-22T00:00:00"/>
    <s v="CUST-0282"/>
    <s v="PROD-008"/>
    <s v="R017"/>
    <n v="7"/>
    <n v="2660"/>
    <n v="5.3"/>
    <n v="17633.14"/>
    <s v="Completed"/>
    <s v="Hyderabad"/>
    <s v="Electronics"/>
    <s v="East"/>
    <s v="Jun-24"/>
    <x v="2"/>
  </r>
  <r>
    <s v="ORD-00064"/>
    <d v="2024-11-03T00:00:00"/>
    <s v="CUST-0168"/>
    <s v="PROD-005"/>
    <s v="R003"/>
    <n v="9"/>
    <n v="300"/>
    <n v="25.3"/>
    <n v="2016.9"/>
    <s v="Completed"/>
    <s v="Pune"/>
    <s v="Electronics"/>
    <s v="North"/>
    <s v="Nov-24"/>
    <x v="3"/>
  </r>
  <r>
    <s v="ORD-00065"/>
    <d v="2024-01-26T00:00:00"/>
    <s v="CUST-0040"/>
    <s v="PROD-010"/>
    <s v="R022"/>
    <n v="10"/>
    <n v="2640"/>
    <n v="18.7"/>
    <n v="21463.200000000001"/>
    <s v="Cancelled"/>
    <s v="Chennai"/>
    <s v="Electronics"/>
    <s v="East"/>
    <s v="Jan-24"/>
    <x v="1"/>
  </r>
  <r>
    <s v="ORD-00066"/>
    <d v="2024-06-19T00:00:00"/>
    <s v="CUST-0283"/>
    <s v="PROD-020"/>
    <s v="R020"/>
    <n v="8"/>
    <n v="820"/>
    <n v="24"/>
    <n v="4985.6000000000004"/>
    <s v="Completed"/>
    <s v="Delhi"/>
    <s v="Apparel"/>
    <s v="East"/>
    <s v="Jun-24"/>
    <x v="2"/>
  </r>
  <r>
    <s v="ORD-00067"/>
    <d v="2024-07-26T00:00:00"/>
    <s v="CUST-0202"/>
    <s v="PROD-021"/>
    <s v="R028"/>
    <n v="1"/>
    <n v="2760"/>
    <n v="4.8"/>
    <n v="2627.52"/>
    <s v="Completed"/>
    <s v="Chennai"/>
    <s v="Grocery"/>
    <s v="West"/>
    <s v="Jul-24"/>
    <x v="0"/>
  </r>
  <r>
    <s v="ORD-00068"/>
    <d v="2024-02-06T00:00:00"/>
    <s v="CUST-0161"/>
    <s v="PROD-014"/>
    <s v="R017"/>
    <n v="2"/>
    <n v="3620"/>
    <n v="19.100000000000001"/>
    <n v="5857.16"/>
    <s v="Completed"/>
    <s v="Chennai"/>
    <s v="Apparel"/>
    <s v="East"/>
    <s v="Feb-24"/>
    <x v="1"/>
  </r>
  <r>
    <s v="ORD-00069"/>
    <d v="2024-06-16T00:00:00"/>
    <s v="CUST-0033"/>
    <s v="PROD-016"/>
    <s v="R025"/>
    <n v="1"/>
    <n v="620"/>
    <n v="1"/>
    <n v="613.79999999999995"/>
    <s v="Completed"/>
    <s v="Delhi"/>
    <s v="Apparel"/>
    <s v="West"/>
    <s v="Jun-24"/>
    <x v="2"/>
  </r>
  <r>
    <s v="ORD-00070"/>
    <d v="2024-04-16T00:00:00"/>
    <s v="CUST-0191"/>
    <s v="PROD-033"/>
    <s v="R030"/>
    <n v="1"/>
    <n v="2030"/>
    <n v="3.3"/>
    <n v="1963.01"/>
    <s v="Completed"/>
    <s v="Hyderabad"/>
    <s v="Home"/>
    <s v="West"/>
    <s v="Apr-24"/>
    <x v="2"/>
  </r>
  <r>
    <s v="ORD-00071"/>
    <d v="2024-06-27T00:00:00"/>
    <s v="CUST-0180"/>
    <s v="PROD-012"/>
    <s v="R002"/>
    <n v="10"/>
    <n v="3160"/>
    <n v="15.8"/>
    <n v="26607.200000000001"/>
    <s v="Completed"/>
    <s v="Chennai"/>
    <s v="Apparel"/>
    <s v="North"/>
    <s v="Jun-24"/>
    <x v="2"/>
  </r>
  <r>
    <s v="ORD-00072"/>
    <d v="2024-02-24T00:00:00"/>
    <s v="CUST-0129"/>
    <s v="PROD-030"/>
    <s v="R001"/>
    <n v="5"/>
    <n v="970"/>
    <n v="12.2"/>
    <n v="4258.3"/>
    <s v="Completed"/>
    <s v="Hyderabad"/>
    <s v="Grocery"/>
    <s v="North"/>
    <s v="Feb-24"/>
    <x v="1"/>
  </r>
  <r>
    <s v="ORD-00073"/>
    <d v="2024-07-10T00:00:00"/>
    <s v="CUST-0189"/>
    <s v="PROD-043"/>
    <s v="R003"/>
    <n v="9"/>
    <n v="3350"/>
    <n v="25.8"/>
    <n v="22371.3"/>
    <s v="Pending"/>
    <s v="Chennai"/>
    <s v="Beauty"/>
    <s v="North"/>
    <s v="Jul-24"/>
    <x v="0"/>
  </r>
  <r>
    <s v="ORD-00074"/>
    <d v="2024-10-20T00:00:00"/>
    <s v="CUST-0194"/>
    <s v="PROD-032"/>
    <s v="R018"/>
    <n v="1"/>
    <n v="370"/>
    <n v="28.9"/>
    <n v="263.07"/>
    <s v="Completed"/>
    <s v="Delhi"/>
    <s v="Home"/>
    <s v="East"/>
    <s v="Oct-24"/>
    <x v="3"/>
  </r>
  <r>
    <s v="ORD-00075"/>
    <d v="2024-07-27T00:00:00"/>
    <s v="CUST-0200"/>
    <s v="PROD-030"/>
    <s v="R010"/>
    <n v="3"/>
    <n v="970"/>
    <n v="4.3"/>
    <n v="2784.87"/>
    <s v="Cancelled"/>
    <s v="Hyderabad"/>
    <s v="Grocery"/>
    <s v="South"/>
    <s v="Jul-24"/>
    <x v="0"/>
  </r>
  <r>
    <s v="ORD-00076"/>
    <d v="2024-03-24T00:00:00"/>
    <s v="CUST-0008"/>
    <s v="PROD-021"/>
    <s v="R022"/>
    <n v="6"/>
    <n v="2760"/>
    <n v="19.899999999999999"/>
    <n v="13264.56"/>
    <s v="Pending"/>
    <s v="Pune"/>
    <s v="Grocery"/>
    <s v="East"/>
    <s v="Mar-24"/>
    <x v="1"/>
  </r>
  <r>
    <s v="ORD-00077"/>
    <d v="2024-05-31T00:00:00"/>
    <s v="CUST-0051"/>
    <s v="PROD-021"/>
    <s v="R019"/>
    <n v="7"/>
    <n v="2760"/>
    <n v="25.2"/>
    <n v="14451.36"/>
    <s v="Completed"/>
    <s v="Pune"/>
    <s v="Grocery"/>
    <s v="East"/>
    <s v="May-24"/>
    <x v="2"/>
  </r>
  <r>
    <s v="ORD-00078"/>
    <d v="2024-04-08T00:00:00"/>
    <s v="CUST-0193"/>
    <s v="PROD-009"/>
    <s v="R022"/>
    <n v="4"/>
    <n v="1220"/>
    <n v="8.4"/>
    <n v="4470.08"/>
    <s v="Completed"/>
    <s v="Bengaluru"/>
    <s v="Electronics"/>
    <s v="East"/>
    <s v="Apr-24"/>
    <x v="2"/>
  </r>
  <r>
    <s v="ORD-00079"/>
    <d v="2024-11-19T00:00:00"/>
    <s v="CUST-0020"/>
    <s v="PROD-002"/>
    <s v="R028"/>
    <n v="2"/>
    <n v="2600"/>
    <n v="1.9"/>
    <n v="5101.2"/>
    <s v="Pending"/>
    <s v="Hyderabad"/>
    <s v="Electronics"/>
    <s v="West"/>
    <s v="Nov-24"/>
    <x v="3"/>
  </r>
  <r>
    <s v="ORD-00080"/>
    <d v="2024-07-25T00:00:00"/>
    <s v="CUST-0230"/>
    <s v="PROD-026"/>
    <s v="R030"/>
    <n v="9"/>
    <n v="4070"/>
    <n v="28.8"/>
    <n v="26080.560000000001"/>
    <s v="Completed"/>
    <s v="Pune"/>
    <s v="Grocery"/>
    <s v="West"/>
    <s v="Jul-24"/>
    <x v="0"/>
  </r>
  <r>
    <s v="ORD-00081"/>
    <d v="2024-08-11T00:00:00"/>
    <s v="CUST-0094"/>
    <s v="PROD-024"/>
    <s v="R005"/>
    <n v="2"/>
    <n v="2270"/>
    <n v="18"/>
    <n v="3722.8"/>
    <s v="Refunded"/>
    <s v="Pune"/>
    <s v="Grocery"/>
    <s v="North"/>
    <s v="Aug-24"/>
    <x v="0"/>
  </r>
  <r>
    <s v="ORD-00082"/>
    <d v="2024-08-24T00:00:00"/>
    <s v="CUST-0248"/>
    <s v="PROD-012"/>
    <s v="R017"/>
    <n v="2"/>
    <n v="3160"/>
    <n v="18.3"/>
    <n v="5163.4399999999996"/>
    <s v="Completed"/>
    <s v="Chennai"/>
    <s v="Apparel"/>
    <s v="East"/>
    <s v="Aug-24"/>
    <x v="0"/>
  </r>
  <r>
    <s v="ORD-00083"/>
    <d v="2024-04-20T00:00:00"/>
    <s v="CUST-0082"/>
    <s v="PROD-019"/>
    <s v="R007"/>
    <n v="4"/>
    <n v="2480"/>
    <n v="1.1000000000000001"/>
    <n v="9810.8799999999992"/>
    <s v="Pending"/>
    <s v="Hyderabad"/>
    <s v="Apparel"/>
    <s v="North"/>
    <s v="Apr-24"/>
    <x v="2"/>
  </r>
  <r>
    <s v="ORD-00084"/>
    <d v="2024-09-12T00:00:00"/>
    <s v="CUST-0078"/>
    <s v="PROD-008"/>
    <s v="R026"/>
    <n v="1"/>
    <n v="2660"/>
    <n v="21"/>
    <n v="2101.4"/>
    <s v="Completed"/>
    <s v="Delhi"/>
    <s v="Electronics"/>
    <s v="West"/>
    <s v="Sep-24"/>
    <x v="0"/>
  </r>
  <r>
    <s v="ORD-00085"/>
    <d v="2024-05-12T00:00:00"/>
    <s v="CUST-0032"/>
    <s v="PROD-045"/>
    <s v="R012"/>
    <n v="5"/>
    <n v="3020"/>
    <n v="22.2"/>
    <n v="11747.8"/>
    <s v="Completed"/>
    <s v="Hyderabad"/>
    <s v="Beauty"/>
    <s v="South"/>
    <s v="May-24"/>
    <x v="2"/>
  </r>
  <r>
    <s v="ORD-00086"/>
    <d v="2024-06-18T00:00:00"/>
    <s v="CUST-0006"/>
    <s v="PROD-016"/>
    <s v="R030"/>
    <n v="9"/>
    <n v="620"/>
    <n v="23.3"/>
    <n v="4279.8599999999997"/>
    <s v="Completed"/>
    <s v="Pune"/>
    <s v="Apparel"/>
    <s v="West"/>
    <s v="Jun-24"/>
    <x v="2"/>
  </r>
  <r>
    <s v="ORD-00087"/>
    <d v="2024-11-04T00:00:00"/>
    <s v="CUST-0084"/>
    <s v="PROD-053"/>
    <s v="R026"/>
    <n v="2"/>
    <n v="470"/>
    <n v="5.4"/>
    <n v="889.24"/>
    <s v="Completed"/>
    <s v="Chennai"/>
    <s v="Sports"/>
    <s v="West"/>
    <s v="Nov-24"/>
    <x v="3"/>
  </r>
  <r>
    <s v="ORD-00088"/>
    <d v="2024-10-22T00:00:00"/>
    <s v="CUST-0107"/>
    <s v="PROD-007"/>
    <s v="R010"/>
    <n v="3"/>
    <n v="1430"/>
    <n v="6.5"/>
    <n v="4011.15"/>
    <s v="Completed"/>
    <s v="Pune"/>
    <s v="Electronics"/>
    <s v="South"/>
    <s v="Oct-24"/>
    <x v="3"/>
  </r>
  <r>
    <s v="ORD-00089"/>
    <d v="2024-08-14T00:00:00"/>
    <s v="CUST-0108"/>
    <s v="PROD-016"/>
    <s v="R004"/>
    <n v="6"/>
    <n v="620"/>
    <n v="2.6"/>
    <n v="3623.28"/>
    <s v="Completed"/>
    <s v="Bengaluru"/>
    <s v="Apparel"/>
    <s v="North"/>
    <s v="Aug-24"/>
    <x v="0"/>
  </r>
  <r>
    <s v="ORD-00090"/>
    <d v="2024-08-29T00:00:00"/>
    <s v="CUST-0139"/>
    <s v="PROD-003"/>
    <s v="R012"/>
    <n v="4"/>
    <n v="3570"/>
    <n v="4.5"/>
    <n v="13637.4"/>
    <s v="Pending"/>
    <s v="Hyderabad"/>
    <s v="Electronics"/>
    <s v="South"/>
    <s v="Aug-24"/>
    <x v="0"/>
  </r>
  <r>
    <s v="ORD-00091"/>
    <d v="2024-11-26T00:00:00"/>
    <s v="CUST-0200"/>
    <s v="PROD-022"/>
    <s v="R010"/>
    <n v="6"/>
    <n v="2270"/>
    <n v="2"/>
    <n v="13347.6"/>
    <s v="Completed"/>
    <s v="Hyderabad"/>
    <s v="Grocery"/>
    <s v="South"/>
    <s v="Nov-24"/>
    <x v="3"/>
  </r>
  <r>
    <s v="ORD-00092"/>
    <d v="2024-02-06T00:00:00"/>
    <s v="CUST-0208"/>
    <s v="PROD-015"/>
    <s v="R014"/>
    <n v="7"/>
    <n v="2720"/>
    <n v="15.4"/>
    <n v="16107.84"/>
    <s v="Completed"/>
    <s v="Mumbai"/>
    <s v="Apparel"/>
    <s v="South"/>
    <s v="Feb-24"/>
    <x v="1"/>
  </r>
  <r>
    <s v="ORD-00093"/>
    <d v="2024-03-29T00:00:00"/>
    <s v="CUST-0161"/>
    <s v="PROD-029"/>
    <s v="R001"/>
    <n v="9"/>
    <n v="2210"/>
    <n v="12.4"/>
    <n v="17423.64"/>
    <s v="Completed"/>
    <s v="Chennai"/>
    <s v="Grocery"/>
    <s v="North"/>
    <s v="Mar-24"/>
    <x v="1"/>
  </r>
  <r>
    <s v="ORD-00094"/>
    <d v="2024-12-22T00:00:00"/>
    <s v="CUST-0042"/>
    <s v="PROD-060"/>
    <s v="R026"/>
    <n v="6"/>
    <n v="190"/>
    <n v="19.2"/>
    <n v="921.12"/>
    <s v="Completed"/>
    <s v="Pune"/>
    <s v="Sports"/>
    <s v="West"/>
    <s v="Dec-24"/>
    <x v="3"/>
  </r>
  <r>
    <s v="ORD-00095"/>
    <d v="2024-11-11T00:00:00"/>
    <s v="CUST-0133"/>
    <s v="PROD-048"/>
    <s v="R027"/>
    <n v="10"/>
    <n v="5100"/>
    <n v="25.4"/>
    <n v="38046"/>
    <s v="Refunded"/>
    <s v="Chennai"/>
    <s v="Beauty"/>
    <s v="West"/>
    <s v="Nov-24"/>
    <x v="3"/>
  </r>
  <r>
    <s v="ORD-00096"/>
    <d v="2024-05-02T00:00:00"/>
    <s v="CUST-0219"/>
    <s v="PROD-054"/>
    <s v="R016"/>
    <n v="5"/>
    <n v="1010"/>
    <n v="1.6"/>
    <n v="4969.2"/>
    <s v="Completed"/>
    <s v="Chennai"/>
    <s v="Sports"/>
    <s v="South"/>
    <s v="May-24"/>
    <x v="2"/>
  </r>
  <r>
    <s v="ORD-00097"/>
    <d v="2024-02-06T00:00:00"/>
    <s v="CUST-0031"/>
    <s v="PROD-031"/>
    <s v="R025"/>
    <n v="1"/>
    <n v="3730"/>
    <n v="22.7"/>
    <n v="2883.29"/>
    <s v="Completed"/>
    <s v="Hyderabad"/>
    <s v="Home"/>
    <s v="West"/>
    <s v="Feb-24"/>
    <x v="1"/>
  </r>
  <r>
    <s v="ORD-00098"/>
    <d v="2024-03-22T00:00:00"/>
    <s v="CUST-0189"/>
    <s v="PROD-002"/>
    <s v="R028"/>
    <n v="10"/>
    <n v="2600"/>
    <n v="20.7"/>
    <n v="20618"/>
    <s v="Completed"/>
    <s v="Chennai"/>
    <s v="Electronics"/>
    <s v="West"/>
    <s v="Mar-24"/>
    <x v="1"/>
  </r>
  <r>
    <s v="ORD-00099"/>
    <d v="2024-06-15T00:00:00"/>
    <s v="CUST-0170"/>
    <s v="PROD-025"/>
    <s v="R006"/>
    <n v="4"/>
    <n v="4060"/>
    <n v="13.9"/>
    <n v="13982.64"/>
    <s v="Completed"/>
    <s v="Mumbai"/>
    <s v="Grocery"/>
    <s v="North"/>
    <s v="Jun-24"/>
    <x v="2"/>
  </r>
  <r>
    <s v="ORD-00100"/>
    <d v="2024-05-14T00:00:00"/>
    <s v="CUST-0164"/>
    <s v="PROD-050"/>
    <s v="R027"/>
    <n v="6"/>
    <n v="6080"/>
    <n v="16.5"/>
    <n v="30460.799999999999"/>
    <s v="Completed"/>
    <s v="Chennai"/>
    <s v="Beauty"/>
    <s v="West"/>
    <s v="May-24"/>
    <x v="2"/>
  </r>
  <r>
    <s v="ORD-00101"/>
    <d v="2024-09-22T00:00:00"/>
    <s v="CUST-0006"/>
    <s v="PROD-017"/>
    <s v="R028"/>
    <n v="6"/>
    <n v="2510"/>
    <n v="11.7"/>
    <n v="13297.98"/>
    <s v="Completed"/>
    <s v="Pune"/>
    <s v="Apparel"/>
    <s v="West"/>
    <s v="Sep-24"/>
    <x v="0"/>
  </r>
  <r>
    <s v="ORD-00102"/>
    <d v="2024-08-05T00:00:00"/>
    <s v="CUST-0181"/>
    <s v="PROD-036"/>
    <s v="R026"/>
    <n v="5"/>
    <n v="3250"/>
    <n v="18.399999999999999"/>
    <n v="13260"/>
    <s v="Completed"/>
    <s v="Delhi"/>
    <s v="Home"/>
    <s v="West"/>
    <s v="Aug-24"/>
    <x v="0"/>
  </r>
  <r>
    <s v="ORD-00103"/>
    <d v="2024-02-07T00:00:00"/>
    <s v="CUST-0131"/>
    <s v="PROD-052"/>
    <s v="R005"/>
    <n v="4"/>
    <n v="5410"/>
    <n v="9.8000000000000007"/>
    <n v="19519.28"/>
    <s v="Cancelled"/>
    <s v="Delhi"/>
    <s v="Sports"/>
    <s v="North"/>
    <s v="Feb-24"/>
    <x v="1"/>
  </r>
  <r>
    <s v="ORD-00104"/>
    <d v="2024-04-29T00:00:00"/>
    <s v="CUST-0255"/>
    <s v="PROD-003"/>
    <s v="R018"/>
    <n v="8"/>
    <n v="3570"/>
    <n v="11.1"/>
    <n v="25389.84"/>
    <s v="Completed"/>
    <s v="Chennai"/>
    <s v="Electronics"/>
    <s v="East"/>
    <s v="Apr-24"/>
    <x v="2"/>
  </r>
  <r>
    <s v="ORD-00105"/>
    <d v="2024-01-06T00:00:00"/>
    <s v="CUST-0170"/>
    <s v="PROD-001"/>
    <s v="R003"/>
    <n v="10"/>
    <n v="5330"/>
    <n v="21.2"/>
    <n v="42000.4"/>
    <s v="Completed"/>
    <s v="Mumbai"/>
    <s v="Electronics"/>
    <s v="North"/>
    <s v="Jan-24"/>
    <x v="1"/>
  </r>
  <r>
    <s v="ORD-00106"/>
    <d v="2024-12-14T00:00:00"/>
    <s v="CUST-0081"/>
    <s v="PROD-023"/>
    <s v="R017"/>
    <n v="4"/>
    <n v="2380"/>
    <n v="26.2"/>
    <n v="7025.76"/>
    <s v="Completed"/>
    <s v="Mumbai"/>
    <s v="Grocery"/>
    <s v="East"/>
    <s v="Dec-24"/>
    <x v="3"/>
  </r>
  <r>
    <s v="ORD-00107"/>
    <d v="2024-01-31T00:00:00"/>
    <s v="CUST-0102"/>
    <s v="PROD-054"/>
    <s v="R027"/>
    <n v="1"/>
    <n v="1010"/>
    <n v="19.5"/>
    <n v="813.05"/>
    <s v="Cancelled"/>
    <s v="Chennai"/>
    <s v="Sports"/>
    <s v="West"/>
    <s v="Jan-24"/>
    <x v="1"/>
  </r>
  <r>
    <s v="ORD-00108"/>
    <d v="2024-05-02T00:00:00"/>
    <s v="CUST-0070"/>
    <s v="PROD-028"/>
    <s v="R025"/>
    <n v="1"/>
    <n v="3660"/>
    <n v="1.3"/>
    <n v="3612.42"/>
    <s v="Completed"/>
    <s v="Mumbai"/>
    <s v="Grocery"/>
    <s v="West"/>
    <s v="May-24"/>
    <x v="2"/>
  </r>
  <r>
    <s v="ORD-00109"/>
    <d v="2024-10-27T00:00:00"/>
    <s v="CUST-0012"/>
    <s v="PROD-026"/>
    <s v="R013"/>
    <n v="2"/>
    <n v="4070"/>
    <n v="29"/>
    <n v="5779.4"/>
    <s v="Cancelled"/>
    <s v="Pune"/>
    <s v="Grocery"/>
    <s v="South"/>
    <s v="Oct-24"/>
    <x v="3"/>
  </r>
  <r>
    <s v="ORD-00110"/>
    <d v="2024-05-27T00:00:00"/>
    <s v="CUST-0086"/>
    <s v="PROD-037"/>
    <s v="R029"/>
    <n v="6"/>
    <n v="660"/>
    <n v="20.2"/>
    <n v="3160.08"/>
    <s v="Pending"/>
    <s v="Hyderabad"/>
    <s v="Home"/>
    <s v="West"/>
    <s v="May-24"/>
    <x v="2"/>
  </r>
  <r>
    <s v="ORD-00111"/>
    <d v="2024-07-13T00:00:00"/>
    <s v="CUST-0145"/>
    <s v="PROD-040"/>
    <s v="R024"/>
    <n v="3"/>
    <n v="1080"/>
    <n v="29.7"/>
    <n v="2277.7199999999998"/>
    <s v="Completed"/>
    <s v="Bengaluru"/>
    <s v="Home"/>
    <s v="West"/>
    <s v="Jul-24"/>
    <x v="0"/>
  </r>
  <r>
    <s v="ORD-00112"/>
    <d v="2024-12-03T00:00:00"/>
    <s v="CUST-0287"/>
    <s v="PROD-020"/>
    <s v="R006"/>
    <n v="7"/>
    <n v="820"/>
    <n v="13.5"/>
    <n v="4965.1000000000004"/>
    <s v="Cancelled"/>
    <s v="Chennai"/>
    <s v="Apparel"/>
    <s v="North"/>
    <s v="Dec-24"/>
    <x v="3"/>
  </r>
  <r>
    <s v="ORD-00113"/>
    <d v="2024-04-12T00:00:00"/>
    <s v="CUST-0280"/>
    <s v="PROD-049"/>
    <s v="R027"/>
    <n v="4"/>
    <n v="960"/>
    <n v="26"/>
    <n v="2841.6"/>
    <s v="Completed"/>
    <s v="Delhi"/>
    <s v="Beauty"/>
    <s v="West"/>
    <s v="Apr-24"/>
    <x v="2"/>
  </r>
  <r>
    <s v="ORD-00114"/>
    <d v="2024-06-10T00:00:00"/>
    <s v="CUST-0096"/>
    <s v="PROD-002"/>
    <s v="R014"/>
    <n v="3"/>
    <n v="2600"/>
    <n v="18.2"/>
    <n v="6380.4"/>
    <s v="Completed"/>
    <s v="Delhi"/>
    <s v="Electronics"/>
    <s v="South"/>
    <s v="Jun-24"/>
    <x v="2"/>
  </r>
  <r>
    <s v="ORD-00115"/>
    <d v="2024-03-19T00:00:00"/>
    <s v="CUST-0184"/>
    <s v="PROD-033"/>
    <s v="R029"/>
    <n v="9"/>
    <n v="2030"/>
    <n v="26.1"/>
    <n v="13501.53"/>
    <s v="Completed"/>
    <s v="Pune"/>
    <s v="Home"/>
    <s v="West"/>
    <s v="Mar-24"/>
    <x v="1"/>
  </r>
  <r>
    <s v="ORD-00116"/>
    <d v="2024-11-01T00:00:00"/>
    <s v="CUST-0025"/>
    <s v="PROD-042"/>
    <s v="R028"/>
    <n v="8"/>
    <n v="2290"/>
    <n v="20.8"/>
    <n v="14509.44"/>
    <s v="Completed"/>
    <s v="Bengaluru"/>
    <s v="Beauty"/>
    <s v="West"/>
    <s v="Nov-24"/>
    <x v="3"/>
  </r>
  <r>
    <s v="ORD-00117"/>
    <d v="2024-08-27T00:00:00"/>
    <s v="CUST-0149"/>
    <s v="PROD-031"/>
    <s v="R029"/>
    <n v="3"/>
    <n v="3730"/>
    <n v="7.9"/>
    <n v="10305.99"/>
    <s v="Completed"/>
    <s v="Hyderabad"/>
    <s v="Home"/>
    <s v="West"/>
    <s v="Aug-24"/>
    <x v="0"/>
  </r>
  <r>
    <s v="ORD-00118"/>
    <d v="2024-10-31T00:00:00"/>
    <s v="CUST-0018"/>
    <s v="PROD-005"/>
    <s v="R014"/>
    <n v="1"/>
    <n v="300"/>
    <n v="16.899999999999999"/>
    <n v="249.3"/>
    <s v="Pending"/>
    <s v="Pune"/>
    <s v="Electronics"/>
    <s v="South"/>
    <s v="Oct-24"/>
    <x v="3"/>
  </r>
  <r>
    <s v="ORD-00119"/>
    <d v="2024-05-08T00:00:00"/>
    <s v="CUST-0216"/>
    <s v="PROD-005"/>
    <s v="R012"/>
    <n v="3"/>
    <n v="300"/>
    <n v="0.6"/>
    <n v="894.6"/>
    <s v="Completed"/>
    <s v="Mumbai"/>
    <s v="Electronics"/>
    <s v="South"/>
    <s v="May-24"/>
    <x v="2"/>
  </r>
  <r>
    <s v="ORD-00120"/>
    <d v="2024-02-07T00:00:00"/>
    <s v="CUST-0092"/>
    <s v="PROD-043"/>
    <s v="R007"/>
    <n v="6"/>
    <n v="3350"/>
    <n v="2.2999999999999998"/>
    <n v="19637.7"/>
    <s v="Cancelled"/>
    <s v="Bengaluru"/>
    <s v="Beauty"/>
    <s v="North"/>
    <s v="Feb-24"/>
    <x v="1"/>
  </r>
  <r>
    <s v="ORD-00121"/>
    <d v="2024-05-04T00:00:00"/>
    <s v="CUST-0056"/>
    <s v="PROD-001"/>
    <s v="R003"/>
    <n v="4"/>
    <n v="5330"/>
    <n v="29.3"/>
    <n v="15073.24"/>
    <s v="Completed"/>
    <s v="Bengaluru"/>
    <s v="Electronics"/>
    <s v="North"/>
    <s v="May-24"/>
    <x v="2"/>
  </r>
  <r>
    <s v="ORD-00122"/>
    <d v="2024-11-18T00:00:00"/>
    <s v="CUST-0113"/>
    <s v="PROD-014"/>
    <s v="R002"/>
    <n v="6"/>
    <n v="3620"/>
    <n v="10.8"/>
    <n v="19374.240000000002"/>
    <s v="Completed"/>
    <s v="Delhi"/>
    <s v="Apparel"/>
    <s v="North"/>
    <s v="Nov-24"/>
    <x v="3"/>
  </r>
  <r>
    <s v="ORD-00123"/>
    <d v="2024-10-28T00:00:00"/>
    <s v="CUST-0253"/>
    <s v="PROD-014"/>
    <s v="R005"/>
    <n v="6"/>
    <n v="3620"/>
    <n v="21.7"/>
    <n v="17006.759999999998"/>
    <s v="Completed"/>
    <s v="Delhi"/>
    <s v="Apparel"/>
    <s v="North"/>
    <s v="Oct-24"/>
    <x v="3"/>
  </r>
  <r>
    <s v="ORD-00124"/>
    <d v="2024-03-09T00:00:00"/>
    <s v="CUST-0187"/>
    <s v="PROD-057"/>
    <s v="R008"/>
    <n v="8"/>
    <n v="960"/>
    <n v="27.9"/>
    <n v="5537.28"/>
    <s v="Completed"/>
    <s v="Chennai"/>
    <s v="Sports"/>
    <s v="North"/>
    <s v="Mar-24"/>
    <x v="1"/>
  </r>
  <r>
    <s v="ORD-00125"/>
    <d v="2024-12-02T00:00:00"/>
    <s v="CUST-0028"/>
    <s v="PROD-044"/>
    <s v="R025"/>
    <n v="5"/>
    <n v="1650"/>
    <n v="4.9000000000000004"/>
    <n v="7845.75"/>
    <s v="Completed"/>
    <s v="Bengaluru"/>
    <s v="Beauty"/>
    <s v="West"/>
    <s v="Dec-24"/>
    <x v="3"/>
  </r>
  <r>
    <s v="ORD-00126"/>
    <d v="2024-10-27T00:00:00"/>
    <s v="CUST-0224"/>
    <s v="PROD-049"/>
    <s v="R010"/>
    <n v="9"/>
    <n v="960"/>
    <n v="25.1"/>
    <n v="6471.36"/>
    <s v="Refunded"/>
    <s v="Chennai"/>
    <s v="Beauty"/>
    <s v="South"/>
    <s v="Oct-24"/>
    <x v="3"/>
  </r>
  <r>
    <s v="ORD-00127"/>
    <d v="2024-06-10T00:00:00"/>
    <s v="CUST-0150"/>
    <s v="PROD-006"/>
    <s v="R003"/>
    <n v="7"/>
    <n v="3970"/>
    <n v="13.8"/>
    <n v="23954.98"/>
    <s v="Pending"/>
    <s v="Pune"/>
    <s v="Electronics"/>
    <s v="North"/>
    <s v="Jun-24"/>
    <x v="2"/>
  </r>
  <r>
    <s v="ORD-00128"/>
    <d v="2024-11-16T00:00:00"/>
    <s v="CUST-0129"/>
    <s v="PROD-030"/>
    <s v="R005"/>
    <n v="7"/>
    <n v="970"/>
    <n v="21.6"/>
    <n v="5323.36"/>
    <s v="Pending"/>
    <s v="Hyderabad"/>
    <s v="Grocery"/>
    <s v="North"/>
    <s v="Nov-24"/>
    <x v="3"/>
  </r>
  <r>
    <s v="ORD-00129"/>
    <d v="2024-09-06T00:00:00"/>
    <s v="CUST-0239"/>
    <s v="PROD-033"/>
    <s v="R001"/>
    <n v="10"/>
    <n v="2030"/>
    <n v="1.2"/>
    <n v="20056.400000000001"/>
    <s v="Completed"/>
    <s v="Mumbai"/>
    <s v="Home"/>
    <s v="North"/>
    <s v="Sep-24"/>
    <x v="0"/>
  </r>
  <r>
    <s v="ORD-00130"/>
    <d v="2024-12-14T00:00:00"/>
    <s v="CUST-0106"/>
    <s v="PROD-024"/>
    <s v="R021"/>
    <n v="9"/>
    <n v="2270"/>
    <n v="13.2"/>
    <n v="17733.240000000002"/>
    <s v="Pending"/>
    <s v="Pune"/>
    <s v="Grocery"/>
    <s v="East"/>
    <s v="Dec-24"/>
    <x v="3"/>
  </r>
  <r>
    <s v="ORD-00131"/>
    <d v="2024-08-20T00:00:00"/>
    <s v="CUST-0273"/>
    <s v="PROD-046"/>
    <s v="R003"/>
    <n v="8"/>
    <n v="4880"/>
    <n v="13.4"/>
    <n v="33808.639999999999"/>
    <s v="Completed"/>
    <s v="Hyderabad"/>
    <s v="Beauty"/>
    <s v="North"/>
    <s v="Aug-24"/>
    <x v="0"/>
  </r>
  <r>
    <s v="ORD-00132"/>
    <d v="2024-02-22T00:00:00"/>
    <s v="CUST-0114"/>
    <s v="PROD-004"/>
    <s v="R011"/>
    <n v="10"/>
    <n v="3870"/>
    <n v="23.9"/>
    <n v="29450.7"/>
    <s v="Completed"/>
    <s v="Bengaluru"/>
    <s v="Electronics"/>
    <s v="South"/>
    <s v="Feb-24"/>
    <x v="1"/>
  </r>
  <r>
    <s v="ORD-00133"/>
    <d v="2024-06-20T00:00:00"/>
    <s v="CUST-0146"/>
    <s v="PROD-042"/>
    <s v="R002"/>
    <n v="4"/>
    <n v="2290"/>
    <n v="15.2"/>
    <n v="7767.68"/>
    <s v="Completed"/>
    <s v="Hyderabad"/>
    <s v="Beauty"/>
    <s v="North"/>
    <s v="Jun-24"/>
    <x v="2"/>
  </r>
  <r>
    <s v="ORD-00134"/>
    <d v="2024-05-31T00:00:00"/>
    <s v="CUST-0298"/>
    <s v="PROD-023"/>
    <s v="R020"/>
    <n v="8"/>
    <n v="2380"/>
    <n v="4.2"/>
    <n v="18240.32"/>
    <s v="Completed"/>
    <s v="Delhi"/>
    <s v="Grocery"/>
    <s v="East"/>
    <s v="May-24"/>
    <x v="2"/>
  </r>
  <r>
    <s v="ORD-00135"/>
    <d v="2024-01-10T00:00:00"/>
    <s v="CUST-0111"/>
    <s v="PROD-029"/>
    <s v="R013"/>
    <n v="8"/>
    <n v="2210"/>
    <n v="11.5"/>
    <n v="15646.8"/>
    <s v="Completed"/>
    <s v="Chennai"/>
    <s v="Grocery"/>
    <s v="South"/>
    <s v="Jan-24"/>
    <x v="1"/>
  </r>
  <r>
    <s v="ORD-01445"/>
    <d v="2024-03-09T00:00:00"/>
    <s v="CUST-0291"/>
    <s v="PROD-001"/>
    <s v="R022"/>
    <n v="4"/>
    <n v="5330"/>
    <n v="22.6"/>
    <n v="16501.68"/>
    <s v="Pending"/>
    <s v="Pune"/>
    <s v="Electronics"/>
    <s v="East"/>
    <s v="Mar-24"/>
    <x v="1"/>
  </r>
  <r>
    <s v="ORD-00137"/>
    <d v="2024-09-24T00:00:00"/>
    <s v="CUST-0024"/>
    <s v="PROD-006"/>
    <s v="R022"/>
    <n v="8"/>
    <n v="3970"/>
    <n v="21.8"/>
    <n v="24836.32"/>
    <s v="Completed"/>
    <s v="Chennai"/>
    <s v="Electronics"/>
    <s v="East"/>
    <s v="Sep-24"/>
    <x v="0"/>
  </r>
  <r>
    <s v="ORD-00138"/>
    <d v="2024-09-11T00:00:00"/>
    <s v="CUST-0210"/>
    <s v="PROD-012"/>
    <s v="R020"/>
    <n v="10"/>
    <n v="3160"/>
    <n v="16.100000000000001"/>
    <n v="26512.400000000001"/>
    <s v="Cancelled"/>
    <s v="Pune"/>
    <s v="Apparel"/>
    <s v="East"/>
    <s v="Sep-24"/>
    <x v="0"/>
  </r>
  <r>
    <s v="ORD-00139"/>
    <d v="2024-05-13T00:00:00"/>
    <s v="CUST-0192"/>
    <s v="PROD-060"/>
    <s v="R009"/>
    <n v="5"/>
    <n v="190"/>
    <n v="14.8"/>
    <n v="809.4"/>
    <s v="Completed"/>
    <s v="Bengaluru"/>
    <s v="Sports"/>
    <s v="South"/>
    <s v="May-24"/>
    <x v="2"/>
  </r>
  <r>
    <s v="ORD-00140"/>
    <d v="2024-02-29T00:00:00"/>
    <s v="CUST-0078"/>
    <s v="PROD-021"/>
    <s v="R007"/>
    <n v="6"/>
    <n v="2760"/>
    <n v="19.8"/>
    <n v="13281.12"/>
    <s v="Completed"/>
    <s v="Delhi"/>
    <s v="Grocery"/>
    <s v="North"/>
    <s v="Feb-24"/>
    <x v="1"/>
  </r>
  <r>
    <s v="ORD-00141"/>
    <d v="2024-11-08T00:00:00"/>
    <s v="CUST-0070"/>
    <s v="PROD-022"/>
    <s v="R019"/>
    <n v="9"/>
    <n v="2270"/>
    <n v="20.8"/>
    <n v="16180.56"/>
    <s v="Cancelled"/>
    <s v="Mumbai"/>
    <s v="Grocery"/>
    <s v="East"/>
    <s v="Nov-24"/>
    <x v="3"/>
  </r>
  <r>
    <s v="ORD-00142"/>
    <d v="2024-02-06T00:00:00"/>
    <s v="CUST-0159"/>
    <s v="PROD-052"/>
    <s v="R001"/>
    <n v="8"/>
    <n v="5410"/>
    <n v="12.9"/>
    <n v="37696.879999999997"/>
    <s v="Completed"/>
    <s v="Hyderabad"/>
    <s v="Sports"/>
    <s v="North"/>
    <s v="Feb-24"/>
    <x v="1"/>
  </r>
  <r>
    <s v="ORD-00143"/>
    <d v="2024-08-04T00:00:00"/>
    <s v="CUST-0294"/>
    <s v="PROD-024"/>
    <s v="R009"/>
    <n v="9"/>
    <n v="2270"/>
    <n v="6.8"/>
    <n v="19040.759999999998"/>
    <s v="Completed"/>
    <s v="Delhi"/>
    <s v="Grocery"/>
    <s v="South"/>
    <s v="Aug-24"/>
    <x v="0"/>
  </r>
  <r>
    <s v="ORD-00144"/>
    <d v="2024-01-18T00:00:00"/>
    <s v="CUST-0280"/>
    <s v="PROD-012"/>
    <s v="R001"/>
    <n v="3"/>
    <n v="3160"/>
    <n v="12.8"/>
    <n v="8266.56"/>
    <s v="Completed"/>
    <s v="Delhi"/>
    <s v="Apparel"/>
    <s v="North"/>
    <s v="Jan-24"/>
    <x v="1"/>
  </r>
  <r>
    <s v="ORD-00145"/>
    <d v="2024-06-05T00:00:00"/>
    <s v="CUST-0291"/>
    <s v="PROD-025"/>
    <s v="R028"/>
    <n v="8"/>
    <n v="4060"/>
    <n v="20.9"/>
    <n v="25691.68"/>
    <s v="Completed"/>
    <s v="Pune"/>
    <s v="Grocery"/>
    <s v="West"/>
    <s v="Jun-24"/>
    <x v="2"/>
  </r>
  <r>
    <s v="ORD-00146"/>
    <d v="2024-06-06T00:00:00"/>
    <s v="CUST-9657"/>
    <s v="PROD-020"/>
    <s v="R018"/>
    <n v="5"/>
    <n v="820"/>
    <n v="9.1"/>
    <n v="3726.9"/>
    <s v="Refunded"/>
    <s v="Pune"/>
    <s v="Apparel"/>
    <s v="East"/>
    <s v="Jun-24"/>
    <x v="2"/>
  </r>
  <r>
    <s v="ORD-00147"/>
    <d v="2024-09-20T00:00:00"/>
    <s v="CUST-0080"/>
    <s v="PROD-032"/>
    <s v="R007"/>
    <n v="5"/>
    <n v="370"/>
    <n v="11.5"/>
    <n v="1637.25"/>
    <s v="Completed"/>
    <s v="Pune"/>
    <s v="Home"/>
    <s v="North"/>
    <s v="Sep-24"/>
    <x v="0"/>
  </r>
  <r>
    <s v="ORD-00148"/>
    <d v="2024-02-19T00:00:00"/>
    <s v="CUST-0172"/>
    <s v="PROD-034"/>
    <s v="R002"/>
    <n v="9"/>
    <n v="5080"/>
    <n v="27.5"/>
    <n v="33147"/>
    <s v="Completed"/>
    <s v="Pune"/>
    <s v="Home"/>
    <s v="North"/>
    <s v="Feb-24"/>
    <x v="1"/>
  </r>
  <r>
    <s v="ORD-00149"/>
    <d v="2024-05-10T00:00:00"/>
    <s v="CUST-0051"/>
    <s v="PROD-026"/>
    <s v="R012"/>
    <n v="6"/>
    <n v="4070"/>
    <n v="12.5"/>
    <n v="21367.5"/>
    <s v="Completed"/>
    <s v="Pune"/>
    <s v="Grocery"/>
    <s v="South"/>
    <s v="May-24"/>
    <x v="2"/>
  </r>
  <r>
    <s v="ORD-00150"/>
    <d v="2024-02-24T00:00:00"/>
    <s v="CUST-0080"/>
    <s v="PROD-005"/>
    <s v="R024"/>
    <n v="5"/>
    <n v="300"/>
    <n v="25.8"/>
    <n v="1113"/>
    <s v="Completed"/>
    <s v="Pune"/>
    <s v="Electronics"/>
    <s v="West"/>
    <s v="Feb-24"/>
    <x v="1"/>
  </r>
  <r>
    <s v="ORD-00151"/>
    <d v="2024-01-27T00:00:00"/>
    <s v="CUST-0137"/>
    <s v="PROD-048"/>
    <s v="R011"/>
    <n v="7"/>
    <n v="5100"/>
    <n v="28.8"/>
    <n v="25418.400000000001"/>
    <s v="Completed"/>
    <s v="Mumbai"/>
    <s v="Beauty"/>
    <s v="South"/>
    <s v="Jan-24"/>
    <x v="1"/>
  </r>
  <r>
    <s v="ORD-00152"/>
    <d v="2024-08-17T00:00:00"/>
    <s v="CUST-0222"/>
    <s v="PROD-038"/>
    <s v="R012"/>
    <n v="2"/>
    <n v="5490"/>
    <n v="5.5"/>
    <n v="10376.1"/>
    <s v="Completed"/>
    <s v="Chennai"/>
    <s v="Home"/>
    <s v="South"/>
    <s v="Aug-24"/>
    <x v="0"/>
  </r>
  <r>
    <s v="ORD-00153"/>
    <d v="2024-10-30T00:00:00"/>
    <s v="CUST-0117"/>
    <s v="PROD-011"/>
    <s v="R015"/>
    <n v="2"/>
    <n v="3450"/>
    <n v="1.2"/>
    <n v="6817.2"/>
    <s v="Completed"/>
    <s v="Delhi"/>
    <s v="Apparel"/>
    <s v="South"/>
    <s v="Oct-24"/>
    <x v="3"/>
  </r>
  <r>
    <s v="ORD-00154"/>
    <d v="2024-08-26T00:00:00"/>
    <s v="CUST-0104"/>
    <s v="PROD-029"/>
    <s v="R002"/>
    <n v="10"/>
    <n v="2210"/>
    <n v="18.8"/>
    <n v="17945.2"/>
    <s v="Completed"/>
    <s v="Hyderabad"/>
    <s v="Grocery"/>
    <s v="North"/>
    <s v="Aug-24"/>
    <x v="0"/>
  </r>
  <r>
    <s v="ORD-00155"/>
    <d v="2024-12-18T00:00:00"/>
    <s v="CUST-0082"/>
    <s v="PROD-036"/>
    <s v="R013"/>
    <n v="2"/>
    <n v="3250"/>
    <n v="26.2"/>
    <n v="4797"/>
    <s v="Completed"/>
    <s v="Hyderabad"/>
    <s v="Home"/>
    <s v="South"/>
    <s v="Dec-24"/>
    <x v="3"/>
  </r>
  <r>
    <s v="ORD-00156"/>
    <d v="2024-01-07T00:00:00"/>
    <s v="CUST-0165"/>
    <s v="PROD-012"/>
    <s v="R001"/>
    <n v="5"/>
    <n v="3160"/>
    <n v="0.9"/>
    <n v="15657.8"/>
    <s v="Completed"/>
    <s v="Pune"/>
    <s v="Apparel"/>
    <s v="North"/>
    <s v="Jan-24"/>
    <x v="1"/>
  </r>
  <r>
    <s v="ORD-00157"/>
    <d v="2024-06-04T00:00:00"/>
    <s v="CUST-0150"/>
    <s v="PROD-004"/>
    <s v="R030"/>
    <n v="4"/>
    <n v="3870"/>
    <n v="29.6"/>
    <n v="10897.92"/>
    <s v="Cancelled"/>
    <s v="Pune"/>
    <s v="Electronics"/>
    <s v="West"/>
    <s v="Jun-24"/>
    <x v="2"/>
  </r>
  <r>
    <s v="ORD-00158"/>
    <d v="2024-11-05T00:00:00"/>
    <s v="CUST-0228"/>
    <s v="PROD-059"/>
    <s v="R022"/>
    <n v="4"/>
    <n v="3780"/>
    <n v="3.5"/>
    <n v="14590.8"/>
    <s v="Cancelled"/>
    <s v="Pune"/>
    <s v="Sports"/>
    <s v="East"/>
    <s v="Nov-24"/>
    <x v="3"/>
  </r>
  <r>
    <s v="ORD-00159"/>
    <d v="2024-05-16T00:00:00"/>
    <s v="CUST-0197"/>
    <s v="PROD-045"/>
    <s v="R021"/>
    <n v="4"/>
    <n v="3020"/>
    <n v="18.899999999999999"/>
    <n v="9796.8799999999992"/>
    <s v="Completed"/>
    <s v="Bengaluru"/>
    <s v="Beauty"/>
    <s v="East"/>
    <s v="May-24"/>
    <x v="2"/>
  </r>
  <r>
    <s v="ORD-00160"/>
    <d v="2024-04-27T00:00:00"/>
    <s v="CUST-0009"/>
    <s v="PROD-031"/>
    <s v="R015"/>
    <n v="1"/>
    <n v="3730"/>
    <n v="10.8"/>
    <n v="3327.16"/>
    <s v="Refunded"/>
    <s v="Mumbai"/>
    <s v="Home"/>
    <s v="South"/>
    <s v="Apr-24"/>
    <x v="2"/>
  </r>
  <r>
    <s v="ORD-00161"/>
    <d v="2024-04-12T00:00:00"/>
    <s v="CUST-0139"/>
    <s v="PROD-046"/>
    <s v="R018"/>
    <n v="8"/>
    <n v="4880"/>
    <n v="20.3"/>
    <n v="31114.880000000001"/>
    <s v="Completed"/>
    <s v="Hyderabad"/>
    <s v="Beauty"/>
    <s v="East"/>
    <s v="Apr-24"/>
    <x v="2"/>
  </r>
  <r>
    <s v="ORD-00162"/>
    <d v="2024-10-14T00:00:00"/>
    <s v="CUST-0184"/>
    <s v="PROD-030"/>
    <s v="R026"/>
    <n v="9"/>
    <n v="970"/>
    <n v="18.2"/>
    <n v="7141.14"/>
    <s v="Completed"/>
    <s v="Pune"/>
    <s v="Grocery"/>
    <s v="West"/>
    <s v="Oct-24"/>
    <x v="3"/>
  </r>
  <r>
    <s v="ORD-00163"/>
    <d v="2024-05-30T00:00:00"/>
    <s v="CUST-0119"/>
    <s v="PROD-008"/>
    <s v="R017"/>
    <n v="8"/>
    <n v="2660"/>
    <n v="17.600000000000001"/>
    <n v="17534.72"/>
    <s v="Completed"/>
    <s v="Bengaluru"/>
    <s v="Electronics"/>
    <s v="East"/>
    <s v="May-24"/>
    <x v="2"/>
  </r>
  <r>
    <s v="ORD-00164"/>
    <d v="2024-05-02T00:00:00"/>
    <s v="CUST-0280"/>
    <s v="PROD-020"/>
    <s v="R015"/>
    <n v="2"/>
    <n v="820"/>
    <n v="18.100000000000001"/>
    <n v="1343.16"/>
    <s v="Cancelled"/>
    <s v="Delhi"/>
    <s v="Apparel"/>
    <s v="South"/>
    <s v="May-24"/>
    <x v="2"/>
  </r>
  <r>
    <s v="ORD-00165"/>
    <d v="2024-02-27T00:00:00"/>
    <s v="CUST-0240"/>
    <s v="PROD-033"/>
    <s v="R009"/>
    <n v="7"/>
    <n v="2030"/>
    <n v="23.7"/>
    <n v="10842.23"/>
    <s v="Pending"/>
    <s v="Chennai"/>
    <s v="Home"/>
    <s v="South"/>
    <s v="Feb-24"/>
    <x v="1"/>
  </r>
  <r>
    <s v="ORD-00166"/>
    <d v="2024-08-29T00:00:00"/>
    <s v="CUST-0067"/>
    <s v="PROD-016"/>
    <s v="R009"/>
    <n v="5"/>
    <n v="620"/>
    <n v="13.8"/>
    <n v="2672.2"/>
    <s v="Completed"/>
    <s v="Delhi"/>
    <s v="Apparel"/>
    <s v="South"/>
    <s v="Aug-24"/>
    <x v="0"/>
  </r>
  <r>
    <s v="ORD-00167"/>
    <d v="2024-07-16T00:00:00"/>
    <s v="CUST-0117"/>
    <s v="PROD-022"/>
    <s v="R022"/>
    <n v="7"/>
    <n v="2270"/>
    <n v="5.5"/>
    <n v="15016.05"/>
    <s v="Completed"/>
    <s v="Delhi"/>
    <s v="Grocery"/>
    <s v="East"/>
    <s v="Jul-24"/>
    <x v="0"/>
  </r>
  <r>
    <s v="ORD-00168"/>
    <d v="2024-06-14T00:00:00"/>
    <s v="CUST-0101"/>
    <s v="PROD-053"/>
    <s v="R016"/>
    <n v="1"/>
    <n v="470"/>
    <n v="13.7"/>
    <n v="405.61"/>
    <s v="Pending"/>
    <s v="Hyderabad"/>
    <s v="Sports"/>
    <s v="South"/>
    <s v="Jun-24"/>
    <x v="2"/>
  </r>
  <r>
    <s v="ORD-00169"/>
    <d v="2024-11-05T00:00:00"/>
    <s v="CUST-0184"/>
    <s v="PROD-001"/>
    <s v="R007"/>
    <n v="6"/>
    <n v="5330"/>
    <n v="17.899999999999999"/>
    <n v="26255.58"/>
    <s v="Completed"/>
    <s v="Pune"/>
    <s v="Electronics"/>
    <s v="North"/>
    <s v="Nov-24"/>
    <x v="3"/>
  </r>
  <r>
    <s v="ORD-00170"/>
    <d v="2024-01-03T00:00:00"/>
    <s v="CUST-0087"/>
    <s v="PROD-050"/>
    <s v="R002"/>
    <n v="1"/>
    <n v="6080"/>
    <n v="25.5"/>
    <n v="4529.6000000000004"/>
    <s v="Completed"/>
    <s v="Pune"/>
    <s v="Beauty"/>
    <s v="North"/>
    <s v="Jan-24"/>
    <x v="1"/>
  </r>
  <r>
    <s v="ORD-00171"/>
    <d v="2024-02-23T00:00:00"/>
    <s v="CUST-0261"/>
    <s v="PROD-027"/>
    <s v="R022"/>
    <n v="5"/>
    <n v="3780"/>
    <n v="28.6"/>
    <n v="13494.6"/>
    <s v="Completed"/>
    <s v="Delhi"/>
    <s v="Grocery"/>
    <s v="East"/>
    <s v="Feb-24"/>
    <x v="1"/>
  </r>
  <r>
    <s v="ORD-00172"/>
    <d v="2024-04-09T00:00:00"/>
    <s v="CUST-0027"/>
    <s v="PROD-016"/>
    <s v="R010"/>
    <n v="5"/>
    <n v="620"/>
    <n v="6.9"/>
    <n v="2886.1"/>
    <s v="Cancelled"/>
    <s v="Hyderabad"/>
    <s v="Apparel"/>
    <s v="South"/>
    <s v="Apr-24"/>
    <x v="2"/>
  </r>
  <r>
    <s v="ORD-00173"/>
    <d v="2024-05-07T00:00:00"/>
    <s v="CUST-0210"/>
    <s v="PROD-017"/>
    <s v="R027"/>
    <n v="8"/>
    <n v="2510"/>
    <n v="0.7"/>
    <n v="19939.439999999999"/>
    <s v="Completed"/>
    <s v="Pune"/>
    <s v="Apparel"/>
    <s v="West"/>
    <s v="May-24"/>
    <x v="2"/>
  </r>
  <r>
    <s v="ORD-00174"/>
    <d v="2024-01-15T00:00:00"/>
    <s v="CUST-0163"/>
    <s v="PROD-015"/>
    <s v="R020"/>
    <n v="1"/>
    <n v="2720"/>
    <n v="13.7"/>
    <n v="2347.36"/>
    <s v="Completed"/>
    <s v="Pune"/>
    <s v="Apparel"/>
    <s v="East"/>
    <s v="Jan-24"/>
    <x v="1"/>
  </r>
  <r>
    <s v="ORD-00175"/>
    <d v="2024-09-11T00:00:00"/>
    <s v="CUST-0059"/>
    <s v="PROD-053"/>
    <s v="R018"/>
    <n v="9"/>
    <n v="470"/>
    <n v="23.6"/>
    <n v="3231.72"/>
    <s v="Completed"/>
    <s v="Pune"/>
    <s v="Sports"/>
    <s v="East"/>
    <s v="Sep-24"/>
    <x v="0"/>
  </r>
  <r>
    <s v="ORD-00176"/>
    <d v="2024-12-07T00:00:00"/>
    <s v="CUST-0020"/>
    <s v="PROD-036"/>
    <s v="R018"/>
    <n v="10"/>
    <n v="3250"/>
    <n v="21"/>
    <n v="25675"/>
    <s v="Cancelled"/>
    <s v="Hyderabad"/>
    <s v="Home"/>
    <s v="East"/>
    <s v="Dec-24"/>
    <x v="3"/>
  </r>
  <r>
    <s v="ORD-00177"/>
    <d v="2024-12-23T00:00:00"/>
    <s v="CUST-0048"/>
    <s v="PROD-034"/>
    <s v="R028"/>
    <n v="6"/>
    <n v="5080"/>
    <n v="16.8"/>
    <n v="25359.360000000001"/>
    <s v="Pending"/>
    <s v="Delhi"/>
    <s v="Home"/>
    <s v="West"/>
    <s v="Dec-24"/>
    <x v="3"/>
  </r>
  <r>
    <s v="ORD-00178"/>
    <d v="2024-01-21T00:00:00"/>
    <s v="CUST-0172"/>
    <s v="PROD-003"/>
    <s v="R012"/>
    <n v="2"/>
    <n v="3570"/>
    <n v="6.7"/>
    <n v="6661.62"/>
    <s v="Cancelled"/>
    <s v="Pune"/>
    <s v="Electronics"/>
    <s v="South"/>
    <s v="Jan-24"/>
    <x v="1"/>
  </r>
  <r>
    <s v="ORD-00179"/>
    <d v="2024-03-31T00:00:00"/>
    <s v="CUST-0124"/>
    <s v="PROD-013"/>
    <s v="R012"/>
    <n v="4"/>
    <n v="3640"/>
    <n v="18.399999999999999"/>
    <n v="11880.96"/>
    <s v="Completed"/>
    <s v="Pune"/>
    <s v="Apparel"/>
    <s v="South"/>
    <s v="Mar-24"/>
    <x v="1"/>
  </r>
  <r>
    <s v="ORD-00180"/>
    <d v="2024-08-20T00:00:00"/>
    <s v="CUST-0184"/>
    <s v="PROD-026"/>
    <s v="R001"/>
    <n v="8"/>
    <n v="4070"/>
    <n v="6.6"/>
    <n v="30411.040000000001"/>
    <s v="Completed"/>
    <s v="Pune"/>
    <s v="Grocery"/>
    <s v="North"/>
    <s v="Aug-24"/>
    <x v="0"/>
  </r>
  <r>
    <s v="ORD-00181"/>
    <d v="2024-04-10T00:00:00"/>
    <s v="CUST-0259"/>
    <s v="PROD-011"/>
    <s v="R012"/>
    <n v="6"/>
    <n v="3450"/>
    <n v="14.4"/>
    <n v="17719.2"/>
    <s v="Pending"/>
    <s v="Mumbai"/>
    <s v="Apparel"/>
    <s v="South"/>
    <s v="Apr-24"/>
    <x v="2"/>
  </r>
  <r>
    <s v="ORD-00182"/>
    <d v="2024-05-31T00:00:00"/>
    <s v="CUST-0204"/>
    <s v="PROD-034"/>
    <s v="R029"/>
    <n v="7"/>
    <n v="5080"/>
    <n v="25.4"/>
    <n v="26527.759999999998"/>
    <s v="Pending"/>
    <s v="Hyderabad"/>
    <s v="Home"/>
    <s v="West"/>
    <s v="May-24"/>
    <x v="2"/>
  </r>
  <r>
    <s v="ORD-00183"/>
    <d v="2024-02-11T00:00:00"/>
    <s v="CUST-0032"/>
    <s v="PROD-021"/>
    <s v="R028"/>
    <n v="10"/>
    <n v="2760"/>
    <n v="20.100000000000001"/>
    <n v="22052.400000000001"/>
    <s v="Completed"/>
    <s v="Hyderabad"/>
    <s v="Grocery"/>
    <s v="West"/>
    <s v="Feb-24"/>
    <x v="1"/>
  </r>
  <r>
    <s v="ORD-00184"/>
    <d v="2024-06-13T00:00:00"/>
    <s v="CUST-0239"/>
    <s v="PROD-044"/>
    <s v="R016"/>
    <n v="6"/>
    <n v="1650"/>
    <n v="11.3"/>
    <n v="8781.2999999999993"/>
    <s v="Pending"/>
    <s v="Mumbai"/>
    <s v="Beauty"/>
    <s v="South"/>
    <s v="Jun-24"/>
    <x v="2"/>
  </r>
  <r>
    <s v="ORD-00185"/>
    <d v="2024-01-04T00:00:00"/>
    <s v="CUST-0191"/>
    <s v="PROD-004"/>
    <s v="R007"/>
    <n v="9"/>
    <n v="3870"/>
    <n v="27.5"/>
    <n v="25251.75"/>
    <s v="Completed"/>
    <s v="Hyderabad"/>
    <s v="Electronics"/>
    <s v="North"/>
    <s v="Jan-24"/>
    <x v="1"/>
  </r>
  <r>
    <s v="ORD-00186"/>
    <d v="2024-08-28T00:00:00"/>
    <s v="CUST-0284"/>
    <s v="PROD-035"/>
    <s v="R022"/>
    <n v="2"/>
    <n v="1090"/>
    <n v="18.7"/>
    <n v="1772.34"/>
    <s v="Refunded"/>
    <s v="Hyderabad"/>
    <s v="Home"/>
    <s v="East"/>
    <s v="Aug-24"/>
    <x v="0"/>
  </r>
  <r>
    <s v="ORD-00187"/>
    <d v="2024-09-29T00:00:00"/>
    <s v="CUST-0274"/>
    <s v="PROD-049"/>
    <s v="R025"/>
    <n v="4"/>
    <n v="960"/>
    <n v="23.4"/>
    <n v="2941.44"/>
    <s v="Completed"/>
    <s v="Bengaluru"/>
    <s v="Beauty"/>
    <s v="West"/>
    <s v="Sep-24"/>
    <x v="0"/>
  </r>
  <r>
    <s v="ORD-00188"/>
    <d v="2024-09-04T00:00:00"/>
    <s v="CUST-0234"/>
    <s v="PROD-043"/>
    <s v="R021"/>
    <n v="3"/>
    <n v="3350"/>
    <n v="17.899999999999999"/>
    <n v="8251.0499999999993"/>
    <s v="Completed"/>
    <s v="Bengaluru"/>
    <s v="Beauty"/>
    <s v="East"/>
    <s v="Sep-24"/>
    <x v="0"/>
  </r>
  <r>
    <s v="ORD-00189"/>
    <d v="2024-11-09T00:00:00"/>
    <s v="CUST-0264"/>
    <s v="PROD-022"/>
    <s v="R005"/>
    <n v="4"/>
    <n v="2270"/>
    <n v="29"/>
    <n v="6446.8"/>
    <s v="Completed"/>
    <s v="Pune"/>
    <s v="Grocery"/>
    <s v="North"/>
    <s v="Nov-24"/>
    <x v="3"/>
  </r>
  <r>
    <s v="ORD-00190"/>
    <d v="2024-06-17T00:00:00"/>
    <s v="CUST-0192"/>
    <s v="PROD-039"/>
    <s v="R023"/>
    <n v="9"/>
    <n v="4610"/>
    <n v="28.3"/>
    <n v="29748.33"/>
    <s v="Pending"/>
    <s v="Bengaluru"/>
    <s v="Home"/>
    <s v="East"/>
    <s v="Jun-24"/>
    <x v="2"/>
  </r>
  <r>
    <s v="ORD-00191"/>
    <d v="2024-09-03T00:00:00"/>
    <s v="CUST-0041"/>
    <s v="PROD-012"/>
    <s v="R009"/>
    <n v="3"/>
    <n v="3160"/>
    <n v="7.3"/>
    <n v="8787.9599999999991"/>
    <s v="Completed"/>
    <s v="Bengaluru"/>
    <s v="Apparel"/>
    <s v="South"/>
    <s v="Sep-24"/>
    <x v="0"/>
  </r>
  <r>
    <s v="ORD-00192"/>
    <d v="2024-10-08T00:00:00"/>
    <s v="CUST-0043"/>
    <s v="PROD-022"/>
    <s v="R004"/>
    <n v="8"/>
    <n v="2270"/>
    <n v="15.6"/>
    <n v="15327.04"/>
    <s v="Completed"/>
    <s v="Hyderabad"/>
    <s v="Grocery"/>
    <s v="North"/>
    <s v="Oct-24"/>
    <x v="3"/>
  </r>
  <r>
    <s v="ORD-00193"/>
    <d v="2024-07-10T00:00:00"/>
    <s v="CUST-0147"/>
    <s v="PROD-045"/>
    <s v="R028"/>
    <n v="8"/>
    <n v="3020"/>
    <n v="16.3"/>
    <n v="20221.919999999998"/>
    <s v="Cancelled"/>
    <s v="Pune"/>
    <s v="Beauty"/>
    <s v="West"/>
    <s v="Jul-24"/>
    <x v="0"/>
  </r>
  <r>
    <s v="ORD-00194"/>
    <d v="2024-11-21T00:00:00"/>
    <s v="CUST-0056"/>
    <s v="PROD-056"/>
    <s v="R030"/>
    <n v="7"/>
    <n v="6940"/>
    <n v="8.5"/>
    <n v="44450.7"/>
    <s v="Completed"/>
    <s v="Bengaluru"/>
    <s v="Sports"/>
    <s v="West"/>
    <s v="Nov-24"/>
    <x v="3"/>
  </r>
  <r>
    <s v="ORD-00195"/>
    <d v="2024-09-11T00:00:00"/>
    <s v="CUST-0059"/>
    <s v="PROD-041"/>
    <s v="R012"/>
    <n v="8"/>
    <n v="1540"/>
    <n v="21"/>
    <n v="9732.7999999999993"/>
    <s v="Completed"/>
    <s v="Pune"/>
    <s v="Beauty"/>
    <s v="South"/>
    <s v="Sep-24"/>
    <x v="0"/>
  </r>
  <r>
    <s v="ORD-00196"/>
    <d v="2024-03-29T00:00:00"/>
    <s v="CUST-0047"/>
    <s v="PROD-019"/>
    <s v="R029"/>
    <n v="6"/>
    <n v="2480"/>
    <n v="27.9"/>
    <n v="10728.48"/>
    <s v="Completed"/>
    <s v="Pune"/>
    <s v="Apparel"/>
    <s v="West"/>
    <s v="Mar-24"/>
    <x v="1"/>
  </r>
  <r>
    <s v="ORD-00197"/>
    <d v="2024-01-29T00:00:00"/>
    <s v="CUST-0162"/>
    <s v="PROD-060"/>
    <s v="R022"/>
    <n v="4"/>
    <n v="190"/>
    <n v="21.5"/>
    <n v="596.6"/>
    <s v="Completed"/>
    <s v="Mumbai"/>
    <s v="Sports"/>
    <s v="East"/>
    <s v="Jan-24"/>
    <x v="1"/>
  </r>
  <r>
    <s v="ORD-00198"/>
    <d v="2024-03-04T00:00:00"/>
    <s v="CUST-0121"/>
    <s v="PROD-055"/>
    <s v="R014"/>
    <n v="1"/>
    <n v="2860"/>
    <n v="15.3"/>
    <n v="2422.42"/>
    <s v="Completed"/>
    <s v="Delhi"/>
    <s v="Sports"/>
    <s v="South"/>
    <s v="Mar-24"/>
    <x v="1"/>
  </r>
  <r>
    <s v="ORD-00199"/>
    <d v="2024-02-28T00:00:00"/>
    <s v="CUST-0075"/>
    <s v="PROD-017"/>
    <s v="R015"/>
    <n v="4"/>
    <n v="2510"/>
    <n v="10.1"/>
    <n v="9025.9599999999991"/>
    <s v="Refunded"/>
    <s v="Mumbai"/>
    <s v="Apparel"/>
    <s v="South"/>
    <s v="Feb-24"/>
    <x v="1"/>
  </r>
  <r>
    <s v="ORD-00200"/>
    <d v="2024-10-22T00:00:00"/>
    <s v="CUST-0025"/>
    <s v="PROD-003"/>
    <s v="R003"/>
    <n v="2"/>
    <n v="3570"/>
    <n v="11.6"/>
    <n v="6311.76"/>
    <s v="Pending"/>
    <s v="Bengaluru"/>
    <s v="Electronics"/>
    <s v="North"/>
    <s v="Oct-24"/>
    <x v="3"/>
  </r>
  <r>
    <s v="ORD-00201"/>
    <d v="2024-02-22T00:00:00"/>
    <s v="CUST-0048"/>
    <s v="PROD-031"/>
    <s v="R016"/>
    <n v="7"/>
    <n v="3730"/>
    <n v="2.5"/>
    <n v="25457.25"/>
    <s v="Cancelled"/>
    <s v="Delhi"/>
    <s v="Home"/>
    <s v="South"/>
    <s v="Feb-24"/>
    <x v="1"/>
  </r>
  <r>
    <s v="ORD-00202"/>
    <d v="2024-07-19T00:00:00"/>
    <s v="CUST-0251"/>
    <s v="PROD-032"/>
    <s v="R030"/>
    <n v="6"/>
    <n v="370"/>
    <n v="9.9"/>
    <n v="2000.22"/>
    <s v="Completed"/>
    <s v="Mumbai"/>
    <s v="Home"/>
    <s v="West"/>
    <s v="Jul-24"/>
    <x v="0"/>
  </r>
  <r>
    <s v="ORD-00203"/>
    <d v="2024-07-17T00:00:00"/>
    <s v="CUST-0125"/>
    <s v="PROD-008"/>
    <s v="R014"/>
    <n v="4"/>
    <n v="2660"/>
    <n v="29.7"/>
    <n v="7479.92"/>
    <s v="Completed"/>
    <s v="Delhi"/>
    <s v="Electronics"/>
    <s v="South"/>
    <s v="Jul-24"/>
    <x v="0"/>
  </r>
  <r>
    <s v="ORD-00204"/>
    <d v="2024-09-03T00:00:00"/>
    <s v="CUST-0025"/>
    <s v="PROD-021"/>
    <s v="R015"/>
    <n v="6"/>
    <n v="2760"/>
    <n v="0.9"/>
    <n v="16410.96"/>
    <s v="Completed"/>
    <s v="Bengaluru"/>
    <s v="Grocery"/>
    <s v="South"/>
    <s v="Sep-24"/>
    <x v="0"/>
  </r>
  <r>
    <s v="ORD-00205"/>
    <d v="2024-10-26T00:00:00"/>
    <s v="CUST-0068"/>
    <s v="PROD-043"/>
    <s v="R009"/>
    <n v="6"/>
    <n v="3350"/>
    <n v="17.899999999999999"/>
    <n v="16502.099999999999"/>
    <s v="Completed"/>
    <s v="Delhi"/>
    <s v="Beauty"/>
    <s v="South"/>
    <s v="Oct-24"/>
    <x v="3"/>
  </r>
  <r>
    <s v="ORD-00206"/>
    <d v="2024-01-28T00:00:00"/>
    <s v="CUST-0080"/>
    <s v="PROD-005"/>
    <s v="R017"/>
    <n v="8"/>
    <n v="300"/>
    <n v="20.6"/>
    <n v="1905.6"/>
    <s v="Refunded"/>
    <s v="Pune"/>
    <s v="Electronics"/>
    <s v="East"/>
    <s v="Jan-24"/>
    <x v="1"/>
  </r>
  <r>
    <s v="ORD-00207"/>
    <d v="2024-08-23T00:00:00"/>
    <s v="CUST-0251"/>
    <s v="PROD-015"/>
    <s v="R002"/>
    <n v="5"/>
    <n v="2720"/>
    <n v="17.100000000000001"/>
    <n v="11274.4"/>
    <s v="Pending"/>
    <s v="Mumbai"/>
    <s v="Apparel"/>
    <s v="North"/>
    <s v="Aug-24"/>
    <x v="0"/>
  </r>
  <r>
    <s v="ORD-00208"/>
    <d v="2024-10-07T00:00:00"/>
    <s v="CUST-0077"/>
    <s v="PROD-004"/>
    <s v="R015"/>
    <n v="1"/>
    <n v="3870"/>
    <n v="23.5"/>
    <n v="2960.55"/>
    <s v="Pending"/>
    <s v="Hyderabad"/>
    <s v="Electronics"/>
    <s v="South"/>
    <s v="Oct-24"/>
    <x v="3"/>
  </r>
  <r>
    <s v="ORD-00209"/>
    <d v="2024-12-11T00:00:00"/>
    <s v="CUST-0232"/>
    <s v="PROD-031"/>
    <s v="R012"/>
    <n v="3"/>
    <n v="3730"/>
    <n v="0.7"/>
    <n v="11111.67"/>
    <s v="Pending"/>
    <s v="Hyderabad"/>
    <s v="Home"/>
    <s v="South"/>
    <s v="Dec-24"/>
    <x v="3"/>
  </r>
  <r>
    <s v="ORD-00210"/>
    <d v="2024-01-24T00:00:00"/>
    <s v="CUST-0277"/>
    <s v="PROD-019"/>
    <s v="R012"/>
    <n v="8"/>
    <n v="2480"/>
    <n v="18.2"/>
    <n v="16229.12"/>
    <s v="Cancelled"/>
    <s v="Chennai"/>
    <s v="Apparel"/>
    <s v="South"/>
    <s v="Jan-24"/>
    <x v="1"/>
  </r>
  <r>
    <s v="ORD-00211"/>
    <d v="2024-03-23T00:00:00"/>
    <s v="CUST-0149"/>
    <s v="PROD-057"/>
    <s v="R019"/>
    <n v="2"/>
    <n v="960"/>
    <n v="2.2000000000000002"/>
    <n v="1877.76"/>
    <s v="Completed"/>
    <s v="Hyderabad"/>
    <s v="Sports"/>
    <s v="East"/>
    <s v="Mar-24"/>
    <x v="1"/>
  </r>
  <r>
    <s v="ORD-00212"/>
    <d v="2024-02-13T00:00:00"/>
    <s v="CUST-0178"/>
    <s v="PROD-046"/>
    <s v="R018"/>
    <n v="8"/>
    <n v="4880"/>
    <n v="11.9"/>
    <n v="34394.239999999998"/>
    <s v="Completed"/>
    <s v="Hyderabad"/>
    <s v="Beauty"/>
    <s v="East"/>
    <s v="Feb-24"/>
    <x v="1"/>
  </r>
  <r>
    <s v="ORD-00213"/>
    <d v="2024-12-30T00:00:00"/>
    <s v="CUST-0246"/>
    <s v="PROD-014"/>
    <s v="R030"/>
    <n v="2"/>
    <n v="3620"/>
    <n v="1.1000000000000001"/>
    <n v="7160.36"/>
    <s v="Pending"/>
    <s v="Delhi"/>
    <s v="Apparel"/>
    <s v="West"/>
    <s v="Dec-24"/>
    <x v="3"/>
  </r>
  <r>
    <s v="ORD-00214"/>
    <d v="2024-10-08T00:00:00"/>
    <s v="CUST-0033"/>
    <s v="PROD-006"/>
    <s v="R008"/>
    <n v="8"/>
    <n v="3970"/>
    <n v="18.100000000000001"/>
    <n v="26011.439999999999"/>
    <s v="Completed"/>
    <s v="Delhi"/>
    <s v="Electronics"/>
    <s v="North"/>
    <s v="Oct-24"/>
    <x v="3"/>
  </r>
  <r>
    <s v="ORD-00215"/>
    <d v="2024-08-30T00:00:00"/>
    <s v="CUST-0159"/>
    <s v="PROD-022"/>
    <s v="R026"/>
    <n v="8"/>
    <n v="2270"/>
    <n v="19.600000000000001"/>
    <n v="14600.64"/>
    <s v="Completed"/>
    <s v="Hyderabad"/>
    <s v="Grocery"/>
    <s v="West"/>
    <s v="Aug-24"/>
    <x v="0"/>
  </r>
  <r>
    <s v="ORD-00216"/>
    <d v="2024-12-13T00:00:00"/>
    <s v="CUST-0175"/>
    <s v="PROD-027"/>
    <s v="R013"/>
    <n v="1"/>
    <n v="3780"/>
    <n v="22.6"/>
    <n v="2925.72"/>
    <s v="Completed"/>
    <s v="Delhi"/>
    <s v="Grocery"/>
    <s v="South"/>
    <s v="Dec-24"/>
    <x v="3"/>
  </r>
  <r>
    <s v="ORD-00217"/>
    <d v="2024-12-27T00:00:00"/>
    <s v="CUST-0079"/>
    <s v="PROD-026"/>
    <s v="R022"/>
    <n v="9"/>
    <n v="4070"/>
    <n v="28.2"/>
    <n v="26300.34"/>
    <s v="Completed"/>
    <s v="Mumbai"/>
    <s v="Grocery"/>
    <s v="East"/>
    <s v="Dec-24"/>
    <x v="3"/>
  </r>
  <r>
    <s v="ORD-00218"/>
    <d v="2024-05-12T00:00:00"/>
    <s v="CUST-0173"/>
    <s v="PROD-008"/>
    <s v="R006"/>
    <n v="9"/>
    <n v="2660"/>
    <n v="13.1"/>
    <n v="20803.86"/>
    <s v="Pending"/>
    <s v="Mumbai"/>
    <s v="Electronics"/>
    <s v="North"/>
    <s v="May-24"/>
    <x v="2"/>
  </r>
  <r>
    <s v="ORD-00219"/>
    <d v="2024-04-18T00:00:00"/>
    <s v="CUST-0050"/>
    <s v="PROD-003"/>
    <s v="R004"/>
    <n v="4"/>
    <n v="3570"/>
    <n v="1.5"/>
    <n v="14065.8"/>
    <s v="Cancelled"/>
    <s v="Mumbai"/>
    <s v="Electronics"/>
    <s v="North"/>
    <s v="Apr-24"/>
    <x v="2"/>
  </r>
  <r>
    <s v="ORD-00220"/>
    <d v="2024-08-27T00:00:00"/>
    <s v="CUST-0097"/>
    <s v="PROD-049"/>
    <s v="R001"/>
    <n v="2"/>
    <n v="960"/>
    <n v="18.600000000000001"/>
    <n v="1562.88"/>
    <s v="Completed"/>
    <s v="Mumbai"/>
    <s v="Beauty"/>
    <s v="North"/>
    <s v="Aug-24"/>
    <x v="0"/>
  </r>
  <r>
    <s v="ORD-00221"/>
    <d v="2024-09-11T00:00:00"/>
    <s v="CUST-0026"/>
    <s v="PROD-047"/>
    <s v="R018"/>
    <n v="2"/>
    <n v="3450"/>
    <n v="3.7"/>
    <n v="6644.7"/>
    <s v="Completed"/>
    <s v="Pune"/>
    <s v="Beauty"/>
    <s v="East"/>
    <s v="Sep-24"/>
    <x v="0"/>
  </r>
  <r>
    <s v="ORD-00222"/>
    <d v="2024-11-12T00:00:00"/>
    <s v="CUST-0185"/>
    <s v="PROD-048"/>
    <s v="R007"/>
    <n v="6"/>
    <n v="5100"/>
    <n v="1.2"/>
    <n v="30232.799999999999"/>
    <s v="Completed"/>
    <s v="Hyderabad"/>
    <s v="Beauty"/>
    <s v="North"/>
    <s v="Nov-24"/>
    <x v="3"/>
  </r>
  <r>
    <s v="ORD-00223"/>
    <d v="2024-11-18T00:00:00"/>
    <s v="CUST-0135"/>
    <s v="PROD-005"/>
    <s v="R005"/>
    <n v="9"/>
    <n v="300"/>
    <n v="25.4"/>
    <n v="2014.2"/>
    <s v="Cancelled"/>
    <s v="Pune"/>
    <s v="Electronics"/>
    <s v="North"/>
    <s v="Nov-24"/>
    <x v="3"/>
  </r>
  <r>
    <s v="ORD-00224"/>
    <d v="2024-04-23T00:00:00"/>
    <s v="CUST-0010"/>
    <s v="PROD-046"/>
    <s v="R020"/>
    <n v="7"/>
    <n v="4880"/>
    <n v="16.899999999999999"/>
    <n v="28386.959999999999"/>
    <s v="Pending"/>
    <s v="Mumbai"/>
    <s v="Beauty"/>
    <s v="East"/>
    <s v="Apr-24"/>
    <x v="2"/>
  </r>
  <r>
    <s v="ORD-00225"/>
    <d v="2024-07-31T00:00:00"/>
    <s v="CUST-0271"/>
    <s v="PROD-036"/>
    <s v="R023"/>
    <n v="9"/>
    <n v="3250"/>
    <n v="10.8"/>
    <n v="26091"/>
    <s v="Cancelled"/>
    <s v="Bengaluru"/>
    <s v="Home"/>
    <s v="East"/>
    <s v="Jul-24"/>
    <x v="0"/>
  </r>
  <r>
    <s v="ORD-00226"/>
    <d v="2024-01-07T00:00:00"/>
    <s v="CUST-0172"/>
    <s v="PROD-047"/>
    <s v="R006"/>
    <n v="3"/>
    <n v="3450"/>
    <n v="5.4"/>
    <n v="9791.1"/>
    <s v="Pending"/>
    <s v="Pune"/>
    <s v="Beauty"/>
    <s v="North"/>
    <s v="Jan-24"/>
    <x v="1"/>
  </r>
  <r>
    <s v="ORD-00227"/>
    <d v="2024-02-24T00:00:00"/>
    <s v="CUST-0296"/>
    <s v="PROD-050"/>
    <s v="R021"/>
    <n v="5"/>
    <n v="6080"/>
    <n v="18"/>
    <n v="24928"/>
    <s v="Completed"/>
    <s v="Delhi"/>
    <s v="Beauty"/>
    <s v="East"/>
    <s v="Feb-24"/>
    <x v="1"/>
  </r>
  <r>
    <s v="ORD-00228"/>
    <d v="2024-07-14T00:00:00"/>
    <s v="CUST-0080"/>
    <s v="PROD-050"/>
    <s v="R022"/>
    <n v="7"/>
    <n v="6080"/>
    <n v="9.1999999999999993"/>
    <n v="38644.480000000003"/>
    <s v="Completed"/>
    <s v="Pune"/>
    <s v="Beauty"/>
    <s v="East"/>
    <s v="Jul-24"/>
    <x v="0"/>
  </r>
  <r>
    <s v="ORD-00229"/>
    <d v="2024-10-20T00:00:00"/>
    <s v="CUST-0232"/>
    <s v="PROD-024"/>
    <s v="R014"/>
    <n v="5"/>
    <n v="2270"/>
    <n v="0.4"/>
    <n v="11304.6"/>
    <s v="Cancelled"/>
    <s v="Hyderabad"/>
    <s v="Grocery"/>
    <s v="South"/>
    <s v="Oct-24"/>
    <x v="3"/>
  </r>
  <r>
    <s v="ORD-00230"/>
    <d v="2024-03-22T00:00:00"/>
    <s v="CUST-0070"/>
    <s v="PROD-046"/>
    <s v="R016"/>
    <n v="10"/>
    <n v="4880"/>
    <n v="24.5"/>
    <n v="36844"/>
    <s v="Refunded"/>
    <s v="Mumbai"/>
    <s v="Beauty"/>
    <s v="South"/>
    <s v="Mar-24"/>
    <x v="1"/>
  </r>
  <r>
    <s v="ORD-00231"/>
    <d v="2024-01-02T00:00:00"/>
    <s v="CUST-0142"/>
    <s v="PROD-023"/>
    <s v="R002"/>
    <n v="2"/>
    <n v="2380"/>
    <n v="2.2999999999999998"/>
    <n v="4650.5200000000004"/>
    <s v="Completed"/>
    <s v="Chennai"/>
    <s v="Grocery"/>
    <s v="North"/>
    <s v="Jan-24"/>
    <x v="1"/>
  </r>
  <r>
    <s v="ORD-00232"/>
    <d v="2024-07-25T00:00:00"/>
    <s v="CUST-0161"/>
    <s v="PROD-054"/>
    <s v="R025"/>
    <n v="1"/>
    <n v="1010"/>
    <n v="29.9"/>
    <n v="708.01"/>
    <s v="Completed"/>
    <s v="Chennai"/>
    <s v="Sports"/>
    <s v="West"/>
    <s v="Jul-24"/>
    <x v="0"/>
  </r>
  <r>
    <s v="ORD-00233"/>
    <d v="2024-12-17T00:00:00"/>
    <s v="CUST-0020"/>
    <s v="PROD-056"/>
    <s v="R029"/>
    <n v="7"/>
    <n v="6940"/>
    <n v="25.8"/>
    <n v="36046.36"/>
    <s v="Completed"/>
    <s v="Hyderabad"/>
    <s v="Sports"/>
    <s v="West"/>
    <s v="Dec-24"/>
    <x v="3"/>
  </r>
  <r>
    <s v="ORD-00234"/>
    <d v="2024-09-07T00:00:00"/>
    <s v="CUST-0173"/>
    <s v="PROD-042"/>
    <s v="R024"/>
    <n v="6"/>
    <n v="2290"/>
    <n v="25.9"/>
    <n v="10181.34"/>
    <s v="Pending"/>
    <s v="Mumbai"/>
    <s v="Beauty"/>
    <s v="West"/>
    <s v="Sep-24"/>
    <x v="0"/>
  </r>
  <r>
    <s v="ORD-00235"/>
    <d v="2024-08-04T00:00:00"/>
    <s v="CUST-0280"/>
    <s v="PROD-032"/>
    <s v="R014"/>
    <n v="2"/>
    <n v="370"/>
    <n v="3.9"/>
    <n v="711.14"/>
    <s v="Completed"/>
    <s v="Delhi"/>
    <s v="Home"/>
    <s v="South"/>
    <s v="Aug-24"/>
    <x v="0"/>
  </r>
  <r>
    <s v="ORD-00236"/>
    <d v="2024-03-02T00:00:00"/>
    <s v="CUST-0073"/>
    <s v="PROD-022"/>
    <s v="R020"/>
    <n v="1"/>
    <n v="2270"/>
    <n v="25.3"/>
    <n v="1695.69"/>
    <s v="Completed"/>
    <s v="Pune"/>
    <s v="Grocery"/>
    <s v="East"/>
    <s v="Mar-24"/>
    <x v="1"/>
  </r>
  <r>
    <s v="ORD-00237"/>
    <d v="2024-02-22T00:00:00"/>
    <s v="CUST-0242"/>
    <s v="PROD-050"/>
    <s v="R002"/>
    <n v="4"/>
    <n v="6080"/>
    <n v="28.8"/>
    <n v="17315.84"/>
    <s v="Pending"/>
    <s v="Chennai"/>
    <s v="Beauty"/>
    <s v="North"/>
    <s v="Feb-24"/>
    <x v="1"/>
  </r>
  <r>
    <s v="ORD-00238"/>
    <d v="2024-04-07T00:00:00"/>
    <s v="CUST-0234"/>
    <s v="PROD-001"/>
    <s v="R018"/>
    <n v="2"/>
    <n v="5330"/>
    <n v="23.8"/>
    <n v="8122.92"/>
    <s v="Pending"/>
    <s v="Bengaluru"/>
    <s v="Electronics"/>
    <s v="East"/>
    <s v="Apr-24"/>
    <x v="2"/>
  </r>
  <r>
    <s v="ORD-00239"/>
    <d v="2024-02-22T00:00:00"/>
    <s v="CUST-0085"/>
    <s v="PROD-026"/>
    <s v="R024"/>
    <n v="2"/>
    <n v="4070"/>
    <n v="4.3"/>
    <n v="7789.98"/>
    <s v="Completed"/>
    <s v="Chennai"/>
    <s v="Grocery"/>
    <s v="West"/>
    <s v="Feb-24"/>
    <x v="1"/>
  </r>
  <r>
    <s v="ORD-00240"/>
    <d v="2024-07-07T00:00:00"/>
    <s v="CUST-0228"/>
    <s v="PROD-005"/>
    <s v="R004"/>
    <n v="6"/>
    <n v="300"/>
    <n v="17.399999999999999"/>
    <n v="1486.8"/>
    <s v="Cancelled"/>
    <s v="Pune"/>
    <s v="Electronics"/>
    <s v="North"/>
    <s v="Jul-24"/>
    <x v="0"/>
  </r>
  <r>
    <s v="ORD-00241"/>
    <d v="2024-07-15T00:00:00"/>
    <s v="CUST-0147"/>
    <s v="PROD-046"/>
    <s v="R014"/>
    <n v="1"/>
    <n v="4880"/>
    <n v="17.5"/>
    <n v="4026"/>
    <s v="Completed"/>
    <s v="Pune"/>
    <s v="Beauty"/>
    <s v="South"/>
    <s v="Jul-24"/>
    <x v="0"/>
  </r>
  <r>
    <s v="ORD-00242"/>
    <d v="2024-02-04T00:00:00"/>
    <s v="CUST-0171"/>
    <s v="PROD-055"/>
    <s v="R027"/>
    <n v="3"/>
    <n v="2860"/>
    <n v="20.100000000000001"/>
    <n v="6855.42"/>
    <s v="Completed"/>
    <s v="Chennai"/>
    <s v="Sports"/>
    <s v="West"/>
    <s v="Feb-24"/>
    <x v="1"/>
  </r>
  <r>
    <s v="ORD-00243"/>
    <d v="2024-12-01T00:00:00"/>
    <s v="CUST-0051"/>
    <s v="PROD-041"/>
    <s v="R002"/>
    <n v="3"/>
    <n v="1540"/>
    <n v="20.9"/>
    <n v="3654.42"/>
    <s v="Completed"/>
    <s v="Pune"/>
    <s v="Beauty"/>
    <s v="North"/>
    <s v="Dec-24"/>
    <x v="3"/>
  </r>
  <r>
    <s v="ORD-00244"/>
    <d v="2024-10-11T00:00:00"/>
    <s v="CUST-0285"/>
    <s v="PROD-010"/>
    <s v="R010"/>
    <n v="10"/>
    <n v="2640"/>
    <n v="11.2"/>
    <n v="23443.200000000001"/>
    <s v="Pending"/>
    <s v="Hyderabad"/>
    <s v="Electronics"/>
    <s v="South"/>
    <s v="Oct-24"/>
    <x v="3"/>
  </r>
  <r>
    <s v="ORD-00245"/>
    <d v="2024-01-26T00:00:00"/>
    <s v="CUST-0114"/>
    <s v="PROD-012"/>
    <s v="R013"/>
    <n v="1"/>
    <n v="3160"/>
    <n v="11.5"/>
    <n v="2796.6"/>
    <s v="Completed"/>
    <s v="Bengaluru"/>
    <s v="Apparel"/>
    <s v="South"/>
    <s v="Jan-24"/>
    <x v="1"/>
  </r>
  <r>
    <s v="ORD-00246"/>
    <d v="2024-12-24T00:00:00"/>
    <s v="CUST-0295"/>
    <s v="PROD-040"/>
    <s v="R007"/>
    <n v="4"/>
    <n v="1080"/>
    <n v="20.7"/>
    <n v="3425.76"/>
    <s v="Pending"/>
    <s v="Delhi"/>
    <s v="Home"/>
    <s v="North"/>
    <s v="Dec-24"/>
    <x v="3"/>
  </r>
  <r>
    <s v="ORD-00247"/>
    <d v="2024-10-20T00:00:00"/>
    <s v="CUST-0218"/>
    <s v="PROD-054"/>
    <s v="R013"/>
    <n v="4"/>
    <n v="1010"/>
    <n v="29.5"/>
    <n v="2848.2"/>
    <s v="Pending"/>
    <s v="Mumbai"/>
    <s v="Sports"/>
    <s v="South"/>
    <s v="Oct-24"/>
    <x v="3"/>
  </r>
  <r>
    <s v="ORD-00248"/>
    <d v="2024-09-10T00:00:00"/>
    <s v="CUST-0090"/>
    <s v="PROD-002"/>
    <s v="R027"/>
    <n v="7"/>
    <n v="2600"/>
    <n v="6.6"/>
    <n v="16998.8"/>
    <s v="Completed"/>
    <s v="Bengaluru"/>
    <s v="Electronics"/>
    <s v="West"/>
    <s v="Sep-24"/>
    <x v="0"/>
  </r>
  <r>
    <s v="ORD-00249"/>
    <d v="2024-04-13T00:00:00"/>
    <s v="CUST-0194"/>
    <s v="PROD-017"/>
    <s v="R009"/>
    <n v="4"/>
    <n v="2510"/>
    <n v="1"/>
    <n v="9939.6"/>
    <s v="Completed"/>
    <s v="Delhi"/>
    <s v="Apparel"/>
    <s v="South"/>
    <s v="Apr-24"/>
    <x v="2"/>
  </r>
  <r>
    <s v="ORD-00250"/>
    <d v="2024-12-10T00:00:00"/>
    <s v="CUST-0231"/>
    <s v="PROD-026"/>
    <s v="R022"/>
    <n v="9"/>
    <n v="4070"/>
    <n v="6.7"/>
    <n v="34175.79"/>
    <s v="Cancelled"/>
    <s v="Chennai"/>
    <s v="Grocery"/>
    <s v="East"/>
    <s v="Dec-24"/>
    <x v="3"/>
  </r>
  <r>
    <s v="ORD-00251"/>
    <d v="2024-11-16T00:00:00"/>
    <s v="CUST-0055"/>
    <s v="PROD-020"/>
    <s v="R010"/>
    <n v="6"/>
    <n v="820"/>
    <n v="14"/>
    <n v="4231.2"/>
    <s v="Completed"/>
    <s v="Bengaluru"/>
    <s v="Apparel"/>
    <s v="South"/>
    <s v="Nov-24"/>
    <x v="3"/>
  </r>
  <r>
    <s v="ORD-00252"/>
    <d v="2024-07-22T00:00:00"/>
    <s v="CUST-0262"/>
    <s v="PROD-030"/>
    <s v="R005"/>
    <n v="2"/>
    <n v="970"/>
    <n v="23.8"/>
    <n v="1478.28"/>
    <s v="Completed"/>
    <s v="Mumbai"/>
    <s v="Grocery"/>
    <s v="North"/>
    <s v="Jul-24"/>
    <x v="0"/>
  </r>
  <r>
    <s v="ORD-00253"/>
    <d v="2024-02-15T00:00:00"/>
    <s v="CUST-0155"/>
    <s v="PROD-026"/>
    <s v="R012"/>
    <n v="4"/>
    <n v="4070"/>
    <n v="19"/>
    <n v="13186.8"/>
    <s v="Pending"/>
    <s v="Pune"/>
    <s v="Grocery"/>
    <s v="South"/>
    <s v="Feb-24"/>
    <x v="1"/>
  </r>
  <r>
    <s v="ORD-00254"/>
    <d v="2024-02-11T00:00:00"/>
    <s v="CUST-0169"/>
    <s v="PROD-047"/>
    <s v="R017"/>
    <n v="3"/>
    <n v="3450"/>
    <n v="4.4000000000000004"/>
    <n v="9894.6"/>
    <s v="Cancelled"/>
    <s v="Bengaluru"/>
    <s v="Beauty"/>
    <s v="East"/>
    <s v="Feb-24"/>
    <x v="1"/>
  </r>
  <r>
    <s v="ORD-00255"/>
    <d v="2024-08-07T00:00:00"/>
    <s v="CUST-0208"/>
    <s v="PROD-027"/>
    <s v="R010"/>
    <n v="5"/>
    <n v="3780"/>
    <n v="13.5"/>
    <n v="16348.5"/>
    <s v="Completed"/>
    <s v="Mumbai"/>
    <s v="Grocery"/>
    <s v="South"/>
    <s v="Aug-24"/>
    <x v="0"/>
  </r>
  <r>
    <s v="ORD-00256"/>
    <d v="2024-10-30T00:00:00"/>
    <s v="CUST-0249"/>
    <s v="PROD-057"/>
    <s v="R004"/>
    <n v="1"/>
    <n v="960"/>
    <n v="29.2"/>
    <n v="679.68"/>
    <s v="Completed"/>
    <s v="Mumbai"/>
    <s v="Sports"/>
    <s v="North"/>
    <s v="Oct-24"/>
    <x v="3"/>
  </r>
  <r>
    <s v="ORD-00257"/>
    <d v="2024-01-30T00:00:00"/>
    <s v="CUST-0151"/>
    <s v="PROD-003"/>
    <s v="R022"/>
    <n v="10"/>
    <n v="3570"/>
    <n v="10.7"/>
    <n v="31880.1"/>
    <s v="Completed"/>
    <s v="Mumbai"/>
    <s v="Electronics"/>
    <s v="East"/>
    <s v="Jan-24"/>
    <x v="1"/>
  </r>
  <r>
    <s v="ORD-00258"/>
    <d v="2024-08-07T00:00:00"/>
    <s v="CUST-0115"/>
    <s v="PROD-003"/>
    <s v="R024"/>
    <n v="7"/>
    <n v="3570"/>
    <n v="12.2"/>
    <n v="21941.22"/>
    <s v="Completed"/>
    <s v="Mumbai"/>
    <s v="Electronics"/>
    <s v="West"/>
    <s v="Aug-24"/>
    <x v="0"/>
  </r>
  <r>
    <s v="ORD-00259"/>
    <d v="2024-10-10T00:00:00"/>
    <s v="CUST-0041"/>
    <s v="PROD-040"/>
    <s v="R014"/>
    <n v="6"/>
    <n v="1080"/>
    <n v="19.8"/>
    <n v="5196.96"/>
    <s v="Completed"/>
    <s v="Bengaluru"/>
    <s v="Home"/>
    <s v="South"/>
    <s v="Oct-24"/>
    <x v="3"/>
  </r>
  <r>
    <s v="ORD-00260"/>
    <d v="2024-12-23T00:00:00"/>
    <s v="CUST-0101"/>
    <s v="PROD-011"/>
    <s v="R010"/>
    <n v="8"/>
    <n v="3450"/>
    <n v="19"/>
    <n v="22356"/>
    <s v="Completed"/>
    <s v="Hyderabad"/>
    <s v="Apparel"/>
    <s v="South"/>
    <s v="Dec-24"/>
    <x v="3"/>
  </r>
  <r>
    <s v="ORD-00261"/>
    <d v="2024-03-20T00:00:00"/>
    <s v="CUST-0198"/>
    <s v="PROD-008"/>
    <s v="R023"/>
    <n v="4"/>
    <n v="2660"/>
    <n v="18.8"/>
    <n v="8639.68"/>
    <s v="Pending"/>
    <s v="Chennai"/>
    <s v="Electronics"/>
    <s v="East"/>
    <s v="Mar-24"/>
    <x v="1"/>
  </r>
  <r>
    <s v="ORD-00262"/>
    <d v="2024-08-18T00:00:00"/>
    <s v="CUST-0200"/>
    <s v="PROD-058"/>
    <s v="R009"/>
    <n v="4"/>
    <n v="2400"/>
    <n v="5.6"/>
    <n v="9062.4"/>
    <s v="Completed"/>
    <s v="Hyderabad"/>
    <s v="Sports"/>
    <s v="South"/>
    <s v="Aug-24"/>
    <x v="0"/>
  </r>
  <r>
    <s v="ORD-00263"/>
    <d v="2024-08-09T00:00:00"/>
    <s v="CUST-0110"/>
    <s v="PROD-002"/>
    <s v="R003"/>
    <n v="10"/>
    <n v="2600"/>
    <n v="24.7"/>
    <n v="19578"/>
    <s v="Completed"/>
    <s v="Pune"/>
    <s v="Electronics"/>
    <s v="North"/>
    <s v="Aug-24"/>
    <x v="0"/>
  </r>
  <r>
    <s v="ORD-00264"/>
    <d v="2024-08-09T00:00:00"/>
    <s v="CUST-0134"/>
    <s v="PROD-025"/>
    <s v="R004"/>
    <n v="3"/>
    <n v="4060"/>
    <n v="6.9"/>
    <n v="11339.58"/>
    <s v="Completed"/>
    <s v="Delhi"/>
    <s v="Grocery"/>
    <s v="North"/>
    <s v="Aug-24"/>
    <x v="0"/>
  </r>
  <r>
    <s v="ORD-00265"/>
    <d v="2024-06-22T00:00:00"/>
    <s v="CUST-0141"/>
    <s v="PROD-038"/>
    <s v="R023"/>
    <n v="6"/>
    <n v="5490"/>
    <n v="8.4"/>
    <n v="30173.040000000001"/>
    <s v="Completed"/>
    <s v="Hyderabad"/>
    <s v="Home"/>
    <s v="East"/>
    <s v="Jun-24"/>
    <x v="2"/>
  </r>
  <r>
    <s v="ORD-00266"/>
    <d v="2024-04-25T00:00:00"/>
    <s v="CUST-0163"/>
    <s v="PROD-032"/>
    <s v="R018"/>
    <n v="6"/>
    <n v="370"/>
    <n v="15.1"/>
    <n v="1884.78"/>
    <s v="Completed"/>
    <s v="Pune"/>
    <s v="Home"/>
    <s v="East"/>
    <s v="Apr-24"/>
    <x v="2"/>
  </r>
  <r>
    <s v="ORD-00267"/>
    <d v="2024-04-23T00:00:00"/>
    <s v="CUST-0181"/>
    <s v="PROD-016"/>
    <s v="R023"/>
    <n v="5"/>
    <n v="620"/>
    <n v="13.1"/>
    <n v="2693.9"/>
    <s v="Cancelled"/>
    <s v="Delhi"/>
    <s v="Apparel"/>
    <s v="East"/>
    <s v="Apr-24"/>
    <x v="2"/>
  </r>
  <r>
    <s v="ORD-00268"/>
    <d v="2024-02-10T00:00:00"/>
    <s v="CUST-0133"/>
    <s v="PROD-036"/>
    <s v="R029"/>
    <n v="9"/>
    <n v="3250"/>
    <n v="16.5"/>
    <n v="24423.75"/>
    <s v="Completed"/>
    <s v="Chennai"/>
    <s v="Home"/>
    <s v="West"/>
    <s v="Feb-24"/>
    <x v="1"/>
  </r>
  <r>
    <s v="ORD-00269"/>
    <d v="2024-01-08T00:00:00"/>
    <s v="CUST-0095"/>
    <s v="PROD-050"/>
    <s v="R011"/>
    <n v="1"/>
    <n v="6080"/>
    <n v="0.1"/>
    <n v="6073.92"/>
    <s v="Completed"/>
    <s v="Mumbai"/>
    <s v="Beauty"/>
    <s v="South"/>
    <s v="Jan-24"/>
    <x v="1"/>
  </r>
  <r>
    <s v="ORD-00270"/>
    <d v="2024-04-04T00:00:00"/>
    <s v="CUST-0171"/>
    <s v="PROD-013"/>
    <s v="R014"/>
    <n v="8"/>
    <n v="3640"/>
    <n v="13.5"/>
    <n v="25188.799999999999"/>
    <s v="Completed"/>
    <s v="Chennai"/>
    <s v="Apparel"/>
    <s v="South"/>
    <s v="Apr-24"/>
    <x v="2"/>
  </r>
  <r>
    <s v="ORD-00271"/>
    <d v="2024-06-29T00:00:00"/>
    <s v="CUST-0238"/>
    <s v="PROD-012"/>
    <s v="R005"/>
    <n v="9"/>
    <n v="3160"/>
    <n v="29.7"/>
    <n v="19993.32"/>
    <s v="Completed"/>
    <s v="Delhi"/>
    <s v="Apparel"/>
    <s v="North"/>
    <s v="Jun-24"/>
    <x v="2"/>
  </r>
  <r>
    <s v="ORD-00272"/>
    <d v="2024-05-16T00:00:00"/>
    <s v="CUST-0185"/>
    <s v="PROD-004"/>
    <s v="R007"/>
    <n v="2"/>
    <n v="3870"/>
    <n v="18.100000000000001"/>
    <n v="6339.06"/>
    <s v="Cancelled"/>
    <s v="Hyderabad"/>
    <s v="Electronics"/>
    <s v="North"/>
    <s v="May-24"/>
    <x v="2"/>
  </r>
  <r>
    <s v="ORD-00273"/>
    <d v="2024-05-18T00:00:00"/>
    <s v="CUST-0167"/>
    <s v="PROD-037"/>
    <s v="R030"/>
    <n v="3"/>
    <n v="660"/>
    <n v="9.1999999999999993"/>
    <n v="1797.84"/>
    <s v="Completed"/>
    <s v="Delhi"/>
    <s v="Home"/>
    <s v="West"/>
    <s v="May-24"/>
    <x v="2"/>
  </r>
  <r>
    <s v="ORD-00274"/>
    <d v="2024-05-06T00:00:00"/>
    <s v="CUST-0224"/>
    <s v="PROD-025"/>
    <s v="R013"/>
    <n v="4"/>
    <n v="4060"/>
    <n v="28"/>
    <n v="11692.8"/>
    <s v="Completed"/>
    <s v="Chennai"/>
    <s v="Grocery"/>
    <s v="South"/>
    <s v="May-24"/>
    <x v="2"/>
  </r>
  <r>
    <s v="ORD-00275"/>
    <d v="2024-03-09T00:00:00"/>
    <s v="CUST-0181"/>
    <s v="PROD-034"/>
    <s v="R016"/>
    <n v="2"/>
    <n v="5080"/>
    <n v="7.7"/>
    <n v="9377.68"/>
    <s v="Refunded"/>
    <s v="Delhi"/>
    <s v="Home"/>
    <s v="South"/>
    <s v="Mar-24"/>
    <x v="1"/>
  </r>
  <r>
    <s v="ORD-00276"/>
    <d v="2024-01-05T00:00:00"/>
    <s v="CUST-0020"/>
    <s v="PROD-003"/>
    <s v="R005"/>
    <n v="3"/>
    <n v="3570"/>
    <n v="9.5"/>
    <n v="9692.5499999999993"/>
    <s v="Completed"/>
    <s v="Hyderabad"/>
    <s v="Electronics"/>
    <s v="North"/>
    <s v="Jan-24"/>
    <x v="1"/>
  </r>
  <r>
    <s v="ORD-00277"/>
    <d v="2024-06-17T00:00:00"/>
    <s v="CUST-0183"/>
    <s v="PROD-016"/>
    <s v="R020"/>
    <n v="2"/>
    <n v="620"/>
    <n v="29.5"/>
    <n v="874.2"/>
    <s v="Completed"/>
    <s v="Mumbai"/>
    <s v="Apparel"/>
    <s v="East"/>
    <s v="Jun-24"/>
    <x v="2"/>
  </r>
  <r>
    <s v="ORD-00278"/>
    <d v="2024-12-12T00:00:00"/>
    <s v="CUST-0028"/>
    <s v="PROD-011"/>
    <s v="R013"/>
    <n v="3"/>
    <n v="3450"/>
    <n v="3"/>
    <n v="10039.5"/>
    <s v="Completed"/>
    <s v="Bengaluru"/>
    <s v="Apparel"/>
    <s v="South"/>
    <s v="Dec-24"/>
    <x v="3"/>
  </r>
  <r>
    <s v="ORD-00279"/>
    <d v="2024-04-26T00:00:00"/>
    <s v="CUST-0121"/>
    <s v="PROD-048"/>
    <s v="R006"/>
    <n v="7"/>
    <n v="5100"/>
    <n v="4.3"/>
    <n v="34164.9"/>
    <s v="Completed"/>
    <s v="Delhi"/>
    <s v="Beauty"/>
    <s v="North"/>
    <s v="Apr-24"/>
    <x v="2"/>
  </r>
  <r>
    <s v="ORD-00280"/>
    <d v="2024-09-06T00:00:00"/>
    <s v="CUST-0192"/>
    <s v="PROD-004"/>
    <s v="R003"/>
    <n v="9"/>
    <n v="3870"/>
    <n v="4.8"/>
    <n v="33158.160000000003"/>
    <s v="Completed"/>
    <s v="Bengaluru"/>
    <s v="Electronics"/>
    <s v="North"/>
    <s v="Sep-24"/>
    <x v="0"/>
  </r>
  <r>
    <s v="ORD-00281"/>
    <d v="2024-12-07T00:00:00"/>
    <s v="CUST-0155"/>
    <s v="PROD-009"/>
    <s v="R029"/>
    <n v="5"/>
    <n v="1220"/>
    <n v="4"/>
    <n v="5856"/>
    <s v="Cancelled"/>
    <s v="Pune"/>
    <s v="Electronics"/>
    <s v="West"/>
    <s v="Dec-24"/>
    <x v="3"/>
  </r>
  <r>
    <s v="ORD-00282"/>
    <d v="2024-02-16T00:00:00"/>
    <s v="CUST-0159"/>
    <s v="PROD-038"/>
    <s v="R023"/>
    <n v="5"/>
    <n v="5490"/>
    <n v="19.8"/>
    <n v="22014.9"/>
    <s v="Completed"/>
    <s v="Hyderabad"/>
    <s v="Home"/>
    <s v="East"/>
    <s v="Feb-24"/>
    <x v="1"/>
  </r>
  <r>
    <s v="ORD-00283"/>
    <d v="2024-08-25T00:00:00"/>
    <s v="CUST-0025"/>
    <s v="PROD-044"/>
    <s v="R001"/>
    <n v="1"/>
    <n v="1650"/>
    <n v="26.2"/>
    <n v="1217.7"/>
    <s v="Completed"/>
    <s v="Bengaluru"/>
    <s v="Beauty"/>
    <s v="North"/>
    <s v="Aug-24"/>
    <x v="0"/>
  </r>
  <r>
    <s v="ORD-00284"/>
    <d v="2024-06-17T00:00:00"/>
    <s v="CUST-0297"/>
    <s v="PROD-008"/>
    <s v="R003"/>
    <n v="1"/>
    <n v="2660"/>
    <n v="21"/>
    <n v="2101.4"/>
    <s v="Completed"/>
    <s v="Hyderabad"/>
    <s v="Electronics"/>
    <s v="North"/>
    <s v="Jun-24"/>
    <x v="2"/>
  </r>
  <r>
    <s v="ORD-00285"/>
    <d v="2024-03-24T00:00:00"/>
    <s v="CUST-0108"/>
    <s v="PROD-029"/>
    <s v="R003"/>
    <n v="6"/>
    <n v="2210"/>
    <n v="9.8000000000000007"/>
    <n v="11960.52"/>
    <s v="Pending"/>
    <s v="Bengaluru"/>
    <s v="Grocery"/>
    <s v="North"/>
    <s v="Mar-24"/>
    <x v="1"/>
  </r>
  <r>
    <s v="ORD-00286"/>
    <d v="2024-01-19T00:00:00"/>
    <s v="CUST-0121"/>
    <s v="PROD-002"/>
    <s v="R001"/>
    <n v="9"/>
    <n v="2600"/>
    <n v="15.7"/>
    <n v="19726.2"/>
    <s v="Completed"/>
    <s v="Delhi"/>
    <s v="Electronics"/>
    <s v="North"/>
    <s v="Jan-24"/>
    <x v="1"/>
  </r>
  <r>
    <s v="ORD-00287"/>
    <d v="2024-01-23T00:00:00"/>
    <s v="CUST-0160"/>
    <s v="PROD-045"/>
    <s v="R025"/>
    <n v="3"/>
    <n v="3020"/>
    <n v="22.6"/>
    <n v="7012.44"/>
    <s v="Completed"/>
    <s v="Hyderabad"/>
    <s v="Beauty"/>
    <s v="West"/>
    <s v="Jan-24"/>
    <x v="1"/>
  </r>
  <r>
    <s v="ORD-00288"/>
    <d v="2024-06-16T00:00:00"/>
    <s v="CUST-0230"/>
    <s v="PROD-032"/>
    <s v="R005"/>
    <n v="6"/>
    <n v="370"/>
    <n v="12.4"/>
    <n v="1944.72"/>
    <s v="Completed"/>
    <s v="Pune"/>
    <s v="Home"/>
    <s v="North"/>
    <s v="Jun-24"/>
    <x v="2"/>
  </r>
  <r>
    <s v="ORD-00289"/>
    <d v="2024-01-21T00:00:00"/>
    <s v="CUST-0151"/>
    <s v="PROD-001"/>
    <s v="R006"/>
    <n v="8"/>
    <n v="5330"/>
    <n v="16.2"/>
    <n v="35732.32"/>
    <s v="Completed"/>
    <s v="Mumbai"/>
    <s v="Electronics"/>
    <s v="North"/>
    <s v="Jan-24"/>
    <x v="1"/>
  </r>
  <r>
    <s v="ORD-00290"/>
    <d v="2024-07-27T00:00:00"/>
    <s v="CUST-0222"/>
    <s v="PROD-018"/>
    <s v="R030"/>
    <n v="4"/>
    <n v="3560"/>
    <n v="10.5"/>
    <n v="12744.8"/>
    <s v="Completed"/>
    <s v="Chennai"/>
    <s v="Apparel"/>
    <s v="West"/>
    <s v="Jul-24"/>
    <x v="0"/>
  </r>
  <r>
    <s v="ORD-00291"/>
    <d v="2024-04-07T00:00:00"/>
    <s v="CUST-0055"/>
    <s v="PROD-054"/>
    <s v="R030"/>
    <n v="10"/>
    <n v="1010"/>
    <n v="10.8"/>
    <n v="9009.2000000000007"/>
    <s v="Completed"/>
    <s v="Bengaluru"/>
    <s v="Sports"/>
    <s v="West"/>
    <s v="Apr-24"/>
    <x v="2"/>
  </r>
  <r>
    <s v="ORD-00292"/>
    <d v="2024-11-23T00:00:00"/>
    <s v="CUST-0011"/>
    <s v="PROD-056"/>
    <s v="R006"/>
    <n v="8"/>
    <n v="6940"/>
    <n v="3.2"/>
    <n v="53743.360000000001"/>
    <s v="Cancelled"/>
    <s v="Chennai"/>
    <s v="Sports"/>
    <s v="North"/>
    <s v="Nov-24"/>
    <x v="3"/>
  </r>
  <r>
    <s v="ORD-00335"/>
    <d v="2024-11-21T00:00:00"/>
    <s v="CUST-0020"/>
    <s v="PROD-012"/>
    <s v="R015"/>
    <n v="7"/>
    <n v="3160"/>
    <n v="3.6"/>
    <n v="21323.68"/>
    <s v="Completed"/>
    <s v="Hyderabad"/>
    <s v="Apparel"/>
    <s v="South"/>
    <s v="Nov-24"/>
    <x v="3"/>
  </r>
  <r>
    <s v="ORD-00294"/>
    <d v="2024-12-14T00:00:00"/>
    <s v="CUST-0163"/>
    <s v="PROD-028"/>
    <s v="R008"/>
    <n v="2"/>
    <n v="3660"/>
    <n v="30"/>
    <n v="5124"/>
    <s v="Pending"/>
    <s v="Pune"/>
    <s v="Grocery"/>
    <s v="North"/>
    <s v="Dec-24"/>
    <x v="3"/>
  </r>
  <r>
    <s v="ORD-00295"/>
    <d v="2024-04-19T00:00:00"/>
    <s v="CUST-0081"/>
    <s v="PROD-024"/>
    <s v="R005"/>
    <n v="1"/>
    <n v="2270"/>
    <n v="4.8"/>
    <n v="2161.04"/>
    <s v="Cancelled"/>
    <s v="Mumbai"/>
    <s v="Grocery"/>
    <s v="North"/>
    <s v="Apr-24"/>
    <x v="2"/>
  </r>
  <r>
    <s v="ORD-00296"/>
    <d v="2024-04-23T00:00:00"/>
    <s v="CUST-0053"/>
    <s v="PROD-059"/>
    <s v="R025"/>
    <n v="8"/>
    <n v="3780"/>
    <n v="13"/>
    <n v="26308.799999999999"/>
    <s v="Completed"/>
    <s v="Delhi"/>
    <s v="Sports"/>
    <s v="West"/>
    <s v="Apr-24"/>
    <x v="2"/>
  </r>
  <r>
    <s v="ORD-01770"/>
    <d v="2024-09-02T00:00:00"/>
    <s v="CUST-0115"/>
    <s v="PROD-013"/>
    <s v="R012"/>
    <n v="1"/>
    <n v="3640"/>
    <n v="15.3"/>
    <n v="3083.08"/>
    <s v="Pending"/>
    <s v="Mumbai"/>
    <s v="Apparel"/>
    <s v="South"/>
    <s v="Sep-24"/>
    <x v="0"/>
  </r>
  <r>
    <s v="ORD-00298"/>
    <d v="2024-07-02T00:00:00"/>
    <s v="CUST-0166"/>
    <s v="PROD-009"/>
    <s v="R009"/>
    <n v="8"/>
    <n v="1220"/>
    <n v="28.2"/>
    <n v="7007.68"/>
    <s v="Completed"/>
    <s v="Hyderabad"/>
    <s v="Electronics"/>
    <s v="South"/>
    <s v="Jul-24"/>
    <x v="0"/>
  </r>
  <r>
    <s v="ORD-00299"/>
    <d v="2024-11-28T00:00:00"/>
    <s v="CUST-0263"/>
    <s v="PROD-017"/>
    <s v="R030"/>
    <n v="3"/>
    <n v="2510"/>
    <n v="17.399999999999999"/>
    <n v="6219.78"/>
    <s v="Completed"/>
    <s v="Mumbai"/>
    <s v="Apparel"/>
    <s v="West"/>
    <s v="Nov-24"/>
    <x v="3"/>
  </r>
  <r>
    <s v="ORD-00300"/>
    <d v="2024-12-09T00:00:00"/>
    <s v="CUST-0010"/>
    <s v="PROD-040"/>
    <s v="R004"/>
    <n v="1"/>
    <n v="1080"/>
    <n v="13.9"/>
    <n v="929.88"/>
    <s v="Completed"/>
    <s v="Mumbai"/>
    <s v="Home"/>
    <s v="North"/>
    <s v="Dec-24"/>
    <x v="3"/>
  </r>
  <r>
    <s v="ORD-00301"/>
    <d v="2024-04-13T00:00:00"/>
    <s v="CUST-0036"/>
    <s v="PROD-033"/>
    <s v="R016"/>
    <n v="7"/>
    <n v="2030"/>
    <n v="29.2"/>
    <n v="10060.68"/>
    <s v="Completed"/>
    <s v="Mumbai"/>
    <s v="Home"/>
    <s v="South"/>
    <s v="Apr-24"/>
    <x v="2"/>
  </r>
  <r>
    <s v="ORD-00302"/>
    <d v="2024-05-03T00:00:00"/>
    <s v="CUST-0259"/>
    <s v="PROD-059"/>
    <s v="R020"/>
    <n v="6"/>
    <n v="3780"/>
    <n v="20.9"/>
    <n v="17939.88"/>
    <s v="Refunded"/>
    <s v="Mumbai"/>
    <s v="Sports"/>
    <s v="East"/>
    <s v="May-24"/>
    <x v="2"/>
  </r>
  <r>
    <s v="ORD-00303"/>
    <d v="2024-12-27T00:00:00"/>
    <s v="CUST-0247"/>
    <s v="PROD-012"/>
    <s v="R016"/>
    <n v="1"/>
    <n v="3160"/>
    <n v="10.7"/>
    <n v="2821.88"/>
    <s v="Completed"/>
    <s v="Pune"/>
    <s v="Apparel"/>
    <s v="South"/>
    <s v="Dec-24"/>
    <x v="3"/>
  </r>
  <r>
    <s v="ORD-00881"/>
    <d v="2024-09-29T00:00:00"/>
    <s v="CUST-0191"/>
    <s v="PROD-046"/>
    <s v="R010"/>
    <n v="5"/>
    <n v="4880"/>
    <n v="11.4"/>
    <n v="21618.400000000001"/>
    <s v="Completed"/>
    <s v="Hyderabad"/>
    <s v="Beauty"/>
    <s v="South"/>
    <s v="Sep-24"/>
    <x v="0"/>
  </r>
  <r>
    <s v="ORD-00305"/>
    <d v="2024-12-07T00:00:00"/>
    <s v="CUST-0167"/>
    <s v="PROD-031"/>
    <s v="R009"/>
    <n v="9"/>
    <n v="3730"/>
    <n v="10"/>
    <n v="30213"/>
    <s v="Completed"/>
    <s v="Delhi"/>
    <s v="Home"/>
    <s v="South"/>
    <s v="Dec-24"/>
    <x v="3"/>
  </r>
  <r>
    <s v="ORD-00306"/>
    <d v="2024-01-18T00:00:00"/>
    <s v="CUST-0196"/>
    <s v="PROD-034"/>
    <s v="R004"/>
    <n v="5"/>
    <n v="5080"/>
    <n v="15.3"/>
    <n v="21513.8"/>
    <s v="Completed"/>
    <s v="Chennai"/>
    <s v="Home"/>
    <s v="North"/>
    <s v="Jan-24"/>
    <x v="1"/>
  </r>
  <r>
    <s v="ORD-00307"/>
    <d v="2024-04-21T00:00:00"/>
    <s v="CUST-0182"/>
    <s v="PROD-042"/>
    <s v="R013"/>
    <n v="9"/>
    <n v="2290"/>
    <n v="3.3"/>
    <n v="19929.87"/>
    <s v="Pending"/>
    <s v="Mumbai"/>
    <s v="Beauty"/>
    <s v="South"/>
    <s v="Apr-24"/>
    <x v="2"/>
  </r>
  <r>
    <s v="ORD-00308"/>
    <d v="2024-09-19T00:00:00"/>
    <s v="CUST-0246"/>
    <s v="PROD-008"/>
    <s v="R010"/>
    <n v="5"/>
    <n v="2660"/>
    <n v="8.3000000000000007"/>
    <n v="12196.1"/>
    <s v="Completed"/>
    <s v="Delhi"/>
    <s v="Electronics"/>
    <s v="South"/>
    <s v="Sep-24"/>
    <x v="0"/>
  </r>
  <r>
    <s v="ORD-00309"/>
    <d v="2024-08-25T00:00:00"/>
    <s v="CUST-0132"/>
    <s v="PROD-027"/>
    <s v="R025"/>
    <n v="6"/>
    <n v="3780"/>
    <n v="28.3"/>
    <n v="16261.56"/>
    <s v="Completed"/>
    <s v="Delhi"/>
    <s v="Grocery"/>
    <s v="West"/>
    <s v="Aug-24"/>
    <x v="0"/>
  </r>
  <r>
    <s v="ORD-00310"/>
    <d v="2024-01-09T00:00:00"/>
    <s v="CUST-0153"/>
    <s v="PROD-021"/>
    <s v="R028"/>
    <n v="5"/>
    <n v="2760"/>
    <n v="4.9000000000000004"/>
    <n v="13123.8"/>
    <s v="Completed"/>
    <s v="Mumbai"/>
    <s v="Grocery"/>
    <s v="West"/>
    <s v="Jan-24"/>
    <x v="1"/>
  </r>
  <r>
    <s v="ORD-00311"/>
    <d v="2024-03-17T00:00:00"/>
    <s v="CUST-0139"/>
    <s v="PROD-041"/>
    <s v="R006"/>
    <n v="8"/>
    <n v="1540"/>
    <n v="29.4"/>
    <n v="8697.92"/>
    <s v="Cancelled"/>
    <s v="Hyderabad"/>
    <s v="Beauty"/>
    <s v="North"/>
    <s v="Mar-24"/>
    <x v="1"/>
  </r>
  <r>
    <s v="ORD-00312"/>
    <d v="2024-03-23T00:00:00"/>
    <s v="CUST-0256"/>
    <s v="PROD-046"/>
    <s v="R022"/>
    <n v="1"/>
    <n v="4880"/>
    <n v="18.100000000000001"/>
    <n v="3996.72"/>
    <s v="Completed"/>
    <s v="Hyderabad"/>
    <s v="Beauty"/>
    <s v="East"/>
    <s v="Mar-24"/>
    <x v="1"/>
  </r>
  <r>
    <s v="ORD-00313"/>
    <d v="2024-10-27T00:00:00"/>
    <s v="CUST-0027"/>
    <s v="PROD-024"/>
    <s v="R015"/>
    <n v="8"/>
    <n v="2270"/>
    <n v="19.8"/>
    <n v="14564.32"/>
    <s v="Pending"/>
    <s v="Hyderabad"/>
    <s v="Grocery"/>
    <s v="South"/>
    <s v="Oct-24"/>
    <x v="3"/>
  </r>
  <r>
    <s v="ORD-00314"/>
    <d v="2024-08-04T00:00:00"/>
    <s v="CUST-0151"/>
    <s v="PROD-019"/>
    <s v="R010"/>
    <n v="10"/>
    <n v="2480"/>
    <n v="24.4"/>
    <n v="18748.8"/>
    <s v="Pending"/>
    <s v="Mumbai"/>
    <s v="Apparel"/>
    <s v="South"/>
    <s v="Aug-24"/>
    <x v="0"/>
  </r>
  <r>
    <s v="ORD-00315"/>
    <d v="2024-07-08T00:00:00"/>
    <s v="CUST-0204"/>
    <s v="PROD-045"/>
    <s v="R014"/>
    <n v="8"/>
    <n v="3020"/>
    <n v="15.2"/>
    <n v="20487.68"/>
    <s v="Pending"/>
    <s v="Hyderabad"/>
    <s v="Beauty"/>
    <s v="South"/>
    <s v="Jul-24"/>
    <x v="0"/>
  </r>
  <r>
    <s v="ORD-00316"/>
    <d v="2024-08-13T00:00:00"/>
    <s v="CUST-0084"/>
    <s v="PROD-041"/>
    <s v="R019"/>
    <n v="10"/>
    <n v="1540"/>
    <n v="0.6"/>
    <n v="15307.6"/>
    <s v="Completed"/>
    <s v="Chennai"/>
    <s v="Beauty"/>
    <s v="East"/>
    <s v="Aug-24"/>
    <x v="0"/>
  </r>
  <r>
    <s v="ORD-00317"/>
    <d v="2024-12-06T00:00:00"/>
    <s v="CUST-0048"/>
    <s v="PROD-012"/>
    <s v="R001"/>
    <n v="7"/>
    <n v="3160"/>
    <n v="8.9"/>
    <n v="20151.32"/>
    <s v="Completed"/>
    <s v="Delhi"/>
    <s v="Apparel"/>
    <s v="North"/>
    <s v="Dec-24"/>
    <x v="3"/>
  </r>
  <r>
    <s v="ORD-00318"/>
    <d v="2024-10-27T00:00:00"/>
    <s v="CUST-0013"/>
    <s v="PROD-054"/>
    <s v="R013"/>
    <n v="6"/>
    <n v="1010"/>
    <n v="12.9"/>
    <n v="5278.26"/>
    <s v="Completed"/>
    <s v="Delhi"/>
    <s v="Sports"/>
    <s v="South"/>
    <s v="Oct-24"/>
    <x v="3"/>
  </r>
  <r>
    <s v="ORD-00319"/>
    <d v="2024-06-07T00:00:00"/>
    <s v="CUST-0245"/>
    <s v="PROD-039"/>
    <s v="R020"/>
    <n v="4"/>
    <n v="4610"/>
    <n v="18.2"/>
    <n v="15083.92"/>
    <s v="Completed"/>
    <s v="Hyderabad"/>
    <s v="Home"/>
    <s v="East"/>
    <s v="Jun-24"/>
    <x v="2"/>
  </r>
  <r>
    <s v="ORD-00320"/>
    <d v="2024-02-21T00:00:00"/>
    <s v="CUST-0031"/>
    <s v="PROD-025"/>
    <s v="R029"/>
    <n v="6"/>
    <n v="4060"/>
    <n v="24.3"/>
    <n v="18440.52"/>
    <s v="Completed"/>
    <s v="Hyderabad"/>
    <s v="Grocery"/>
    <s v="West"/>
    <s v="Feb-24"/>
    <x v="1"/>
  </r>
  <r>
    <s v="ORD-00321"/>
    <d v="2024-08-05T00:00:00"/>
    <s v="CUST-0212"/>
    <s v="PROD-016"/>
    <s v="R001"/>
    <n v="5"/>
    <n v="620"/>
    <n v="10.7"/>
    <n v="2768.3"/>
    <s v="Refunded"/>
    <s v="Chennai"/>
    <s v="Apparel"/>
    <s v="North"/>
    <s v="Aug-24"/>
    <x v="0"/>
  </r>
  <r>
    <s v="ORD-00322"/>
    <d v="2024-08-09T00:00:00"/>
    <s v="CUST-0104"/>
    <s v="PROD-018"/>
    <s v="R003"/>
    <n v="3"/>
    <n v="3560"/>
    <n v="4.0999999999999996"/>
    <n v="10242.120000000001"/>
    <s v="Completed"/>
    <s v="Hyderabad"/>
    <s v="Apparel"/>
    <s v="North"/>
    <s v="Aug-24"/>
    <x v="0"/>
  </r>
  <r>
    <s v="ORD-00323"/>
    <d v="2024-07-27T00:00:00"/>
    <s v="CUST-0157"/>
    <s v="PROD-058"/>
    <s v="R012"/>
    <n v="2"/>
    <n v="2400"/>
    <n v="13"/>
    <n v="4176"/>
    <s v="Completed"/>
    <s v="Pune"/>
    <s v="Sports"/>
    <s v="South"/>
    <s v="Jul-24"/>
    <x v="0"/>
  </r>
  <r>
    <s v="ORD-00324"/>
    <d v="2024-04-25T00:00:00"/>
    <s v="CUST-0004"/>
    <s v="PROD-056"/>
    <s v="R006"/>
    <n v="9"/>
    <n v="6940"/>
    <n v="26.2"/>
    <n v="46095.48"/>
    <s v="Completed"/>
    <s v="Delhi"/>
    <s v="Sports"/>
    <s v="North"/>
    <s v="Apr-24"/>
    <x v="2"/>
  </r>
  <r>
    <s v="ORD-00325"/>
    <d v="2024-04-03T00:00:00"/>
    <s v="CUST-0003"/>
    <s v="PROD-023"/>
    <s v="R025"/>
    <n v="9"/>
    <n v="2380"/>
    <n v="22.7"/>
    <n v="16557.66"/>
    <s v="Completed"/>
    <s v="Mumbai"/>
    <s v="Grocery"/>
    <s v="West"/>
    <s v="Apr-24"/>
    <x v="2"/>
  </r>
  <r>
    <s v="ORD-00326"/>
    <d v="2024-09-07T00:00:00"/>
    <s v="CUST-0175"/>
    <s v="PROD-014"/>
    <s v="R028"/>
    <n v="6"/>
    <n v="3620"/>
    <n v="9.1999999999999993"/>
    <n v="19721.759999999998"/>
    <s v="Completed"/>
    <s v="Delhi"/>
    <s v="Apparel"/>
    <s v="West"/>
    <s v="Sep-24"/>
    <x v="0"/>
  </r>
  <r>
    <s v="ORD-00327"/>
    <d v="2024-05-10T00:00:00"/>
    <s v="CUST-0104"/>
    <s v="PROD-050"/>
    <s v="R004"/>
    <n v="1"/>
    <n v="6080"/>
    <n v="29.4"/>
    <n v="4292.4799999999996"/>
    <s v="Cancelled"/>
    <s v="Hyderabad"/>
    <s v="Beauty"/>
    <s v="North"/>
    <s v="May-24"/>
    <x v="2"/>
  </r>
  <r>
    <s v="ORD-00328"/>
    <d v="2024-02-21T00:00:00"/>
    <s v="CUST-0196"/>
    <s v="PROD-020"/>
    <s v="R018"/>
    <n v="6"/>
    <n v="820"/>
    <n v="29.1"/>
    <n v="3488.28"/>
    <s v="Completed"/>
    <s v="Chennai"/>
    <s v="Apparel"/>
    <s v="East"/>
    <s v="Feb-24"/>
    <x v="1"/>
  </r>
  <r>
    <s v="ORD-00329"/>
    <d v="2024-12-20T00:00:00"/>
    <s v="CUST-0299"/>
    <s v="PROD-045"/>
    <s v="R024"/>
    <n v="9"/>
    <n v="3020"/>
    <n v="7.9"/>
    <n v="25032.78"/>
    <s v="Completed"/>
    <s v="Mumbai"/>
    <s v="Beauty"/>
    <s v="West"/>
    <s v="Dec-24"/>
    <x v="3"/>
  </r>
  <r>
    <s v="ORD-00330"/>
    <d v="2024-12-19T00:00:00"/>
    <s v="CUST-0066"/>
    <s v="PROD-004"/>
    <s v="R029"/>
    <n v="8"/>
    <n v="3870"/>
    <n v="11.9"/>
    <n v="27275.759999999998"/>
    <s v="Completed"/>
    <s v="Delhi"/>
    <s v="Electronics"/>
    <s v="West"/>
    <s v="Dec-24"/>
    <x v="3"/>
  </r>
  <r>
    <s v="ORD-00331"/>
    <d v="2024-08-24T00:00:00"/>
    <s v="CUST-0080"/>
    <s v="PROD-047"/>
    <s v="R030"/>
    <n v="6"/>
    <n v="3450"/>
    <n v="13.9"/>
    <n v="17822.7"/>
    <s v="Completed"/>
    <s v="Pune"/>
    <s v="Beauty"/>
    <s v="West"/>
    <s v="Aug-24"/>
    <x v="0"/>
  </r>
  <r>
    <s v="ORD-00332"/>
    <d v="2024-12-29T00:00:00"/>
    <s v="CUST-0138"/>
    <s v="PROD-048"/>
    <s v="R008"/>
    <n v="9"/>
    <n v="5100"/>
    <n v="2.1"/>
    <n v="44936.1"/>
    <s v="Completed"/>
    <s v="Chennai"/>
    <s v="Beauty"/>
    <s v="North"/>
    <s v="Dec-24"/>
    <x v="3"/>
  </r>
  <r>
    <s v="ORD-00333"/>
    <d v="2024-08-14T00:00:00"/>
    <s v="CUST-0253"/>
    <s v="PROD-026"/>
    <s v="R008"/>
    <n v="2"/>
    <n v="4070"/>
    <n v="28.6"/>
    <n v="5811.96"/>
    <s v="Completed"/>
    <s v="Delhi"/>
    <s v="Grocery"/>
    <s v="North"/>
    <s v="Aug-24"/>
    <x v="0"/>
  </r>
  <r>
    <s v="ORD-00334"/>
    <d v="2024-02-17T00:00:00"/>
    <s v="CUST-0247"/>
    <s v="PROD-001"/>
    <s v="R007"/>
    <n v="9"/>
    <n v="5330"/>
    <n v="6.2"/>
    <n v="44995.86"/>
    <s v="Completed"/>
    <s v="Pune"/>
    <s v="Electronics"/>
    <s v="North"/>
    <s v="Feb-24"/>
    <x v="1"/>
  </r>
  <r>
    <s v="ORD-00335"/>
    <d v="2024-01-28T00:00:00"/>
    <s v="CUST-0269"/>
    <s v="PROD-024"/>
    <s v="R020"/>
    <n v="6"/>
    <n v="2270"/>
    <n v="23.7"/>
    <n v="10392.06"/>
    <s v="Completed"/>
    <s v="Pune"/>
    <s v="Grocery"/>
    <s v="East"/>
    <s v="Jan-24"/>
    <x v="1"/>
  </r>
  <r>
    <s v="ORD-00336"/>
    <d v="2024-11-22T00:00:00"/>
    <s v="CUST-0008"/>
    <s v="PROD-017"/>
    <s v="R024"/>
    <n v="5"/>
    <n v="2510"/>
    <n v="25"/>
    <n v="9412.5"/>
    <s v="Completed"/>
    <s v="Pune"/>
    <s v="Apparel"/>
    <s v="West"/>
    <s v="Nov-24"/>
    <x v="3"/>
  </r>
  <r>
    <s v="ORD-00337"/>
    <d v="2024-02-13T00:00:00"/>
    <s v="CUST-0134"/>
    <s v="PROD-023"/>
    <s v="R019"/>
    <n v="9"/>
    <n v="2380"/>
    <n v="16.8"/>
    <n v="17821.439999999999"/>
    <s v="Completed"/>
    <s v="Delhi"/>
    <s v="Grocery"/>
    <s v="East"/>
    <s v="Feb-24"/>
    <x v="1"/>
  </r>
  <r>
    <s v="ORD-00338"/>
    <d v="2024-05-08T00:00:00"/>
    <s v="CUST-0016"/>
    <s v="PROD-011"/>
    <s v="R008"/>
    <n v="1"/>
    <n v="3450"/>
    <n v="1.5"/>
    <n v="3398.25"/>
    <s v="Refunded"/>
    <s v="Delhi"/>
    <s v="Apparel"/>
    <s v="North"/>
    <s v="May-24"/>
    <x v="2"/>
  </r>
  <r>
    <s v="ORD-00339"/>
    <d v="2024-01-04T00:00:00"/>
    <s v="CUST-0281"/>
    <s v="PROD-003"/>
    <s v="R002"/>
    <n v="5"/>
    <n v="3570"/>
    <n v="12.8"/>
    <n v="15565.2"/>
    <s v="Completed"/>
    <s v="Bengaluru"/>
    <s v="Electronics"/>
    <s v="North"/>
    <s v="Jan-24"/>
    <x v="1"/>
  </r>
  <r>
    <s v="ORD-00340"/>
    <d v="2024-10-25T00:00:00"/>
    <s v="CUST-0267"/>
    <s v="PROD-001"/>
    <s v="R029"/>
    <n v="3"/>
    <n v="5330"/>
    <n v="16.2"/>
    <n v="13399.62"/>
    <s v="Completed"/>
    <s v="Hyderabad"/>
    <s v="Electronics"/>
    <s v="West"/>
    <s v="Oct-24"/>
    <x v="3"/>
  </r>
  <r>
    <s v="ORD-00341"/>
    <d v="2024-02-19T00:00:00"/>
    <s v="CUST-0279"/>
    <s v="PROD-028"/>
    <s v="R027"/>
    <n v="3"/>
    <n v="3660"/>
    <n v="25.3"/>
    <n v="8202.06"/>
    <s v="Completed"/>
    <s v="Mumbai"/>
    <s v="Grocery"/>
    <s v="West"/>
    <s v="Feb-24"/>
    <x v="1"/>
  </r>
  <r>
    <s v="ORD-00342"/>
    <d v="2024-11-04T00:00:00"/>
    <s v="CUST-0036"/>
    <s v="PROD-054"/>
    <s v="R015"/>
    <n v="2"/>
    <n v="1010"/>
    <n v="29.2"/>
    <n v="1430.16"/>
    <s v="Completed"/>
    <s v="Mumbai"/>
    <s v="Sports"/>
    <s v="South"/>
    <s v="Nov-24"/>
    <x v="3"/>
  </r>
  <r>
    <s v="ORD-00343"/>
    <d v="2024-08-02T00:00:00"/>
    <s v="CUST-0295"/>
    <s v="PROD-040"/>
    <s v="R015"/>
    <n v="1"/>
    <n v="1080"/>
    <n v="1.8"/>
    <n v="1060.56"/>
    <s v="Completed"/>
    <s v="Delhi"/>
    <s v="Home"/>
    <s v="South"/>
    <s v="Aug-24"/>
    <x v="0"/>
  </r>
  <r>
    <s v="ORD-00344"/>
    <d v="2024-05-02T00:00:00"/>
    <s v="CUST-0106"/>
    <s v="PROD-051"/>
    <s v="R010"/>
    <n v="8"/>
    <n v="3450"/>
    <n v="20.399999999999999"/>
    <n v="21969.599999999999"/>
    <s v="Completed"/>
    <s v="Pune"/>
    <s v="Sports"/>
    <s v="South"/>
    <s v="May-24"/>
    <x v="2"/>
  </r>
  <r>
    <s v="ORD-00593"/>
    <d v="2024-09-18T00:00:00"/>
    <s v="CUST-0070"/>
    <s v="PROD-056"/>
    <s v="R015"/>
    <n v="8"/>
    <n v="6940"/>
    <n v="19.399999999999999"/>
    <n v="44749.120000000003"/>
    <s v="Completed"/>
    <s v="Mumbai"/>
    <s v="Sports"/>
    <s v="South"/>
    <s v="Sep-24"/>
    <x v="0"/>
  </r>
  <r>
    <s v="ORD-00346"/>
    <d v="2024-05-22T00:00:00"/>
    <s v="CUST-0062"/>
    <s v="PROD-041"/>
    <s v="R003"/>
    <n v="2"/>
    <n v="1540"/>
    <n v="9.3000000000000007"/>
    <n v="2793.56"/>
    <s v="Completed"/>
    <s v="Pune"/>
    <s v="Beauty"/>
    <s v="North"/>
    <s v="May-24"/>
    <x v="2"/>
  </r>
  <r>
    <s v="ORD-00347"/>
    <d v="2024-06-03T00:00:00"/>
    <s v="CUST-0241"/>
    <s v="PROD-010"/>
    <s v="R015"/>
    <n v="4"/>
    <n v="2640"/>
    <n v="23.2"/>
    <n v="8110.08"/>
    <s v="Refunded"/>
    <s v="Pune"/>
    <s v="Electronics"/>
    <s v="South"/>
    <s v="Jun-24"/>
    <x v="2"/>
  </r>
  <r>
    <s v="ORD-00348"/>
    <d v="2024-11-30T00:00:00"/>
    <s v="CUST-0001"/>
    <s v="PROD-052"/>
    <s v="R024"/>
    <n v="6"/>
    <n v="5410"/>
    <n v="29.4"/>
    <n v="22916.76"/>
    <s v="Completed"/>
    <s v="Pune"/>
    <s v="Sports"/>
    <s v="West"/>
    <s v="Nov-24"/>
    <x v="3"/>
  </r>
  <r>
    <s v="ORD-00349"/>
    <d v="2024-06-16T00:00:00"/>
    <s v="CUST-0181"/>
    <s v="PROD-003"/>
    <s v="R027"/>
    <n v="1"/>
    <n v="3570"/>
    <n v="4.3"/>
    <n v="3416.49"/>
    <s v="Completed"/>
    <s v="Delhi"/>
    <s v="Electronics"/>
    <s v="West"/>
    <s v="Jun-24"/>
    <x v="2"/>
  </r>
  <r>
    <s v="ORD-00350"/>
    <d v="2024-08-16T00:00:00"/>
    <s v="CUST-0044"/>
    <s v="PROD-032"/>
    <s v="R028"/>
    <n v="2"/>
    <n v="370"/>
    <n v="7.2"/>
    <n v="686.72"/>
    <s v="Completed"/>
    <s v="Hyderabad"/>
    <s v="Home"/>
    <s v="West"/>
    <s v="Aug-24"/>
    <x v="0"/>
  </r>
  <r>
    <s v="ORD-00351"/>
    <d v="2024-01-23T00:00:00"/>
    <s v="CUST-0218"/>
    <s v="PROD-017"/>
    <s v="R017"/>
    <n v="1"/>
    <n v="2510"/>
    <n v="2.4"/>
    <n v="2449.7600000000002"/>
    <s v="Completed"/>
    <s v="Mumbai"/>
    <s v="Apparel"/>
    <s v="East"/>
    <s v="Jan-24"/>
    <x v="1"/>
  </r>
  <r>
    <s v="ORD-00352"/>
    <d v="2024-07-07T00:00:00"/>
    <s v="CUST-0061"/>
    <s v="PROD-013"/>
    <s v="R022"/>
    <n v="8"/>
    <n v="3640"/>
    <n v="28.7"/>
    <n v="20762.560000000001"/>
    <s v="Pending"/>
    <s v="Hyderabad"/>
    <s v="Apparel"/>
    <s v="East"/>
    <s v="Jul-24"/>
    <x v="0"/>
  </r>
  <r>
    <s v="ORD-00353"/>
    <d v="2024-08-16T00:00:00"/>
    <s v="CUST-0143"/>
    <s v="PROD-044"/>
    <s v="R029"/>
    <n v="5"/>
    <n v="1650"/>
    <n v="13.4"/>
    <n v="7144.5"/>
    <s v="Pending"/>
    <s v="Chennai"/>
    <s v="Beauty"/>
    <s v="West"/>
    <s v="Aug-24"/>
    <x v="0"/>
  </r>
  <r>
    <s v="ORD-00354"/>
    <d v="2024-03-09T00:00:00"/>
    <s v="CUST-0164"/>
    <s v="PROD-049"/>
    <s v="R024"/>
    <n v="9"/>
    <n v="960"/>
    <n v="28.6"/>
    <n v="6168.96"/>
    <s v="Pending"/>
    <s v="Chennai"/>
    <s v="Beauty"/>
    <s v="West"/>
    <s v="Mar-24"/>
    <x v="1"/>
  </r>
  <r>
    <s v="ORD-00355"/>
    <d v="2024-07-13T00:00:00"/>
    <s v="CUST-0152"/>
    <s v="PROD-027"/>
    <s v="R021"/>
    <n v="4"/>
    <n v="3780"/>
    <n v="25.3"/>
    <n v="11294.64"/>
    <s v="Completed"/>
    <s v="Bengaluru"/>
    <s v="Grocery"/>
    <s v="East"/>
    <s v="Jul-24"/>
    <x v="0"/>
  </r>
  <r>
    <s v="ORD-00356"/>
    <d v="2024-09-09T00:00:00"/>
    <s v="CUST-0143"/>
    <s v="PROD-044"/>
    <s v="R014"/>
    <n v="4"/>
    <n v="1650"/>
    <n v="13.7"/>
    <n v="5695.8"/>
    <s v="Cancelled"/>
    <s v="Chennai"/>
    <s v="Beauty"/>
    <s v="South"/>
    <s v="Sep-24"/>
    <x v="0"/>
  </r>
  <r>
    <s v="ORD-00357"/>
    <d v="2024-10-15T00:00:00"/>
    <s v="CUST-0232"/>
    <s v="PROD-014"/>
    <s v="R012"/>
    <n v="6"/>
    <n v="3620"/>
    <n v="21.3"/>
    <n v="17093.64"/>
    <s v="Pending"/>
    <s v="Hyderabad"/>
    <s v="Apparel"/>
    <s v="South"/>
    <s v="Oct-24"/>
    <x v="3"/>
  </r>
  <r>
    <s v="ORD-00358"/>
    <d v="2024-01-21T00:00:00"/>
    <s v="CUST-0067"/>
    <s v="PROD-022"/>
    <s v="R030"/>
    <n v="10"/>
    <n v="2270"/>
    <n v="17.7"/>
    <n v="18682.099999999999"/>
    <s v="Completed"/>
    <s v="Delhi"/>
    <s v="Grocery"/>
    <s v="West"/>
    <s v="Jan-24"/>
    <x v="1"/>
  </r>
  <r>
    <s v="ORD-00359"/>
    <d v="2024-06-04T00:00:00"/>
    <s v="CUST-0292"/>
    <s v="PROD-041"/>
    <s v="R013"/>
    <n v="9"/>
    <n v="1540"/>
    <n v="10.7"/>
    <n v="12376.98"/>
    <s v="Completed"/>
    <s v="Bengaluru"/>
    <s v="Beauty"/>
    <s v="South"/>
    <s v="Jun-24"/>
    <x v="2"/>
  </r>
  <r>
    <s v="ORD-00360"/>
    <d v="2024-11-11T00:00:00"/>
    <s v="CUST-0118"/>
    <s v="PROD-055"/>
    <s v="R021"/>
    <n v="9"/>
    <n v="2860"/>
    <n v="12.9"/>
    <n v="22419.54"/>
    <s v="Completed"/>
    <s v="Hyderabad"/>
    <s v="Sports"/>
    <s v="East"/>
    <s v="Nov-24"/>
    <x v="3"/>
  </r>
  <r>
    <s v="ORD-00361"/>
    <d v="2024-03-28T00:00:00"/>
    <s v="CUST-0212"/>
    <s v="PROD-029"/>
    <s v="R016"/>
    <n v="5"/>
    <n v="2210"/>
    <n v="5.0999999999999996"/>
    <n v="10486.45"/>
    <s v="Completed"/>
    <s v="Chennai"/>
    <s v="Grocery"/>
    <s v="South"/>
    <s v="Mar-24"/>
    <x v="1"/>
  </r>
  <r>
    <s v="ORD-00362"/>
    <d v="2024-10-26T00:00:00"/>
    <s v="CUST-0287"/>
    <s v="PROD-009"/>
    <s v="R029"/>
    <n v="1"/>
    <n v="1220"/>
    <n v="16.100000000000001"/>
    <n v="1023.58"/>
    <s v="Completed"/>
    <s v="Chennai"/>
    <s v="Electronics"/>
    <s v="West"/>
    <s v="Oct-24"/>
    <x v="3"/>
  </r>
  <r>
    <s v="ORD-00363"/>
    <d v="2024-09-26T00:00:00"/>
    <s v="CUST-0030"/>
    <s v="PROD-003"/>
    <s v="R006"/>
    <n v="2"/>
    <n v="3570"/>
    <n v="1.1000000000000001"/>
    <n v="7061.46"/>
    <s v="Completed"/>
    <s v="Bengaluru"/>
    <s v="Electronics"/>
    <s v="North"/>
    <s v="Sep-24"/>
    <x v="0"/>
  </r>
  <r>
    <s v="ORD-00364"/>
    <d v="2024-01-17T00:00:00"/>
    <s v="CUST-0270"/>
    <s v="PROD-011"/>
    <s v="R016"/>
    <n v="10"/>
    <n v="3450"/>
    <n v="12.6"/>
    <n v="30153"/>
    <s v="Completed"/>
    <s v="Bengaluru"/>
    <s v="Apparel"/>
    <s v="South"/>
    <s v="Jan-24"/>
    <x v="1"/>
  </r>
  <r>
    <s v="ORD-00365"/>
    <d v="2024-09-28T00:00:00"/>
    <s v="CUST-0001"/>
    <s v="PROD-029"/>
    <s v="R021"/>
    <n v="4"/>
    <n v="2210"/>
    <n v="5.4"/>
    <n v="8362.64"/>
    <s v="Completed"/>
    <s v="Pune"/>
    <s v="Grocery"/>
    <s v="East"/>
    <s v="Sep-24"/>
    <x v="0"/>
  </r>
  <r>
    <s v="ORD-00366"/>
    <d v="2024-07-03T00:00:00"/>
    <s v="CUST-0215"/>
    <s v="PROD-035"/>
    <s v="R014"/>
    <n v="6"/>
    <n v="1090"/>
    <n v="2.9"/>
    <n v="6350.34"/>
    <s v="Cancelled"/>
    <s v="Hyderabad"/>
    <s v="Home"/>
    <s v="South"/>
    <s v="Jul-24"/>
    <x v="0"/>
  </r>
  <r>
    <s v="ORD-00367"/>
    <d v="2024-03-13T00:00:00"/>
    <s v="CUST-0225"/>
    <s v="PROD-041"/>
    <s v="R017"/>
    <n v="8"/>
    <n v="1540"/>
    <n v="17.899999999999999"/>
    <n v="10114.719999999999"/>
    <s v="Pending"/>
    <s v="Chennai"/>
    <s v="Beauty"/>
    <s v="East"/>
    <s v="Mar-24"/>
    <x v="1"/>
  </r>
  <r>
    <s v="ORD-00368"/>
    <d v="2024-03-20T00:00:00"/>
    <s v="CUST-0163"/>
    <s v="PROD-002"/>
    <s v="R028"/>
    <n v="9"/>
    <n v="2600"/>
    <n v="4.0999999999999996"/>
    <n v="22440.6"/>
    <s v="Completed"/>
    <s v="Pune"/>
    <s v="Electronics"/>
    <s v="West"/>
    <s v="Mar-24"/>
    <x v="1"/>
  </r>
  <r>
    <s v="ORD-00369"/>
    <d v="2024-11-27T00:00:00"/>
    <s v="CUST-0196"/>
    <s v="PROD-060"/>
    <s v="R007"/>
    <n v="2"/>
    <n v="190"/>
    <n v="4.8"/>
    <n v="361.76"/>
    <s v="Completed"/>
    <s v="Chennai"/>
    <s v="Sports"/>
    <s v="North"/>
    <s v="Nov-24"/>
    <x v="3"/>
  </r>
  <r>
    <s v="ORD-00370"/>
    <d v="2024-05-29T00:00:00"/>
    <s v="CUST-0002"/>
    <s v="PROD-019"/>
    <s v="R014"/>
    <n v="9"/>
    <n v="2480"/>
    <n v="28.3"/>
    <n v="16003.44"/>
    <s v="Completed"/>
    <s v="Pune"/>
    <s v="Apparel"/>
    <s v="South"/>
    <s v="May-24"/>
    <x v="2"/>
  </r>
  <r>
    <s v="ORD-00371"/>
    <d v="2024-05-30T00:00:00"/>
    <s v="CUST-0057"/>
    <s v="PROD-042"/>
    <s v="R006"/>
    <n v="7"/>
    <n v="2290"/>
    <n v="25"/>
    <n v="12022.5"/>
    <s v="Cancelled"/>
    <s v="Pune"/>
    <s v="Beauty"/>
    <s v="North"/>
    <s v="May-24"/>
    <x v="2"/>
  </r>
  <r>
    <s v="ORD-00372"/>
    <d v="2024-10-02T00:00:00"/>
    <s v="CUST-0112"/>
    <s v="PROD-041"/>
    <s v="R015"/>
    <n v="9"/>
    <n v="1540"/>
    <n v="23.3"/>
    <n v="10630.62"/>
    <s v="Completed"/>
    <s v="Hyderabad"/>
    <s v="Beauty"/>
    <s v="South"/>
    <s v="Oct-24"/>
    <x v="3"/>
  </r>
  <r>
    <s v="ORD-00373"/>
    <d v="2024-12-27T00:00:00"/>
    <s v="CUST-0131"/>
    <s v="PROD-034"/>
    <s v="R025"/>
    <n v="2"/>
    <n v="5080"/>
    <n v="2.5"/>
    <n v="9906"/>
    <s v="Cancelled"/>
    <s v="Delhi"/>
    <s v="Home"/>
    <s v="West"/>
    <s v="Dec-24"/>
    <x v="3"/>
  </r>
  <r>
    <s v="ORD-00374"/>
    <d v="2024-02-09T00:00:00"/>
    <s v="CUST-0124"/>
    <s v="PROD-017"/>
    <s v="R016"/>
    <n v="4"/>
    <n v="2510"/>
    <n v="23.6"/>
    <n v="7670.56"/>
    <s v="Completed"/>
    <s v="Pune"/>
    <s v="Apparel"/>
    <s v="South"/>
    <s v="Feb-24"/>
    <x v="1"/>
  </r>
  <r>
    <s v="ORD-00375"/>
    <d v="2024-02-10T00:00:00"/>
    <s v="CUST-0131"/>
    <s v="PROD-042"/>
    <s v="R011"/>
    <n v="5"/>
    <n v="2290"/>
    <n v="17"/>
    <n v="9503.5"/>
    <s v="Completed"/>
    <s v="Delhi"/>
    <s v="Beauty"/>
    <s v="South"/>
    <s v="Feb-24"/>
    <x v="1"/>
  </r>
  <r>
    <s v="ORD-00376"/>
    <d v="2024-02-18T00:00:00"/>
    <s v="CUST-0084"/>
    <s v="PROD-053"/>
    <s v="R006"/>
    <n v="8"/>
    <n v="470"/>
    <n v="9.3000000000000007"/>
    <n v="3410.32"/>
    <s v="Completed"/>
    <s v="Chennai"/>
    <s v="Sports"/>
    <s v="North"/>
    <s v="Feb-24"/>
    <x v="1"/>
  </r>
  <r>
    <s v="ORD-00377"/>
    <d v="2024-09-29T00:00:00"/>
    <s v="CUST-0082"/>
    <s v="PROD-048"/>
    <s v="R009"/>
    <n v="8"/>
    <n v="5100"/>
    <n v="4.5999999999999996"/>
    <n v="38923.199999999997"/>
    <s v="Completed"/>
    <s v="Hyderabad"/>
    <s v="Beauty"/>
    <s v="South"/>
    <s v="Sep-24"/>
    <x v="0"/>
  </r>
  <r>
    <s v="ORD-00378"/>
    <d v="2024-01-05T00:00:00"/>
    <s v="CUST-0242"/>
    <s v="PROD-001"/>
    <s v="R010"/>
    <n v="7"/>
    <n v="5330"/>
    <n v="2.5"/>
    <n v="36377.25"/>
    <s v="Completed"/>
    <s v="Chennai"/>
    <s v="Electronics"/>
    <s v="South"/>
    <s v="Jan-24"/>
    <x v="1"/>
  </r>
  <r>
    <s v="ORD-00379"/>
    <d v="2024-03-13T00:00:00"/>
    <s v="CUST-0074"/>
    <s v="PROD-033"/>
    <s v="R028"/>
    <n v="10"/>
    <n v="2030"/>
    <n v="8.5"/>
    <n v="18574.5"/>
    <s v="Completed"/>
    <s v="Bengaluru"/>
    <s v="Home"/>
    <s v="West"/>
    <s v="Mar-24"/>
    <x v="1"/>
  </r>
  <r>
    <s v="ORD-00380"/>
    <d v="2024-09-25T00:00:00"/>
    <s v="CUST-0221"/>
    <s v="PROD-034"/>
    <s v="R003"/>
    <n v="8"/>
    <n v="5080"/>
    <n v="9.6"/>
    <n v="36738.559999999998"/>
    <s v="Cancelled"/>
    <s v="Delhi"/>
    <s v="Home"/>
    <s v="North"/>
    <s v="Sep-24"/>
    <x v="0"/>
  </r>
  <r>
    <s v="ORD-00381"/>
    <d v="2024-03-27T00:00:00"/>
    <s v="CUST-0101"/>
    <s v="PROD-023"/>
    <s v="R014"/>
    <n v="1"/>
    <n v="2380"/>
    <n v="11.6"/>
    <n v="2103.92"/>
    <s v="Pending"/>
    <s v="Hyderabad"/>
    <s v="Grocery"/>
    <s v="South"/>
    <s v="Mar-24"/>
    <x v="1"/>
  </r>
  <r>
    <s v="ORD-00382"/>
    <d v="2024-10-25T00:00:00"/>
    <s v="CUST-0203"/>
    <s v="PROD-041"/>
    <s v="R027"/>
    <n v="8"/>
    <n v="1540"/>
    <n v="27.8"/>
    <n v="8895.0400000000009"/>
    <s v="Completed"/>
    <s v="Chennai"/>
    <s v="Beauty"/>
    <s v="West"/>
    <s v="Oct-24"/>
    <x v="3"/>
  </r>
  <r>
    <s v="ORD-00383"/>
    <d v="2024-10-26T00:00:00"/>
    <s v="CUST-0209"/>
    <s v="PROD-024"/>
    <s v="R024"/>
    <n v="1"/>
    <n v="2270"/>
    <n v="6.5"/>
    <n v="2122.4499999999998"/>
    <s v="Pending"/>
    <s v="Pune"/>
    <s v="Grocery"/>
    <s v="West"/>
    <s v="Oct-24"/>
    <x v="3"/>
  </r>
  <r>
    <s v="ORD-00384"/>
    <d v="2024-07-30T00:00:00"/>
    <s v="CUST-0094"/>
    <s v="PROD-019"/>
    <s v="R028"/>
    <n v="6"/>
    <n v="2480"/>
    <n v="25.9"/>
    <n v="11026.08"/>
    <s v="Completed"/>
    <s v="Pune"/>
    <s v="Apparel"/>
    <s v="West"/>
    <s v="Jul-24"/>
    <x v="0"/>
  </r>
  <r>
    <s v="ORD-00385"/>
    <d v="2024-11-12T00:00:00"/>
    <s v="CUST-0248"/>
    <s v="PROD-018"/>
    <s v="R019"/>
    <n v="3"/>
    <n v="3560"/>
    <n v="0.4"/>
    <n v="10637.28"/>
    <s v="Refunded"/>
    <s v="Chennai"/>
    <s v="Apparel"/>
    <s v="East"/>
    <s v="Nov-24"/>
    <x v="3"/>
  </r>
  <r>
    <s v="ORD-00386"/>
    <d v="2024-05-10T00:00:00"/>
    <s v="CUST-0297"/>
    <s v="PROD-008"/>
    <s v="R006"/>
    <n v="4"/>
    <n v="2660"/>
    <n v="19.7"/>
    <n v="8543.92"/>
    <s v="Cancelled"/>
    <s v="Hyderabad"/>
    <s v="Electronics"/>
    <s v="North"/>
    <s v="May-24"/>
    <x v="2"/>
  </r>
  <r>
    <s v="ORD-00387"/>
    <d v="2024-04-04T00:00:00"/>
    <s v="CUST-0107"/>
    <s v="PROD-009"/>
    <s v="R013"/>
    <n v="10"/>
    <n v="1220"/>
    <n v="10.1"/>
    <n v="10967.8"/>
    <s v="Cancelled"/>
    <s v="Pune"/>
    <s v="Electronics"/>
    <s v="South"/>
    <s v="Apr-24"/>
    <x v="2"/>
  </r>
  <r>
    <s v="ORD-00388"/>
    <d v="2024-10-19T00:00:00"/>
    <s v="CUST-0247"/>
    <s v="PROD-002"/>
    <s v="R014"/>
    <n v="8"/>
    <n v="2600"/>
    <n v="26.7"/>
    <n v="15246.4"/>
    <s v="Completed"/>
    <s v="Pune"/>
    <s v="Electronics"/>
    <s v="South"/>
    <s v="Oct-24"/>
    <x v="3"/>
  </r>
  <r>
    <s v="ORD-00389"/>
    <d v="2024-05-28T00:00:00"/>
    <s v="CUST-0047"/>
    <s v="PROD-011"/>
    <s v="R020"/>
    <n v="10"/>
    <n v="3450"/>
    <n v="20.399999999999999"/>
    <n v="27462"/>
    <s v="Completed"/>
    <s v="Pune"/>
    <s v="Apparel"/>
    <s v="East"/>
    <s v="May-24"/>
    <x v="2"/>
  </r>
  <r>
    <s v="ORD-00390"/>
    <d v="2024-05-28T00:00:00"/>
    <s v="CUST-0118"/>
    <s v="PROD-056"/>
    <s v="R019"/>
    <n v="1"/>
    <n v="6940"/>
    <n v="9.6999999999999993"/>
    <n v="6266.82"/>
    <s v="Completed"/>
    <s v="Hyderabad"/>
    <s v="Sports"/>
    <s v="East"/>
    <s v="May-24"/>
    <x v="2"/>
  </r>
  <r>
    <s v="ORD-00391"/>
    <d v="2024-03-07T00:00:00"/>
    <s v="CUST-0019"/>
    <s v="PROD-043"/>
    <s v="R006"/>
    <n v="10"/>
    <n v="3350"/>
    <n v="3.2"/>
    <n v="32428"/>
    <s v="Completed"/>
    <s v="Chennai"/>
    <s v="Beauty"/>
    <s v="North"/>
    <s v="Mar-24"/>
    <x v="1"/>
  </r>
  <r>
    <s v="ORD-00392"/>
    <d v="2024-04-05T00:00:00"/>
    <s v="CUST-0290"/>
    <s v="PROD-041"/>
    <s v="R026"/>
    <n v="7"/>
    <n v="1540"/>
    <n v="0.5"/>
    <n v="10726.1"/>
    <s v="Completed"/>
    <s v="Delhi"/>
    <s v="Beauty"/>
    <s v="West"/>
    <s v="Apr-24"/>
    <x v="2"/>
  </r>
  <r>
    <s v="ORD-00393"/>
    <d v="2024-12-29T00:00:00"/>
    <s v="CUST-9557"/>
    <s v="PROD-014"/>
    <s v="R026"/>
    <n v="10"/>
    <n v="3620"/>
    <n v="22"/>
    <n v="28236"/>
    <s v="Completed"/>
    <s v="Pune"/>
    <s v="Apparel"/>
    <s v="West"/>
    <s v="Dec-24"/>
    <x v="3"/>
  </r>
  <r>
    <s v="ORD-00394"/>
    <d v="2024-12-03T00:00:00"/>
    <s v="CUST-0291"/>
    <s v="PROD-053"/>
    <s v="R026"/>
    <n v="2"/>
    <n v="470"/>
    <n v="26.5"/>
    <n v="690.9"/>
    <s v="Pending"/>
    <s v="Pune"/>
    <s v="Sports"/>
    <s v="West"/>
    <s v="Dec-24"/>
    <x v="3"/>
  </r>
  <r>
    <s v="ORD-00395"/>
    <d v="2024-02-01T00:00:00"/>
    <s v="CUST-0045"/>
    <s v="PROD-028"/>
    <s v="R010"/>
    <n v="6"/>
    <n v="3660"/>
    <n v="1.5"/>
    <n v="21630.6"/>
    <s v="Completed"/>
    <s v="Chennai"/>
    <s v="Grocery"/>
    <s v="South"/>
    <s v="Feb-24"/>
    <x v="1"/>
  </r>
  <r>
    <s v="ORD-00396"/>
    <d v="2024-05-20T00:00:00"/>
    <s v="CUST-0281"/>
    <s v="PROD-056"/>
    <s v="R017"/>
    <n v="10"/>
    <n v="6940"/>
    <n v="1.9"/>
    <n v="68081.399999999994"/>
    <s v="Completed"/>
    <s v="Bengaluru"/>
    <s v="Sports"/>
    <s v="East"/>
    <s v="May-24"/>
    <x v="2"/>
  </r>
  <r>
    <s v="ORD-00397"/>
    <d v="2024-04-15T00:00:00"/>
    <s v="CUST-0073"/>
    <s v="PROD-042"/>
    <s v="R005"/>
    <n v="8"/>
    <n v="2290"/>
    <n v="27.9"/>
    <n v="13208.72"/>
    <s v="Completed"/>
    <s v="Pune"/>
    <s v="Beauty"/>
    <s v="North"/>
    <s v="Apr-24"/>
    <x v="2"/>
  </r>
  <r>
    <s v="ORD-00398"/>
    <d v="2024-10-08T00:00:00"/>
    <s v="CUST-0043"/>
    <s v="PROD-012"/>
    <s v="R024"/>
    <n v="9"/>
    <n v="3160"/>
    <n v="10.199999999999999"/>
    <n v="25539.119999999999"/>
    <s v="Completed"/>
    <s v="Hyderabad"/>
    <s v="Apparel"/>
    <s v="West"/>
    <s v="Oct-24"/>
    <x v="3"/>
  </r>
  <r>
    <s v="ORD-00399"/>
    <d v="2024-01-16T00:00:00"/>
    <s v="CUST-0154"/>
    <s v="PROD-034"/>
    <s v="R028"/>
    <n v="6"/>
    <n v="5080"/>
    <n v="25.4"/>
    <n v="22738.080000000002"/>
    <s v="Completed"/>
    <s v="Pune"/>
    <s v="Home"/>
    <s v="West"/>
    <s v="Jan-24"/>
    <x v="1"/>
  </r>
  <r>
    <s v="ORD-00400"/>
    <d v="2024-11-24T00:00:00"/>
    <s v="CUST-0061"/>
    <s v="PROD-021"/>
    <s v="R012"/>
    <n v="6"/>
    <n v="2760"/>
    <n v="21.3"/>
    <n v="13032.72"/>
    <s v="Completed"/>
    <s v="Hyderabad"/>
    <s v="Grocery"/>
    <s v="South"/>
    <s v="Nov-24"/>
    <x v="3"/>
  </r>
  <r>
    <s v="ORD-00401"/>
    <d v="2024-06-19T00:00:00"/>
    <s v="CUST-9654"/>
    <s v="PROD-009"/>
    <s v="R012"/>
    <n v="5"/>
    <n v="1220"/>
    <n v="7.6"/>
    <n v="5636.4"/>
    <s v="Completed"/>
    <s v="Mumbai"/>
    <s v="Electronics"/>
    <s v="South"/>
    <s v="Jun-24"/>
    <x v="2"/>
  </r>
  <r>
    <s v="ORD-00402"/>
    <d v="2024-11-26T00:00:00"/>
    <s v="CUST-0189"/>
    <s v="PROD-046"/>
    <s v="R028"/>
    <n v="5"/>
    <n v="4880"/>
    <n v="8.5"/>
    <n v="22326"/>
    <s v="Completed"/>
    <s v="Chennai"/>
    <s v="Beauty"/>
    <s v="West"/>
    <s v="Nov-24"/>
    <x v="3"/>
  </r>
  <r>
    <s v="ORD-00403"/>
    <d v="2024-10-31T00:00:00"/>
    <s v="CUST-0152"/>
    <s v="PROD-026"/>
    <s v="R022"/>
    <n v="7"/>
    <n v="4070"/>
    <n v="28"/>
    <n v="20512.8"/>
    <s v="Completed"/>
    <s v="Bengaluru"/>
    <s v="Grocery"/>
    <s v="East"/>
    <s v="Oct-24"/>
    <x v="3"/>
  </r>
  <r>
    <s v="ORD-00404"/>
    <d v="2024-08-02T00:00:00"/>
    <s v="CUST-0284"/>
    <s v="PROD-006"/>
    <s v="R028"/>
    <n v="2"/>
    <n v="3970"/>
    <n v="14"/>
    <n v="6828.4"/>
    <s v="Completed"/>
    <s v="Hyderabad"/>
    <s v="Electronics"/>
    <s v="West"/>
    <s v="Aug-24"/>
    <x v="0"/>
  </r>
  <r>
    <s v="ORD-00405"/>
    <d v="2024-02-27T00:00:00"/>
    <s v="CUST-0175"/>
    <s v="PROD-008"/>
    <s v="R018"/>
    <n v="9"/>
    <n v="2660"/>
    <n v="10.1"/>
    <n v="21522.06"/>
    <s v="Completed"/>
    <s v="Delhi"/>
    <s v="Electronics"/>
    <s v="East"/>
    <s v="Feb-24"/>
    <x v="1"/>
  </r>
  <r>
    <s v="ORD-00406"/>
    <d v="2024-04-25T00:00:00"/>
    <s v="CUST-0093"/>
    <s v="PROD-055"/>
    <s v="R022"/>
    <n v="9"/>
    <n v="2860"/>
    <n v="10.1"/>
    <n v="23140.26"/>
    <s v="Refunded"/>
    <s v="Pune"/>
    <s v="Sports"/>
    <s v="East"/>
    <s v="Apr-24"/>
    <x v="2"/>
  </r>
  <r>
    <s v="ORD-00407"/>
    <d v="2024-10-26T00:00:00"/>
    <s v="CUST-0033"/>
    <s v="PROD-009"/>
    <s v="R007"/>
    <n v="7"/>
    <n v="1220"/>
    <n v="23.5"/>
    <n v="6533.1"/>
    <s v="Refunded"/>
    <s v="Delhi"/>
    <s v="Electronics"/>
    <s v="North"/>
    <s v="Oct-24"/>
    <x v="3"/>
  </r>
  <r>
    <s v="ORD-00408"/>
    <d v="2024-10-19T00:00:00"/>
    <s v="CUST-0294"/>
    <s v="PROD-022"/>
    <s v="R026"/>
    <n v="1"/>
    <n v="2270"/>
    <n v="5.8"/>
    <n v="2138.34"/>
    <s v="Cancelled"/>
    <s v="Delhi"/>
    <s v="Grocery"/>
    <s v="West"/>
    <s v="Oct-24"/>
    <x v="3"/>
  </r>
  <r>
    <s v="ORD-00409"/>
    <d v="2024-10-16T00:00:00"/>
    <s v="CUST-0115"/>
    <s v="PROD-037"/>
    <s v="R002"/>
    <n v="2"/>
    <n v="660"/>
    <n v="2.2999999999999998"/>
    <n v="1289.6400000000001"/>
    <s v="Completed"/>
    <s v="Mumbai"/>
    <s v="Home"/>
    <s v="North"/>
    <s v="Oct-24"/>
    <x v="3"/>
  </r>
  <r>
    <s v="ORD-00410"/>
    <d v="2024-05-29T00:00:00"/>
    <s v="CUST-0219"/>
    <s v="PROD-012"/>
    <s v="R014"/>
    <n v="1"/>
    <n v="3160"/>
    <n v="5.6"/>
    <n v="2983.04"/>
    <s v="Completed"/>
    <s v="Chennai"/>
    <s v="Apparel"/>
    <s v="South"/>
    <s v="May-24"/>
    <x v="2"/>
  </r>
  <r>
    <s v="ORD-00411"/>
    <d v="2024-04-26T00:00:00"/>
    <s v="CUST-0180"/>
    <s v="PROD-002"/>
    <s v="R013"/>
    <n v="1"/>
    <n v="2600"/>
    <n v="1"/>
    <n v="2574"/>
    <s v="Completed"/>
    <s v="Chennai"/>
    <s v="Electronics"/>
    <s v="South"/>
    <s v="Apr-24"/>
    <x v="2"/>
  </r>
  <r>
    <s v="ORD-00412"/>
    <d v="2024-08-11T00:00:00"/>
    <s v="CUST-0148"/>
    <s v="PROD-039"/>
    <s v="R014"/>
    <n v="4"/>
    <n v="4610"/>
    <n v="18.7"/>
    <n v="14991.72"/>
    <s v="Completed"/>
    <s v="Chennai"/>
    <s v="Home"/>
    <s v="South"/>
    <s v="Aug-24"/>
    <x v="0"/>
  </r>
  <r>
    <s v="ORD-00413"/>
    <d v="2024-04-30T00:00:00"/>
    <s v="CUST-0026"/>
    <s v="PROD-013"/>
    <s v="R018"/>
    <n v="3"/>
    <n v="3640"/>
    <n v="9.6999999999999993"/>
    <n v="9860.76"/>
    <s v="Cancelled"/>
    <s v="Pune"/>
    <s v="Apparel"/>
    <s v="East"/>
    <s v="Apr-24"/>
    <x v="2"/>
  </r>
  <r>
    <s v="ORD-00414"/>
    <d v="2024-06-05T00:00:00"/>
    <s v="CUST-0246"/>
    <s v="PROD-015"/>
    <s v="R004"/>
    <n v="6"/>
    <n v="2720"/>
    <n v="13"/>
    <n v="14198.4"/>
    <s v="Pending"/>
    <s v="Delhi"/>
    <s v="Apparel"/>
    <s v="North"/>
    <s v="Jun-24"/>
    <x v="2"/>
  </r>
  <r>
    <s v="ORD-00415"/>
    <d v="2024-12-18T00:00:00"/>
    <s v="CUST-0125"/>
    <s v="PROD-059"/>
    <s v="R008"/>
    <n v="5"/>
    <n v="3780"/>
    <n v="15.2"/>
    <n v="16027.2"/>
    <s v="Completed"/>
    <s v="Delhi"/>
    <s v="Sports"/>
    <s v="North"/>
    <s v="Dec-24"/>
    <x v="3"/>
  </r>
  <r>
    <s v="ORD-00416"/>
    <d v="2024-04-25T00:00:00"/>
    <s v="CUST-0190"/>
    <s v="PROD-035"/>
    <s v="R030"/>
    <n v="9"/>
    <n v="1090"/>
    <n v="28.5"/>
    <n v="7014.15"/>
    <s v="Completed"/>
    <s v="Hyderabad"/>
    <s v="Home"/>
    <s v="West"/>
    <s v="Apr-24"/>
    <x v="2"/>
  </r>
  <r>
    <s v="ORD-00417"/>
    <d v="2024-10-16T00:00:00"/>
    <s v="CUST-0085"/>
    <s v="PROD-035"/>
    <s v="R028"/>
    <n v="6"/>
    <n v="1090"/>
    <n v="28.7"/>
    <n v="4663.0200000000004"/>
    <s v="Completed"/>
    <s v="Chennai"/>
    <s v="Home"/>
    <s v="West"/>
    <s v="Oct-24"/>
    <x v="3"/>
  </r>
  <r>
    <s v="ORD-00418"/>
    <d v="2024-03-15T00:00:00"/>
    <s v="CUST-0249"/>
    <s v="PROD-017"/>
    <s v="R030"/>
    <n v="5"/>
    <n v="2510"/>
    <n v="25"/>
    <n v="9412.5"/>
    <s v="Completed"/>
    <s v="Mumbai"/>
    <s v="Apparel"/>
    <s v="West"/>
    <s v="Mar-24"/>
    <x v="1"/>
  </r>
  <r>
    <s v="ORD-00419"/>
    <d v="2024-10-12T00:00:00"/>
    <s v="CUST-0012"/>
    <s v="PROD-006"/>
    <s v="R010"/>
    <n v="5"/>
    <n v="3970"/>
    <n v="26"/>
    <n v="14689"/>
    <s v="Completed"/>
    <s v="Pune"/>
    <s v="Electronics"/>
    <s v="South"/>
    <s v="Oct-24"/>
    <x v="3"/>
  </r>
  <r>
    <s v="ORD-00420"/>
    <d v="2024-02-11T00:00:00"/>
    <s v="CUST-0251"/>
    <s v="PROD-026"/>
    <s v="R001"/>
    <n v="9"/>
    <n v="4070"/>
    <n v="15.7"/>
    <n v="30879.09"/>
    <s v="Completed"/>
    <s v="Mumbai"/>
    <s v="Grocery"/>
    <s v="North"/>
    <s v="Feb-24"/>
    <x v="1"/>
  </r>
  <r>
    <s v="ORD-00421"/>
    <d v="2024-05-06T00:00:00"/>
    <s v="CUST-0088"/>
    <s v="PROD-038"/>
    <s v="R004"/>
    <n v="6"/>
    <n v="5490"/>
    <n v="8.5"/>
    <n v="30140.1"/>
    <s v="Refunded"/>
    <s v="Chennai"/>
    <s v="Home"/>
    <s v="North"/>
    <s v="May-24"/>
    <x v="2"/>
  </r>
  <r>
    <s v="ORD-00422"/>
    <d v="2024-11-19T00:00:00"/>
    <s v="CUST-0037"/>
    <s v="PROD-054"/>
    <s v="R022"/>
    <n v="9"/>
    <n v="1010"/>
    <n v="3.6"/>
    <n v="8762.76"/>
    <s v="Completed"/>
    <s v="Bengaluru"/>
    <s v="Sports"/>
    <s v="East"/>
    <s v="Nov-24"/>
    <x v="3"/>
  </r>
  <r>
    <s v="ORD-00423"/>
    <d v="2024-12-05T00:00:00"/>
    <s v="CUST-0039"/>
    <s v="PROD-028"/>
    <s v="R008"/>
    <n v="6"/>
    <n v="3660"/>
    <n v="10.8"/>
    <n v="19588.32"/>
    <s v="Completed"/>
    <s v="Bengaluru"/>
    <s v="Grocery"/>
    <s v="North"/>
    <s v="Dec-24"/>
    <x v="3"/>
  </r>
  <r>
    <s v="ORD-00424"/>
    <d v="2024-08-20T00:00:00"/>
    <s v="CUST-0106"/>
    <s v="PROD-047"/>
    <s v="R016"/>
    <n v="6"/>
    <n v="3450"/>
    <n v="10.7"/>
    <n v="18485.099999999999"/>
    <s v="Completed"/>
    <s v="Pune"/>
    <s v="Beauty"/>
    <s v="South"/>
    <s v="Aug-24"/>
    <x v="0"/>
  </r>
  <r>
    <s v="ORD-00425"/>
    <d v="2024-03-28T00:00:00"/>
    <s v="CUST-0222"/>
    <s v="PROD-026"/>
    <s v="R011"/>
    <n v="10"/>
    <n v="4070"/>
    <n v="23.4"/>
    <n v="31176.2"/>
    <s v="Refunded"/>
    <s v="Chennai"/>
    <s v="Grocery"/>
    <s v="South"/>
    <s v="Mar-24"/>
    <x v="1"/>
  </r>
  <r>
    <s v="ORD-00426"/>
    <d v="2024-06-11T00:00:00"/>
    <s v="CUST-0130"/>
    <s v="PROD-003"/>
    <s v="R025"/>
    <n v="9"/>
    <n v="3570"/>
    <n v="15.2"/>
    <n v="27246.240000000002"/>
    <s v="Completed"/>
    <s v="Bengaluru"/>
    <s v="Electronics"/>
    <s v="West"/>
    <s v="Jun-24"/>
    <x v="2"/>
  </r>
  <r>
    <s v="ORD-00427"/>
    <d v="2024-09-27T00:00:00"/>
    <s v="CUST-0281"/>
    <s v="PROD-056"/>
    <s v="R005"/>
    <n v="10"/>
    <n v="6940"/>
    <n v="21.8"/>
    <n v="54270.8"/>
    <s v="Pending"/>
    <s v="Bengaluru"/>
    <s v="Sports"/>
    <s v="North"/>
    <s v="Sep-24"/>
    <x v="0"/>
  </r>
  <r>
    <s v="ORD-00428"/>
    <d v="2024-07-16T00:00:00"/>
    <s v="CUST-0094"/>
    <s v="PROD-044"/>
    <s v="R014"/>
    <n v="9"/>
    <n v="1650"/>
    <n v="24.3"/>
    <n v="11241.45"/>
    <s v="Completed"/>
    <s v="Pune"/>
    <s v="Beauty"/>
    <s v="South"/>
    <s v="Jul-24"/>
    <x v="0"/>
  </r>
  <r>
    <s v="ORD-00429"/>
    <d v="2024-11-28T00:00:00"/>
    <s v="CUST-0271"/>
    <s v="PROD-007"/>
    <s v="R014"/>
    <n v="10"/>
    <n v="1430"/>
    <n v="25.2"/>
    <n v="10696.4"/>
    <s v="Completed"/>
    <s v="Bengaluru"/>
    <s v="Electronics"/>
    <s v="South"/>
    <s v="Nov-24"/>
    <x v="3"/>
  </r>
  <r>
    <s v="ORD-00430"/>
    <d v="2024-07-07T00:00:00"/>
    <s v="CUST-0110"/>
    <s v="PROD-025"/>
    <s v="R010"/>
    <n v="4"/>
    <n v="4060"/>
    <n v="1.6"/>
    <n v="15980.16"/>
    <s v="Completed"/>
    <s v="Pune"/>
    <s v="Grocery"/>
    <s v="South"/>
    <s v="Jul-24"/>
    <x v="0"/>
  </r>
  <r>
    <s v="ORD-00431"/>
    <d v="2024-05-08T00:00:00"/>
    <s v="CUST-0262"/>
    <s v="PROD-032"/>
    <s v="R005"/>
    <n v="9"/>
    <n v="370"/>
    <n v="17"/>
    <n v="2763.9"/>
    <s v="Completed"/>
    <s v="Mumbai"/>
    <s v="Home"/>
    <s v="North"/>
    <s v="May-24"/>
    <x v="2"/>
  </r>
  <r>
    <s v="ORD-00432"/>
    <d v="2024-01-31T00:00:00"/>
    <s v="CUST-0157"/>
    <s v="PROD-041"/>
    <s v="R010"/>
    <n v="1"/>
    <n v="1540"/>
    <n v="24"/>
    <n v="1170.4000000000001"/>
    <s v="Cancelled"/>
    <s v="Pune"/>
    <s v="Beauty"/>
    <s v="South"/>
    <s v="Jan-24"/>
    <x v="1"/>
  </r>
  <r>
    <s v="ORD-00433"/>
    <d v="2024-03-31T00:00:00"/>
    <s v="CUST-0135"/>
    <s v="PROD-002"/>
    <s v="R025"/>
    <n v="9"/>
    <n v="2600"/>
    <n v="7.7"/>
    <n v="21598.2"/>
    <s v="Completed"/>
    <s v="Pune"/>
    <s v="Electronics"/>
    <s v="West"/>
    <s v="Mar-24"/>
    <x v="1"/>
  </r>
  <r>
    <s v="ORD-00434"/>
    <d v="2024-07-24T00:00:00"/>
    <s v="CUST-0136"/>
    <s v="PROD-017"/>
    <s v="R015"/>
    <n v="8"/>
    <n v="2510"/>
    <n v="3.7"/>
    <n v="19337.04"/>
    <s v="Completed"/>
    <s v="Chennai"/>
    <s v="Apparel"/>
    <s v="South"/>
    <s v="Jul-24"/>
    <x v="0"/>
  </r>
  <r>
    <s v="ORD-00435"/>
    <d v="2024-08-06T00:00:00"/>
    <s v="CUST-0110"/>
    <s v="PROD-001"/>
    <s v="R003"/>
    <n v="6"/>
    <n v="5330"/>
    <n v="8.4"/>
    <n v="29293.68"/>
    <s v="Completed"/>
    <s v="Pune"/>
    <s v="Electronics"/>
    <s v="North"/>
    <s v="Aug-24"/>
    <x v="0"/>
  </r>
  <r>
    <s v="ORD-00436"/>
    <d v="2024-08-18T00:00:00"/>
    <s v="CUST-0192"/>
    <s v="PROD-034"/>
    <s v="R014"/>
    <n v="5"/>
    <n v="5080"/>
    <n v="10.3"/>
    <n v="22783.8"/>
    <s v="Completed"/>
    <s v="Bengaluru"/>
    <s v="Home"/>
    <s v="South"/>
    <s v="Aug-24"/>
    <x v="0"/>
  </r>
  <r>
    <s v="ORD-00437"/>
    <d v="2024-03-30T00:00:00"/>
    <s v="CUST-0169"/>
    <s v="PROD-026"/>
    <s v="R025"/>
    <n v="3"/>
    <n v="4070"/>
    <n v="23.7"/>
    <n v="9316.23"/>
    <s v="Completed"/>
    <s v="Bengaluru"/>
    <s v="Grocery"/>
    <s v="West"/>
    <s v="Mar-24"/>
    <x v="1"/>
  </r>
  <r>
    <s v="ORD-00438"/>
    <d v="2024-08-07T00:00:00"/>
    <s v="CUST-0086"/>
    <s v="PROD-016"/>
    <s v="R013"/>
    <n v="4"/>
    <n v="620"/>
    <n v="18.8"/>
    <n v="2013.76"/>
    <s v="Completed"/>
    <s v="Hyderabad"/>
    <s v="Apparel"/>
    <s v="South"/>
    <s v="Aug-24"/>
    <x v="0"/>
  </r>
  <r>
    <s v="ORD-00439"/>
    <d v="2024-12-02T00:00:00"/>
    <s v="CUST-0217"/>
    <s v="PROD-010"/>
    <s v="R017"/>
    <n v="10"/>
    <n v="2640"/>
    <n v="12.7"/>
    <n v="23047.200000000001"/>
    <s v="Completed"/>
    <s v="Pune"/>
    <s v="Electronics"/>
    <s v="East"/>
    <s v="Dec-24"/>
    <x v="3"/>
  </r>
  <r>
    <s v="ORD-00440"/>
    <d v="2024-02-04T00:00:00"/>
    <s v="CUST-0119"/>
    <s v="PROD-026"/>
    <s v="R030"/>
    <n v="2"/>
    <n v="4070"/>
    <n v="29"/>
    <n v="5779.4"/>
    <s v="Completed"/>
    <s v="Bengaluru"/>
    <s v="Grocery"/>
    <s v="West"/>
    <s v="Feb-24"/>
    <x v="1"/>
  </r>
  <r>
    <s v="ORD-00441"/>
    <d v="2024-09-26T00:00:00"/>
    <s v="CUST-0011"/>
    <s v="PROD-054"/>
    <s v="R007"/>
    <n v="8"/>
    <n v="1010"/>
    <n v="25.4"/>
    <n v="6027.68"/>
    <s v="Completed"/>
    <s v="Chennai"/>
    <s v="Sports"/>
    <s v="North"/>
    <s v="Sep-24"/>
    <x v="0"/>
  </r>
  <r>
    <s v="ORD-00442"/>
    <d v="2024-12-03T00:00:00"/>
    <s v="CUST-0059"/>
    <s v="PROD-036"/>
    <s v="R005"/>
    <n v="8"/>
    <n v="3250"/>
    <n v="5.4"/>
    <n v="24596"/>
    <s v="Completed"/>
    <s v="Pune"/>
    <s v="Home"/>
    <s v="North"/>
    <s v="Dec-24"/>
    <x v="3"/>
  </r>
  <r>
    <s v="ORD-00443"/>
    <d v="2024-06-17T00:00:00"/>
    <s v="CUST-0210"/>
    <s v="PROD-007"/>
    <s v="R009"/>
    <n v="7"/>
    <n v="1430"/>
    <n v="19.3"/>
    <n v="8078.07"/>
    <s v="Completed"/>
    <s v="Pune"/>
    <s v="Electronics"/>
    <s v="South"/>
    <s v="Jun-24"/>
    <x v="2"/>
  </r>
  <r>
    <s v="ORD-00444"/>
    <d v="2024-11-01T00:00:00"/>
    <s v="CUST-0145"/>
    <s v="PROD-045"/>
    <s v="R018"/>
    <n v="9"/>
    <n v="3020"/>
    <n v="15"/>
    <n v="23103"/>
    <s v="Completed"/>
    <s v="Bengaluru"/>
    <s v="Beauty"/>
    <s v="East"/>
    <s v="Nov-24"/>
    <x v="3"/>
  </r>
  <r>
    <s v="ORD-00445"/>
    <d v="2024-02-02T00:00:00"/>
    <s v="CUST-9626"/>
    <s v="PROD-008"/>
    <s v="R002"/>
    <n v="2"/>
    <n v="2660"/>
    <n v="21.4"/>
    <n v="4181.5200000000004"/>
    <s v="Completed"/>
    <s v="Chennai"/>
    <s v="Electronics"/>
    <s v="North"/>
    <s v="Feb-24"/>
    <x v="1"/>
  </r>
  <r>
    <s v="ORD-00446"/>
    <d v="2024-07-17T00:00:00"/>
    <s v="CUST-0250"/>
    <s v="PROD-003"/>
    <s v="R019"/>
    <n v="10"/>
    <n v="3570"/>
    <n v="20.3"/>
    <n v="28452.9"/>
    <s v="Completed"/>
    <s v="Delhi"/>
    <s v="Electronics"/>
    <s v="East"/>
    <s v="Jul-24"/>
    <x v="0"/>
  </r>
  <r>
    <s v="ORD-00447"/>
    <d v="2024-02-08T00:00:00"/>
    <s v="CUST-0241"/>
    <s v="PROD-043"/>
    <s v="R010"/>
    <n v="4"/>
    <n v="3350"/>
    <n v="28.1"/>
    <n v="9634.6"/>
    <s v="Completed"/>
    <s v="Pune"/>
    <s v="Beauty"/>
    <s v="South"/>
    <s v="Feb-24"/>
    <x v="1"/>
  </r>
  <r>
    <s v="ORD-00448"/>
    <d v="2024-02-14T00:00:00"/>
    <s v="CUST-0071"/>
    <s v="PROD-019"/>
    <s v="R021"/>
    <n v="1"/>
    <n v="2480"/>
    <n v="13.5"/>
    <n v="2145.1999999999998"/>
    <s v="Completed"/>
    <s v="Delhi"/>
    <s v="Apparel"/>
    <s v="East"/>
    <s v="Feb-24"/>
    <x v="1"/>
  </r>
  <r>
    <s v="ORD-00449"/>
    <d v="2024-12-23T00:00:00"/>
    <s v="CUST-0017"/>
    <s v="PROD-052"/>
    <s v="R015"/>
    <n v="10"/>
    <n v="5410"/>
    <n v="26.1"/>
    <n v="39979.9"/>
    <s v="Completed"/>
    <s v="Delhi"/>
    <s v="Sports"/>
    <s v="South"/>
    <s v="Dec-24"/>
    <x v="3"/>
  </r>
  <r>
    <s v="ORD-00450"/>
    <d v="2024-10-21T00:00:00"/>
    <s v="CUST-0007"/>
    <s v="PROD-037"/>
    <s v="R023"/>
    <n v="2"/>
    <n v="660"/>
    <n v="5"/>
    <n v="1254"/>
    <s v="Completed"/>
    <s v="Bengaluru"/>
    <s v="Home"/>
    <s v="East"/>
    <s v="Oct-24"/>
    <x v="3"/>
  </r>
  <r>
    <s v="ORD-00451"/>
    <d v="2024-12-21T00:00:00"/>
    <s v="CUST-0054"/>
    <s v="PROD-054"/>
    <s v="R007"/>
    <n v="10"/>
    <n v="1010"/>
    <n v="10"/>
    <n v="9090"/>
    <s v="Completed"/>
    <s v="Mumbai"/>
    <s v="Sports"/>
    <s v="North"/>
    <s v="Dec-24"/>
    <x v="3"/>
  </r>
  <r>
    <s v="ORD-00452"/>
    <d v="2024-07-23T00:00:00"/>
    <s v="CUST-0038"/>
    <s v="PROD-042"/>
    <s v="R001"/>
    <n v="3"/>
    <n v="2290"/>
    <n v="8.9"/>
    <n v="6258.57"/>
    <s v="Completed"/>
    <s v="Mumbai"/>
    <s v="Beauty"/>
    <s v="North"/>
    <s v="Jul-24"/>
    <x v="0"/>
  </r>
  <r>
    <s v="ORD-00453"/>
    <d v="2024-03-18T00:00:00"/>
    <s v="CUST-0066"/>
    <s v="PROD-047"/>
    <s v="R001"/>
    <n v="9"/>
    <n v="3450"/>
    <n v="24.3"/>
    <n v="23504.85"/>
    <s v="Completed"/>
    <s v="Delhi"/>
    <s v="Beauty"/>
    <s v="North"/>
    <s v="Mar-24"/>
    <x v="1"/>
  </r>
  <r>
    <s v="ORD-00454"/>
    <d v="2024-04-07T00:00:00"/>
    <s v="CUST-0161"/>
    <s v="PROD-013"/>
    <s v="R003"/>
    <n v="10"/>
    <n v="3640"/>
    <n v="21.4"/>
    <n v="28610.400000000001"/>
    <s v="Cancelled"/>
    <s v="Chennai"/>
    <s v="Apparel"/>
    <s v="North"/>
    <s v="Apr-24"/>
    <x v="2"/>
  </r>
  <r>
    <s v="ORD-00455"/>
    <d v="2024-02-14T00:00:00"/>
    <s v="CUST-0072"/>
    <s v="PROD-023"/>
    <s v="R015"/>
    <n v="5"/>
    <n v="2380"/>
    <n v="12.2"/>
    <n v="10448.200000000001"/>
    <s v="Completed"/>
    <s v="Mumbai"/>
    <s v="Grocery"/>
    <s v="South"/>
    <s v="Feb-24"/>
    <x v="1"/>
  </r>
  <r>
    <s v="ORD-00456"/>
    <d v="2024-08-01T00:00:00"/>
    <s v="CUST-0232"/>
    <s v="PROD-052"/>
    <s v="R017"/>
    <n v="10"/>
    <n v="5410"/>
    <n v="29.8"/>
    <n v="37978.199999999997"/>
    <s v="Completed"/>
    <s v="Hyderabad"/>
    <s v="Sports"/>
    <s v="East"/>
    <s v="Aug-24"/>
    <x v="0"/>
  </r>
  <r>
    <s v="ORD-00457"/>
    <d v="2024-03-24T00:00:00"/>
    <s v="CUST-0054"/>
    <s v="PROD-044"/>
    <s v="R021"/>
    <n v="3"/>
    <n v="1650"/>
    <n v="9.4"/>
    <n v="4484.7"/>
    <s v="Cancelled"/>
    <s v="Mumbai"/>
    <s v="Beauty"/>
    <s v="East"/>
    <s v="Mar-24"/>
    <x v="1"/>
  </r>
  <r>
    <s v="ORD-00458"/>
    <d v="2024-04-01T00:00:00"/>
    <s v="CUST-0214"/>
    <s v="PROD-002"/>
    <s v="R022"/>
    <n v="7"/>
    <n v="2600"/>
    <n v="19.899999999999999"/>
    <n v="14578.2"/>
    <s v="Pending"/>
    <s v="Mumbai"/>
    <s v="Electronics"/>
    <s v="East"/>
    <s v="Apr-24"/>
    <x v="2"/>
  </r>
  <r>
    <s v="ORD-00135"/>
    <d v="2024-07-01T00:00:00"/>
    <s v="CUST-0236"/>
    <s v="PROD-039"/>
    <s v="R002"/>
    <n v="4"/>
    <n v="4610"/>
    <n v="13.2"/>
    <n v="16005.92"/>
    <s v="Completed"/>
    <s v="Hyderabad"/>
    <s v="Home"/>
    <s v="North"/>
    <s v="Jul-24"/>
    <x v="0"/>
  </r>
  <r>
    <s v="ORD-00460"/>
    <d v="2024-03-10T00:00:00"/>
    <s v="CUST-0031"/>
    <s v="PROD-039"/>
    <s v="R021"/>
    <n v="9"/>
    <n v="4610"/>
    <n v="25.8"/>
    <n v="30785.58"/>
    <s v="Completed"/>
    <s v="Hyderabad"/>
    <s v="Home"/>
    <s v="East"/>
    <s v="Mar-24"/>
    <x v="1"/>
  </r>
  <r>
    <s v="ORD-00461"/>
    <d v="2024-09-15T00:00:00"/>
    <s v="CUST-0123"/>
    <s v="PROD-005"/>
    <s v="R014"/>
    <n v="5"/>
    <n v="300"/>
    <n v="11.8"/>
    <n v="1323"/>
    <s v="Completed"/>
    <s v="Chennai"/>
    <s v="Electronics"/>
    <s v="South"/>
    <s v="Sep-24"/>
    <x v="0"/>
  </r>
  <r>
    <s v="ORD-00462"/>
    <d v="2024-07-12T00:00:00"/>
    <s v="CUST-0019"/>
    <s v="PROD-011"/>
    <s v="R020"/>
    <n v="3"/>
    <n v="3450"/>
    <n v="14.2"/>
    <n v="8880.2999999999993"/>
    <s v="Completed"/>
    <s v="Chennai"/>
    <s v="Apparel"/>
    <s v="East"/>
    <s v="Jul-24"/>
    <x v="0"/>
  </r>
  <r>
    <s v="ORD-00463"/>
    <d v="2024-08-19T00:00:00"/>
    <s v="CUST-0171"/>
    <s v="PROD-015"/>
    <s v="R028"/>
    <n v="2"/>
    <n v="2720"/>
    <n v="14.6"/>
    <n v="4645.76"/>
    <s v="Cancelled"/>
    <s v="Chennai"/>
    <s v="Apparel"/>
    <s v="West"/>
    <s v="Aug-24"/>
    <x v="0"/>
  </r>
  <r>
    <s v="ORD-00464"/>
    <d v="2024-11-30T00:00:00"/>
    <s v="CUST-0166"/>
    <s v="PROD-008"/>
    <s v="R017"/>
    <n v="7"/>
    <n v="2660"/>
    <n v="27.4"/>
    <n v="13518.12"/>
    <s v="Cancelled"/>
    <s v="Hyderabad"/>
    <s v="Electronics"/>
    <s v="East"/>
    <s v="Nov-24"/>
    <x v="3"/>
  </r>
  <r>
    <s v="ORD-00465"/>
    <d v="2024-01-11T00:00:00"/>
    <s v="CUST-0151"/>
    <s v="PROD-051"/>
    <s v="R005"/>
    <n v="8"/>
    <n v="3450"/>
    <n v="20.399999999999999"/>
    <n v="21969.599999999999"/>
    <s v="Completed"/>
    <s v="Mumbai"/>
    <s v="Sports"/>
    <s v="North"/>
    <s v="Jan-24"/>
    <x v="1"/>
  </r>
  <r>
    <s v="ORD-00466"/>
    <d v="2024-05-15T00:00:00"/>
    <s v="CUST-0027"/>
    <s v="PROD-052"/>
    <s v="R016"/>
    <n v="2"/>
    <n v="5410"/>
    <n v="7.2"/>
    <n v="10040.959999999999"/>
    <s v="Completed"/>
    <s v="Hyderabad"/>
    <s v="Sports"/>
    <s v="South"/>
    <s v="May-24"/>
    <x v="2"/>
  </r>
  <r>
    <s v="ORD-00467"/>
    <d v="2024-01-24T00:00:00"/>
    <s v="CUST-0171"/>
    <s v="PROD-004"/>
    <s v="R013"/>
    <n v="3"/>
    <n v="3870"/>
    <n v="4.2"/>
    <n v="11122.38"/>
    <s v="Completed"/>
    <s v="Chennai"/>
    <s v="Electronics"/>
    <s v="South"/>
    <s v="Jan-24"/>
    <x v="1"/>
  </r>
  <r>
    <s v="ORD-00468"/>
    <d v="2024-02-06T00:00:00"/>
    <s v="CUST-0094"/>
    <s v="PROD-024"/>
    <s v="R005"/>
    <n v="10"/>
    <n v="2270"/>
    <n v="17.3"/>
    <n v="18772.900000000001"/>
    <s v="Completed"/>
    <s v="Pune"/>
    <s v="Grocery"/>
    <s v="North"/>
    <s v="Feb-24"/>
    <x v="1"/>
  </r>
  <r>
    <s v="ORD-00469"/>
    <d v="2024-04-12T00:00:00"/>
    <s v="CUST-0223"/>
    <s v="PROD-001"/>
    <s v="R025"/>
    <n v="1"/>
    <n v="5330"/>
    <n v="24.2"/>
    <n v="4040.14"/>
    <s v="Completed"/>
    <s v="Bengaluru"/>
    <s v="Electronics"/>
    <s v="West"/>
    <s v="Apr-24"/>
    <x v="2"/>
  </r>
  <r>
    <s v="ORD-00470"/>
    <d v="2024-05-02T00:00:00"/>
    <s v="CUST-0281"/>
    <s v="PROD-043"/>
    <s v="R015"/>
    <n v="2"/>
    <n v="3350"/>
    <n v="23.4"/>
    <n v="5132.2"/>
    <s v="Completed"/>
    <s v="Bengaluru"/>
    <s v="Beauty"/>
    <s v="South"/>
    <s v="May-24"/>
    <x v="2"/>
  </r>
  <r>
    <s v="ORD-00471"/>
    <d v="2024-04-11T00:00:00"/>
    <s v="CUST-0148"/>
    <s v="PROD-045"/>
    <s v="R006"/>
    <n v="7"/>
    <n v="3020"/>
    <n v="23.7"/>
    <n v="16129.82"/>
    <s v="Completed"/>
    <s v="Chennai"/>
    <s v="Beauty"/>
    <s v="North"/>
    <s v="Apr-24"/>
    <x v="2"/>
  </r>
  <r>
    <s v="ORD-00472"/>
    <d v="2024-08-31T00:00:00"/>
    <s v="CUST-0010"/>
    <s v="PROD-012"/>
    <s v="R020"/>
    <n v="7"/>
    <n v="3160"/>
    <n v="22.8"/>
    <n v="17076.64"/>
    <s v="Completed"/>
    <s v="Mumbai"/>
    <s v="Apparel"/>
    <s v="East"/>
    <s v="Aug-24"/>
    <x v="0"/>
  </r>
  <r>
    <s v="ORD-00473"/>
    <d v="2024-09-06T00:00:00"/>
    <s v="CUST-0254"/>
    <s v="PROD-053"/>
    <s v="R020"/>
    <n v="2"/>
    <n v="470"/>
    <n v="28.8"/>
    <n v="669.28"/>
    <s v="Cancelled"/>
    <s v="Bengaluru"/>
    <s v="Sports"/>
    <s v="East"/>
    <s v="Sep-24"/>
    <x v="0"/>
  </r>
  <r>
    <s v="ORD-00474"/>
    <d v="2024-06-11T00:00:00"/>
    <s v="CUST-0126"/>
    <s v="PROD-036"/>
    <s v="R021"/>
    <n v="2"/>
    <n v="3250"/>
    <n v="24.7"/>
    <n v="4894.5"/>
    <s v="Completed"/>
    <s v="Mumbai"/>
    <s v="Home"/>
    <s v="East"/>
    <s v="Jun-24"/>
    <x v="2"/>
  </r>
  <r>
    <s v="ORD-00475"/>
    <d v="2024-12-05T00:00:00"/>
    <s v="CUST-0018"/>
    <s v="PROD-054"/>
    <s v="R023"/>
    <n v="2"/>
    <n v="1010"/>
    <n v="5.2"/>
    <n v="1914.96"/>
    <s v="Cancelled"/>
    <s v="Pune"/>
    <s v="Sports"/>
    <s v="East"/>
    <s v="Dec-24"/>
    <x v="3"/>
  </r>
  <r>
    <s v="ORD-00476"/>
    <d v="2024-10-23T00:00:00"/>
    <s v="CUST-0089"/>
    <s v="PROD-005"/>
    <s v="R001"/>
    <n v="9"/>
    <n v="300"/>
    <n v="7.9"/>
    <n v="2486.6999999999998"/>
    <s v="Completed"/>
    <s v="Mumbai"/>
    <s v="Electronics"/>
    <s v="North"/>
    <s v="Oct-24"/>
    <x v="3"/>
  </r>
  <r>
    <s v="ORD-00477"/>
    <d v="2024-06-26T00:00:00"/>
    <s v="CUST-0157"/>
    <s v="PROD-048"/>
    <s v="R006"/>
    <n v="10"/>
    <n v="5100"/>
    <n v="26.3"/>
    <n v="37587"/>
    <s v="Pending"/>
    <s v="Pune"/>
    <s v="Beauty"/>
    <s v="North"/>
    <s v="Jun-24"/>
    <x v="2"/>
  </r>
  <r>
    <s v="ORD-00478"/>
    <d v="2024-09-17T00:00:00"/>
    <s v="CUST-0201"/>
    <s v="PROD-043"/>
    <s v="R028"/>
    <n v="1"/>
    <n v="3350"/>
    <n v="8.5"/>
    <n v="3065.25"/>
    <s v="Cancelled"/>
    <s v="Hyderabad"/>
    <s v="Beauty"/>
    <s v="West"/>
    <s v="Sep-24"/>
    <x v="0"/>
  </r>
  <r>
    <s v="ORD-01195"/>
    <d v="2024-09-19T00:00:00"/>
    <s v="CUST-0091"/>
    <s v="PROD-036"/>
    <s v="R022"/>
    <n v="2"/>
    <n v="3250"/>
    <n v="25.7"/>
    <n v="4829.5"/>
    <s v="Refunded"/>
    <s v="Delhi"/>
    <s v="Home"/>
    <s v="East"/>
    <s v="Sep-24"/>
    <x v="0"/>
  </r>
  <r>
    <s v="ORD-00480"/>
    <d v="2024-03-01T00:00:00"/>
    <s v="CUST-0052"/>
    <s v="PROD-028"/>
    <s v="R008"/>
    <n v="10"/>
    <n v="3660"/>
    <n v="12"/>
    <n v="32208"/>
    <s v="Completed"/>
    <s v="Pune"/>
    <s v="Grocery"/>
    <s v="North"/>
    <s v="Mar-24"/>
    <x v="1"/>
  </r>
  <r>
    <s v="ORD-00481"/>
    <d v="2024-08-17T00:00:00"/>
    <s v="CUST-0069"/>
    <s v="PROD-058"/>
    <s v="R009"/>
    <n v="1"/>
    <n v="2400"/>
    <n v="24.5"/>
    <n v="1812"/>
    <s v="Completed"/>
    <s v="Chennai"/>
    <s v="Sports"/>
    <s v="South"/>
    <s v="Aug-24"/>
    <x v="0"/>
  </r>
  <r>
    <s v="ORD-00482"/>
    <d v="2024-07-23T00:00:00"/>
    <s v="CUST-0294"/>
    <s v="PROD-035"/>
    <s v="R010"/>
    <n v="1"/>
    <n v="1090"/>
    <n v="18.399999999999999"/>
    <n v="889.44"/>
    <s v="Completed"/>
    <s v="Delhi"/>
    <s v="Home"/>
    <s v="South"/>
    <s v="Jul-24"/>
    <x v="0"/>
  </r>
  <r>
    <s v="ORD-00483"/>
    <d v="2024-04-22T00:00:00"/>
    <s v="CUST-0019"/>
    <s v="PROD-059"/>
    <s v="R015"/>
    <n v="6"/>
    <n v="3780"/>
    <n v="15.9"/>
    <n v="19073.88"/>
    <s v="Completed"/>
    <s v="Chennai"/>
    <s v="Sports"/>
    <s v="South"/>
    <s v="Apr-24"/>
    <x v="2"/>
  </r>
  <r>
    <s v="ORD-00484"/>
    <d v="2024-02-08T00:00:00"/>
    <s v="CUST-0087"/>
    <s v="PROD-043"/>
    <s v="R019"/>
    <n v="3"/>
    <n v="3350"/>
    <n v="18.8"/>
    <n v="8160.6"/>
    <s v="Refunded"/>
    <s v="Pune"/>
    <s v="Beauty"/>
    <s v="East"/>
    <s v="Feb-24"/>
    <x v="1"/>
  </r>
  <r>
    <s v="ORD-00485"/>
    <d v="2024-02-01T00:00:00"/>
    <s v="CUST-0281"/>
    <s v="PROD-040"/>
    <s v="R030"/>
    <n v="3"/>
    <n v="1080"/>
    <n v="3.4"/>
    <n v="3129.84"/>
    <s v="Completed"/>
    <s v="Bengaluru"/>
    <s v="Home"/>
    <s v="West"/>
    <s v="Feb-24"/>
    <x v="1"/>
  </r>
  <r>
    <s v="ORD-00486"/>
    <d v="2024-08-15T00:00:00"/>
    <s v="CUST-0248"/>
    <s v="PROD-026"/>
    <s v="R022"/>
    <n v="6"/>
    <n v="4070"/>
    <n v="27.7"/>
    <n v="17655.66"/>
    <s v="Pending"/>
    <s v="Chennai"/>
    <s v="Grocery"/>
    <s v="East"/>
    <s v="Aug-24"/>
    <x v="0"/>
  </r>
  <r>
    <s v="ORD-00487"/>
    <d v="2024-08-10T00:00:00"/>
    <s v="CUST-0019"/>
    <s v="PROD-041"/>
    <s v="R026"/>
    <n v="5"/>
    <n v="1540"/>
    <n v="24.9"/>
    <n v="5782.7"/>
    <s v="Completed"/>
    <s v="Chennai"/>
    <s v="Beauty"/>
    <s v="West"/>
    <s v="Aug-24"/>
    <x v="0"/>
  </r>
  <r>
    <s v="ORD-00488"/>
    <d v="2024-07-24T00:00:00"/>
    <s v="CUST-0092"/>
    <s v="PROD-021"/>
    <s v="R028"/>
    <n v="6"/>
    <n v="2760"/>
    <n v="29.9"/>
    <n v="11608.56"/>
    <s v="Completed"/>
    <s v="Bengaluru"/>
    <s v="Grocery"/>
    <s v="West"/>
    <s v="Jul-24"/>
    <x v="0"/>
  </r>
  <r>
    <s v="ORD-00489"/>
    <d v="2024-12-13T00:00:00"/>
    <s v="CUST-0195"/>
    <s v="PROD-006"/>
    <s v="R022"/>
    <n v="8"/>
    <n v="3970"/>
    <n v="23.7"/>
    <n v="24232.880000000001"/>
    <s v="Completed"/>
    <s v="Bengaluru"/>
    <s v="Electronics"/>
    <s v="East"/>
    <s v="Dec-24"/>
    <x v="3"/>
  </r>
  <r>
    <s v="ORD-00490"/>
    <d v="2024-09-27T00:00:00"/>
    <s v="CUST-0126"/>
    <s v="PROD-011"/>
    <s v="R021"/>
    <n v="1"/>
    <n v="3450"/>
    <n v="7.4"/>
    <n v="3194.7"/>
    <s v="Completed"/>
    <s v="Mumbai"/>
    <s v="Apparel"/>
    <s v="East"/>
    <s v="Sep-24"/>
    <x v="0"/>
  </r>
  <r>
    <s v="ORD-00491"/>
    <d v="2024-01-17T00:00:00"/>
    <s v="CUST-0274"/>
    <s v="PROD-018"/>
    <s v="R005"/>
    <n v="3"/>
    <n v="3560"/>
    <n v="15.2"/>
    <n v="9056.64"/>
    <s v="Completed"/>
    <s v="Bengaluru"/>
    <s v="Apparel"/>
    <s v="North"/>
    <s v="Jan-24"/>
    <x v="1"/>
  </r>
  <r>
    <s v="ORD-00492"/>
    <d v="2024-05-16T00:00:00"/>
    <s v="CUST-0059"/>
    <s v="PROD-003"/>
    <s v="R030"/>
    <n v="4"/>
    <n v="3570"/>
    <n v="18.899999999999999"/>
    <n v="11581.08"/>
    <s v="Completed"/>
    <s v="Pune"/>
    <s v="Electronics"/>
    <s v="West"/>
    <s v="May-24"/>
    <x v="2"/>
  </r>
  <r>
    <s v="ORD-00493"/>
    <d v="2024-06-29T00:00:00"/>
    <s v="CUST-0264"/>
    <s v="PROD-057"/>
    <s v="R025"/>
    <n v="9"/>
    <n v="960"/>
    <n v="14"/>
    <n v="7430.4"/>
    <s v="Refunded"/>
    <s v="Pune"/>
    <s v="Sports"/>
    <s v="West"/>
    <s v="Jun-24"/>
    <x v="2"/>
  </r>
  <r>
    <s v="ORD-00494"/>
    <d v="2024-04-24T00:00:00"/>
    <s v="CUST-0157"/>
    <s v="PROD-047"/>
    <s v="R016"/>
    <n v="9"/>
    <n v="3450"/>
    <n v="6"/>
    <n v="29187"/>
    <s v="Cancelled"/>
    <s v="Pune"/>
    <s v="Beauty"/>
    <s v="South"/>
    <s v="Apr-24"/>
    <x v="2"/>
  </r>
  <r>
    <s v="ORD-00495"/>
    <d v="2024-06-14T00:00:00"/>
    <s v="CUST-0028"/>
    <s v="PROD-043"/>
    <s v="R012"/>
    <n v="7"/>
    <n v="3350"/>
    <n v="14"/>
    <n v="20167"/>
    <s v="Cancelled"/>
    <s v="Bengaluru"/>
    <s v="Beauty"/>
    <s v="South"/>
    <s v="Jun-24"/>
    <x v="2"/>
  </r>
  <r>
    <s v="ORD-00496"/>
    <d v="2024-01-07T00:00:00"/>
    <s v="CUST-0033"/>
    <s v="PROD-049"/>
    <s v="R004"/>
    <n v="6"/>
    <n v="960"/>
    <n v="10.1"/>
    <n v="5178.24"/>
    <s v="Completed"/>
    <s v="Delhi"/>
    <s v="Beauty"/>
    <s v="North"/>
    <s v="Jan-24"/>
    <x v="1"/>
  </r>
  <r>
    <s v="ORD-00497"/>
    <d v="2024-02-15T00:00:00"/>
    <s v="CUST-0280"/>
    <s v="PROD-005"/>
    <s v="R016"/>
    <n v="7"/>
    <n v="300"/>
    <n v="21.9"/>
    <n v="1640.1"/>
    <s v="Completed"/>
    <s v="Delhi"/>
    <s v="Electronics"/>
    <s v="South"/>
    <s v="Feb-24"/>
    <x v="1"/>
  </r>
  <r>
    <s v="ORD-00498"/>
    <d v="2024-04-07T00:00:00"/>
    <s v="CUST-0232"/>
    <s v="PROD-023"/>
    <s v="R019"/>
    <n v="2"/>
    <n v="2380"/>
    <n v="6.8"/>
    <n v="4436.32"/>
    <s v="Completed"/>
    <s v="Hyderabad"/>
    <s v="Grocery"/>
    <s v="East"/>
    <s v="Apr-24"/>
    <x v="2"/>
  </r>
  <r>
    <s v="ORD-00499"/>
    <d v="2024-01-07T00:00:00"/>
    <s v="CUST-0270"/>
    <s v="PROD-057"/>
    <s v="R024"/>
    <n v="5"/>
    <n v="960"/>
    <n v="15"/>
    <n v="4080"/>
    <s v="Cancelled"/>
    <s v="Bengaluru"/>
    <s v="Sports"/>
    <s v="West"/>
    <s v="Jan-24"/>
    <x v="1"/>
  </r>
  <r>
    <s v="ORD-00500"/>
    <d v="2024-10-12T00:00:00"/>
    <s v="CUST-0203"/>
    <s v="PROD-059"/>
    <s v="R012"/>
    <n v="10"/>
    <n v="3780"/>
    <n v="24.1"/>
    <n v="28690.2"/>
    <s v="Refunded"/>
    <s v="Chennai"/>
    <s v="Sports"/>
    <s v="South"/>
    <s v="Oct-24"/>
    <x v="3"/>
  </r>
  <r>
    <s v="ORD-00501"/>
    <d v="2024-03-04T00:00:00"/>
    <s v="CUST-0069"/>
    <s v="PROD-041"/>
    <s v="R020"/>
    <n v="4"/>
    <n v="1540"/>
    <n v="14.2"/>
    <n v="5285.28"/>
    <s v="Cancelled"/>
    <s v="Chennai"/>
    <s v="Beauty"/>
    <s v="East"/>
    <s v="Mar-24"/>
    <x v="1"/>
  </r>
  <r>
    <s v="ORD-00502"/>
    <d v="2024-06-20T00:00:00"/>
    <s v="CUST-0037"/>
    <s v="PROD-017"/>
    <s v="R005"/>
    <n v="10"/>
    <n v="2510"/>
    <n v="20.8"/>
    <n v="19879.2"/>
    <s v="Completed"/>
    <s v="Bengaluru"/>
    <s v="Apparel"/>
    <s v="North"/>
    <s v="Jun-24"/>
    <x v="2"/>
  </r>
  <r>
    <s v="ORD-00503"/>
    <d v="2024-03-23T00:00:00"/>
    <s v="CUST-0149"/>
    <s v="PROD-025"/>
    <s v="R014"/>
    <n v="9"/>
    <n v="4060"/>
    <n v="27.1"/>
    <n v="26637.66"/>
    <s v="Completed"/>
    <s v="Hyderabad"/>
    <s v="Grocery"/>
    <s v="South"/>
    <s v="Mar-24"/>
    <x v="1"/>
  </r>
  <r>
    <s v="ORD-00504"/>
    <d v="2024-12-12T00:00:00"/>
    <s v="CUST-0131"/>
    <s v="PROD-058"/>
    <s v="R025"/>
    <n v="4"/>
    <n v="2400"/>
    <n v="19.100000000000001"/>
    <n v="7766.4"/>
    <s v="Completed"/>
    <s v="Delhi"/>
    <s v="Sports"/>
    <s v="West"/>
    <s v="Dec-24"/>
    <x v="3"/>
  </r>
  <r>
    <s v="ORD-00505"/>
    <d v="2024-08-21T00:00:00"/>
    <s v="CUST-0071"/>
    <s v="PROD-046"/>
    <s v="R022"/>
    <n v="8"/>
    <n v="4880"/>
    <n v="9.1999999999999993"/>
    <n v="35448.32"/>
    <s v="Cancelled"/>
    <s v="Delhi"/>
    <s v="Beauty"/>
    <s v="East"/>
    <s v="Aug-24"/>
    <x v="0"/>
  </r>
  <r>
    <s v="ORD-00506"/>
    <d v="2024-10-21T00:00:00"/>
    <s v="CUST-0249"/>
    <s v="PROD-048"/>
    <s v="R019"/>
    <n v="9"/>
    <n v="5100"/>
    <n v="11.1"/>
    <n v="40805.1"/>
    <s v="Cancelled"/>
    <s v="Mumbai"/>
    <s v="Beauty"/>
    <s v="East"/>
    <s v="Oct-24"/>
    <x v="3"/>
  </r>
  <r>
    <s v="ORD-00507"/>
    <d v="2024-12-11T00:00:00"/>
    <s v="CUST-0181"/>
    <s v="PROD-005"/>
    <s v="R028"/>
    <n v="4"/>
    <n v="300"/>
    <n v="16.7"/>
    <n v="999.6"/>
    <s v="Completed"/>
    <s v="Delhi"/>
    <s v="Electronics"/>
    <s v="West"/>
    <s v="Dec-24"/>
    <x v="3"/>
  </r>
  <r>
    <s v="ORD-00508"/>
    <d v="2024-05-31T00:00:00"/>
    <s v="CUST-0085"/>
    <s v="PROD-019"/>
    <s v="R014"/>
    <n v="6"/>
    <n v="2480"/>
    <n v="3.3"/>
    <n v="14388.96"/>
    <s v="Completed"/>
    <s v="Chennai"/>
    <s v="Apparel"/>
    <s v="South"/>
    <s v="May-24"/>
    <x v="2"/>
  </r>
  <r>
    <s v="ORD-00509"/>
    <d v="2024-10-04T00:00:00"/>
    <s v="CUST-0180"/>
    <s v="PROD-044"/>
    <s v="R023"/>
    <n v="10"/>
    <n v="1650"/>
    <n v="22.9"/>
    <n v="12721.5"/>
    <s v="Refunded"/>
    <s v="Chennai"/>
    <s v="Beauty"/>
    <s v="East"/>
    <s v="Oct-24"/>
    <x v="3"/>
  </r>
  <r>
    <s v="ORD-00510"/>
    <d v="2024-01-28T00:00:00"/>
    <s v="CUST-0103"/>
    <s v="PROD-029"/>
    <s v="R012"/>
    <n v="3"/>
    <n v="2210"/>
    <n v="11.1"/>
    <n v="5894.07"/>
    <s v="Completed"/>
    <s v="Hyderabad"/>
    <s v="Grocery"/>
    <s v="South"/>
    <s v="Jan-24"/>
    <x v="1"/>
  </r>
  <r>
    <s v="ORD-00511"/>
    <d v="2024-04-24T00:00:00"/>
    <s v="CUST-0174"/>
    <s v="PROD-019"/>
    <s v="R005"/>
    <n v="10"/>
    <n v="2480"/>
    <n v="13"/>
    <n v="21576"/>
    <s v="Pending"/>
    <s v="Pune"/>
    <s v="Apparel"/>
    <s v="North"/>
    <s v="Apr-24"/>
    <x v="2"/>
  </r>
  <r>
    <s v="ORD-00512"/>
    <d v="2024-12-03T00:00:00"/>
    <s v="CUST-0071"/>
    <s v="PROD-001"/>
    <s v="R023"/>
    <n v="10"/>
    <n v="5330"/>
    <n v="0.7"/>
    <n v="52926.9"/>
    <s v="Completed"/>
    <s v="Delhi"/>
    <s v="Electronics"/>
    <s v="East"/>
    <s v="Dec-24"/>
    <x v="3"/>
  </r>
  <r>
    <s v="ORD-00513"/>
    <d v="2024-11-16T00:00:00"/>
    <s v="CUST-0266"/>
    <s v="PROD-026"/>
    <s v="R012"/>
    <n v="9"/>
    <n v="4070"/>
    <n v="15.6"/>
    <n v="30915.72"/>
    <s v="Completed"/>
    <s v="Pune"/>
    <s v="Grocery"/>
    <s v="South"/>
    <s v="Nov-24"/>
    <x v="3"/>
  </r>
  <r>
    <s v="ORD-00514"/>
    <d v="2024-11-17T00:00:00"/>
    <s v="CUST-0148"/>
    <s v="PROD-015"/>
    <s v="R001"/>
    <n v="5"/>
    <n v="2720"/>
    <n v="10.3"/>
    <n v="12199.2"/>
    <s v="Cancelled"/>
    <s v="Chennai"/>
    <s v="Apparel"/>
    <s v="North"/>
    <s v="Nov-24"/>
    <x v="3"/>
  </r>
  <r>
    <s v="ORD-00515"/>
    <d v="2024-07-11T00:00:00"/>
    <s v="CUST-0030"/>
    <s v="PROD-055"/>
    <s v="R029"/>
    <n v="6"/>
    <n v="2860"/>
    <n v="28.9"/>
    <n v="12200.76"/>
    <s v="Completed"/>
    <s v="Bengaluru"/>
    <s v="Sports"/>
    <s v="West"/>
    <s v="Jul-24"/>
    <x v="0"/>
  </r>
  <r>
    <s v="ORD-00516"/>
    <d v="2024-12-30T00:00:00"/>
    <s v="CUST-0128"/>
    <s v="PROD-014"/>
    <s v="R012"/>
    <n v="5"/>
    <n v="3620"/>
    <n v="18.2"/>
    <n v="14805.8"/>
    <s v="Completed"/>
    <s v="Hyderabad"/>
    <s v="Apparel"/>
    <s v="South"/>
    <s v="Dec-24"/>
    <x v="3"/>
  </r>
  <r>
    <s v="ORD-00517"/>
    <d v="2024-05-20T00:00:00"/>
    <s v="CUST-0056"/>
    <s v="PROD-044"/>
    <s v="R018"/>
    <n v="3"/>
    <n v="1650"/>
    <n v="10.7"/>
    <n v="4420.3500000000004"/>
    <s v="Completed"/>
    <s v="Bengaluru"/>
    <s v="Beauty"/>
    <s v="East"/>
    <s v="May-24"/>
    <x v="2"/>
  </r>
  <r>
    <s v="ORD-00518"/>
    <d v="2024-07-22T00:00:00"/>
    <s v="CUST-0178"/>
    <s v="PROD-060"/>
    <s v="R029"/>
    <n v="8"/>
    <n v="190"/>
    <n v="18"/>
    <n v="1246.4000000000001"/>
    <s v="Pending"/>
    <s v="Hyderabad"/>
    <s v="Sports"/>
    <s v="West"/>
    <s v="Jul-24"/>
    <x v="0"/>
  </r>
  <r>
    <s v="ORD-00519"/>
    <d v="2024-05-31T00:00:00"/>
    <s v="CUST-0237"/>
    <s v="PROD-042"/>
    <s v="R029"/>
    <n v="7"/>
    <n v="2290"/>
    <n v="12.5"/>
    <n v="14026.25"/>
    <s v="Completed"/>
    <s v="Mumbai"/>
    <s v="Beauty"/>
    <s v="West"/>
    <s v="May-24"/>
    <x v="2"/>
  </r>
  <r>
    <s v="ORD-00520"/>
    <d v="2024-12-12T00:00:00"/>
    <s v="CUST-0143"/>
    <s v="PROD-001"/>
    <s v="R017"/>
    <n v="2"/>
    <n v="5330"/>
    <n v="26.5"/>
    <n v="7835.1"/>
    <s v="Completed"/>
    <s v="Chennai"/>
    <s v="Electronics"/>
    <s v="East"/>
    <s v="Dec-24"/>
    <x v="3"/>
  </r>
  <r>
    <s v="ORD-00521"/>
    <d v="2024-07-03T00:00:00"/>
    <s v="CUST-0233"/>
    <s v="PROD-001"/>
    <s v="R015"/>
    <n v="4"/>
    <n v="5330"/>
    <n v="25.6"/>
    <n v="15862.08"/>
    <s v="Completed"/>
    <s v="Mumbai"/>
    <s v="Electronics"/>
    <s v="South"/>
    <s v="Jul-24"/>
    <x v="0"/>
  </r>
  <r>
    <s v="ORD-00522"/>
    <d v="2024-10-01T00:00:00"/>
    <s v="CUST-0161"/>
    <s v="PROD-034"/>
    <s v="R006"/>
    <n v="4"/>
    <n v="5080"/>
    <n v="28.6"/>
    <n v="14508.48"/>
    <s v="Completed"/>
    <s v="Chennai"/>
    <s v="Home"/>
    <s v="North"/>
    <s v="Oct-24"/>
    <x v="3"/>
  </r>
  <r>
    <s v="ORD-00523"/>
    <d v="2024-04-10T00:00:00"/>
    <s v="CUST-0087"/>
    <s v="PROD-032"/>
    <s v="R002"/>
    <n v="4"/>
    <n v="370"/>
    <n v="12.6"/>
    <n v="1293.52"/>
    <s v="Pending"/>
    <s v="Pune"/>
    <s v="Home"/>
    <s v="North"/>
    <s v="Apr-24"/>
    <x v="2"/>
  </r>
  <r>
    <s v="ORD-00524"/>
    <d v="2024-09-26T00:00:00"/>
    <s v="CUST-0235"/>
    <s v="PROD-053"/>
    <s v="R013"/>
    <n v="9"/>
    <n v="470"/>
    <n v="3.6"/>
    <n v="4077.72"/>
    <s v="Completed"/>
    <s v="Chennai"/>
    <s v="Sports"/>
    <s v="South"/>
    <s v="Sep-24"/>
    <x v="0"/>
  </r>
  <r>
    <s v="ORD-00525"/>
    <d v="2024-12-08T00:00:00"/>
    <s v="CUST-0183"/>
    <s v="PROD-052"/>
    <s v="R027"/>
    <n v="4"/>
    <n v="5410"/>
    <n v="11.3"/>
    <n v="19194.68"/>
    <s v="Refunded"/>
    <s v="Mumbai"/>
    <s v="Sports"/>
    <s v="West"/>
    <s v="Dec-24"/>
    <x v="3"/>
  </r>
  <r>
    <s v="ORD-00526"/>
    <d v="2024-01-20T00:00:00"/>
    <s v="CUST-0199"/>
    <s v="PROD-014"/>
    <s v="R007"/>
    <n v="10"/>
    <n v="3620"/>
    <n v="2.5"/>
    <n v="35295"/>
    <s v="Completed"/>
    <s v="Hyderabad"/>
    <s v="Apparel"/>
    <s v="North"/>
    <s v="Jan-24"/>
    <x v="1"/>
  </r>
  <r>
    <s v="ORD-00527"/>
    <d v="2024-03-29T00:00:00"/>
    <s v="CUST-0034"/>
    <s v="PROD-021"/>
    <s v="R030"/>
    <n v="1"/>
    <n v="2760"/>
    <n v="22.2"/>
    <n v="2147.2800000000002"/>
    <s v="Completed"/>
    <s v="Delhi"/>
    <s v="Grocery"/>
    <s v="West"/>
    <s v="Mar-24"/>
    <x v="1"/>
  </r>
  <r>
    <s v="ORD-00528"/>
    <d v="2024-09-14T00:00:00"/>
    <s v="CUST-0206"/>
    <s v="PROD-047"/>
    <s v="R001"/>
    <n v="7"/>
    <n v="3450"/>
    <n v="8.6"/>
    <n v="22073.1"/>
    <s v="Completed"/>
    <s v="Mumbai"/>
    <s v="Beauty"/>
    <s v="North"/>
    <s v="Sep-24"/>
    <x v="0"/>
  </r>
  <r>
    <s v="ORD-00529"/>
    <d v="2024-05-06T00:00:00"/>
    <s v="CUST-0246"/>
    <s v="PROD-028"/>
    <s v="R028"/>
    <n v="6"/>
    <n v="3660"/>
    <n v="10.6"/>
    <n v="19632.240000000002"/>
    <s v="Completed"/>
    <s v="Delhi"/>
    <s v="Grocery"/>
    <s v="West"/>
    <s v="May-24"/>
    <x v="2"/>
  </r>
  <r>
    <s v="ORD-00530"/>
    <d v="2024-08-28T00:00:00"/>
    <s v="CUST-0075"/>
    <s v="PROD-003"/>
    <s v="R028"/>
    <n v="10"/>
    <n v="3570"/>
    <n v="1.2"/>
    <n v="35271.599999999999"/>
    <s v="Completed"/>
    <s v="Mumbai"/>
    <s v="Electronics"/>
    <s v="West"/>
    <s v="Aug-24"/>
    <x v="0"/>
  </r>
  <r>
    <s v="ORD-00531"/>
    <d v="2024-09-07T00:00:00"/>
    <s v="CUST-0298"/>
    <s v="PROD-035"/>
    <s v="R009"/>
    <n v="8"/>
    <n v="1090"/>
    <n v="13.2"/>
    <n v="7568.96"/>
    <s v="Refunded"/>
    <s v="Delhi"/>
    <s v="Home"/>
    <s v="South"/>
    <s v="Sep-24"/>
    <x v="0"/>
  </r>
  <r>
    <s v="ORD-00532"/>
    <d v="2024-01-29T00:00:00"/>
    <s v="CUST-0165"/>
    <s v="PROD-014"/>
    <s v="R018"/>
    <n v="8"/>
    <n v="3620"/>
    <n v="29"/>
    <n v="20561.599999999999"/>
    <s v="Completed"/>
    <s v="Pune"/>
    <s v="Apparel"/>
    <s v="East"/>
    <s v="Jan-24"/>
    <x v="1"/>
  </r>
  <r>
    <s v="ORD-00533"/>
    <d v="2024-09-13T00:00:00"/>
    <s v="CUST-0033"/>
    <s v="PROD-046"/>
    <s v="R010"/>
    <n v="7"/>
    <n v="4880"/>
    <n v="25.6"/>
    <n v="25415.040000000001"/>
    <s v="Refunded"/>
    <s v="Delhi"/>
    <s v="Beauty"/>
    <s v="South"/>
    <s v="Sep-24"/>
    <x v="0"/>
  </r>
  <r>
    <s v="ORD-00534"/>
    <d v="2024-05-22T00:00:00"/>
    <s v="CUST-0205"/>
    <s v="PROD-053"/>
    <s v="R028"/>
    <n v="2"/>
    <n v="470"/>
    <n v="9.6999999999999993"/>
    <n v="848.82"/>
    <s v="Completed"/>
    <s v="Pune"/>
    <s v="Sports"/>
    <s v="West"/>
    <s v="May-24"/>
    <x v="2"/>
  </r>
  <r>
    <s v="ORD-00535"/>
    <d v="2024-09-04T00:00:00"/>
    <s v="CUST-0037"/>
    <s v="PROD-042"/>
    <s v="R022"/>
    <n v="6"/>
    <n v="2290"/>
    <n v="8.9"/>
    <n v="12517.14"/>
    <s v="Completed"/>
    <s v="Bengaluru"/>
    <s v="Beauty"/>
    <s v="East"/>
    <s v="Sep-24"/>
    <x v="0"/>
  </r>
  <r>
    <s v="ORD-00536"/>
    <d v="2024-06-25T00:00:00"/>
    <s v="CUST-0228"/>
    <s v="PROD-023"/>
    <s v="R010"/>
    <n v="3"/>
    <n v="2380"/>
    <n v="2.7"/>
    <n v="6947.22"/>
    <s v="Pending"/>
    <s v="Pune"/>
    <s v="Grocery"/>
    <s v="South"/>
    <s v="Jun-24"/>
    <x v="2"/>
  </r>
  <r>
    <s v="ORD-00537"/>
    <d v="2024-07-12T00:00:00"/>
    <s v="CUST-0279"/>
    <s v="PROD-023"/>
    <s v="R008"/>
    <n v="9"/>
    <n v="2380"/>
    <n v="20.100000000000001"/>
    <n v="17114.580000000002"/>
    <s v="Completed"/>
    <s v="Mumbai"/>
    <s v="Grocery"/>
    <s v="North"/>
    <s v="Jul-24"/>
    <x v="0"/>
  </r>
  <r>
    <s v="ORD-00538"/>
    <d v="2024-01-12T00:00:00"/>
    <s v="CUST-0271"/>
    <s v="PROD-052"/>
    <s v="R014"/>
    <n v="8"/>
    <n v="5410"/>
    <n v="11.2"/>
    <n v="38432.639999999999"/>
    <s v="Completed"/>
    <s v="Bengaluru"/>
    <s v="Sports"/>
    <s v="South"/>
    <s v="Jan-24"/>
    <x v="1"/>
  </r>
  <r>
    <s v="ORD-00539"/>
    <d v="2024-11-09T00:00:00"/>
    <s v="CUST-0127"/>
    <s v="PROD-007"/>
    <s v="R008"/>
    <n v="1"/>
    <n v="1430"/>
    <n v="19.600000000000001"/>
    <n v="1149.72"/>
    <s v="Completed"/>
    <s v="Bengaluru"/>
    <s v="Electronics"/>
    <s v="North"/>
    <s v="Nov-24"/>
    <x v="3"/>
  </r>
  <r>
    <s v="ORD-00540"/>
    <d v="2024-05-09T00:00:00"/>
    <s v="CUST-0007"/>
    <s v="PROD-058"/>
    <s v="R027"/>
    <n v="9"/>
    <n v="2400"/>
    <n v="5"/>
    <n v="20520"/>
    <s v="Completed"/>
    <s v="Bengaluru"/>
    <s v="Sports"/>
    <s v="West"/>
    <s v="May-24"/>
    <x v="2"/>
  </r>
  <r>
    <s v="ORD-00541"/>
    <d v="2024-07-20T00:00:00"/>
    <s v="CUST-0005"/>
    <s v="PROD-027"/>
    <s v="R001"/>
    <n v="1"/>
    <n v="3780"/>
    <n v="4.7"/>
    <n v="3602.34"/>
    <s v="Completed"/>
    <s v="Chennai"/>
    <s v="Grocery"/>
    <s v="North"/>
    <s v="Jul-24"/>
    <x v="0"/>
  </r>
  <r>
    <s v="ORD-00542"/>
    <d v="2024-10-27T00:00:00"/>
    <s v="CUST-0072"/>
    <s v="PROD-016"/>
    <s v="R019"/>
    <n v="2"/>
    <n v="620"/>
    <n v="8"/>
    <n v="1140.8"/>
    <s v="Completed"/>
    <s v="Mumbai"/>
    <s v="Apparel"/>
    <s v="East"/>
    <s v="Oct-24"/>
    <x v="3"/>
  </r>
  <r>
    <s v="ORD-00543"/>
    <d v="2024-03-28T00:00:00"/>
    <s v="CUST-0167"/>
    <s v="PROD-060"/>
    <s v="R007"/>
    <n v="3"/>
    <n v="190"/>
    <n v="17.899999999999999"/>
    <n v="467.97"/>
    <s v="Pending"/>
    <s v="Delhi"/>
    <s v="Sports"/>
    <s v="North"/>
    <s v="Mar-24"/>
    <x v="1"/>
  </r>
  <r>
    <s v="ORD-00544"/>
    <d v="2024-02-10T00:00:00"/>
    <s v="CUST-0244"/>
    <s v="PROD-014"/>
    <s v="R019"/>
    <n v="2"/>
    <n v="3620"/>
    <n v="15.5"/>
    <n v="6117.8"/>
    <s v="Completed"/>
    <s v="Bengaluru"/>
    <s v="Apparel"/>
    <s v="East"/>
    <s v="Feb-24"/>
    <x v="1"/>
  </r>
  <r>
    <s v="ORD-00545"/>
    <d v="2024-11-14T00:00:00"/>
    <s v="CUST-0086"/>
    <s v="PROD-055"/>
    <s v="R018"/>
    <n v="5"/>
    <n v="2860"/>
    <n v="26.8"/>
    <n v="10467.6"/>
    <s v="Completed"/>
    <s v="Hyderabad"/>
    <s v="Sports"/>
    <s v="East"/>
    <s v="Nov-24"/>
    <x v="3"/>
  </r>
  <r>
    <s v="ORD-00546"/>
    <d v="2024-12-12T00:00:00"/>
    <s v="CUST-0091"/>
    <s v="PROD-058"/>
    <s v="R023"/>
    <n v="6"/>
    <n v="2400"/>
    <n v="19.2"/>
    <n v="11635.2"/>
    <s v="Cancelled"/>
    <s v="Delhi"/>
    <s v="Sports"/>
    <s v="East"/>
    <s v="Dec-24"/>
    <x v="3"/>
  </r>
  <r>
    <s v="ORD-00547"/>
    <d v="2024-09-11T00:00:00"/>
    <s v="CUST-0169"/>
    <s v="PROD-034"/>
    <s v="R009"/>
    <n v="7"/>
    <n v="5080"/>
    <n v="16.600000000000001"/>
    <n v="29657.040000000001"/>
    <s v="Pending"/>
    <s v="Bengaluru"/>
    <s v="Home"/>
    <s v="South"/>
    <s v="Sep-24"/>
    <x v="0"/>
  </r>
  <r>
    <s v="ORD-00548"/>
    <d v="2024-05-24T00:00:00"/>
    <s v="CUST-0273"/>
    <s v="PROD-034"/>
    <s v="R015"/>
    <n v="10"/>
    <n v="5080"/>
    <n v="24.6"/>
    <n v="38303.199999999997"/>
    <s v="Completed"/>
    <s v="Hyderabad"/>
    <s v="Home"/>
    <s v="South"/>
    <s v="May-24"/>
    <x v="2"/>
  </r>
  <r>
    <s v="ORD-00549"/>
    <d v="2024-08-28T00:00:00"/>
    <s v="CUST-0233"/>
    <s v="PROD-057"/>
    <s v="R008"/>
    <n v="7"/>
    <n v="960"/>
    <n v="16.600000000000001"/>
    <n v="5604.48"/>
    <s v="Completed"/>
    <s v="Mumbai"/>
    <s v="Sports"/>
    <s v="North"/>
    <s v="Aug-24"/>
    <x v="0"/>
  </r>
  <r>
    <s v="ORD-00550"/>
    <d v="2024-10-03T00:00:00"/>
    <s v="CUST-0175"/>
    <s v="PROD-028"/>
    <s v="R028"/>
    <n v="3"/>
    <n v="3660"/>
    <n v="3.2"/>
    <n v="10628.64"/>
    <s v="Pending"/>
    <s v="Delhi"/>
    <s v="Grocery"/>
    <s v="West"/>
    <s v="Oct-24"/>
    <x v="3"/>
  </r>
  <r>
    <s v="ORD-00551"/>
    <d v="2024-10-07T00:00:00"/>
    <s v="CUST-0241"/>
    <s v="PROD-010"/>
    <s v="R009"/>
    <n v="6"/>
    <n v="2640"/>
    <n v="26.3"/>
    <n v="11674.08"/>
    <s v="Completed"/>
    <s v="Pune"/>
    <s v="Electronics"/>
    <s v="South"/>
    <s v="Oct-24"/>
    <x v="3"/>
  </r>
  <r>
    <s v="ORD-00552"/>
    <d v="2024-09-27T00:00:00"/>
    <s v="CUST-0024"/>
    <s v="PROD-009"/>
    <s v="R009"/>
    <n v="6"/>
    <n v="1220"/>
    <n v="22.3"/>
    <n v="5687.64"/>
    <s v="Cancelled"/>
    <s v="Chennai"/>
    <s v="Electronics"/>
    <s v="South"/>
    <s v="Sep-24"/>
    <x v="0"/>
  </r>
  <r>
    <s v="ORD-00553"/>
    <d v="2024-02-23T00:00:00"/>
    <s v="CUST-0252"/>
    <s v="PROD-005"/>
    <s v="R013"/>
    <n v="1"/>
    <n v="300"/>
    <n v="0.7"/>
    <n v="297.89999999999998"/>
    <s v="Completed"/>
    <s v="Bengaluru"/>
    <s v="Electronics"/>
    <s v="South"/>
    <s v="Feb-24"/>
    <x v="1"/>
  </r>
  <r>
    <s v="ORD-00554"/>
    <d v="2024-03-19T00:00:00"/>
    <s v="CUST-0245"/>
    <s v="PROD-054"/>
    <s v="R020"/>
    <n v="2"/>
    <n v="1010"/>
    <n v="28"/>
    <n v="1454.4"/>
    <s v="Completed"/>
    <s v="Hyderabad"/>
    <s v="Sports"/>
    <s v="East"/>
    <s v="Mar-24"/>
    <x v="1"/>
  </r>
  <r>
    <s v="ORD-00555"/>
    <d v="2024-04-25T00:00:00"/>
    <s v="CUST-0046"/>
    <s v="PROD-002"/>
    <s v="R011"/>
    <n v="5"/>
    <n v="2600"/>
    <n v="0.8"/>
    <n v="12896"/>
    <s v="Cancelled"/>
    <s v="Delhi"/>
    <s v="Electronics"/>
    <s v="South"/>
    <s v="Apr-24"/>
    <x v="2"/>
  </r>
  <r>
    <s v="ORD-00556"/>
    <d v="2024-02-15T00:00:00"/>
    <s v="CUST-0050"/>
    <s v="PROD-056"/>
    <s v="R026"/>
    <n v="3"/>
    <n v="6940"/>
    <n v="10.7"/>
    <n v="18592.259999999998"/>
    <s v="Cancelled"/>
    <s v="Mumbai"/>
    <s v="Sports"/>
    <s v="West"/>
    <s v="Feb-24"/>
    <x v="1"/>
  </r>
  <r>
    <s v="ORD-00557"/>
    <d v="2024-10-06T00:00:00"/>
    <s v="CUST-0227"/>
    <s v="PROD-032"/>
    <s v="R011"/>
    <n v="1"/>
    <n v="370"/>
    <n v="10.3"/>
    <n v="331.89"/>
    <s v="Refunded"/>
    <s v="Bengaluru"/>
    <s v="Home"/>
    <s v="South"/>
    <s v="Oct-24"/>
    <x v="3"/>
  </r>
  <r>
    <s v="ORD-00558"/>
    <d v="2024-03-06T00:00:00"/>
    <s v="CUST-0218"/>
    <s v="PROD-027"/>
    <s v="R029"/>
    <n v="2"/>
    <n v="3780"/>
    <n v="29.4"/>
    <n v="5337.36"/>
    <s v="Completed"/>
    <s v="Mumbai"/>
    <s v="Grocery"/>
    <s v="West"/>
    <s v="Mar-24"/>
    <x v="1"/>
  </r>
  <r>
    <s v="ORD-00559"/>
    <d v="2024-05-20T00:00:00"/>
    <s v="CUST-0087"/>
    <s v="PROD-030"/>
    <s v="R022"/>
    <n v="5"/>
    <n v="970"/>
    <n v="14.6"/>
    <n v="4141.8999999999996"/>
    <s v="Completed"/>
    <s v="Pune"/>
    <s v="Grocery"/>
    <s v="East"/>
    <s v="May-24"/>
    <x v="2"/>
  </r>
  <r>
    <s v="ORD-00560"/>
    <d v="2024-11-08T00:00:00"/>
    <s v="CUST-0209"/>
    <s v="PROD-022"/>
    <s v="R002"/>
    <n v="3"/>
    <n v="2270"/>
    <n v="6.5"/>
    <n v="6367.35"/>
    <s v="Completed"/>
    <s v="Pune"/>
    <s v="Grocery"/>
    <s v="North"/>
    <s v="Nov-24"/>
    <x v="3"/>
  </r>
  <r>
    <s v="ORD-00561"/>
    <d v="2024-06-24T00:00:00"/>
    <s v="CUST-0212"/>
    <s v="PROD-041"/>
    <s v="R029"/>
    <n v="10"/>
    <n v="1540"/>
    <n v="16.5"/>
    <n v="12859"/>
    <s v="Completed"/>
    <s v="Chennai"/>
    <s v="Beauty"/>
    <s v="West"/>
    <s v="Jun-24"/>
    <x v="2"/>
  </r>
  <r>
    <s v="ORD-00562"/>
    <d v="2024-12-23T00:00:00"/>
    <s v="CUST-0180"/>
    <s v="PROD-021"/>
    <s v="R017"/>
    <n v="4"/>
    <n v="2760"/>
    <n v="19.8"/>
    <n v="8854.08"/>
    <s v="Completed"/>
    <s v="Chennai"/>
    <s v="Grocery"/>
    <s v="East"/>
    <s v="Dec-24"/>
    <x v="3"/>
  </r>
  <r>
    <s v="ORD-00563"/>
    <d v="2024-02-10T00:00:00"/>
    <s v="CUST-0025"/>
    <s v="PROD-024"/>
    <s v="R030"/>
    <n v="3"/>
    <n v="2270"/>
    <n v="29.5"/>
    <n v="4801.05"/>
    <s v="Refunded"/>
    <s v="Bengaluru"/>
    <s v="Grocery"/>
    <s v="West"/>
    <s v="Feb-24"/>
    <x v="1"/>
  </r>
  <r>
    <s v="ORD-00564"/>
    <d v="2024-05-06T00:00:00"/>
    <s v="CUST-0271"/>
    <s v="PROD-045"/>
    <s v="R015"/>
    <n v="8"/>
    <n v="3020"/>
    <n v="1.2"/>
    <n v="23870.080000000002"/>
    <s v="Completed"/>
    <s v="Bengaluru"/>
    <s v="Beauty"/>
    <s v="South"/>
    <s v="May-24"/>
    <x v="2"/>
  </r>
  <r>
    <s v="ORD-00565"/>
    <d v="2024-07-17T00:00:00"/>
    <s v="CUST-0026"/>
    <s v="PROD-023"/>
    <s v="R018"/>
    <n v="6"/>
    <n v="2380"/>
    <n v="20.399999999999999"/>
    <n v="11366.88"/>
    <s v="Completed"/>
    <s v="Pune"/>
    <s v="Grocery"/>
    <s v="East"/>
    <s v="Jul-24"/>
    <x v="0"/>
  </r>
  <r>
    <s v="ORD-00566"/>
    <d v="2024-06-27T00:00:00"/>
    <s v="CUST-0058"/>
    <s v="PROD-056"/>
    <s v="R028"/>
    <n v="1"/>
    <n v="6940"/>
    <n v="15"/>
    <n v="5899"/>
    <s v="Cancelled"/>
    <s v="Bengaluru"/>
    <s v="Sports"/>
    <s v="West"/>
    <s v="Jun-24"/>
    <x v="2"/>
  </r>
  <r>
    <s v="ORD-00567"/>
    <d v="2024-12-28T00:00:00"/>
    <s v="CUST-0033"/>
    <s v="PROD-008"/>
    <s v="R010"/>
    <n v="1"/>
    <n v="2660"/>
    <n v="11.6"/>
    <n v="2351.44"/>
    <s v="Completed"/>
    <s v="Delhi"/>
    <s v="Electronics"/>
    <s v="South"/>
    <s v="Dec-24"/>
    <x v="3"/>
  </r>
  <r>
    <s v="ORD-00568"/>
    <d v="2024-09-13T00:00:00"/>
    <s v="CUST-0057"/>
    <s v="PROD-030"/>
    <s v="R013"/>
    <n v="4"/>
    <n v="970"/>
    <n v="11.6"/>
    <n v="3429.92"/>
    <s v="Completed"/>
    <s v="Pune"/>
    <s v="Grocery"/>
    <s v="South"/>
    <s v="Sep-24"/>
    <x v="0"/>
  </r>
  <r>
    <s v="ORD-00569"/>
    <d v="2024-12-06T00:00:00"/>
    <s v="CUST-0231"/>
    <s v="PROD-022"/>
    <s v="R002"/>
    <n v="7"/>
    <n v="2270"/>
    <n v="27.9"/>
    <n v="11456.69"/>
    <s v="Completed"/>
    <s v="Chennai"/>
    <s v="Grocery"/>
    <s v="North"/>
    <s v="Dec-24"/>
    <x v="3"/>
  </r>
  <r>
    <s v="ORD-00570"/>
    <d v="2024-01-13T00:00:00"/>
    <s v="CUST-0031"/>
    <s v="PROD-054"/>
    <s v="R016"/>
    <n v="8"/>
    <n v="1010"/>
    <n v="13.7"/>
    <n v="6973.04"/>
    <s v="Cancelled"/>
    <s v="Hyderabad"/>
    <s v="Sports"/>
    <s v="South"/>
    <s v="Jan-24"/>
    <x v="1"/>
  </r>
  <r>
    <s v="ORD-00571"/>
    <d v="2024-02-08T00:00:00"/>
    <s v="CUST-0228"/>
    <s v="PROD-023"/>
    <s v="R001"/>
    <n v="8"/>
    <n v="2380"/>
    <n v="15.3"/>
    <n v="16126.88"/>
    <s v="Cancelled"/>
    <s v="Pune"/>
    <s v="Grocery"/>
    <s v="North"/>
    <s v="Feb-24"/>
    <x v="1"/>
  </r>
  <r>
    <s v="ORD-00572"/>
    <d v="2024-12-07T00:00:00"/>
    <s v="CUST-0127"/>
    <s v="PROD-053"/>
    <s v="R018"/>
    <n v="10"/>
    <n v="470"/>
    <n v="2.1"/>
    <n v="4601.3"/>
    <s v="Completed"/>
    <s v="Bengaluru"/>
    <s v="Sports"/>
    <s v="East"/>
    <s v="Dec-24"/>
    <x v="3"/>
  </r>
  <r>
    <s v="ORD-00573"/>
    <d v="2024-07-07T00:00:00"/>
    <s v="CUST-0117"/>
    <s v="PROD-048"/>
    <s v="R025"/>
    <n v="5"/>
    <n v="5100"/>
    <n v="9.6999999999999993"/>
    <n v="23026.5"/>
    <s v="Completed"/>
    <s v="Delhi"/>
    <s v="Beauty"/>
    <s v="West"/>
    <s v="Jul-24"/>
    <x v="0"/>
  </r>
  <r>
    <s v="ORD-00574"/>
    <d v="2024-04-20T00:00:00"/>
    <s v="CUST-0159"/>
    <s v="PROD-049"/>
    <s v="R026"/>
    <n v="9"/>
    <n v="960"/>
    <n v="17.7"/>
    <n v="7110.72"/>
    <s v="Completed"/>
    <s v="Hyderabad"/>
    <s v="Beauty"/>
    <s v="West"/>
    <s v="Apr-24"/>
    <x v="2"/>
  </r>
  <r>
    <s v="ORD-00575"/>
    <d v="2024-07-05T00:00:00"/>
    <s v="CUST-0064"/>
    <s v="PROD-026"/>
    <s v="R007"/>
    <n v="2"/>
    <n v="4070"/>
    <n v="2.1"/>
    <n v="7969.06"/>
    <s v="Completed"/>
    <s v="Hyderabad"/>
    <s v="Grocery"/>
    <s v="North"/>
    <s v="Jul-24"/>
    <x v="0"/>
  </r>
  <r>
    <s v="ORD-00576"/>
    <d v="2024-03-07T00:00:00"/>
    <s v="CUST-0272"/>
    <s v="PROD-031"/>
    <s v="R021"/>
    <n v="5"/>
    <n v="3730"/>
    <n v="16.5"/>
    <n v="15572.75"/>
    <s v="Completed"/>
    <s v="Mumbai"/>
    <s v="Home"/>
    <s v="East"/>
    <s v="Mar-24"/>
    <x v="1"/>
  </r>
  <r>
    <s v="ORD-00577"/>
    <d v="2024-10-24T00:00:00"/>
    <s v="CUST-0071"/>
    <s v="PROD-055"/>
    <s v="R022"/>
    <n v="1"/>
    <n v="2860"/>
    <n v="10.4"/>
    <n v="2562.56"/>
    <s v="Cancelled"/>
    <s v="Delhi"/>
    <s v="Sports"/>
    <s v="East"/>
    <s v="Oct-24"/>
    <x v="3"/>
  </r>
  <r>
    <s v="ORD-00578"/>
    <d v="2024-08-03T00:00:00"/>
    <s v="CUST-0045"/>
    <s v="PROD-046"/>
    <s v="R018"/>
    <n v="4"/>
    <n v="4880"/>
    <n v="27.5"/>
    <n v="14152"/>
    <s v="Pending"/>
    <s v="Chennai"/>
    <s v="Beauty"/>
    <s v="East"/>
    <s v="Aug-24"/>
    <x v="0"/>
  </r>
  <r>
    <s v="ORD-00579"/>
    <d v="2024-06-27T00:00:00"/>
    <s v="CUST-0148"/>
    <s v="PROD-022"/>
    <s v="R022"/>
    <n v="3"/>
    <n v="2270"/>
    <n v="6.7"/>
    <n v="6353.73"/>
    <s v="Completed"/>
    <s v="Chennai"/>
    <s v="Grocery"/>
    <s v="East"/>
    <s v="Jun-24"/>
    <x v="2"/>
  </r>
  <r>
    <s v="ORD-00580"/>
    <d v="2024-10-24T00:00:00"/>
    <s v="CUST-0097"/>
    <s v="PROD-025"/>
    <s v="R007"/>
    <n v="10"/>
    <n v="4060"/>
    <n v="3.6"/>
    <n v="39138.400000000001"/>
    <s v="Pending"/>
    <s v="Mumbai"/>
    <s v="Grocery"/>
    <s v="North"/>
    <s v="Oct-24"/>
    <x v="3"/>
  </r>
  <r>
    <s v="ORD-00581"/>
    <d v="2024-05-21T00:00:00"/>
    <s v="CUST-0151"/>
    <s v="PROD-010"/>
    <s v="R004"/>
    <n v="8"/>
    <n v="2640"/>
    <n v="28.8"/>
    <n v="15037.44"/>
    <s v="Completed"/>
    <s v="Mumbai"/>
    <s v="Electronics"/>
    <s v="North"/>
    <s v="May-24"/>
    <x v="2"/>
  </r>
  <r>
    <s v="ORD-00582"/>
    <d v="2024-07-04T00:00:00"/>
    <s v="CUST-0048"/>
    <s v="PROD-031"/>
    <s v="R012"/>
    <n v="6"/>
    <n v="3730"/>
    <n v="21.9"/>
    <n v="17478.78"/>
    <s v="Completed"/>
    <s v="Delhi"/>
    <s v="Home"/>
    <s v="South"/>
    <s v="Jul-24"/>
    <x v="0"/>
  </r>
  <r>
    <s v="ORD-00583"/>
    <d v="2024-05-31T00:00:00"/>
    <s v="CUST-0048"/>
    <s v="PROD-001"/>
    <s v="R006"/>
    <n v="9"/>
    <n v="5330"/>
    <n v="29.4"/>
    <n v="33866.82"/>
    <s v="Cancelled"/>
    <s v="Delhi"/>
    <s v="Electronics"/>
    <s v="North"/>
    <s v="May-24"/>
    <x v="2"/>
  </r>
  <r>
    <s v="ORD-00584"/>
    <d v="2024-01-31T00:00:00"/>
    <s v="CUST-0156"/>
    <s v="PROD-011"/>
    <s v="R027"/>
    <n v="1"/>
    <n v="3450"/>
    <n v="23.3"/>
    <n v="2646.15"/>
    <s v="Completed"/>
    <s v="Mumbai"/>
    <s v="Apparel"/>
    <s v="West"/>
    <s v="Jan-24"/>
    <x v="1"/>
  </r>
  <r>
    <s v="ORD-00585"/>
    <d v="2024-09-09T00:00:00"/>
    <s v="CUST-0022"/>
    <s v="PROD-050"/>
    <s v="R017"/>
    <n v="3"/>
    <n v="6080"/>
    <n v="14.5"/>
    <n v="15595.2"/>
    <s v="Completed"/>
    <s v="Bengaluru"/>
    <s v="Beauty"/>
    <s v="East"/>
    <s v="Sep-24"/>
    <x v="0"/>
  </r>
  <r>
    <s v="ORD-00586"/>
    <d v="2024-11-13T00:00:00"/>
    <s v="CUST-0193"/>
    <s v="PROD-031"/>
    <s v="R002"/>
    <n v="4"/>
    <n v="3730"/>
    <n v="3.4"/>
    <n v="14412.72"/>
    <s v="Cancelled"/>
    <s v="Bengaluru"/>
    <s v="Home"/>
    <s v="North"/>
    <s v="Nov-24"/>
    <x v="3"/>
  </r>
  <r>
    <s v="ORD-00587"/>
    <d v="2024-07-18T00:00:00"/>
    <s v="CUST-0189"/>
    <s v="PROD-008"/>
    <s v="R022"/>
    <n v="10"/>
    <n v="2660"/>
    <n v="2.1"/>
    <n v="26041.4"/>
    <s v="Completed"/>
    <s v="Chennai"/>
    <s v="Electronics"/>
    <s v="East"/>
    <s v="Jul-24"/>
    <x v="0"/>
  </r>
  <r>
    <s v="ORD-00588"/>
    <d v="2024-03-22T00:00:00"/>
    <s v="CUST-0101"/>
    <s v="PROD-029"/>
    <s v="R021"/>
    <n v="7"/>
    <n v="2210"/>
    <n v="17.100000000000001"/>
    <n v="12824.63"/>
    <s v="Completed"/>
    <s v="Hyderabad"/>
    <s v="Grocery"/>
    <s v="East"/>
    <s v="Mar-24"/>
    <x v="1"/>
  </r>
  <r>
    <s v="ORD-00589"/>
    <d v="2024-11-11T00:00:00"/>
    <s v="CUST-0006"/>
    <s v="PROD-059"/>
    <s v="R013"/>
    <n v="6"/>
    <n v="3780"/>
    <n v="12.7"/>
    <n v="19799.64"/>
    <s v="Completed"/>
    <s v="Pune"/>
    <s v="Sports"/>
    <s v="South"/>
    <s v="Nov-24"/>
    <x v="3"/>
  </r>
  <r>
    <s v="ORD-00590"/>
    <d v="2024-04-30T00:00:00"/>
    <s v="CUST-0235"/>
    <s v="PROD-038"/>
    <s v="R029"/>
    <n v="4"/>
    <n v="5490"/>
    <n v="26.9"/>
    <n v="16052.76"/>
    <s v="Completed"/>
    <s v="Chennai"/>
    <s v="Home"/>
    <s v="West"/>
    <s v="Apr-24"/>
    <x v="2"/>
  </r>
  <r>
    <s v="ORD-00591"/>
    <d v="2024-02-29T00:00:00"/>
    <s v="CUST-0045"/>
    <s v="PROD-008"/>
    <s v="R013"/>
    <n v="9"/>
    <n v="2660"/>
    <n v="21.9"/>
    <n v="18697.14"/>
    <s v="Completed"/>
    <s v="Chennai"/>
    <s v="Electronics"/>
    <s v="South"/>
    <s v="Feb-24"/>
    <x v="1"/>
  </r>
  <r>
    <s v="ORD-00592"/>
    <d v="2024-10-07T00:00:00"/>
    <s v="CUST-0028"/>
    <s v="PROD-056"/>
    <s v="R028"/>
    <n v="9"/>
    <n v="6940"/>
    <n v="8"/>
    <n v="57463.199999999997"/>
    <s v="Completed"/>
    <s v="Bengaluru"/>
    <s v="Sports"/>
    <s v="West"/>
    <s v="Oct-24"/>
    <x v="3"/>
  </r>
  <r>
    <s v="ORD-00593"/>
    <d v="2024-04-20T00:00:00"/>
    <s v="CUST-0241"/>
    <s v="PROD-004"/>
    <s v="R006"/>
    <n v="1"/>
    <n v="3870"/>
    <n v="22.6"/>
    <n v="2995.38"/>
    <s v="Completed"/>
    <s v="Pune"/>
    <s v="Electronics"/>
    <s v="North"/>
    <s v="Apr-24"/>
    <x v="2"/>
  </r>
  <r>
    <s v="ORD-00594"/>
    <d v="2024-07-30T00:00:00"/>
    <s v="CUST-0278"/>
    <s v="PROD-035"/>
    <s v="R008"/>
    <n v="3"/>
    <n v="1090"/>
    <n v="28.1"/>
    <n v="2351.13"/>
    <s v="Completed"/>
    <s v="Hyderabad"/>
    <s v="Home"/>
    <s v="North"/>
    <s v="Jul-24"/>
    <x v="0"/>
  </r>
  <r>
    <s v="ORD-00595"/>
    <d v="2024-08-20T00:00:00"/>
    <s v="CUST-0009"/>
    <s v="PROD-002"/>
    <s v="R001"/>
    <n v="2"/>
    <n v="2600"/>
    <n v="5.6"/>
    <n v="4908.8"/>
    <s v="Completed"/>
    <s v="Mumbai"/>
    <s v="Electronics"/>
    <s v="North"/>
    <s v="Aug-24"/>
    <x v="0"/>
  </r>
  <r>
    <s v="ORD-00596"/>
    <d v="2024-05-13T00:00:00"/>
    <s v="CUST-0217"/>
    <s v="PROD-057"/>
    <s v="R020"/>
    <n v="4"/>
    <n v="960"/>
    <n v="21.7"/>
    <n v="3006.72"/>
    <s v="Completed"/>
    <s v="Pune"/>
    <s v="Sports"/>
    <s v="East"/>
    <s v="May-24"/>
    <x v="2"/>
  </r>
  <r>
    <s v="ORD-00597"/>
    <d v="2024-08-29T00:00:00"/>
    <s v="CUST-0289"/>
    <s v="PROD-032"/>
    <s v="R026"/>
    <n v="6"/>
    <n v="370"/>
    <n v="22.5"/>
    <n v="1720.5"/>
    <s v="Completed"/>
    <s v="Mumbai"/>
    <s v="Home"/>
    <s v="West"/>
    <s v="Aug-24"/>
    <x v="0"/>
  </r>
  <r>
    <s v="ORD-00598"/>
    <d v="2024-12-23T00:00:00"/>
    <s v="CUST-0176"/>
    <s v="PROD-034"/>
    <s v="R006"/>
    <n v="5"/>
    <n v="5080"/>
    <n v="23.8"/>
    <n v="19354.8"/>
    <s v="Completed"/>
    <s v="Bengaluru"/>
    <s v="Home"/>
    <s v="North"/>
    <s v="Dec-24"/>
    <x v="3"/>
  </r>
  <r>
    <s v="ORD-00599"/>
    <d v="2024-03-24T00:00:00"/>
    <s v="CUST-0026"/>
    <s v="PROD-041"/>
    <s v="R003"/>
    <n v="5"/>
    <n v="1540"/>
    <n v="6.1"/>
    <n v="7230.3"/>
    <s v="Completed"/>
    <s v="Pune"/>
    <s v="Beauty"/>
    <s v="North"/>
    <s v="Mar-24"/>
    <x v="1"/>
  </r>
  <r>
    <s v="ORD-00600"/>
    <d v="2024-02-20T00:00:00"/>
    <s v="CUST-0213"/>
    <s v="PROD-024"/>
    <s v="R015"/>
    <n v="7"/>
    <n v="2270"/>
    <n v="0.4"/>
    <n v="15826.44"/>
    <s v="Completed"/>
    <s v="Mumbai"/>
    <s v="Grocery"/>
    <s v="South"/>
    <s v="Feb-24"/>
    <x v="1"/>
  </r>
  <r>
    <s v="ORD-00601"/>
    <d v="2024-05-29T00:00:00"/>
    <s v="CUST-0190"/>
    <s v="PROD-057"/>
    <s v="R015"/>
    <n v="2"/>
    <n v="960"/>
    <n v="3.7"/>
    <n v="1848.96"/>
    <s v="Completed"/>
    <s v="Hyderabad"/>
    <s v="Sports"/>
    <s v="South"/>
    <s v="May-24"/>
    <x v="2"/>
  </r>
  <r>
    <s v="ORD-00602"/>
    <d v="2024-04-28T00:00:00"/>
    <s v="CUST-0150"/>
    <s v="PROD-007"/>
    <s v="R027"/>
    <n v="6"/>
    <n v="1430"/>
    <n v="2"/>
    <n v="8408.4"/>
    <s v="Pending"/>
    <s v="Pune"/>
    <s v="Electronics"/>
    <s v="West"/>
    <s v="Apr-24"/>
    <x v="2"/>
  </r>
  <r>
    <s v="ORD-00603"/>
    <d v="2024-10-23T00:00:00"/>
    <s v="CUST-0129"/>
    <s v="PROD-047"/>
    <s v="R006"/>
    <n v="10"/>
    <n v="3450"/>
    <n v="19.100000000000001"/>
    <n v="27910.5"/>
    <s v="Completed"/>
    <s v="Hyderabad"/>
    <s v="Beauty"/>
    <s v="North"/>
    <s v="Oct-24"/>
    <x v="3"/>
  </r>
  <r>
    <s v="ORD-00604"/>
    <d v="2024-04-30T00:00:00"/>
    <s v="CUST-0080"/>
    <s v="PROD-009"/>
    <s v="R026"/>
    <n v="8"/>
    <n v="1220"/>
    <n v="16.899999999999999"/>
    <n v="8110.56"/>
    <s v="Completed"/>
    <s v="Pune"/>
    <s v="Electronics"/>
    <s v="West"/>
    <s v="Apr-24"/>
    <x v="2"/>
  </r>
  <r>
    <s v="ORD-00605"/>
    <d v="2024-05-27T00:00:00"/>
    <s v="CUST-0034"/>
    <s v="PROD-021"/>
    <s v="R020"/>
    <n v="9"/>
    <n v="2760"/>
    <n v="16.899999999999999"/>
    <n v="20642.04"/>
    <s v="Completed"/>
    <s v="Delhi"/>
    <s v="Grocery"/>
    <s v="East"/>
    <s v="May-24"/>
    <x v="2"/>
  </r>
  <r>
    <s v="ORD-00606"/>
    <d v="2024-10-28T00:00:00"/>
    <s v="CUST-0179"/>
    <s v="PROD-043"/>
    <s v="R017"/>
    <n v="6"/>
    <n v="3350"/>
    <n v="11.8"/>
    <n v="17728.2"/>
    <s v="Pending"/>
    <s v="Mumbai"/>
    <s v="Beauty"/>
    <s v="East"/>
    <s v="Oct-24"/>
    <x v="3"/>
  </r>
  <r>
    <s v="ORD-00607"/>
    <d v="2024-10-05T00:00:00"/>
    <s v="CUST-0176"/>
    <s v="PROD-048"/>
    <s v="R013"/>
    <n v="6"/>
    <n v="5100"/>
    <n v="13.2"/>
    <n v="26560.799999999999"/>
    <s v="Completed"/>
    <s v="Bengaluru"/>
    <s v="Beauty"/>
    <s v="South"/>
    <s v="Oct-24"/>
    <x v="3"/>
  </r>
  <r>
    <s v="ORD-00608"/>
    <d v="2024-07-01T00:00:00"/>
    <s v="CUST-0144"/>
    <s v="PROD-010"/>
    <s v="R027"/>
    <n v="6"/>
    <n v="2640"/>
    <n v="26.2"/>
    <n v="11689.92"/>
    <s v="Completed"/>
    <s v="Chennai"/>
    <s v="Electronics"/>
    <s v="West"/>
    <s v="Jul-24"/>
    <x v="0"/>
  </r>
  <r>
    <s v="ORD-00609"/>
    <d v="2024-08-20T00:00:00"/>
    <s v="CUST-0218"/>
    <s v="PROD-028"/>
    <s v="R016"/>
    <n v="1"/>
    <n v="3660"/>
    <n v="19.7"/>
    <n v="2938.98"/>
    <s v="Completed"/>
    <s v="Mumbai"/>
    <s v="Grocery"/>
    <s v="South"/>
    <s v="Aug-24"/>
    <x v="0"/>
  </r>
  <r>
    <s v="ORD-00610"/>
    <d v="2024-06-25T00:00:00"/>
    <s v="CUST-0249"/>
    <s v="PROD-032"/>
    <s v="R027"/>
    <n v="5"/>
    <n v="370"/>
    <n v="21.7"/>
    <n v="1448.55"/>
    <s v="Completed"/>
    <s v="Mumbai"/>
    <s v="Home"/>
    <s v="West"/>
    <s v="Jun-24"/>
    <x v="2"/>
  </r>
  <r>
    <s v="ORD-00611"/>
    <d v="2024-02-14T00:00:00"/>
    <s v="CUST-0092"/>
    <s v="PROD-016"/>
    <s v="R025"/>
    <n v="5"/>
    <n v="620"/>
    <n v="10.199999999999999"/>
    <n v="2783.8"/>
    <s v="Completed"/>
    <s v="Bengaluru"/>
    <s v="Apparel"/>
    <s v="West"/>
    <s v="Feb-24"/>
    <x v="1"/>
  </r>
  <r>
    <s v="ORD-00612"/>
    <d v="2024-04-10T00:00:00"/>
    <s v="CUST-0245"/>
    <s v="PROD-053"/>
    <s v="R018"/>
    <n v="8"/>
    <n v="470"/>
    <n v="2.4"/>
    <n v="3669.76"/>
    <s v="Completed"/>
    <s v="Hyderabad"/>
    <s v="Sports"/>
    <s v="East"/>
    <s v="Apr-24"/>
    <x v="2"/>
  </r>
  <r>
    <s v="ORD-00613"/>
    <d v="2024-11-14T00:00:00"/>
    <s v="CUST-0134"/>
    <s v="PROD-042"/>
    <s v="R005"/>
    <n v="3"/>
    <n v="2290"/>
    <n v="20.8"/>
    <n v="5441.04"/>
    <s v="Completed"/>
    <s v="Delhi"/>
    <s v="Beauty"/>
    <s v="North"/>
    <s v="Nov-24"/>
    <x v="3"/>
  </r>
  <r>
    <s v="ORD-00614"/>
    <d v="2024-01-06T00:00:00"/>
    <s v="CUST-0063"/>
    <s v="PROD-057"/>
    <s v="R024"/>
    <n v="4"/>
    <n v="960"/>
    <n v="28.8"/>
    <n v="2734.08"/>
    <s v="Pending"/>
    <s v="Mumbai"/>
    <s v="Sports"/>
    <s v="West"/>
    <s v="Jan-24"/>
    <x v="1"/>
  </r>
  <r>
    <s v="ORD-00615"/>
    <d v="2024-09-23T00:00:00"/>
    <s v="CUST-0172"/>
    <s v="PROD-028"/>
    <s v="R010"/>
    <n v="5"/>
    <n v="3660"/>
    <n v="11.9"/>
    <n v="16122.3"/>
    <s v="Pending"/>
    <s v="Pune"/>
    <s v="Grocery"/>
    <s v="South"/>
    <s v="Sep-24"/>
    <x v="0"/>
  </r>
  <r>
    <s v="ORD-00616"/>
    <d v="2024-07-14T00:00:00"/>
    <s v="CUST-0139"/>
    <s v="PROD-003"/>
    <s v="R019"/>
    <n v="5"/>
    <n v="3570"/>
    <n v="12.4"/>
    <n v="15636.6"/>
    <s v="Completed"/>
    <s v="Hyderabad"/>
    <s v="Electronics"/>
    <s v="East"/>
    <s v="Jul-24"/>
    <x v="0"/>
  </r>
  <r>
    <s v="ORD-00617"/>
    <d v="2024-01-16T00:00:00"/>
    <s v="CUST-0275"/>
    <s v="PROD-033"/>
    <s v="R017"/>
    <n v="9"/>
    <n v="2030"/>
    <n v="23.4"/>
    <n v="13994.82"/>
    <s v="Completed"/>
    <s v="Mumbai"/>
    <s v="Home"/>
    <s v="East"/>
    <s v="Jan-24"/>
    <x v="1"/>
  </r>
  <r>
    <s v="ORD-00618"/>
    <d v="2024-02-06T00:00:00"/>
    <s v="CUST-0006"/>
    <s v="PROD-015"/>
    <s v="R024"/>
    <n v="7"/>
    <n v="2720"/>
    <n v="11.2"/>
    <n v="16907.52"/>
    <s v="Refunded"/>
    <s v="Pune"/>
    <s v="Apparel"/>
    <s v="West"/>
    <s v="Feb-24"/>
    <x v="1"/>
  </r>
  <r>
    <s v="ORD-00619"/>
    <d v="2024-12-01T00:00:00"/>
    <s v="CUST-0279"/>
    <s v="PROD-003"/>
    <s v="R008"/>
    <n v="2"/>
    <n v="3570"/>
    <n v="6.1"/>
    <n v="6704.46"/>
    <s v="Cancelled"/>
    <s v="Mumbai"/>
    <s v="Electronics"/>
    <s v="North"/>
    <s v="Dec-24"/>
    <x v="3"/>
  </r>
  <r>
    <s v="ORD-00620"/>
    <d v="2024-10-09T00:00:00"/>
    <s v="CUST-0093"/>
    <s v="PROD-058"/>
    <s v="R001"/>
    <n v="5"/>
    <n v="2400"/>
    <n v="16.100000000000001"/>
    <n v="10068"/>
    <s v="Completed"/>
    <s v="Pune"/>
    <s v="Sports"/>
    <s v="North"/>
    <s v="Oct-24"/>
    <x v="3"/>
  </r>
  <r>
    <s v="ORD-00621"/>
    <d v="2024-10-27T00:00:00"/>
    <s v="CUST-0063"/>
    <s v="PROD-024"/>
    <s v="R002"/>
    <n v="4"/>
    <n v="2270"/>
    <n v="27.5"/>
    <n v="6583"/>
    <s v="Pending"/>
    <s v="Mumbai"/>
    <s v="Grocery"/>
    <s v="North"/>
    <s v="Oct-24"/>
    <x v="3"/>
  </r>
  <r>
    <s v="ORD-00622"/>
    <d v="2024-08-05T00:00:00"/>
    <s v="CUST-0071"/>
    <s v="PROD-030"/>
    <s v="R012"/>
    <n v="1"/>
    <n v="970"/>
    <n v="12.7"/>
    <n v="846.81"/>
    <s v="Completed"/>
    <s v="Delhi"/>
    <s v="Grocery"/>
    <s v="South"/>
    <s v="Aug-24"/>
    <x v="0"/>
  </r>
  <r>
    <s v="ORD-00623"/>
    <d v="2024-01-16T00:00:00"/>
    <s v="CUST-0119"/>
    <s v="PROD-056"/>
    <s v="R018"/>
    <n v="5"/>
    <n v="6940"/>
    <n v="16.2"/>
    <n v="29078.6"/>
    <s v="Completed"/>
    <s v="Bengaluru"/>
    <s v="Sports"/>
    <s v="East"/>
    <s v="Jan-24"/>
    <x v="1"/>
  </r>
  <r>
    <s v="ORD-00624"/>
    <d v="2024-10-21T00:00:00"/>
    <s v="CUST-0035"/>
    <s v="PROD-056"/>
    <s v="R009"/>
    <n v="4"/>
    <n v="6940"/>
    <n v="15.1"/>
    <n v="23568.240000000002"/>
    <s v="Completed"/>
    <s v="Hyderabad"/>
    <s v="Sports"/>
    <s v="South"/>
    <s v="Oct-24"/>
    <x v="3"/>
  </r>
  <r>
    <s v="ORD-00625"/>
    <d v="2024-10-22T00:00:00"/>
    <s v="CUST-0042"/>
    <s v="PROD-054"/>
    <s v="R006"/>
    <n v="1"/>
    <n v="1010"/>
    <n v="1.7"/>
    <n v="992.83"/>
    <s v="Completed"/>
    <s v="Pune"/>
    <s v="Sports"/>
    <s v="North"/>
    <s v="Oct-24"/>
    <x v="3"/>
  </r>
  <r>
    <s v="ORD-00626"/>
    <d v="2024-11-13T00:00:00"/>
    <s v="CUST-0033"/>
    <s v="PROD-004"/>
    <s v="R007"/>
    <n v="6"/>
    <n v="3870"/>
    <n v="12.2"/>
    <n v="20387.16"/>
    <s v="Completed"/>
    <s v="Delhi"/>
    <s v="Electronics"/>
    <s v="North"/>
    <s v="Nov-24"/>
    <x v="3"/>
  </r>
  <r>
    <s v="ORD-00627"/>
    <d v="2024-01-25T00:00:00"/>
    <s v="CUST-0077"/>
    <s v="PROD-048"/>
    <s v="R011"/>
    <n v="9"/>
    <n v="5100"/>
    <n v="26.4"/>
    <n v="33782.400000000001"/>
    <s v="Completed"/>
    <s v="Hyderabad"/>
    <s v="Beauty"/>
    <s v="South"/>
    <s v="Jan-24"/>
    <x v="1"/>
  </r>
  <r>
    <s v="ORD-00628"/>
    <d v="2024-06-08T00:00:00"/>
    <s v="CUST-0266"/>
    <s v="PROD-012"/>
    <s v="R008"/>
    <n v="2"/>
    <n v="3160"/>
    <n v="13.4"/>
    <n v="5473.12"/>
    <s v="Refunded"/>
    <s v="Pune"/>
    <s v="Apparel"/>
    <s v="North"/>
    <s v="Jun-24"/>
    <x v="2"/>
  </r>
  <r>
    <s v="ORD-00629"/>
    <d v="2024-09-19T00:00:00"/>
    <s v="CUST-0272"/>
    <s v="PROD-029"/>
    <s v="R011"/>
    <n v="8"/>
    <n v="2210"/>
    <n v="26"/>
    <n v="13083.2"/>
    <s v="Completed"/>
    <s v="Mumbai"/>
    <s v="Grocery"/>
    <s v="South"/>
    <s v="Sep-24"/>
    <x v="0"/>
  </r>
  <r>
    <s v="ORD-00630"/>
    <d v="2024-10-02T00:00:00"/>
    <s v="CUST-0253"/>
    <s v="PROD-018"/>
    <s v="R026"/>
    <n v="5"/>
    <n v="3560"/>
    <n v="15"/>
    <n v="15130"/>
    <s v="Completed"/>
    <s v="Delhi"/>
    <s v="Apparel"/>
    <s v="West"/>
    <s v="Oct-24"/>
    <x v="3"/>
  </r>
  <r>
    <s v="ORD-00631"/>
    <d v="2024-12-07T00:00:00"/>
    <s v="CUST-0252"/>
    <s v="PROD-016"/>
    <s v="R010"/>
    <n v="10"/>
    <n v="620"/>
    <n v="15.8"/>
    <n v="5220.3999999999996"/>
    <s v="Refunded"/>
    <s v="Bengaluru"/>
    <s v="Apparel"/>
    <s v="South"/>
    <s v="Dec-24"/>
    <x v="3"/>
  </r>
  <r>
    <s v="ORD-00632"/>
    <d v="2024-10-23T00:00:00"/>
    <s v="CUST-0097"/>
    <s v="PROD-021"/>
    <s v="R002"/>
    <n v="3"/>
    <n v="2760"/>
    <n v="1.9"/>
    <n v="8122.68"/>
    <s v="Cancelled"/>
    <s v="Mumbai"/>
    <s v="Grocery"/>
    <s v="North"/>
    <s v="Oct-24"/>
    <x v="3"/>
  </r>
  <r>
    <s v="ORD-00633"/>
    <d v="2024-12-08T00:00:00"/>
    <s v="CUST-0283"/>
    <s v="PROD-054"/>
    <s v="R005"/>
    <n v="10"/>
    <n v="1010"/>
    <n v="28.9"/>
    <n v="7181.1"/>
    <s v="Completed"/>
    <s v="Delhi"/>
    <s v="Sports"/>
    <s v="North"/>
    <s v="Dec-24"/>
    <x v="3"/>
  </r>
  <r>
    <s v="ORD-00634"/>
    <d v="2024-03-01T00:00:00"/>
    <s v="CUST-0064"/>
    <s v="PROD-013"/>
    <s v="R002"/>
    <n v="1"/>
    <n v="3640"/>
    <n v="9.6999999999999993"/>
    <n v="3286.92"/>
    <s v="Completed"/>
    <s v="Hyderabad"/>
    <s v="Apparel"/>
    <s v="North"/>
    <s v="Mar-24"/>
    <x v="1"/>
  </r>
  <r>
    <s v="ORD-00635"/>
    <d v="2024-07-16T00:00:00"/>
    <s v="CUST-0143"/>
    <s v="PROD-020"/>
    <s v="R010"/>
    <n v="1"/>
    <n v="820"/>
    <n v="15"/>
    <n v="697"/>
    <s v="Completed"/>
    <s v="Chennai"/>
    <s v="Apparel"/>
    <s v="South"/>
    <s v="Jul-24"/>
    <x v="0"/>
  </r>
  <r>
    <s v="ORD-00636"/>
    <d v="2024-02-20T00:00:00"/>
    <s v="CUST-0265"/>
    <s v="PROD-013"/>
    <s v="R011"/>
    <n v="4"/>
    <n v="3640"/>
    <n v="17"/>
    <n v="12084.8"/>
    <s v="Completed"/>
    <s v="Chennai"/>
    <s v="Apparel"/>
    <s v="South"/>
    <s v="Feb-24"/>
    <x v="1"/>
  </r>
  <r>
    <s v="ORD-00637"/>
    <d v="2024-05-13T00:00:00"/>
    <s v="CUST-0158"/>
    <s v="PROD-023"/>
    <s v="R002"/>
    <n v="7"/>
    <n v="2380"/>
    <n v="25.5"/>
    <n v="12411.7"/>
    <s v="Completed"/>
    <s v="Pune"/>
    <s v="Grocery"/>
    <s v="North"/>
    <s v="May-24"/>
    <x v="2"/>
  </r>
  <r>
    <s v="ORD-00638"/>
    <d v="2024-11-02T00:00:00"/>
    <s v="CUST-0154"/>
    <s v="PROD-037"/>
    <s v="R008"/>
    <n v="1"/>
    <n v="660"/>
    <n v="2.5"/>
    <n v="643.5"/>
    <s v="Completed"/>
    <s v="Pune"/>
    <s v="Home"/>
    <s v="North"/>
    <s v="Nov-24"/>
    <x v="3"/>
  </r>
  <r>
    <s v="ORD-00639"/>
    <d v="2024-03-02T00:00:00"/>
    <s v="CUST-0057"/>
    <s v="PROD-004"/>
    <s v="R020"/>
    <n v="7"/>
    <n v="3870"/>
    <n v="20.3"/>
    <n v="21590.73"/>
    <s v="Pending"/>
    <s v="Pune"/>
    <s v="Electronics"/>
    <s v="East"/>
    <s v="Mar-24"/>
    <x v="1"/>
  </r>
  <r>
    <s v="ORD-00640"/>
    <d v="2024-09-07T00:00:00"/>
    <s v="CUST-0088"/>
    <s v="PROD-032"/>
    <s v="R016"/>
    <n v="10"/>
    <n v="370"/>
    <n v="1.3"/>
    <n v="3651.9"/>
    <s v="Refunded"/>
    <s v="Chennai"/>
    <s v="Home"/>
    <s v="South"/>
    <s v="Sep-24"/>
    <x v="0"/>
  </r>
  <r>
    <s v="ORD-00641"/>
    <d v="2024-03-14T00:00:00"/>
    <s v="CUST-0064"/>
    <s v="PROD-014"/>
    <s v="R018"/>
    <n v="1"/>
    <n v="3620"/>
    <n v="1.4"/>
    <n v="3569.32"/>
    <s v="Completed"/>
    <s v="Hyderabad"/>
    <s v="Apparel"/>
    <s v="East"/>
    <s v="Mar-24"/>
    <x v="1"/>
  </r>
  <r>
    <s v="ORD-00642"/>
    <d v="2024-10-09T00:00:00"/>
    <s v="CUST-0192"/>
    <s v="PROD-008"/>
    <s v="R005"/>
    <n v="10"/>
    <n v="2660"/>
    <n v="20.2"/>
    <n v="21226.799999999999"/>
    <s v="Completed"/>
    <s v="Bengaluru"/>
    <s v="Electronics"/>
    <s v="North"/>
    <s v="Oct-24"/>
    <x v="3"/>
  </r>
  <r>
    <s v="ORD-00643"/>
    <d v="2024-11-18T00:00:00"/>
    <s v="CUST-0175"/>
    <s v="PROD-051"/>
    <s v="R015"/>
    <n v="10"/>
    <n v="3450"/>
    <n v="25.1"/>
    <n v="25840.5"/>
    <s v="Completed"/>
    <s v="Delhi"/>
    <s v="Sports"/>
    <s v="South"/>
    <s v="Nov-24"/>
    <x v="3"/>
  </r>
  <r>
    <s v="ORD-00644"/>
    <d v="2024-12-03T00:00:00"/>
    <s v="CUST-0083"/>
    <s v="PROD-025"/>
    <s v="R013"/>
    <n v="3"/>
    <n v="4060"/>
    <n v="2.5"/>
    <n v="11875.5"/>
    <s v="Refunded"/>
    <s v="Bengaluru"/>
    <s v="Grocery"/>
    <s v="South"/>
    <s v="Dec-24"/>
    <x v="3"/>
  </r>
  <r>
    <s v="ORD-00645"/>
    <d v="2024-01-03T00:00:00"/>
    <s v="CUST-0142"/>
    <s v="PROD-057"/>
    <s v="R021"/>
    <n v="3"/>
    <n v="960"/>
    <n v="6.6"/>
    <n v="2689.92"/>
    <s v="Cancelled"/>
    <s v="Chennai"/>
    <s v="Sports"/>
    <s v="East"/>
    <s v="Jan-24"/>
    <x v="1"/>
  </r>
  <r>
    <s v="ORD-00646"/>
    <d v="2024-05-06T00:00:00"/>
    <s v="CUST-0185"/>
    <s v="PROD-008"/>
    <s v="R008"/>
    <n v="4"/>
    <n v="2660"/>
    <n v="16.899999999999999"/>
    <n v="8841.84"/>
    <s v="Completed"/>
    <s v="Hyderabad"/>
    <s v="Electronics"/>
    <s v="North"/>
    <s v="May-24"/>
    <x v="2"/>
  </r>
  <r>
    <s v="ORD-00647"/>
    <d v="2024-03-18T00:00:00"/>
    <s v="CUST-0284"/>
    <s v="PROD-024"/>
    <s v="R018"/>
    <n v="6"/>
    <n v="2270"/>
    <n v="16.7"/>
    <n v="11345.46"/>
    <s v="Completed"/>
    <s v="Hyderabad"/>
    <s v="Grocery"/>
    <s v="East"/>
    <s v="Mar-24"/>
    <x v="1"/>
  </r>
  <r>
    <s v="ORD-00648"/>
    <d v="2024-09-14T00:00:00"/>
    <s v="CUST-0092"/>
    <s v="PROD-027"/>
    <s v="R025"/>
    <n v="5"/>
    <n v="3780"/>
    <n v="21.5"/>
    <n v="14836.5"/>
    <s v="Completed"/>
    <s v="Bengaluru"/>
    <s v="Grocery"/>
    <s v="West"/>
    <s v="Sep-24"/>
    <x v="0"/>
  </r>
  <r>
    <s v="ORD-00649"/>
    <d v="2024-08-01T00:00:00"/>
    <s v="CUST-0091"/>
    <s v="PROD-037"/>
    <s v="R019"/>
    <n v="10"/>
    <n v="660"/>
    <n v="18.8"/>
    <n v="5359.2"/>
    <s v="Completed"/>
    <s v="Delhi"/>
    <s v="Home"/>
    <s v="East"/>
    <s v="Aug-24"/>
    <x v="0"/>
  </r>
  <r>
    <s v="ORD-00650"/>
    <d v="2024-05-01T00:00:00"/>
    <s v="CUST-0155"/>
    <s v="PROD-031"/>
    <s v="R024"/>
    <n v="10"/>
    <n v="3730"/>
    <n v="15.1"/>
    <n v="31667.7"/>
    <s v="Completed"/>
    <s v="Pune"/>
    <s v="Home"/>
    <s v="West"/>
    <s v="May-24"/>
    <x v="2"/>
  </r>
  <r>
    <s v="ORD-00651"/>
    <d v="2024-09-24T00:00:00"/>
    <s v="CUST-0280"/>
    <s v="PROD-025"/>
    <s v="R021"/>
    <n v="6"/>
    <n v="4060"/>
    <n v="20.100000000000001"/>
    <n v="19463.64"/>
    <s v="Pending"/>
    <s v="Delhi"/>
    <s v="Grocery"/>
    <s v="East"/>
    <s v="Sep-24"/>
    <x v="0"/>
  </r>
  <r>
    <s v="ORD-00652"/>
    <d v="2024-08-21T00:00:00"/>
    <s v="CUST-0127"/>
    <s v="PROD-024"/>
    <s v="R003"/>
    <n v="2"/>
    <n v="2270"/>
    <n v="17.7"/>
    <n v="3736.42"/>
    <s v="Completed"/>
    <s v="Bengaluru"/>
    <s v="Grocery"/>
    <s v="North"/>
    <s v="Aug-24"/>
    <x v="0"/>
  </r>
  <r>
    <s v="ORD-00653"/>
    <d v="2024-11-14T00:00:00"/>
    <s v="CUST-0077"/>
    <s v="PROD-003"/>
    <s v="R028"/>
    <n v="9"/>
    <n v="3570"/>
    <n v="29.9"/>
    <n v="22523.13"/>
    <s v="Completed"/>
    <s v="Hyderabad"/>
    <s v="Electronics"/>
    <s v="West"/>
    <s v="Nov-24"/>
    <x v="3"/>
  </r>
  <r>
    <s v="ORD-00654"/>
    <d v="2024-08-17T00:00:00"/>
    <s v="CUST-0190"/>
    <s v="PROD-029"/>
    <s v="R004"/>
    <n v="7"/>
    <n v="2210"/>
    <n v="25"/>
    <n v="11602.5"/>
    <s v="Completed"/>
    <s v="Hyderabad"/>
    <s v="Grocery"/>
    <s v="North"/>
    <s v="Aug-24"/>
    <x v="0"/>
  </r>
  <r>
    <s v="ORD-00655"/>
    <d v="2024-03-30T00:00:00"/>
    <s v="CUST-0089"/>
    <s v="PROD-057"/>
    <s v="R026"/>
    <n v="2"/>
    <n v="960"/>
    <n v="8.1999999999999993"/>
    <n v="1762.56"/>
    <s v="Cancelled"/>
    <s v="Mumbai"/>
    <s v="Sports"/>
    <s v="West"/>
    <s v="Mar-24"/>
    <x v="1"/>
  </r>
  <r>
    <s v="ORD-00656"/>
    <d v="2024-04-19T00:00:00"/>
    <s v="CUST-0141"/>
    <s v="PROD-059"/>
    <s v="R026"/>
    <n v="9"/>
    <n v="3780"/>
    <n v="28.4"/>
    <n v="24358.32"/>
    <s v="Pending"/>
    <s v="Hyderabad"/>
    <s v="Sports"/>
    <s v="West"/>
    <s v="Apr-24"/>
    <x v="2"/>
  </r>
  <r>
    <s v="ORD-00657"/>
    <d v="2024-10-16T00:00:00"/>
    <s v="CUST-0123"/>
    <s v="PROD-048"/>
    <s v="R014"/>
    <n v="2"/>
    <n v="5100"/>
    <n v="8.6"/>
    <n v="9322.7999999999993"/>
    <s v="Completed"/>
    <s v="Chennai"/>
    <s v="Beauty"/>
    <s v="South"/>
    <s v="Oct-24"/>
    <x v="3"/>
  </r>
  <r>
    <s v="ORD-00658"/>
    <d v="2024-05-02T00:00:00"/>
    <s v="CUST-0041"/>
    <s v="PROD-019"/>
    <s v="R021"/>
    <n v="4"/>
    <n v="2480"/>
    <n v="16.600000000000001"/>
    <n v="8273.2800000000007"/>
    <s v="Completed"/>
    <s v="Bengaluru"/>
    <s v="Apparel"/>
    <s v="East"/>
    <s v="May-24"/>
    <x v="2"/>
  </r>
  <r>
    <s v="ORD-00659"/>
    <d v="2024-05-31T00:00:00"/>
    <s v="CUST-0257"/>
    <s v="PROD-040"/>
    <s v="R018"/>
    <n v="10"/>
    <n v="1080"/>
    <n v="14.5"/>
    <n v="9234"/>
    <s v="Completed"/>
    <s v="Mumbai"/>
    <s v="Home"/>
    <s v="East"/>
    <s v="May-24"/>
    <x v="2"/>
  </r>
  <r>
    <s v="ORD-00660"/>
    <d v="2024-03-26T00:00:00"/>
    <s v="CUST-0134"/>
    <s v="PROD-002"/>
    <s v="R029"/>
    <n v="7"/>
    <n v="2600"/>
    <n v="21"/>
    <n v="14378"/>
    <s v="Completed"/>
    <s v="Delhi"/>
    <s v="Electronics"/>
    <s v="West"/>
    <s v="Mar-24"/>
    <x v="1"/>
  </r>
  <r>
    <s v="ORD-00661"/>
    <d v="2024-11-26T00:00:00"/>
    <s v="CUST-0180"/>
    <s v="PROD-002"/>
    <s v="R015"/>
    <n v="7"/>
    <n v="2600"/>
    <n v="6.7"/>
    <n v="16980.599999999999"/>
    <s v="Pending"/>
    <s v="Chennai"/>
    <s v="Electronics"/>
    <s v="South"/>
    <s v="Nov-24"/>
    <x v="3"/>
  </r>
  <r>
    <s v="ORD-00662"/>
    <d v="2024-04-21T00:00:00"/>
    <s v="CUST-0283"/>
    <s v="PROD-020"/>
    <s v="R023"/>
    <n v="8"/>
    <n v="820"/>
    <n v="17.8"/>
    <n v="5392.32"/>
    <s v="Pending"/>
    <s v="Delhi"/>
    <s v="Apparel"/>
    <s v="East"/>
    <s v="Apr-24"/>
    <x v="2"/>
  </r>
  <r>
    <s v="ORD-00663"/>
    <d v="2024-08-28T00:00:00"/>
    <s v="CUST-0047"/>
    <s v="PROD-057"/>
    <s v="R009"/>
    <n v="3"/>
    <n v="960"/>
    <n v="17.8"/>
    <n v="2367.36"/>
    <s v="Completed"/>
    <s v="Pune"/>
    <s v="Sports"/>
    <s v="South"/>
    <s v="Aug-24"/>
    <x v="0"/>
  </r>
  <r>
    <s v="ORD-00664"/>
    <d v="2024-01-10T00:00:00"/>
    <s v="CUST-0175"/>
    <s v="PROD-041"/>
    <s v="R023"/>
    <n v="2"/>
    <n v="1540"/>
    <n v="1.8"/>
    <n v="3024.56"/>
    <s v="Cancelled"/>
    <s v="Delhi"/>
    <s v="Beauty"/>
    <s v="East"/>
    <s v="Jan-24"/>
    <x v="1"/>
  </r>
  <r>
    <s v="ORD-00665"/>
    <d v="2024-11-26T00:00:00"/>
    <s v="CUST-0227"/>
    <s v="PROD-056"/>
    <s v="R030"/>
    <n v="5"/>
    <n v="6940"/>
    <n v="2.9"/>
    <n v="33693.699999999997"/>
    <s v="Completed"/>
    <s v="Bengaluru"/>
    <s v="Sports"/>
    <s v="West"/>
    <s v="Nov-24"/>
    <x v="3"/>
  </r>
  <r>
    <s v="ORD-00666"/>
    <d v="2024-08-27T00:00:00"/>
    <s v="CUST-0287"/>
    <s v="PROD-041"/>
    <s v="R013"/>
    <n v="5"/>
    <n v="1540"/>
    <n v="28.8"/>
    <n v="5482.4"/>
    <s v="Completed"/>
    <s v="Chennai"/>
    <s v="Beauty"/>
    <s v="South"/>
    <s v="Aug-24"/>
    <x v="0"/>
  </r>
  <r>
    <s v="ORD-00667"/>
    <d v="2024-02-04T00:00:00"/>
    <s v="CUST-0004"/>
    <s v="PROD-031"/>
    <s v="R012"/>
    <n v="8"/>
    <n v="3730"/>
    <n v="21.1"/>
    <n v="23543.759999999998"/>
    <s v="Completed"/>
    <s v="Delhi"/>
    <s v="Home"/>
    <s v="South"/>
    <s v="Feb-24"/>
    <x v="1"/>
  </r>
  <r>
    <s v="ORD-00668"/>
    <d v="2024-12-09T00:00:00"/>
    <s v="CUST-0234"/>
    <s v="PROD-021"/>
    <s v="R023"/>
    <n v="7"/>
    <n v="2760"/>
    <n v="1.2"/>
    <n v="19088.16"/>
    <s v="Cancelled"/>
    <s v="Bengaluru"/>
    <s v="Grocery"/>
    <s v="East"/>
    <s v="Dec-24"/>
    <x v="3"/>
  </r>
  <r>
    <s v="ORD-00669"/>
    <d v="2024-05-19T00:00:00"/>
    <s v="CUST-0255"/>
    <s v="PROD-006"/>
    <s v="R020"/>
    <n v="3"/>
    <n v="3970"/>
    <n v="18.3"/>
    <n v="9730.4699999999993"/>
    <s v="Completed"/>
    <s v="Chennai"/>
    <s v="Electronics"/>
    <s v="East"/>
    <s v="May-24"/>
    <x v="2"/>
  </r>
  <r>
    <s v="ORD-00670"/>
    <d v="2024-04-11T00:00:00"/>
    <s v="CUST-0092"/>
    <s v="PROD-027"/>
    <s v="R023"/>
    <n v="4"/>
    <n v="3780"/>
    <n v="24.6"/>
    <n v="11400.48"/>
    <s v="Completed"/>
    <s v="Bengaluru"/>
    <s v="Grocery"/>
    <s v="East"/>
    <s v="Apr-24"/>
    <x v="2"/>
  </r>
  <r>
    <s v="ORD-00671"/>
    <d v="2024-01-04T00:00:00"/>
    <s v="CUST-0037"/>
    <s v="PROD-015"/>
    <s v="R008"/>
    <n v="10"/>
    <n v="2720"/>
    <n v="12.8"/>
    <n v="23718.400000000001"/>
    <s v="Completed"/>
    <s v="Bengaluru"/>
    <s v="Apparel"/>
    <s v="North"/>
    <s v="Jan-24"/>
    <x v="1"/>
  </r>
  <r>
    <s v="ORD-00672"/>
    <d v="2024-03-20T00:00:00"/>
    <s v="CUST-0208"/>
    <s v="PROD-006"/>
    <s v="R017"/>
    <n v="5"/>
    <n v="3970"/>
    <n v="5.9"/>
    <n v="18678.849999999999"/>
    <s v="Completed"/>
    <s v="Mumbai"/>
    <s v="Electronics"/>
    <s v="East"/>
    <s v="Mar-24"/>
    <x v="1"/>
  </r>
  <r>
    <s v="ORD-00673"/>
    <d v="2024-11-05T00:00:00"/>
    <s v="CUST-0008"/>
    <s v="PROD-020"/>
    <s v="R011"/>
    <n v="3"/>
    <n v="820"/>
    <n v="19.399999999999999"/>
    <n v="1982.76"/>
    <s v="Completed"/>
    <s v="Pune"/>
    <s v="Apparel"/>
    <s v="South"/>
    <s v="Nov-24"/>
    <x v="3"/>
  </r>
  <r>
    <s v="ORD-00674"/>
    <d v="2024-06-28T00:00:00"/>
    <s v="CUST-0050"/>
    <s v="PROD-016"/>
    <s v="R010"/>
    <n v="7"/>
    <n v="620"/>
    <n v="9.9"/>
    <n v="3910.34"/>
    <s v="Completed"/>
    <s v="Mumbai"/>
    <s v="Apparel"/>
    <s v="South"/>
    <s v="Jun-24"/>
    <x v="2"/>
  </r>
  <r>
    <s v="ORD-00675"/>
    <d v="2024-01-27T00:00:00"/>
    <s v="CUST-0166"/>
    <s v="PROD-042"/>
    <s v="R027"/>
    <n v="8"/>
    <n v="2290"/>
    <n v="18.3"/>
    <n v="14967.44"/>
    <s v="Completed"/>
    <s v="Hyderabad"/>
    <s v="Beauty"/>
    <s v="West"/>
    <s v="Jan-24"/>
    <x v="1"/>
  </r>
  <r>
    <s v="ORD-00676"/>
    <d v="2024-03-13T00:00:00"/>
    <s v="CUST-0271"/>
    <s v="PROD-030"/>
    <s v="R025"/>
    <n v="3"/>
    <n v="970"/>
    <n v="18.399999999999999"/>
    <n v="2374.56"/>
    <s v="Completed"/>
    <s v="Bengaluru"/>
    <s v="Grocery"/>
    <s v="West"/>
    <s v="Mar-24"/>
    <x v="1"/>
  </r>
  <r>
    <s v="ORD-00677"/>
    <d v="2024-05-07T00:00:00"/>
    <s v="CUST-0034"/>
    <s v="PROD-032"/>
    <s v="R014"/>
    <n v="2"/>
    <n v="370"/>
    <n v="8.9"/>
    <n v="674.14"/>
    <s v="Completed"/>
    <s v="Delhi"/>
    <s v="Home"/>
    <s v="South"/>
    <s v="May-24"/>
    <x v="2"/>
  </r>
  <r>
    <s v="ORD-00678"/>
    <d v="2024-12-06T00:00:00"/>
    <s v="CUST-0016"/>
    <s v="PROD-007"/>
    <s v="R007"/>
    <n v="1"/>
    <n v="1430"/>
    <n v="5.9"/>
    <n v="1345.63"/>
    <s v="Cancelled"/>
    <s v="Delhi"/>
    <s v="Electronics"/>
    <s v="North"/>
    <s v="Dec-24"/>
    <x v="3"/>
  </r>
  <r>
    <s v="ORD-00679"/>
    <d v="2024-07-21T00:00:00"/>
    <s v="CUST-0039"/>
    <s v="PROD-058"/>
    <s v="R030"/>
    <n v="2"/>
    <n v="2400"/>
    <n v="29.1"/>
    <n v="3403.2"/>
    <s v="Completed"/>
    <s v="Bengaluru"/>
    <s v="Sports"/>
    <s v="West"/>
    <s v="Jul-24"/>
    <x v="0"/>
  </r>
  <r>
    <s v="ORD-00680"/>
    <d v="2024-02-15T00:00:00"/>
    <s v="CUST-0253"/>
    <s v="PROD-007"/>
    <s v="R011"/>
    <n v="9"/>
    <n v="1430"/>
    <n v="6"/>
    <n v="12097.8"/>
    <s v="Completed"/>
    <s v="Delhi"/>
    <s v="Electronics"/>
    <s v="South"/>
    <s v="Feb-24"/>
    <x v="1"/>
  </r>
  <r>
    <s v="ORD-00681"/>
    <d v="2024-08-06T00:00:00"/>
    <s v="CUST-0295"/>
    <s v="PROD-015"/>
    <s v="R007"/>
    <n v="8"/>
    <n v="2720"/>
    <n v="25.7"/>
    <n v="16167.68"/>
    <s v="Completed"/>
    <s v="Delhi"/>
    <s v="Apparel"/>
    <s v="North"/>
    <s v="Aug-24"/>
    <x v="0"/>
  </r>
  <r>
    <s v="ORD-00682"/>
    <d v="2024-10-07T00:00:00"/>
    <s v="CUST-0138"/>
    <s v="PROD-056"/>
    <s v="R027"/>
    <n v="6"/>
    <n v="6940"/>
    <n v="25.7"/>
    <n v="30938.52"/>
    <s v="Completed"/>
    <s v="Chennai"/>
    <s v="Sports"/>
    <s v="West"/>
    <s v="Oct-24"/>
    <x v="3"/>
  </r>
  <r>
    <s v="ORD-00683"/>
    <d v="2024-06-29T00:00:00"/>
    <s v="CUST-0002"/>
    <s v="PROD-014"/>
    <s v="R007"/>
    <n v="3"/>
    <n v="3620"/>
    <n v="29.7"/>
    <n v="7634.58"/>
    <s v="Completed"/>
    <s v="Pune"/>
    <s v="Apparel"/>
    <s v="North"/>
    <s v="Jun-24"/>
    <x v="2"/>
  </r>
  <r>
    <s v="ORD-00684"/>
    <d v="2024-11-19T00:00:00"/>
    <s v="CUST-0287"/>
    <s v="PROD-010"/>
    <s v="R025"/>
    <n v="8"/>
    <n v="2640"/>
    <n v="24.4"/>
    <n v="15966.72"/>
    <s v="Completed"/>
    <s v="Chennai"/>
    <s v="Electronics"/>
    <s v="West"/>
    <s v="Nov-24"/>
    <x v="3"/>
  </r>
  <r>
    <s v="ORD-00685"/>
    <d v="2024-02-27T00:00:00"/>
    <s v="CUST-0279"/>
    <s v="PROD-038"/>
    <s v="R006"/>
    <n v="3"/>
    <n v="5490"/>
    <n v="13.5"/>
    <n v="14246.55"/>
    <s v="Completed"/>
    <s v="Mumbai"/>
    <s v="Home"/>
    <s v="North"/>
    <s v="Feb-24"/>
    <x v="1"/>
  </r>
  <r>
    <s v="ORD-00686"/>
    <d v="2024-05-01T00:00:00"/>
    <s v="CUST-0008"/>
    <s v="PROD-034"/>
    <s v="R017"/>
    <n v="3"/>
    <n v="5080"/>
    <n v="9.3000000000000007"/>
    <n v="13822.68"/>
    <s v="Completed"/>
    <s v="Pune"/>
    <s v="Home"/>
    <s v="East"/>
    <s v="May-24"/>
    <x v="2"/>
  </r>
  <r>
    <s v="ORD-00687"/>
    <d v="2024-08-11T00:00:00"/>
    <s v="CUST-0092"/>
    <s v="PROD-042"/>
    <s v="R030"/>
    <n v="4"/>
    <n v="2290"/>
    <n v="24.4"/>
    <n v="6924.96"/>
    <s v="Completed"/>
    <s v="Bengaluru"/>
    <s v="Beauty"/>
    <s v="West"/>
    <s v="Aug-24"/>
    <x v="0"/>
  </r>
  <r>
    <s v="ORD-00688"/>
    <d v="2024-06-20T00:00:00"/>
    <s v="CUST-0106"/>
    <s v="PROD-033"/>
    <s v="R011"/>
    <n v="10"/>
    <n v="2030"/>
    <n v="13.6"/>
    <n v="17539.2"/>
    <s v="Pending"/>
    <s v="Pune"/>
    <s v="Home"/>
    <s v="South"/>
    <s v="Jun-24"/>
    <x v="2"/>
  </r>
  <r>
    <s v="ORD-00689"/>
    <d v="2024-11-11T00:00:00"/>
    <s v="CUST-0010"/>
    <s v="PROD-007"/>
    <s v="R012"/>
    <n v="10"/>
    <n v="1430"/>
    <n v="16.100000000000001"/>
    <n v="11997.7"/>
    <s v="Cancelled"/>
    <s v="Mumbai"/>
    <s v="Electronics"/>
    <s v="South"/>
    <s v="Nov-24"/>
    <x v="3"/>
  </r>
  <r>
    <s v="ORD-00690"/>
    <d v="2024-03-06T00:00:00"/>
    <s v="CUST-0179"/>
    <s v="PROD-027"/>
    <s v="R009"/>
    <n v="1"/>
    <n v="3780"/>
    <n v="22.7"/>
    <n v="2921.94"/>
    <s v="Completed"/>
    <s v="Mumbai"/>
    <s v="Grocery"/>
    <s v="South"/>
    <s v="Mar-24"/>
    <x v="1"/>
  </r>
  <r>
    <s v="ORD-00691"/>
    <d v="2024-05-31T00:00:00"/>
    <s v="CUST-0216"/>
    <s v="PROD-012"/>
    <s v="R021"/>
    <n v="10"/>
    <n v="3160"/>
    <n v="13.4"/>
    <n v="27365.599999999999"/>
    <s v="Completed"/>
    <s v="Mumbai"/>
    <s v="Apparel"/>
    <s v="East"/>
    <s v="May-24"/>
    <x v="2"/>
  </r>
  <r>
    <s v="ORD-00692"/>
    <d v="2024-05-10T00:00:00"/>
    <s v="CUST-0172"/>
    <s v="PROD-007"/>
    <s v="R003"/>
    <n v="2"/>
    <n v="1430"/>
    <n v="7.4"/>
    <n v="2648.36"/>
    <s v="Completed"/>
    <s v="Pune"/>
    <s v="Electronics"/>
    <s v="North"/>
    <s v="May-24"/>
    <x v="2"/>
  </r>
  <r>
    <s v="ORD-00693"/>
    <d v="2024-12-14T00:00:00"/>
    <s v="CUST-0152"/>
    <s v="PROD-012"/>
    <s v="R006"/>
    <n v="5"/>
    <n v="3160"/>
    <n v="3.6"/>
    <n v="15231.2"/>
    <s v="Pending"/>
    <s v="Bengaluru"/>
    <s v="Apparel"/>
    <s v="North"/>
    <s v="Dec-24"/>
    <x v="3"/>
  </r>
  <r>
    <s v="ORD-00694"/>
    <d v="2024-08-17T00:00:00"/>
    <s v="CUST-0154"/>
    <s v="PROD-042"/>
    <s v="R004"/>
    <n v="2"/>
    <n v="2290"/>
    <n v="28.2"/>
    <n v="3288.44"/>
    <s v="Completed"/>
    <s v="Pune"/>
    <s v="Beauty"/>
    <s v="North"/>
    <s v="Aug-24"/>
    <x v="0"/>
  </r>
  <r>
    <s v="ORD-00695"/>
    <d v="2024-03-15T00:00:00"/>
    <s v="CUST-0001"/>
    <s v="PROD-011"/>
    <s v="R015"/>
    <n v="5"/>
    <n v="3450"/>
    <n v="18.100000000000001"/>
    <n v="14127.75"/>
    <s v="Cancelled"/>
    <s v="Pune"/>
    <s v="Apparel"/>
    <s v="South"/>
    <s v="Mar-24"/>
    <x v="1"/>
  </r>
  <r>
    <s v="ORD-00696"/>
    <d v="2024-05-27T00:00:00"/>
    <s v="CUST-0069"/>
    <s v="PROD-018"/>
    <s v="R001"/>
    <n v="1"/>
    <n v="3560"/>
    <n v="18.7"/>
    <n v="2894.28"/>
    <s v="Completed"/>
    <s v="Chennai"/>
    <s v="Apparel"/>
    <s v="North"/>
    <s v="May-24"/>
    <x v="2"/>
  </r>
  <r>
    <s v="ORD-00697"/>
    <d v="2024-05-14T00:00:00"/>
    <s v="CUST-0200"/>
    <s v="PROD-058"/>
    <s v="R009"/>
    <n v="9"/>
    <n v="2400"/>
    <n v="18.5"/>
    <n v="17604"/>
    <s v="Completed"/>
    <s v="Hyderabad"/>
    <s v="Sports"/>
    <s v="South"/>
    <s v="May-24"/>
    <x v="2"/>
  </r>
  <r>
    <s v="ORD-00698"/>
    <d v="2024-05-03T00:00:00"/>
    <s v="CUST-0164"/>
    <s v="PROD-004"/>
    <s v="R023"/>
    <n v="9"/>
    <n v="3870"/>
    <n v="6.9"/>
    <n v="32426.73"/>
    <s v="Refunded"/>
    <s v="Chennai"/>
    <s v="Electronics"/>
    <s v="East"/>
    <s v="May-24"/>
    <x v="2"/>
  </r>
  <r>
    <s v="ORD-00699"/>
    <d v="2024-11-24T00:00:00"/>
    <s v="CUST-0004"/>
    <s v="PROD-028"/>
    <s v="R022"/>
    <n v="5"/>
    <n v="3660"/>
    <n v="11.7"/>
    <n v="16158.9"/>
    <s v="Completed"/>
    <s v="Delhi"/>
    <s v="Grocery"/>
    <s v="East"/>
    <s v="Nov-24"/>
    <x v="3"/>
  </r>
  <r>
    <s v="ORD-00700"/>
    <d v="2024-02-24T00:00:00"/>
    <s v="CUST-0224"/>
    <s v="PROD-040"/>
    <s v="R030"/>
    <n v="4"/>
    <n v="1080"/>
    <n v="17.5"/>
    <n v="3564"/>
    <s v="Completed"/>
    <s v="Chennai"/>
    <s v="Home"/>
    <s v="West"/>
    <s v="Feb-24"/>
    <x v="1"/>
  </r>
  <r>
    <s v="ORD-01185"/>
    <d v="2024-01-06T00:00:00"/>
    <s v="CUST-0037"/>
    <s v="PROD-059"/>
    <s v="R006"/>
    <n v="6"/>
    <n v="3780"/>
    <n v="27.8"/>
    <n v="16374.96"/>
    <s v="Completed"/>
    <s v="Bengaluru"/>
    <s v="Sports"/>
    <s v="North"/>
    <s v="Jan-24"/>
    <x v="1"/>
  </r>
  <r>
    <s v="ORD-00702"/>
    <d v="2024-08-17T00:00:00"/>
    <s v="CUST-0179"/>
    <s v="PROD-019"/>
    <s v="R022"/>
    <n v="8"/>
    <n v="2480"/>
    <n v="15.7"/>
    <n v="16725.12"/>
    <s v="Pending"/>
    <s v="Mumbai"/>
    <s v="Apparel"/>
    <s v="East"/>
    <s v="Aug-24"/>
    <x v="0"/>
  </r>
  <r>
    <s v="ORD-00703"/>
    <d v="2024-04-27T00:00:00"/>
    <s v="CUST-0018"/>
    <s v="PROD-054"/>
    <s v="R014"/>
    <n v="10"/>
    <n v="1010"/>
    <n v="0.1"/>
    <n v="10089.9"/>
    <s v="Pending"/>
    <s v="Pune"/>
    <s v="Sports"/>
    <s v="South"/>
    <s v="Apr-24"/>
    <x v="2"/>
  </r>
  <r>
    <s v="ORD-00704"/>
    <d v="2024-04-24T00:00:00"/>
    <s v="CUST-0184"/>
    <s v="PROD-053"/>
    <s v="R015"/>
    <n v="3"/>
    <n v="470"/>
    <n v="1.1000000000000001"/>
    <n v="1394.49"/>
    <s v="Completed"/>
    <s v="Pune"/>
    <s v="Sports"/>
    <s v="South"/>
    <s v="Apr-24"/>
    <x v="2"/>
  </r>
  <r>
    <s v="ORD-00705"/>
    <d v="2024-07-01T00:00:00"/>
    <s v="CUST-0066"/>
    <s v="PROD-024"/>
    <s v="R019"/>
    <n v="4"/>
    <n v="2270"/>
    <n v="17.100000000000001"/>
    <n v="7527.32"/>
    <s v="Completed"/>
    <s v="Delhi"/>
    <s v="Grocery"/>
    <s v="East"/>
    <s v="Jul-24"/>
    <x v="0"/>
  </r>
  <r>
    <s v="ORD-00706"/>
    <d v="2024-10-23T00:00:00"/>
    <s v="CUST-0053"/>
    <s v="PROD-021"/>
    <s v="R010"/>
    <n v="7"/>
    <n v="2760"/>
    <n v="17.100000000000001"/>
    <n v="16016.28"/>
    <s v="Completed"/>
    <s v="Delhi"/>
    <s v="Grocery"/>
    <s v="South"/>
    <s v="Oct-24"/>
    <x v="3"/>
  </r>
  <r>
    <s v="ORD-00707"/>
    <d v="2024-08-26T00:00:00"/>
    <s v="CUST-0278"/>
    <s v="PROD-051"/>
    <s v="R008"/>
    <n v="6"/>
    <n v="3450"/>
    <n v="6.6"/>
    <n v="19333.8"/>
    <s v="Refunded"/>
    <s v="Hyderabad"/>
    <s v="Sports"/>
    <s v="North"/>
    <s v="Aug-24"/>
    <x v="0"/>
  </r>
  <r>
    <s v="ORD-00708"/>
    <d v="2024-12-04T00:00:00"/>
    <s v="CUST-0285"/>
    <s v="PROD-028"/>
    <s v="R007"/>
    <n v="8"/>
    <n v="3660"/>
    <n v="7.2"/>
    <n v="27171.84"/>
    <s v="Completed"/>
    <s v="Hyderabad"/>
    <s v="Grocery"/>
    <s v="North"/>
    <s v="Dec-24"/>
    <x v="3"/>
  </r>
  <r>
    <s v="ORD-00709"/>
    <d v="2024-09-16T00:00:00"/>
    <s v="CUST-0060"/>
    <s v="PROD-009"/>
    <s v="R030"/>
    <n v="4"/>
    <n v="1220"/>
    <n v="24.3"/>
    <n v="3694.16"/>
    <s v="Cancelled"/>
    <s v="Pune"/>
    <s v="Electronics"/>
    <s v="West"/>
    <s v="Sep-24"/>
    <x v="0"/>
  </r>
  <r>
    <s v="ORD-00710"/>
    <d v="2024-11-14T00:00:00"/>
    <s v="CUST-0236"/>
    <s v="PROD-052"/>
    <s v="R007"/>
    <n v="2"/>
    <n v="5410"/>
    <n v="0.9"/>
    <n v="10722.62"/>
    <s v="Pending"/>
    <s v="Hyderabad"/>
    <s v="Sports"/>
    <s v="North"/>
    <s v="Nov-24"/>
    <x v="3"/>
  </r>
  <r>
    <s v="ORD-00711"/>
    <d v="2024-01-31T00:00:00"/>
    <s v="CUST-0106"/>
    <s v="PROD-033"/>
    <s v="R009"/>
    <n v="5"/>
    <n v="2030"/>
    <n v="25.2"/>
    <n v="7592.2"/>
    <s v="Completed"/>
    <s v="Pune"/>
    <s v="Home"/>
    <s v="South"/>
    <s v="Jan-24"/>
    <x v="1"/>
  </r>
  <r>
    <s v="ORD-00712"/>
    <d v="2024-03-12T00:00:00"/>
    <s v="CUST-0085"/>
    <s v="PROD-009"/>
    <s v="R012"/>
    <n v="5"/>
    <n v="1220"/>
    <n v="2.6"/>
    <n v="5941.4"/>
    <s v="Completed"/>
    <s v="Chennai"/>
    <s v="Electronics"/>
    <s v="South"/>
    <s v="Mar-24"/>
    <x v="1"/>
  </r>
  <r>
    <s v="ORD-00713"/>
    <d v="2024-11-04T00:00:00"/>
    <s v="CUST-0075"/>
    <s v="PROD-008"/>
    <s v="R006"/>
    <n v="4"/>
    <n v="2660"/>
    <n v="19.100000000000001"/>
    <n v="8607.76"/>
    <s v="Refunded"/>
    <s v="Mumbai"/>
    <s v="Electronics"/>
    <s v="North"/>
    <s v="Nov-24"/>
    <x v="3"/>
  </r>
  <r>
    <s v="ORD-00714"/>
    <d v="2024-02-29T00:00:00"/>
    <s v="CUST-0169"/>
    <s v="PROD-026"/>
    <s v="R016"/>
    <n v="3"/>
    <n v="4070"/>
    <n v="25.2"/>
    <n v="9133.08"/>
    <s v="Completed"/>
    <s v="Bengaluru"/>
    <s v="Grocery"/>
    <s v="South"/>
    <s v="Feb-24"/>
    <x v="1"/>
  </r>
  <r>
    <s v="ORD-00715"/>
    <d v="2024-06-18T00:00:00"/>
    <s v="CUST-0166"/>
    <s v="PROD-049"/>
    <s v="R014"/>
    <n v="10"/>
    <n v="960"/>
    <n v="0.3"/>
    <n v="9571.2000000000007"/>
    <s v="Completed"/>
    <s v="Hyderabad"/>
    <s v="Beauty"/>
    <s v="South"/>
    <s v="Jun-24"/>
    <x v="2"/>
  </r>
  <r>
    <s v="ORD-00716"/>
    <d v="2024-05-19T00:00:00"/>
    <s v="CUST-0065"/>
    <s v="PROD-031"/>
    <s v="R029"/>
    <n v="2"/>
    <n v="3730"/>
    <n v="29.9"/>
    <n v="5229.46"/>
    <s v="Completed"/>
    <s v="Chennai"/>
    <s v="Home"/>
    <s v="West"/>
    <s v="May-24"/>
    <x v="2"/>
  </r>
  <r>
    <s v="ORD-00717"/>
    <d v="2024-10-27T00:00:00"/>
    <s v="CUST-0102"/>
    <s v="PROD-057"/>
    <s v="R004"/>
    <n v="9"/>
    <n v="960"/>
    <n v="1.9"/>
    <n v="8475.84"/>
    <s v="Completed"/>
    <s v="Chennai"/>
    <s v="Sports"/>
    <s v="North"/>
    <s v="Oct-24"/>
    <x v="3"/>
  </r>
  <r>
    <s v="ORD-00718"/>
    <d v="2024-06-11T00:00:00"/>
    <s v="CUST-0052"/>
    <s v="PROD-011"/>
    <s v="R004"/>
    <n v="2"/>
    <n v="3450"/>
    <n v="22.9"/>
    <n v="5319.9"/>
    <s v="Pending"/>
    <s v="Pune"/>
    <s v="Apparel"/>
    <s v="North"/>
    <s v="Jun-24"/>
    <x v="2"/>
  </r>
  <r>
    <s v="ORD-00719"/>
    <d v="2024-11-20T00:00:00"/>
    <s v="CUST-0130"/>
    <s v="PROD-052"/>
    <s v="R010"/>
    <n v="3"/>
    <n v="5410"/>
    <n v="15.5"/>
    <n v="13714.35"/>
    <s v="Completed"/>
    <s v="Bengaluru"/>
    <s v="Sports"/>
    <s v="South"/>
    <s v="Nov-24"/>
    <x v="3"/>
  </r>
  <r>
    <s v="ORD-00720"/>
    <d v="2024-06-05T00:00:00"/>
    <s v="CUST-0284"/>
    <s v="PROD-043"/>
    <s v="R019"/>
    <n v="8"/>
    <n v="3350"/>
    <n v="18.399999999999999"/>
    <n v="21868.799999999999"/>
    <s v="Completed"/>
    <s v="Hyderabad"/>
    <s v="Beauty"/>
    <s v="East"/>
    <s v="Jun-24"/>
    <x v="2"/>
  </r>
  <r>
    <s v="ORD-00721"/>
    <d v="2024-11-15T00:00:00"/>
    <s v="CUST-0053"/>
    <s v="PROD-015"/>
    <s v="R008"/>
    <n v="5"/>
    <n v="2720"/>
    <n v="17.3"/>
    <n v="11247.2"/>
    <s v="Cancelled"/>
    <s v="Delhi"/>
    <s v="Apparel"/>
    <s v="North"/>
    <s v="Nov-24"/>
    <x v="3"/>
  </r>
  <r>
    <s v="ORD-00722"/>
    <d v="2024-04-21T00:00:00"/>
    <s v="CUST-0293"/>
    <s v="PROD-028"/>
    <s v="R017"/>
    <n v="8"/>
    <n v="3660"/>
    <n v="28.8"/>
    <n v="20847.36"/>
    <s v="Completed"/>
    <s v="Bengaluru"/>
    <s v="Grocery"/>
    <s v="East"/>
    <s v="Apr-24"/>
    <x v="2"/>
  </r>
  <r>
    <s v="ORD-00723"/>
    <d v="2024-08-26T00:00:00"/>
    <s v="CUST-0242"/>
    <s v="PROD-005"/>
    <s v="R013"/>
    <n v="6"/>
    <n v="300"/>
    <n v="23.9"/>
    <n v="1369.8"/>
    <s v="Cancelled"/>
    <s v="Chennai"/>
    <s v="Electronics"/>
    <s v="South"/>
    <s v="Aug-24"/>
    <x v="0"/>
  </r>
  <r>
    <s v="ORD-00724"/>
    <d v="2024-09-13T00:00:00"/>
    <s v="CUST-0226"/>
    <s v="PROD-042"/>
    <s v="R026"/>
    <n v="3"/>
    <n v="2290"/>
    <n v="2.4"/>
    <n v="6705.12"/>
    <s v="Completed"/>
    <s v="Chennai"/>
    <s v="Beauty"/>
    <s v="West"/>
    <s v="Sep-24"/>
    <x v="0"/>
  </r>
  <r>
    <s v="ORD-00725"/>
    <d v="2024-04-21T00:00:00"/>
    <s v="CUST-0005"/>
    <s v="PROD-046"/>
    <s v="R014"/>
    <n v="6"/>
    <n v="4880"/>
    <n v="11.1"/>
    <n v="26029.919999999998"/>
    <s v="Pending"/>
    <s v="Chennai"/>
    <s v="Beauty"/>
    <s v="South"/>
    <s v="Apr-24"/>
    <x v="2"/>
  </r>
  <r>
    <s v="ORD-00726"/>
    <d v="2024-09-27T00:00:00"/>
    <s v="CUST-0211"/>
    <s v="PROD-005"/>
    <s v="R007"/>
    <n v="5"/>
    <n v="300"/>
    <n v="19.399999999999999"/>
    <n v="1209"/>
    <s v="Completed"/>
    <s v="Bengaluru"/>
    <s v="Electronics"/>
    <s v="North"/>
    <s v="Sep-24"/>
    <x v="0"/>
  </r>
  <r>
    <s v="ORD-00727"/>
    <d v="2024-12-09T00:00:00"/>
    <s v="CUST-0229"/>
    <s v="PROD-008"/>
    <s v="R030"/>
    <n v="3"/>
    <n v="2660"/>
    <n v="28.5"/>
    <n v="5705.7"/>
    <s v="Pending"/>
    <s v="Hyderabad"/>
    <s v="Electronics"/>
    <s v="West"/>
    <s v="Dec-24"/>
    <x v="3"/>
  </r>
  <r>
    <s v="ORD-00728"/>
    <d v="2024-05-22T00:00:00"/>
    <s v="CUST-0037"/>
    <s v="PROD-035"/>
    <s v="R024"/>
    <n v="7"/>
    <n v="1090"/>
    <n v="10.3"/>
    <n v="6844.11"/>
    <s v="Completed"/>
    <s v="Bengaluru"/>
    <s v="Home"/>
    <s v="West"/>
    <s v="May-24"/>
    <x v="2"/>
  </r>
  <r>
    <s v="ORD-00729"/>
    <d v="2024-02-28T00:00:00"/>
    <s v="CUST-0059"/>
    <s v="PROD-007"/>
    <s v="R012"/>
    <n v="9"/>
    <n v="1430"/>
    <n v="12.1"/>
    <n v="11312.73"/>
    <s v="Cancelled"/>
    <s v="Pune"/>
    <s v="Electronics"/>
    <s v="South"/>
    <s v="Feb-24"/>
    <x v="1"/>
  </r>
  <r>
    <s v="ORD-00730"/>
    <d v="2024-02-22T00:00:00"/>
    <s v="CUST-0222"/>
    <s v="PROD-010"/>
    <s v="R005"/>
    <n v="5"/>
    <n v="2640"/>
    <n v="26.8"/>
    <n v="9662.4"/>
    <s v="Completed"/>
    <s v="Chennai"/>
    <s v="Electronics"/>
    <s v="North"/>
    <s v="Feb-24"/>
    <x v="1"/>
  </r>
  <r>
    <s v="ORD-00731"/>
    <d v="2024-07-25T00:00:00"/>
    <s v="CUST-0157"/>
    <s v="PROD-015"/>
    <s v="R001"/>
    <n v="8"/>
    <n v="2720"/>
    <n v="17.5"/>
    <n v="17952"/>
    <s v="Completed"/>
    <s v="Pune"/>
    <s v="Apparel"/>
    <s v="North"/>
    <s v="Jul-24"/>
    <x v="0"/>
  </r>
  <r>
    <s v="ORD-00732"/>
    <d v="2024-08-16T00:00:00"/>
    <s v="CUST-0027"/>
    <s v="PROD-013"/>
    <s v="R016"/>
    <n v="9"/>
    <n v="3640"/>
    <n v="3.6"/>
    <n v="31580.639999999999"/>
    <s v="Completed"/>
    <s v="Hyderabad"/>
    <s v="Apparel"/>
    <s v="South"/>
    <s v="Aug-24"/>
    <x v="0"/>
  </r>
  <r>
    <s v="ORD-00733"/>
    <d v="2024-09-19T00:00:00"/>
    <s v="CUST-9846"/>
    <s v="PROD-050"/>
    <s v="R021"/>
    <n v="7"/>
    <n v="6080"/>
    <n v="23.6"/>
    <n v="32515.84"/>
    <s v="Completed"/>
    <s v="Mumbai"/>
    <s v="Beauty"/>
    <s v="East"/>
    <s v="Sep-24"/>
    <x v="0"/>
  </r>
  <r>
    <s v="ORD-00734"/>
    <d v="2024-10-19T00:00:00"/>
    <s v="CUST-0011"/>
    <s v="PROD-001"/>
    <s v="R015"/>
    <n v="7"/>
    <n v="5330"/>
    <n v="19.7"/>
    <n v="29959.93"/>
    <s v="Cancelled"/>
    <s v="Chennai"/>
    <s v="Electronics"/>
    <s v="South"/>
    <s v="Oct-24"/>
    <x v="3"/>
  </r>
  <r>
    <s v="ORD-00735"/>
    <d v="2024-10-28T00:00:00"/>
    <s v="CUST-0043"/>
    <s v="PROD-039"/>
    <s v="R024"/>
    <n v="5"/>
    <n v="4610"/>
    <n v="3.6"/>
    <n v="22220.2"/>
    <s v="Completed"/>
    <s v="Hyderabad"/>
    <s v="Home"/>
    <s v="West"/>
    <s v="Oct-24"/>
    <x v="3"/>
  </r>
  <r>
    <s v="ORD-00736"/>
    <d v="2024-01-11T00:00:00"/>
    <s v="CUST-0154"/>
    <s v="PROD-001"/>
    <s v="R030"/>
    <n v="9"/>
    <n v="5330"/>
    <n v="22.9"/>
    <n v="36984.870000000003"/>
    <s v="Completed"/>
    <s v="Pune"/>
    <s v="Electronics"/>
    <s v="West"/>
    <s v="Jan-24"/>
    <x v="1"/>
  </r>
  <r>
    <s v="ORD-00737"/>
    <d v="2024-05-28T00:00:00"/>
    <s v="CUST-0163"/>
    <s v="PROD-050"/>
    <s v="R018"/>
    <n v="5"/>
    <n v="6080"/>
    <n v="6"/>
    <n v="28576"/>
    <s v="Refunded"/>
    <s v="Pune"/>
    <s v="Beauty"/>
    <s v="East"/>
    <s v="May-24"/>
    <x v="2"/>
  </r>
  <r>
    <s v="ORD-00738"/>
    <d v="2024-01-08T00:00:00"/>
    <s v="CUST-0299"/>
    <s v="PROD-013"/>
    <s v="R017"/>
    <n v="7"/>
    <n v="3640"/>
    <n v="5.5"/>
    <n v="24078.6"/>
    <s v="Completed"/>
    <s v="Mumbai"/>
    <s v="Apparel"/>
    <s v="East"/>
    <s v="Jan-24"/>
    <x v="1"/>
  </r>
  <r>
    <s v="ORD-00739"/>
    <d v="2024-02-14T00:00:00"/>
    <s v="CUST-0240"/>
    <s v="PROD-008"/>
    <s v="R013"/>
    <n v="1"/>
    <n v="2660"/>
    <n v="6.1"/>
    <n v="2497.7399999999998"/>
    <s v="Cancelled"/>
    <s v="Chennai"/>
    <s v="Electronics"/>
    <s v="South"/>
    <s v="Feb-24"/>
    <x v="1"/>
  </r>
  <r>
    <s v="ORD-00740"/>
    <d v="2024-01-09T00:00:00"/>
    <s v="CUST-0291"/>
    <s v="PROD-043"/>
    <s v="R015"/>
    <n v="8"/>
    <n v="3350"/>
    <n v="19.5"/>
    <n v="21574"/>
    <s v="Completed"/>
    <s v="Pune"/>
    <s v="Beauty"/>
    <s v="South"/>
    <s v="Jan-24"/>
    <x v="1"/>
  </r>
  <r>
    <s v="ORD-00741"/>
    <d v="2024-12-22T00:00:00"/>
    <s v="CUST-0243"/>
    <s v="PROD-039"/>
    <s v="R019"/>
    <n v="4"/>
    <n v="4610"/>
    <n v="24"/>
    <n v="14014.4"/>
    <s v="Completed"/>
    <s v="Pune"/>
    <s v="Home"/>
    <s v="East"/>
    <s v="Dec-24"/>
    <x v="3"/>
  </r>
  <r>
    <s v="ORD-00742"/>
    <d v="2024-01-02T00:00:00"/>
    <s v="CUST-0073"/>
    <s v="PROD-055"/>
    <s v="R014"/>
    <n v="7"/>
    <n v="2860"/>
    <n v="23.2"/>
    <n v="15375.36"/>
    <s v="Completed"/>
    <s v="Pune"/>
    <s v="Sports"/>
    <s v="South"/>
    <s v="Jan-24"/>
    <x v="1"/>
  </r>
  <r>
    <s v="ORD-00743"/>
    <d v="2024-12-18T00:00:00"/>
    <s v="CUST-0154"/>
    <s v="PROD-043"/>
    <s v="R013"/>
    <n v="7"/>
    <n v="3350"/>
    <n v="10.6"/>
    <n v="20964.3"/>
    <s v="Pending"/>
    <s v="Pune"/>
    <s v="Beauty"/>
    <s v="South"/>
    <s v="Dec-24"/>
    <x v="3"/>
  </r>
  <r>
    <s v="ORD-00744"/>
    <d v="2024-10-24T00:00:00"/>
    <s v="CUST-0084"/>
    <s v="PROD-029"/>
    <s v="R028"/>
    <n v="5"/>
    <n v="2210"/>
    <n v="12.1"/>
    <n v="9712.9500000000007"/>
    <s v="Completed"/>
    <s v="Chennai"/>
    <s v="Grocery"/>
    <s v="West"/>
    <s v="Oct-24"/>
    <x v="3"/>
  </r>
  <r>
    <s v="ORD-00745"/>
    <d v="2024-02-07T00:00:00"/>
    <s v="CUST-0228"/>
    <s v="PROD-047"/>
    <s v="R013"/>
    <n v="1"/>
    <n v="3450"/>
    <n v="19.100000000000001"/>
    <n v="2791.05"/>
    <s v="Pending"/>
    <s v="Pune"/>
    <s v="Beauty"/>
    <s v="South"/>
    <s v="Feb-24"/>
    <x v="1"/>
  </r>
  <r>
    <s v="ORD-00746"/>
    <d v="2024-10-22T00:00:00"/>
    <s v="CUST-0232"/>
    <s v="PROD-048"/>
    <s v="R028"/>
    <n v="5"/>
    <n v="5100"/>
    <n v="2.8"/>
    <n v="24786"/>
    <s v="Completed"/>
    <s v="Hyderabad"/>
    <s v="Beauty"/>
    <s v="West"/>
    <s v="Oct-24"/>
    <x v="3"/>
  </r>
  <r>
    <s v="ORD-00747"/>
    <d v="2024-05-11T00:00:00"/>
    <s v="CUST-0129"/>
    <s v="PROD-048"/>
    <s v="R003"/>
    <n v="9"/>
    <n v="5100"/>
    <n v="24.4"/>
    <n v="34700.400000000001"/>
    <s v="Completed"/>
    <s v="Hyderabad"/>
    <s v="Beauty"/>
    <s v="North"/>
    <s v="May-24"/>
    <x v="2"/>
  </r>
  <r>
    <s v="ORD-00748"/>
    <d v="2024-10-03T00:00:00"/>
    <s v="CUST-0189"/>
    <s v="PROD-037"/>
    <s v="R006"/>
    <n v="9"/>
    <n v="660"/>
    <n v="19.8"/>
    <n v="4763.88"/>
    <s v="Completed"/>
    <s v="Chennai"/>
    <s v="Home"/>
    <s v="North"/>
    <s v="Oct-24"/>
    <x v="3"/>
  </r>
  <r>
    <s v="ORD-00749"/>
    <d v="2024-09-14T00:00:00"/>
    <s v="CUST-0122"/>
    <s v="PROD-026"/>
    <s v="R006"/>
    <n v="3"/>
    <n v="4070"/>
    <n v="27.1"/>
    <n v="8901.09"/>
    <s v="Completed"/>
    <s v="Mumbai"/>
    <s v="Grocery"/>
    <s v="North"/>
    <s v="Sep-24"/>
    <x v="0"/>
  </r>
  <r>
    <s v="ORD-00750"/>
    <d v="2024-07-31T00:00:00"/>
    <s v="CUST-0170"/>
    <s v="PROD-017"/>
    <s v="R007"/>
    <n v="2"/>
    <n v="2510"/>
    <n v="29.1"/>
    <n v="3559.18"/>
    <s v="Completed"/>
    <s v="Mumbai"/>
    <s v="Apparel"/>
    <s v="North"/>
    <s v="Jul-24"/>
    <x v="0"/>
  </r>
  <r>
    <s v="ORD-00751"/>
    <d v="2024-06-06T00:00:00"/>
    <s v="CUST-0291"/>
    <s v="PROD-036"/>
    <s v="R030"/>
    <n v="4"/>
    <n v="3250"/>
    <n v="21.1"/>
    <n v="10257"/>
    <s v="Completed"/>
    <s v="Pune"/>
    <s v="Home"/>
    <s v="West"/>
    <s v="Jun-24"/>
    <x v="2"/>
  </r>
  <r>
    <s v="ORD-00752"/>
    <d v="2024-11-04T00:00:00"/>
    <s v="CUST-0090"/>
    <s v="PROD-032"/>
    <s v="R005"/>
    <n v="3"/>
    <n v="370"/>
    <n v="7.7"/>
    <n v="1024.53"/>
    <s v="Completed"/>
    <s v="Bengaluru"/>
    <s v="Home"/>
    <s v="North"/>
    <s v="Nov-24"/>
    <x v="3"/>
  </r>
  <r>
    <s v="ORD-00753"/>
    <d v="2024-07-06T00:00:00"/>
    <s v="CUST-0205"/>
    <s v="PROD-020"/>
    <s v="R006"/>
    <n v="10"/>
    <n v="820"/>
    <n v="3.5"/>
    <n v="7913"/>
    <s v="Completed"/>
    <s v="Pune"/>
    <s v="Apparel"/>
    <s v="North"/>
    <s v="Jul-24"/>
    <x v="0"/>
  </r>
  <r>
    <s v="ORD-00754"/>
    <d v="2024-08-27T00:00:00"/>
    <s v="CUST-0192"/>
    <s v="PROD-026"/>
    <s v="R029"/>
    <n v="4"/>
    <n v="4070"/>
    <n v="23.8"/>
    <n v="12405.36"/>
    <s v="Completed"/>
    <s v="Bengaluru"/>
    <s v="Grocery"/>
    <s v="West"/>
    <s v="Aug-24"/>
    <x v="0"/>
  </r>
  <r>
    <s v="ORD-00755"/>
    <d v="2024-03-05T00:00:00"/>
    <s v="CUST-0270"/>
    <s v="PROD-023"/>
    <s v="R011"/>
    <n v="1"/>
    <n v="2380"/>
    <n v="19.600000000000001"/>
    <n v="1913.52"/>
    <s v="Cancelled"/>
    <s v="Bengaluru"/>
    <s v="Grocery"/>
    <s v="South"/>
    <s v="Mar-24"/>
    <x v="1"/>
  </r>
  <r>
    <s v="ORD-00756"/>
    <d v="2024-09-18T00:00:00"/>
    <s v="CUST-0266"/>
    <s v="PROD-038"/>
    <s v="R030"/>
    <n v="3"/>
    <n v="5490"/>
    <n v="2.5"/>
    <n v="16058.25"/>
    <s v="Completed"/>
    <s v="Pune"/>
    <s v="Home"/>
    <s v="West"/>
    <s v="Sep-24"/>
    <x v="0"/>
  </r>
  <r>
    <s v="ORD-00757"/>
    <d v="2024-07-19T00:00:00"/>
    <s v="CUST-0208"/>
    <s v="PROD-013"/>
    <s v="R027"/>
    <n v="3"/>
    <n v="3640"/>
    <n v="23.3"/>
    <n v="8375.64"/>
    <s v="Completed"/>
    <s v="Mumbai"/>
    <s v="Apparel"/>
    <s v="West"/>
    <s v="Jul-24"/>
    <x v="0"/>
  </r>
  <r>
    <s v="ORD-00758"/>
    <d v="2024-04-06T00:00:00"/>
    <s v="CUST-0224"/>
    <s v="PROD-039"/>
    <s v="R018"/>
    <n v="2"/>
    <n v="4610"/>
    <n v="5"/>
    <n v="8759"/>
    <s v="Pending"/>
    <s v="Chennai"/>
    <s v="Home"/>
    <s v="East"/>
    <s v="Apr-24"/>
    <x v="2"/>
  </r>
  <r>
    <s v="ORD-00759"/>
    <d v="2024-03-18T00:00:00"/>
    <s v="CUST-0264"/>
    <s v="PROD-058"/>
    <s v="R001"/>
    <n v="8"/>
    <n v="2400"/>
    <n v="10"/>
    <n v="17280"/>
    <s v="Pending"/>
    <s v="Pune"/>
    <s v="Sports"/>
    <s v="North"/>
    <s v="Mar-24"/>
    <x v="1"/>
  </r>
  <r>
    <s v="ORD-00760"/>
    <d v="2024-11-01T00:00:00"/>
    <s v="CUST-0113"/>
    <s v="PROD-043"/>
    <s v="R002"/>
    <n v="7"/>
    <n v="3350"/>
    <n v="23.7"/>
    <n v="17892.349999999999"/>
    <s v="Completed"/>
    <s v="Delhi"/>
    <s v="Beauty"/>
    <s v="North"/>
    <s v="Nov-24"/>
    <x v="3"/>
  </r>
  <r>
    <s v="ORD-00761"/>
    <d v="2024-11-15T00:00:00"/>
    <s v="CUST-0160"/>
    <s v="PROD-013"/>
    <s v="R012"/>
    <n v="4"/>
    <n v="3640"/>
    <n v="9.3000000000000007"/>
    <n v="13205.92"/>
    <s v="Cancelled"/>
    <s v="Hyderabad"/>
    <s v="Apparel"/>
    <s v="South"/>
    <s v="Nov-24"/>
    <x v="3"/>
  </r>
  <r>
    <s v="ORD-00762"/>
    <d v="2024-10-14T00:00:00"/>
    <s v="CUST-0109"/>
    <s v="PROD-013"/>
    <s v="R028"/>
    <n v="9"/>
    <n v="3640"/>
    <n v="13.1"/>
    <n v="28468.44"/>
    <s v="Pending"/>
    <s v="Pune"/>
    <s v="Apparel"/>
    <s v="West"/>
    <s v="Oct-24"/>
    <x v="3"/>
  </r>
  <r>
    <s v="ORD-00763"/>
    <d v="2024-12-08T00:00:00"/>
    <s v="CUST-0107"/>
    <s v="PROD-033"/>
    <s v="R014"/>
    <n v="2"/>
    <n v="2030"/>
    <n v="12.2"/>
    <n v="3564.68"/>
    <s v="Completed"/>
    <s v="Pune"/>
    <s v="Home"/>
    <s v="South"/>
    <s v="Dec-24"/>
    <x v="3"/>
  </r>
  <r>
    <s v="ORD-00764"/>
    <d v="2024-06-28T00:00:00"/>
    <s v="CUST-0120"/>
    <s v="PROD-012"/>
    <s v="R002"/>
    <n v="4"/>
    <n v="3160"/>
    <n v="7.5"/>
    <n v="11692"/>
    <s v="Completed"/>
    <s v="Mumbai"/>
    <s v="Apparel"/>
    <s v="North"/>
    <s v="Jun-24"/>
    <x v="2"/>
  </r>
  <r>
    <s v="ORD-00765"/>
    <d v="2024-02-05T00:00:00"/>
    <s v="CUST-0225"/>
    <s v="PROD-026"/>
    <s v="R029"/>
    <n v="10"/>
    <n v="4070"/>
    <n v="8.3000000000000007"/>
    <n v="37321.9"/>
    <s v="Completed"/>
    <s v="Chennai"/>
    <s v="Grocery"/>
    <s v="West"/>
    <s v="Feb-24"/>
    <x v="1"/>
  </r>
  <r>
    <s v="ORD-00766"/>
    <d v="2024-02-21T00:00:00"/>
    <s v="CUST-0134"/>
    <s v="PROD-025"/>
    <s v="R024"/>
    <n v="8"/>
    <n v="4060"/>
    <n v="8.5"/>
    <n v="29719.200000000001"/>
    <s v="Completed"/>
    <s v="Delhi"/>
    <s v="Grocery"/>
    <s v="West"/>
    <s v="Feb-24"/>
    <x v="1"/>
  </r>
  <r>
    <s v="ORD-00767"/>
    <d v="2024-02-12T00:00:00"/>
    <s v="CUST-0279"/>
    <s v="PROD-057"/>
    <s v="R018"/>
    <n v="8"/>
    <n v="960"/>
    <n v="8.6999999999999993"/>
    <n v="7011.84"/>
    <s v="Completed"/>
    <s v="Mumbai"/>
    <s v="Sports"/>
    <s v="East"/>
    <s v="Feb-24"/>
    <x v="1"/>
  </r>
  <r>
    <s v="ORD-00768"/>
    <d v="2024-01-15T00:00:00"/>
    <s v="CUST-0247"/>
    <s v="PROD-022"/>
    <s v="R027"/>
    <n v="2"/>
    <n v="2270"/>
    <n v="10.199999999999999"/>
    <n v="4076.92"/>
    <s v="Completed"/>
    <s v="Pune"/>
    <s v="Grocery"/>
    <s v="West"/>
    <s v="Jan-24"/>
    <x v="1"/>
  </r>
  <r>
    <s v="ORD-00769"/>
    <d v="2024-01-05T00:00:00"/>
    <s v="CUST-0129"/>
    <s v="PROD-027"/>
    <s v="R007"/>
    <n v="1"/>
    <n v="3780"/>
    <n v="15.3"/>
    <n v="3201.66"/>
    <s v="Cancelled"/>
    <s v="Hyderabad"/>
    <s v="Grocery"/>
    <s v="North"/>
    <s v="Jan-24"/>
    <x v="1"/>
  </r>
  <r>
    <s v="ORD-00770"/>
    <d v="2024-07-16T00:00:00"/>
    <s v="CUST-0038"/>
    <s v="PROD-042"/>
    <s v="R028"/>
    <n v="10"/>
    <n v="2290"/>
    <n v="2.4"/>
    <n v="22350.400000000001"/>
    <s v="Pending"/>
    <s v="Mumbai"/>
    <s v="Beauty"/>
    <s v="West"/>
    <s v="Jul-24"/>
    <x v="0"/>
  </r>
  <r>
    <s v="ORD-00771"/>
    <d v="2024-05-04T00:00:00"/>
    <s v="CUST-0109"/>
    <s v="PROD-043"/>
    <s v="R017"/>
    <n v="5"/>
    <n v="3350"/>
    <n v="18.5"/>
    <n v="13651.25"/>
    <s v="Cancelled"/>
    <s v="Pune"/>
    <s v="Beauty"/>
    <s v="East"/>
    <s v="May-24"/>
    <x v="2"/>
  </r>
  <r>
    <s v="ORD-00772"/>
    <d v="2024-02-25T00:00:00"/>
    <s v="CUST-0051"/>
    <s v="PROD-017"/>
    <s v="R021"/>
    <n v="7"/>
    <n v="2510"/>
    <n v="4.2"/>
    <n v="16832.060000000001"/>
    <s v="Cancelled"/>
    <s v="Pune"/>
    <s v="Apparel"/>
    <s v="East"/>
    <s v="Feb-24"/>
    <x v="1"/>
  </r>
  <r>
    <s v="ORD-00773"/>
    <d v="2024-12-26T00:00:00"/>
    <s v="CUST-0265"/>
    <s v="PROD-002"/>
    <s v="R018"/>
    <n v="1"/>
    <n v="2600"/>
    <n v="2.2000000000000002"/>
    <n v="2542.8000000000002"/>
    <s v="Completed"/>
    <s v="Chennai"/>
    <s v="Electronics"/>
    <s v="East"/>
    <s v="Dec-24"/>
    <x v="3"/>
  </r>
  <r>
    <s v="ORD-00774"/>
    <d v="2024-06-24T00:00:00"/>
    <s v="CUST-0192"/>
    <s v="PROD-053"/>
    <s v="R003"/>
    <n v="8"/>
    <n v="470"/>
    <n v="25.2"/>
    <n v="2812.48"/>
    <s v="Completed"/>
    <s v="Bengaluru"/>
    <s v="Sports"/>
    <s v="North"/>
    <s v="Jun-24"/>
    <x v="2"/>
  </r>
  <r>
    <s v="ORD-00775"/>
    <d v="2024-09-23T00:00:00"/>
    <s v="CUST-0241"/>
    <s v="PROD-040"/>
    <s v="R012"/>
    <n v="6"/>
    <n v="1080"/>
    <n v="25"/>
    <n v="4860"/>
    <s v="Completed"/>
    <s v="Pune"/>
    <s v="Home"/>
    <s v="South"/>
    <s v="Sep-24"/>
    <x v="0"/>
  </r>
  <r>
    <s v="ORD-00776"/>
    <d v="2024-12-19T00:00:00"/>
    <s v="CUST-0243"/>
    <s v="PROD-054"/>
    <s v="R019"/>
    <n v="2"/>
    <n v="1010"/>
    <n v="16.100000000000001"/>
    <n v="1694.78"/>
    <s v="Completed"/>
    <s v="Pune"/>
    <s v="Sports"/>
    <s v="East"/>
    <s v="Dec-24"/>
    <x v="3"/>
  </r>
  <r>
    <s v="ORD-00777"/>
    <d v="2024-05-06T00:00:00"/>
    <s v="CUST-0016"/>
    <s v="PROD-004"/>
    <s v="R002"/>
    <n v="6"/>
    <n v="3870"/>
    <n v="22.4"/>
    <n v="18018.72"/>
    <s v="Cancelled"/>
    <s v="Delhi"/>
    <s v="Electronics"/>
    <s v="North"/>
    <s v="May-24"/>
    <x v="2"/>
  </r>
  <r>
    <s v="ORD-00778"/>
    <d v="2024-12-29T00:00:00"/>
    <s v="CUST-0249"/>
    <s v="PROD-033"/>
    <s v="R027"/>
    <n v="3"/>
    <n v="2030"/>
    <n v="18.5"/>
    <n v="4963.3500000000004"/>
    <s v="Completed"/>
    <s v="Mumbai"/>
    <s v="Home"/>
    <s v="West"/>
    <s v="Dec-24"/>
    <x v="3"/>
  </r>
  <r>
    <s v="ORD-00779"/>
    <d v="2024-09-05T00:00:00"/>
    <s v="CUST-0021"/>
    <s v="PROD-040"/>
    <s v="R027"/>
    <n v="7"/>
    <n v="1080"/>
    <n v="6.8"/>
    <n v="7045.92"/>
    <s v="Pending"/>
    <s v="Pune"/>
    <s v="Home"/>
    <s v="West"/>
    <s v="Sep-24"/>
    <x v="0"/>
  </r>
  <r>
    <s v="ORD-00780"/>
    <d v="2024-11-13T00:00:00"/>
    <s v="CUST-0255"/>
    <s v="PROD-035"/>
    <s v="R009"/>
    <n v="1"/>
    <n v="1090"/>
    <n v="20.6"/>
    <n v="865.46"/>
    <s v="Completed"/>
    <s v="Chennai"/>
    <s v="Home"/>
    <s v="South"/>
    <s v="Nov-24"/>
    <x v="3"/>
  </r>
  <r>
    <s v="ORD-00781"/>
    <d v="2024-08-24T00:00:00"/>
    <s v="CUST-0084"/>
    <s v="PROD-032"/>
    <s v="R011"/>
    <n v="8"/>
    <n v="370"/>
    <n v="1.7"/>
    <n v="2909.68"/>
    <s v="Completed"/>
    <s v="Chennai"/>
    <s v="Home"/>
    <s v="South"/>
    <s v="Aug-24"/>
    <x v="0"/>
  </r>
  <r>
    <s v="ORD-00782"/>
    <d v="2024-11-29T00:00:00"/>
    <s v="CUST-0289"/>
    <s v="PROD-018"/>
    <s v="R018"/>
    <n v="7"/>
    <n v="3560"/>
    <n v="28.7"/>
    <n v="17767.96"/>
    <s v="Completed"/>
    <s v="Mumbai"/>
    <s v="Apparel"/>
    <s v="East"/>
    <s v="Nov-24"/>
    <x v="3"/>
  </r>
  <r>
    <s v="ORD-00783"/>
    <d v="2024-06-01T00:00:00"/>
    <s v="CUST-0026"/>
    <s v="PROD-050"/>
    <s v="R016"/>
    <n v="9"/>
    <n v="6080"/>
    <n v="16.3"/>
    <n v="45800.639999999999"/>
    <s v="Cancelled"/>
    <s v="Pune"/>
    <s v="Beauty"/>
    <s v="South"/>
    <s v="Jun-24"/>
    <x v="2"/>
  </r>
  <r>
    <s v="ORD-00784"/>
    <d v="2024-08-01T00:00:00"/>
    <s v="CUST-0273"/>
    <s v="PROD-051"/>
    <s v="R015"/>
    <n v="2"/>
    <n v="3450"/>
    <n v="17.600000000000001"/>
    <n v="5685.6"/>
    <s v="Pending"/>
    <s v="Hyderabad"/>
    <s v="Sports"/>
    <s v="South"/>
    <s v="Aug-24"/>
    <x v="0"/>
  </r>
  <r>
    <s v="ORD-00785"/>
    <d v="2024-04-19T00:00:00"/>
    <s v="CUST-0069"/>
    <s v="PROD-034"/>
    <s v="R009"/>
    <n v="1"/>
    <n v="5080"/>
    <n v="5.9"/>
    <n v="4780.28"/>
    <s v="Completed"/>
    <s v="Chennai"/>
    <s v="Home"/>
    <s v="South"/>
    <s v="Apr-24"/>
    <x v="2"/>
  </r>
  <r>
    <s v="ORD-00786"/>
    <d v="2024-03-13T00:00:00"/>
    <s v="CUST-0236"/>
    <s v="PROD-011"/>
    <s v="R023"/>
    <n v="7"/>
    <n v="3450"/>
    <n v="17.399999999999999"/>
    <n v="19947.900000000001"/>
    <s v="Completed"/>
    <s v="Hyderabad"/>
    <s v="Apparel"/>
    <s v="East"/>
    <s v="Mar-24"/>
    <x v="1"/>
  </r>
  <r>
    <s v="ORD-00787"/>
    <d v="2024-04-21T00:00:00"/>
    <s v="CUST-0060"/>
    <s v="PROD-024"/>
    <s v="R009"/>
    <n v="8"/>
    <n v="2270"/>
    <n v="24.7"/>
    <n v="13674.48"/>
    <s v="Completed"/>
    <s v="Pune"/>
    <s v="Grocery"/>
    <s v="South"/>
    <s v="Apr-24"/>
    <x v="2"/>
  </r>
  <r>
    <s v="ORD-00788"/>
    <d v="2024-11-03T00:00:00"/>
    <s v="CUST-0243"/>
    <s v="PROD-012"/>
    <s v="R023"/>
    <n v="3"/>
    <n v="3160"/>
    <n v="1.5"/>
    <n v="9337.7999999999993"/>
    <s v="Pending"/>
    <s v="Pune"/>
    <s v="Apparel"/>
    <s v="East"/>
    <s v="Nov-24"/>
    <x v="3"/>
  </r>
  <r>
    <s v="ORD-00789"/>
    <d v="2024-04-07T00:00:00"/>
    <s v="CUST-0188"/>
    <s v="PROD-043"/>
    <s v="R029"/>
    <n v="6"/>
    <n v="3350"/>
    <n v="0.9"/>
    <n v="19919.099999999999"/>
    <s v="Pending"/>
    <s v="Bengaluru"/>
    <s v="Beauty"/>
    <s v="West"/>
    <s v="Apr-24"/>
    <x v="2"/>
  </r>
  <r>
    <s v="ORD-00790"/>
    <d v="2024-08-02T00:00:00"/>
    <s v="CUST-0174"/>
    <s v="PROD-044"/>
    <s v="R029"/>
    <n v="7"/>
    <n v="1650"/>
    <n v="5.6"/>
    <n v="10903.2"/>
    <s v="Refunded"/>
    <s v="Pune"/>
    <s v="Beauty"/>
    <s v="West"/>
    <s v="Aug-24"/>
    <x v="0"/>
  </r>
  <r>
    <s v="ORD-00791"/>
    <d v="2024-04-20T00:00:00"/>
    <s v="CUST-0016"/>
    <s v="PROD-038"/>
    <s v="R003"/>
    <n v="1"/>
    <n v="5490"/>
    <n v="5.8"/>
    <n v="5171.58"/>
    <s v="Completed"/>
    <s v="Delhi"/>
    <s v="Home"/>
    <s v="North"/>
    <s v="Apr-24"/>
    <x v="2"/>
  </r>
  <r>
    <s v="ORD-00792"/>
    <d v="2024-04-23T00:00:00"/>
    <s v="CUST-0184"/>
    <s v="PROD-040"/>
    <s v="R024"/>
    <n v="3"/>
    <n v="1080"/>
    <n v="20.9"/>
    <n v="2562.84"/>
    <s v="Completed"/>
    <s v="Pune"/>
    <s v="Home"/>
    <s v="West"/>
    <s v="Apr-24"/>
    <x v="2"/>
  </r>
  <r>
    <s v="ORD-00793"/>
    <d v="2024-05-22T00:00:00"/>
    <s v="CUST-9568"/>
    <s v="PROD-027"/>
    <s v="R018"/>
    <n v="10"/>
    <n v="3780"/>
    <n v="5.5"/>
    <n v="35721"/>
    <s v="Completed"/>
    <s v="Hyderabad"/>
    <s v="Grocery"/>
    <s v="East"/>
    <s v="May-24"/>
    <x v="2"/>
  </r>
  <r>
    <s v="ORD-00794"/>
    <d v="2024-09-23T00:00:00"/>
    <s v="CUST-0118"/>
    <s v="PROD-033"/>
    <s v="R030"/>
    <n v="2"/>
    <n v="2030"/>
    <n v="2"/>
    <n v="3978.8"/>
    <s v="Pending"/>
    <s v="Hyderabad"/>
    <s v="Home"/>
    <s v="West"/>
    <s v="Sep-24"/>
    <x v="0"/>
  </r>
  <r>
    <s v="ORD-00795"/>
    <d v="2024-10-17T00:00:00"/>
    <s v="CUST-0271"/>
    <s v="PROD-041"/>
    <s v="R019"/>
    <n v="8"/>
    <n v="1540"/>
    <n v="9"/>
    <n v="11211.2"/>
    <s v="Cancelled"/>
    <s v="Bengaluru"/>
    <s v="Beauty"/>
    <s v="East"/>
    <s v="Oct-24"/>
    <x v="3"/>
  </r>
  <r>
    <s v="ORD-00796"/>
    <d v="2024-11-05T00:00:00"/>
    <s v="CUST-0147"/>
    <s v="PROD-036"/>
    <s v="R015"/>
    <n v="9"/>
    <n v="3250"/>
    <n v="20.5"/>
    <n v="23253.75"/>
    <s v="Completed"/>
    <s v="Pune"/>
    <s v="Home"/>
    <s v="South"/>
    <s v="Nov-24"/>
    <x v="3"/>
  </r>
  <r>
    <s v="ORD-00797"/>
    <d v="2024-02-22T00:00:00"/>
    <s v="CUST-0253"/>
    <s v="PROD-047"/>
    <s v="R005"/>
    <n v="3"/>
    <n v="3450"/>
    <n v="17.899999999999999"/>
    <n v="8497.35"/>
    <s v="Completed"/>
    <s v="Delhi"/>
    <s v="Beauty"/>
    <s v="North"/>
    <s v="Feb-24"/>
    <x v="1"/>
  </r>
  <r>
    <s v="ORD-00798"/>
    <d v="2024-07-31T00:00:00"/>
    <s v="CUST-0224"/>
    <s v="PROD-038"/>
    <s v="R008"/>
    <n v="5"/>
    <n v="5490"/>
    <n v="7.9"/>
    <n v="25281.45"/>
    <s v="Completed"/>
    <s v="Chennai"/>
    <s v="Home"/>
    <s v="North"/>
    <s v="Jul-24"/>
    <x v="0"/>
  </r>
  <r>
    <s v="ORD-00799"/>
    <d v="2024-01-15T00:00:00"/>
    <s v="CUST-0134"/>
    <s v="PROD-032"/>
    <s v="R029"/>
    <n v="3"/>
    <n v="370"/>
    <n v="13.4"/>
    <n v="961.26"/>
    <s v="Completed"/>
    <s v="Delhi"/>
    <s v="Home"/>
    <s v="West"/>
    <s v="Jan-24"/>
    <x v="1"/>
  </r>
  <r>
    <s v="ORD-00800"/>
    <d v="2024-05-01T00:00:00"/>
    <s v="CUST-0287"/>
    <s v="PROD-001"/>
    <s v="R009"/>
    <n v="7"/>
    <n v="5330"/>
    <n v="29.7"/>
    <n v="26228.93"/>
    <s v="Pending"/>
    <s v="Chennai"/>
    <s v="Electronics"/>
    <s v="South"/>
    <s v="May-24"/>
    <x v="2"/>
  </r>
  <r>
    <s v="ORD-00801"/>
    <d v="2024-03-17T00:00:00"/>
    <s v="CUST-0144"/>
    <s v="PROD-051"/>
    <s v="R016"/>
    <n v="8"/>
    <n v="3450"/>
    <n v="23.7"/>
    <n v="21058.799999999999"/>
    <s v="Completed"/>
    <s v="Chennai"/>
    <s v="Sports"/>
    <s v="South"/>
    <s v="Mar-24"/>
    <x v="1"/>
  </r>
  <r>
    <s v="ORD-00802"/>
    <d v="2024-01-25T00:00:00"/>
    <s v="CUST-0255"/>
    <s v="PROD-011"/>
    <s v="R027"/>
    <n v="8"/>
    <n v="3450"/>
    <n v="5.4"/>
    <n v="26109.599999999999"/>
    <s v="Completed"/>
    <s v="Chennai"/>
    <s v="Apparel"/>
    <s v="West"/>
    <s v="Jan-24"/>
    <x v="1"/>
  </r>
  <r>
    <s v="ORD-00803"/>
    <d v="2024-12-26T00:00:00"/>
    <s v="CUST-0054"/>
    <s v="PROD-050"/>
    <s v="R029"/>
    <n v="1"/>
    <n v="6080"/>
    <n v="22.3"/>
    <n v="4724.16"/>
    <s v="Completed"/>
    <s v="Mumbai"/>
    <s v="Beauty"/>
    <s v="West"/>
    <s v="Dec-24"/>
    <x v="3"/>
  </r>
  <r>
    <s v="ORD-00804"/>
    <d v="2024-11-01T00:00:00"/>
    <s v="CUST-0283"/>
    <s v="PROD-017"/>
    <s v="R011"/>
    <n v="9"/>
    <n v="2510"/>
    <n v="27.4"/>
    <n v="16400.34"/>
    <s v="Completed"/>
    <s v="Delhi"/>
    <s v="Apparel"/>
    <s v="South"/>
    <s v="Nov-24"/>
    <x v="3"/>
  </r>
  <r>
    <s v="ORD-00805"/>
    <d v="2024-04-10T00:00:00"/>
    <s v="CUST-0182"/>
    <s v="PROD-054"/>
    <s v="R012"/>
    <n v="10"/>
    <n v="1010"/>
    <n v="28.4"/>
    <n v="7231.6"/>
    <s v="Completed"/>
    <s v="Mumbai"/>
    <s v="Sports"/>
    <s v="South"/>
    <s v="Apr-24"/>
    <x v="2"/>
  </r>
  <r>
    <s v="ORD-00806"/>
    <d v="2024-04-19T00:00:00"/>
    <s v="CUST-0289"/>
    <s v="PROD-018"/>
    <s v="R023"/>
    <n v="1"/>
    <n v="3560"/>
    <n v="26"/>
    <n v="2634.4"/>
    <s v="Completed"/>
    <s v="Mumbai"/>
    <s v="Apparel"/>
    <s v="East"/>
    <s v="Apr-24"/>
    <x v="2"/>
  </r>
  <r>
    <s v="ORD-00807"/>
    <d v="2024-04-15T00:00:00"/>
    <s v="CUST-0104"/>
    <s v="PROD-045"/>
    <s v="R006"/>
    <n v="8"/>
    <n v="3020"/>
    <n v="6.9"/>
    <n v="22492.959999999999"/>
    <s v="Completed"/>
    <s v="Hyderabad"/>
    <s v="Beauty"/>
    <s v="North"/>
    <s v="Apr-24"/>
    <x v="2"/>
  </r>
  <r>
    <s v="ORD-00808"/>
    <d v="2024-01-10T00:00:00"/>
    <s v="CUST-0085"/>
    <s v="PROD-026"/>
    <s v="R017"/>
    <n v="1"/>
    <n v="4070"/>
    <n v="8.1999999999999993"/>
    <n v="3736.26"/>
    <s v="Completed"/>
    <s v="Chennai"/>
    <s v="Grocery"/>
    <s v="East"/>
    <s v="Jan-24"/>
    <x v="1"/>
  </r>
  <r>
    <s v="ORD-00809"/>
    <d v="2024-02-25T00:00:00"/>
    <s v="CUST-0120"/>
    <s v="PROD-032"/>
    <s v="R020"/>
    <n v="9"/>
    <n v="370"/>
    <n v="19.8"/>
    <n v="2670.66"/>
    <s v="Completed"/>
    <s v="Mumbai"/>
    <s v="Home"/>
    <s v="East"/>
    <s v="Feb-24"/>
    <x v="1"/>
  </r>
  <r>
    <s v="ORD-00810"/>
    <d v="2024-09-09T00:00:00"/>
    <s v="CUST-0236"/>
    <s v="PROD-030"/>
    <s v="R020"/>
    <n v="6"/>
    <n v="970"/>
    <n v="16.2"/>
    <n v="4877.16"/>
    <s v="Completed"/>
    <s v="Hyderabad"/>
    <s v="Grocery"/>
    <s v="East"/>
    <s v="Sep-24"/>
    <x v="0"/>
  </r>
  <r>
    <s v="ORD-00811"/>
    <d v="2024-12-07T00:00:00"/>
    <s v="CUST-0094"/>
    <s v="PROD-015"/>
    <s v="R019"/>
    <n v="10"/>
    <n v="2720"/>
    <n v="3"/>
    <n v="26384"/>
    <s v="Pending"/>
    <s v="Pune"/>
    <s v="Apparel"/>
    <s v="East"/>
    <s v="Dec-24"/>
    <x v="3"/>
  </r>
  <r>
    <s v="ORD-00812"/>
    <d v="2024-01-02T00:00:00"/>
    <s v="CUST-0030"/>
    <s v="PROD-058"/>
    <s v="R014"/>
    <n v="7"/>
    <n v="2400"/>
    <n v="29.4"/>
    <n v="11860.8"/>
    <s v="Completed"/>
    <s v="Bengaluru"/>
    <s v="Sports"/>
    <s v="South"/>
    <s v="Jan-24"/>
    <x v="1"/>
  </r>
  <r>
    <s v="ORD-00813"/>
    <d v="2024-09-29T00:00:00"/>
    <s v="CUST-0172"/>
    <s v="PROD-018"/>
    <s v="R012"/>
    <n v="8"/>
    <n v="3560"/>
    <n v="21.7"/>
    <n v="22299.84"/>
    <s v="Completed"/>
    <s v="Pune"/>
    <s v="Apparel"/>
    <s v="South"/>
    <s v="Sep-24"/>
    <x v="0"/>
  </r>
  <r>
    <s v="ORD-00814"/>
    <d v="2024-04-03T00:00:00"/>
    <s v="CUST-0221"/>
    <s v="PROD-026"/>
    <s v="R015"/>
    <n v="7"/>
    <n v="4070"/>
    <n v="10.5"/>
    <n v="25498.55"/>
    <s v="Completed"/>
    <s v="Delhi"/>
    <s v="Grocery"/>
    <s v="South"/>
    <s v="Apr-24"/>
    <x v="2"/>
  </r>
  <r>
    <s v="ORD-01052"/>
    <d v="2024-01-08T00:00:00"/>
    <s v="CUST-0151"/>
    <s v="PROD-052"/>
    <s v="R008"/>
    <n v="3"/>
    <n v="5410"/>
    <n v="0.2"/>
    <n v="16197.54"/>
    <s v="Completed"/>
    <s v="Mumbai"/>
    <s v="Sports"/>
    <s v="North"/>
    <s v="Jan-24"/>
    <x v="1"/>
  </r>
  <r>
    <s v="ORD-00816"/>
    <d v="2024-12-25T00:00:00"/>
    <s v="CUST-0068"/>
    <s v="PROD-021"/>
    <s v="R028"/>
    <n v="4"/>
    <n v="2760"/>
    <n v="27.5"/>
    <n v="8004"/>
    <s v="Cancelled"/>
    <s v="Delhi"/>
    <s v="Grocery"/>
    <s v="West"/>
    <s v="Dec-24"/>
    <x v="3"/>
  </r>
  <r>
    <s v="ORD-01136"/>
    <d v="2024-07-01T00:00:00"/>
    <s v="CUST-0165"/>
    <s v="PROD-034"/>
    <s v="R013"/>
    <n v="3"/>
    <n v="5080"/>
    <n v="27.2"/>
    <n v="11094.72"/>
    <s v="Completed"/>
    <s v="Pune"/>
    <s v="Home"/>
    <s v="South"/>
    <s v="Jul-24"/>
    <x v="0"/>
  </r>
  <r>
    <s v="ORD-00818"/>
    <d v="2024-04-09T00:00:00"/>
    <s v="CUST-0060"/>
    <s v="PROD-035"/>
    <s v="R017"/>
    <n v="5"/>
    <n v="1090"/>
    <n v="3.3"/>
    <n v="5270.15"/>
    <s v="Completed"/>
    <s v="Pune"/>
    <s v="Home"/>
    <s v="East"/>
    <s v="Apr-24"/>
    <x v="2"/>
  </r>
  <r>
    <s v="ORD-00819"/>
    <d v="2024-02-06T00:00:00"/>
    <s v="CUST-0130"/>
    <s v="PROD-023"/>
    <s v="R029"/>
    <n v="10"/>
    <n v="2380"/>
    <n v="7"/>
    <n v="22134"/>
    <s v="Completed"/>
    <s v="Bengaluru"/>
    <s v="Grocery"/>
    <s v="West"/>
    <s v="Feb-24"/>
    <x v="1"/>
  </r>
  <r>
    <s v="ORD-00820"/>
    <d v="2024-07-17T00:00:00"/>
    <s v="CUST-0023"/>
    <s v="PROD-012"/>
    <s v="R026"/>
    <n v="5"/>
    <n v="3160"/>
    <n v="25.6"/>
    <n v="11755.2"/>
    <s v="Completed"/>
    <s v="Chennai"/>
    <s v="Apparel"/>
    <s v="West"/>
    <s v="Jul-24"/>
    <x v="0"/>
  </r>
  <r>
    <s v="ORD-00821"/>
    <d v="2024-03-11T00:00:00"/>
    <s v="CUST-0089"/>
    <s v="PROD-058"/>
    <s v="R029"/>
    <n v="9"/>
    <n v="2400"/>
    <n v="8.4"/>
    <n v="19785.599999999999"/>
    <s v="Completed"/>
    <s v="Mumbai"/>
    <s v="Sports"/>
    <s v="West"/>
    <s v="Mar-24"/>
    <x v="1"/>
  </r>
  <r>
    <s v="ORD-00822"/>
    <d v="2024-06-06T00:00:00"/>
    <s v="CUST-0300"/>
    <s v="PROD-002"/>
    <s v="R020"/>
    <n v="4"/>
    <n v="2600"/>
    <n v="4.2"/>
    <n v="9963.2000000000007"/>
    <s v="Completed"/>
    <s v="Mumbai"/>
    <s v="Electronics"/>
    <s v="East"/>
    <s v="Jun-24"/>
    <x v="2"/>
  </r>
  <r>
    <s v="ORD-00823"/>
    <d v="2024-04-27T00:00:00"/>
    <s v="CUST-9578"/>
    <s v="PROD-024"/>
    <s v="R023"/>
    <n v="5"/>
    <n v="2270"/>
    <n v="0.1"/>
    <n v="11338.65"/>
    <s v="Completed"/>
    <s v="Mumbai"/>
    <s v="Grocery"/>
    <s v="East"/>
    <s v="Apr-24"/>
    <x v="2"/>
  </r>
  <r>
    <s v="ORD-00824"/>
    <d v="2024-06-22T00:00:00"/>
    <s v="CUST-0130"/>
    <s v="PROD-038"/>
    <s v="R020"/>
    <n v="7"/>
    <n v="5490"/>
    <n v="14.9"/>
    <n v="32703.93"/>
    <s v="Completed"/>
    <s v="Bengaluru"/>
    <s v="Home"/>
    <s v="East"/>
    <s v="Jun-24"/>
    <x v="2"/>
  </r>
  <r>
    <s v="ORD-00825"/>
    <d v="2024-05-03T00:00:00"/>
    <s v="CUST-0247"/>
    <s v="PROD-004"/>
    <s v="R009"/>
    <n v="5"/>
    <n v="3870"/>
    <n v="13.3"/>
    <n v="16776.45"/>
    <s v="Cancelled"/>
    <s v="Pune"/>
    <s v="Electronics"/>
    <s v="South"/>
    <s v="May-24"/>
    <x v="2"/>
  </r>
  <r>
    <s v="ORD-00826"/>
    <d v="2024-03-21T00:00:00"/>
    <s v="CUST-0256"/>
    <s v="PROD-049"/>
    <s v="R024"/>
    <n v="2"/>
    <n v="960"/>
    <n v="17.5"/>
    <n v="1584"/>
    <s v="Completed"/>
    <s v="Hyderabad"/>
    <s v="Beauty"/>
    <s v="West"/>
    <s v="Mar-24"/>
    <x v="1"/>
  </r>
  <r>
    <s v="ORD-00827"/>
    <d v="2024-04-23T00:00:00"/>
    <s v="CUST-0213"/>
    <s v="PROD-046"/>
    <s v="R001"/>
    <n v="4"/>
    <n v="4880"/>
    <n v="12.2"/>
    <n v="17138.560000000001"/>
    <s v="Cancelled"/>
    <s v="Mumbai"/>
    <s v="Beauty"/>
    <s v="North"/>
    <s v="Apr-24"/>
    <x v="2"/>
  </r>
  <r>
    <s v="ORD-00828"/>
    <d v="2024-05-07T00:00:00"/>
    <s v="CUST-0183"/>
    <s v="PROD-058"/>
    <s v="R008"/>
    <n v="5"/>
    <n v="2400"/>
    <n v="15"/>
    <n v="10200"/>
    <s v="Completed"/>
    <s v="Mumbai"/>
    <s v="Sports"/>
    <s v="North"/>
    <s v="May-24"/>
    <x v="2"/>
  </r>
  <r>
    <s v="ORD-00829"/>
    <d v="2024-08-18T00:00:00"/>
    <s v="CUST-0051"/>
    <s v="PROD-016"/>
    <s v="R015"/>
    <n v="9"/>
    <n v="620"/>
    <n v="20.399999999999999"/>
    <n v="4441.68"/>
    <s v="Pending"/>
    <s v="Pune"/>
    <s v="Apparel"/>
    <s v="South"/>
    <s v="Aug-24"/>
    <x v="0"/>
  </r>
  <r>
    <s v="ORD-00830"/>
    <d v="2024-08-09T00:00:00"/>
    <s v="CUST-0001"/>
    <s v="PROD-039"/>
    <s v="R013"/>
    <n v="1"/>
    <n v="4610"/>
    <n v="1.8"/>
    <n v="4527.0200000000004"/>
    <s v="Pending"/>
    <s v="Pune"/>
    <s v="Home"/>
    <s v="South"/>
    <s v="Aug-24"/>
    <x v="0"/>
  </r>
  <r>
    <s v="ORD-00831"/>
    <d v="2024-07-27T00:00:00"/>
    <s v="CUST-0105"/>
    <s v="PROD-039"/>
    <s v="R014"/>
    <n v="7"/>
    <n v="4610"/>
    <n v="27"/>
    <n v="23557.1"/>
    <s v="Completed"/>
    <s v="Chennai"/>
    <s v="Home"/>
    <s v="South"/>
    <s v="Jul-24"/>
    <x v="0"/>
  </r>
  <r>
    <s v="ORD-00832"/>
    <d v="2024-11-12T00:00:00"/>
    <s v="CUST-0199"/>
    <s v="PROD-030"/>
    <s v="R029"/>
    <n v="6"/>
    <n v="970"/>
    <n v="4.7"/>
    <n v="5546.46"/>
    <s v="Cancelled"/>
    <s v="Hyderabad"/>
    <s v="Grocery"/>
    <s v="West"/>
    <s v="Nov-24"/>
    <x v="3"/>
  </r>
  <r>
    <s v="ORD-00833"/>
    <d v="2024-03-11T00:00:00"/>
    <s v="CUST-0240"/>
    <s v="PROD-007"/>
    <s v="R026"/>
    <n v="8"/>
    <n v="1430"/>
    <n v="8.6999999999999993"/>
    <n v="10444.719999999999"/>
    <s v="Completed"/>
    <s v="Chennai"/>
    <s v="Electronics"/>
    <s v="West"/>
    <s v="Mar-24"/>
    <x v="1"/>
  </r>
  <r>
    <s v="ORD-00834"/>
    <d v="2024-02-26T00:00:00"/>
    <s v="CUST-0283"/>
    <s v="PROD-027"/>
    <s v="R011"/>
    <n v="5"/>
    <n v="3780"/>
    <n v="2.9"/>
    <n v="18351.900000000001"/>
    <s v="Completed"/>
    <s v="Delhi"/>
    <s v="Grocery"/>
    <s v="South"/>
    <s v="Feb-24"/>
    <x v="1"/>
  </r>
  <r>
    <s v="ORD-00835"/>
    <d v="2024-08-28T00:00:00"/>
    <s v="CUST-0284"/>
    <s v="PROD-041"/>
    <s v="R023"/>
    <n v="2"/>
    <n v="1540"/>
    <n v="12.7"/>
    <n v="2688.84"/>
    <s v="Completed"/>
    <s v="Hyderabad"/>
    <s v="Beauty"/>
    <s v="East"/>
    <s v="Aug-24"/>
    <x v="0"/>
  </r>
  <r>
    <s v="ORD-00836"/>
    <d v="2024-07-19T00:00:00"/>
    <s v="CUST-0060"/>
    <s v="PROD-040"/>
    <s v="R020"/>
    <n v="9"/>
    <n v="1080"/>
    <n v="11.2"/>
    <n v="8631.36"/>
    <s v="Cancelled"/>
    <s v="Pune"/>
    <s v="Home"/>
    <s v="East"/>
    <s v="Jul-24"/>
    <x v="0"/>
  </r>
  <r>
    <s v="ORD-00837"/>
    <d v="2024-03-17T00:00:00"/>
    <s v="CUST-0266"/>
    <s v="PROD-058"/>
    <s v="R007"/>
    <n v="3"/>
    <n v="2400"/>
    <n v="28.6"/>
    <n v="5140.8"/>
    <s v="Completed"/>
    <s v="Pune"/>
    <s v="Sports"/>
    <s v="North"/>
    <s v="Mar-24"/>
    <x v="1"/>
  </r>
  <r>
    <s v="ORD-00838"/>
    <d v="2024-06-05T00:00:00"/>
    <s v="CUST-0056"/>
    <s v="PROD-040"/>
    <s v="R018"/>
    <n v="5"/>
    <n v="1080"/>
    <n v="18.3"/>
    <n v="4411.8"/>
    <s v="Completed"/>
    <s v="Bengaluru"/>
    <s v="Home"/>
    <s v="East"/>
    <s v="Jun-24"/>
    <x v="2"/>
  </r>
  <r>
    <s v="ORD-00839"/>
    <d v="2024-11-14T00:00:00"/>
    <s v="CUST-0187"/>
    <s v="PROD-024"/>
    <s v="R027"/>
    <n v="7"/>
    <n v="2270"/>
    <n v="1.7"/>
    <n v="15619.87"/>
    <s v="Cancelled"/>
    <s v="Chennai"/>
    <s v="Grocery"/>
    <s v="West"/>
    <s v="Nov-24"/>
    <x v="3"/>
  </r>
  <r>
    <s v="ORD-00840"/>
    <d v="2024-05-26T00:00:00"/>
    <s v="CUST-0183"/>
    <s v="PROD-028"/>
    <s v="R026"/>
    <n v="8"/>
    <n v="3660"/>
    <n v="19.100000000000001"/>
    <n v="23687.52"/>
    <s v="Cancelled"/>
    <s v="Mumbai"/>
    <s v="Grocery"/>
    <s v="West"/>
    <s v="May-24"/>
    <x v="2"/>
  </r>
  <r>
    <s v="ORD-00841"/>
    <d v="2024-07-04T00:00:00"/>
    <s v="CUST-0068"/>
    <s v="PROD-036"/>
    <s v="R003"/>
    <n v="5"/>
    <n v="3250"/>
    <n v="12.9"/>
    <n v="14153.75"/>
    <s v="Completed"/>
    <s v="Delhi"/>
    <s v="Home"/>
    <s v="North"/>
    <s v="Jul-24"/>
    <x v="0"/>
  </r>
  <r>
    <s v="ORD-00842"/>
    <d v="2024-02-06T00:00:00"/>
    <s v="CUST-0135"/>
    <s v="PROD-044"/>
    <s v="R012"/>
    <n v="4"/>
    <n v="1650"/>
    <n v="4.0999999999999996"/>
    <n v="6329.4"/>
    <s v="Completed"/>
    <s v="Pune"/>
    <s v="Beauty"/>
    <s v="South"/>
    <s v="Feb-24"/>
    <x v="1"/>
  </r>
  <r>
    <s v="ORD-00843"/>
    <d v="2024-11-28T00:00:00"/>
    <s v="CUST-0191"/>
    <s v="PROD-034"/>
    <s v="R003"/>
    <n v="6"/>
    <n v="5080"/>
    <n v="3"/>
    <n v="29565.599999999999"/>
    <s v="Completed"/>
    <s v="Hyderabad"/>
    <s v="Home"/>
    <s v="North"/>
    <s v="Nov-24"/>
    <x v="3"/>
  </r>
  <r>
    <s v="ORD-00844"/>
    <d v="2024-11-18T00:00:00"/>
    <s v="CUST-0244"/>
    <s v="PROD-051"/>
    <s v="R027"/>
    <n v="8"/>
    <n v="3450"/>
    <n v="20.9"/>
    <n v="21831.599999999999"/>
    <s v="Completed"/>
    <s v="Bengaluru"/>
    <s v="Sports"/>
    <s v="West"/>
    <s v="Nov-24"/>
    <x v="3"/>
  </r>
  <r>
    <s v="ORD-00845"/>
    <d v="2024-05-17T00:00:00"/>
    <s v="CUST-0189"/>
    <s v="PROD-043"/>
    <s v="R018"/>
    <n v="6"/>
    <n v="3350"/>
    <n v="24.8"/>
    <n v="15115.2"/>
    <s v="Completed"/>
    <s v="Chennai"/>
    <s v="Beauty"/>
    <s v="East"/>
    <s v="May-24"/>
    <x v="2"/>
  </r>
  <r>
    <s v="ORD-00846"/>
    <d v="2024-06-08T00:00:00"/>
    <s v="CUST-0166"/>
    <s v="PROD-029"/>
    <s v="R027"/>
    <n v="10"/>
    <n v="2210"/>
    <n v="4.2"/>
    <n v="21171.8"/>
    <s v="Completed"/>
    <s v="Hyderabad"/>
    <s v="Grocery"/>
    <s v="West"/>
    <s v="Jun-24"/>
    <x v="2"/>
  </r>
  <r>
    <s v="ORD-00847"/>
    <d v="2024-06-01T00:00:00"/>
    <s v="CUST-0167"/>
    <s v="PROD-046"/>
    <s v="R006"/>
    <n v="10"/>
    <n v="4880"/>
    <n v="0.7"/>
    <n v="48458.400000000001"/>
    <s v="Completed"/>
    <s v="Delhi"/>
    <s v="Beauty"/>
    <s v="North"/>
    <s v="Jun-24"/>
    <x v="2"/>
  </r>
  <r>
    <s v="ORD-00848"/>
    <d v="2024-03-18T00:00:00"/>
    <s v="CUST-0265"/>
    <s v="PROD-055"/>
    <s v="R004"/>
    <n v="7"/>
    <n v="2860"/>
    <n v="28.1"/>
    <n v="14394.38"/>
    <s v="Pending"/>
    <s v="Chennai"/>
    <s v="Sports"/>
    <s v="North"/>
    <s v="Mar-24"/>
    <x v="1"/>
  </r>
  <r>
    <s v="ORD-00849"/>
    <d v="2024-10-16T00:00:00"/>
    <s v="CUST-0172"/>
    <s v="PROD-030"/>
    <s v="R005"/>
    <n v="3"/>
    <n v="970"/>
    <n v="28.3"/>
    <n v="2086.4699999999998"/>
    <s v="Completed"/>
    <s v="Pune"/>
    <s v="Grocery"/>
    <s v="North"/>
    <s v="Oct-24"/>
    <x v="3"/>
  </r>
  <r>
    <s v="ORD-00850"/>
    <d v="2024-07-21T00:00:00"/>
    <s v="CUST-0205"/>
    <s v="PROD-022"/>
    <s v="R008"/>
    <n v="1"/>
    <n v="2270"/>
    <n v="15.1"/>
    <n v="1927.23"/>
    <s v="Completed"/>
    <s v="Pune"/>
    <s v="Grocery"/>
    <s v="North"/>
    <s v="Jul-24"/>
    <x v="0"/>
  </r>
  <r>
    <s v="ORD-00851"/>
    <d v="2024-02-02T00:00:00"/>
    <s v="CUST-0102"/>
    <s v="PROD-018"/>
    <s v="R015"/>
    <n v="5"/>
    <n v="3560"/>
    <n v="11.5"/>
    <n v="15753"/>
    <s v="Completed"/>
    <s v="Chennai"/>
    <s v="Apparel"/>
    <s v="South"/>
    <s v="Feb-24"/>
    <x v="1"/>
  </r>
  <r>
    <s v="ORD-00852"/>
    <d v="2024-05-07T00:00:00"/>
    <s v="CUST-0142"/>
    <s v="PROD-052"/>
    <s v="R010"/>
    <n v="2"/>
    <n v="5410"/>
    <n v="14.8"/>
    <n v="9218.64"/>
    <s v="Pending"/>
    <s v="Chennai"/>
    <s v="Sports"/>
    <s v="South"/>
    <s v="May-24"/>
    <x v="2"/>
  </r>
  <r>
    <s v="ORD-00853"/>
    <d v="2024-12-30T00:00:00"/>
    <s v="CUST-0195"/>
    <s v="PROD-019"/>
    <s v="R006"/>
    <n v="2"/>
    <n v="2480"/>
    <n v="27.2"/>
    <n v="3610.88"/>
    <s v="Completed"/>
    <s v="Bengaluru"/>
    <s v="Apparel"/>
    <s v="North"/>
    <s v="Dec-24"/>
    <x v="3"/>
  </r>
  <r>
    <s v="ORD-00854"/>
    <d v="2024-02-28T00:00:00"/>
    <s v="CUST-0125"/>
    <s v="PROD-020"/>
    <s v="R014"/>
    <n v="6"/>
    <n v="820"/>
    <n v="6.6"/>
    <n v="4595.28"/>
    <s v="Completed"/>
    <s v="Delhi"/>
    <s v="Apparel"/>
    <s v="South"/>
    <s v="Feb-24"/>
    <x v="1"/>
  </r>
  <r>
    <s v="ORD-00855"/>
    <d v="2024-05-22T00:00:00"/>
    <s v="CUST-0234"/>
    <s v="PROD-001"/>
    <s v="R015"/>
    <n v="10"/>
    <n v="5330"/>
    <n v="16.100000000000001"/>
    <n v="44718.7"/>
    <s v="Completed"/>
    <s v="Bengaluru"/>
    <s v="Electronics"/>
    <s v="South"/>
    <s v="May-24"/>
    <x v="2"/>
  </r>
  <r>
    <s v="ORD-00856"/>
    <d v="2024-05-26T00:00:00"/>
    <s v="CUST-0061"/>
    <s v="PROD-047"/>
    <s v="R004"/>
    <n v="2"/>
    <n v="3450"/>
    <n v="11.3"/>
    <n v="6120.3"/>
    <s v="Pending"/>
    <s v="Hyderabad"/>
    <s v="Beauty"/>
    <s v="North"/>
    <s v="May-24"/>
    <x v="2"/>
  </r>
  <r>
    <s v="ORD-00857"/>
    <d v="2024-07-13T00:00:00"/>
    <s v="CUST-0189"/>
    <s v="PROD-049"/>
    <s v="R023"/>
    <n v="7"/>
    <n v="960"/>
    <n v="17.100000000000001"/>
    <n v="5570.88"/>
    <s v="Completed"/>
    <s v="Chennai"/>
    <s v="Beauty"/>
    <s v="East"/>
    <s v="Jul-24"/>
    <x v="0"/>
  </r>
  <r>
    <s v="ORD-00858"/>
    <d v="2024-11-27T00:00:00"/>
    <s v="CUST-0191"/>
    <s v="PROD-011"/>
    <s v="R003"/>
    <n v="5"/>
    <n v="3450"/>
    <n v="22.9"/>
    <n v="13299.75"/>
    <s v="Completed"/>
    <s v="Hyderabad"/>
    <s v="Apparel"/>
    <s v="North"/>
    <s v="Nov-24"/>
    <x v="3"/>
  </r>
  <r>
    <s v="ORD-00859"/>
    <d v="2024-12-08T00:00:00"/>
    <s v="CUST-0217"/>
    <s v="PROD-009"/>
    <s v="R008"/>
    <n v="5"/>
    <n v="1220"/>
    <n v="0.3"/>
    <n v="6081.7"/>
    <s v="Completed"/>
    <s v="Pune"/>
    <s v="Electronics"/>
    <s v="North"/>
    <s v="Dec-24"/>
    <x v="3"/>
  </r>
  <r>
    <s v="ORD-00860"/>
    <d v="2024-01-17T00:00:00"/>
    <s v="CUST-0060"/>
    <s v="PROD-001"/>
    <s v="R007"/>
    <n v="5"/>
    <n v="5330"/>
    <n v="29"/>
    <n v="18921.5"/>
    <s v="Completed"/>
    <s v="Pune"/>
    <s v="Electronics"/>
    <s v="North"/>
    <s v="Jan-24"/>
    <x v="1"/>
  </r>
  <r>
    <s v="ORD-00861"/>
    <d v="2024-12-15T00:00:00"/>
    <s v="CUST-0270"/>
    <s v="PROD-003"/>
    <s v="R028"/>
    <n v="3"/>
    <n v="3570"/>
    <n v="20"/>
    <n v="8568"/>
    <s v="Cancelled"/>
    <s v="Bengaluru"/>
    <s v="Electronics"/>
    <s v="West"/>
    <s v="Dec-24"/>
    <x v="3"/>
  </r>
  <r>
    <s v="ORD-00862"/>
    <d v="2024-04-14T00:00:00"/>
    <s v="CUST-0279"/>
    <s v="PROD-029"/>
    <s v="R026"/>
    <n v="9"/>
    <n v="2210"/>
    <n v="12.4"/>
    <n v="17423.64"/>
    <s v="Completed"/>
    <s v="Mumbai"/>
    <s v="Grocery"/>
    <s v="West"/>
    <s v="Apr-24"/>
    <x v="2"/>
  </r>
  <r>
    <s v="ORD-00863"/>
    <d v="2024-01-11T00:00:00"/>
    <s v="CUST-0008"/>
    <s v="PROD-059"/>
    <s v="R029"/>
    <n v="5"/>
    <n v="3780"/>
    <n v="3.9"/>
    <n v="18162.900000000001"/>
    <s v="Completed"/>
    <s v="Pune"/>
    <s v="Sports"/>
    <s v="West"/>
    <s v="Jan-24"/>
    <x v="1"/>
  </r>
  <r>
    <s v="ORD-00864"/>
    <d v="2024-11-30T00:00:00"/>
    <s v="CUST-0259"/>
    <s v="PROD-010"/>
    <s v="R008"/>
    <n v="10"/>
    <n v="2640"/>
    <n v="17.8"/>
    <n v="21700.799999999999"/>
    <s v="Refunded"/>
    <s v="Mumbai"/>
    <s v="Electronics"/>
    <s v="North"/>
    <s v="Nov-24"/>
    <x v="3"/>
  </r>
  <r>
    <s v="ORD-00865"/>
    <d v="2024-03-01T00:00:00"/>
    <s v="CUST-0169"/>
    <s v="PROD-005"/>
    <s v="R024"/>
    <n v="5"/>
    <n v="300"/>
    <n v="12.9"/>
    <n v="1306.5"/>
    <s v="Completed"/>
    <s v="Bengaluru"/>
    <s v="Electronics"/>
    <s v="West"/>
    <s v="Mar-24"/>
    <x v="1"/>
  </r>
  <r>
    <s v="ORD-00866"/>
    <d v="2024-10-23T00:00:00"/>
    <s v="CUST-0191"/>
    <s v="PROD-058"/>
    <s v="R013"/>
    <n v="2"/>
    <n v="2400"/>
    <n v="17.100000000000001"/>
    <n v="3979.2"/>
    <s v="Pending"/>
    <s v="Hyderabad"/>
    <s v="Sports"/>
    <s v="South"/>
    <s v="Oct-24"/>
    <x v="3"/>
  </r>
  <r>
    <s v="ORD-00867"/>
    <d v="2024-10-18T00:00:00"/>
    <s v="CUST-0129"/>
    <s v="PROD-040"/>
    <s v="R026"/>
    <n v="5"/>
    <n v="1080"/>
    <n v="15.7"/>
    <n v="4552.2"/>
    <s v="Pending"/>
    <s v="Hyderabad"/>
    <s v="Home"/>
    <s v="West"/>
    <s v="Oct-24"/>
    <x v="3"/>
  </r>
  <r>
    <s v="ORD-00868"/>
    <d v="2024-08-24T00:00:00"/>
    <s v="CUST-0066"/>
    <s v="PROD-036"/>
    <s v="R003"/>
    <n v="1"/>
    <n v="3250"/>
    <n v="14.7"/>
    <n v="2772.25"/>
    <s v="Completed"/>
    <s v="Delhi"/>
    <s v="Home"/>
    <s v="North"/>
    <s v="Aug-24"/>
    <x v="0"/>
  </r>
  <r>
    <s v="ORD-00869"/>
    <d v="2024-04-18T00:00:00"/>
    <s v="CUST-0114"/>
    <s v="PROD-032"/>
    <s v="R021"/>
    <n v="7"/>
    <n v="370"/>
    <n v="6"/>
    <n v="2434.6"/>
    <s v="Cancelled"/>
    <s v="Bengaluru"/>
    <s v="Home"/>
    <s v="East"/>
    <s v="Apr-24"/>
    <x v="2"/>
  </r>
  <r>
    <s v="ORD-00870"/>
    <d v="2024-02-15T00:00:00"/>
    <s v="CUST-9833"/>
    <s v="PROD-038"/>
    <s v="R029"/>
    <n v="7"/>
    <n v="5490"/>
    <n v="10.199999999999999"/>
    <n v="34510.14"/>
    <s v="Completed"/>
    <s v="Pune"/>
    <s v="Home"/>
    <s v="West"/>
    <s v="Feb-24"/>
    <x v="1"/>
  </r>
  <r>
    <s v="ORD-00871"/>
    <d v="2024-07-09T00:00:00"/>
    <s v="CUST-0076"/>
    <s v="PROD-006"/>
    <s v="R028"/>
    <n v="3"/>
    <n v="3970"/>
    <n v="2.4"/>
    <n v="11624.16"/>
    <s v="Completed"/>
    <s v="Mumbai"/>
    <s v="Electronics"/>
    <s v="West"/>
    <s v="Jul-24"/>
    <x v="0"/>
  </r>
  <r>
    <s v="ORD-00872"/>
    <d v="2024-10-18T00:00:00"/>
    <s v="CUST-0215"/>
    <s v="PROD-009"/>
    <s v="R007"/>
    <n v="4"/>
    <n v="1220"/>
    <n v="25.3"/>
    <n v="3645.36"/>
    <s v="Completed"/>
    <s v="Hyderabad"/>
    <s v="Electronics"/>
    <s v="North"/>
    <s v="Oct-24"/>
    <x v="3"/>
  </r>
  <r>
    <s v="ORD-00873"/>
    <d v="2024-04-27T00:00:00"/>
    <s v="CUST-0061"/>
    <s v="PROD-012"/>
    <s v="R026"/>
    <n v="3"/>
    <n v="3160"/>
    <n v="19.8"/>
    <n v="7602.96"/>
    <s v="Completed"/>
    <s v="Hyderabad"/>
    <s v="Apparel"/>
    <s v="West"/>
    <s v="Apr-24"/>
    <x v="2"/>
  </r>
  <r>
    <s v="ORD-00874"/>
    <d v="2024-05-18T00:00:00"/>
    <s v="CUST-0249"/>
    <s v="PROD-005"/>
    <s v="R008"/>
    <n v="1"/>
    <n v="300"/>
    <n v="24.5"/>
    <n v="226.5"/>
    <s v="Completed"/>
    <s v="Mumbai"/>
    <s v="Electronics"/>
    <s v="North"/>
    <s v="May-24"/>
    <x v="2"/>
  </r>
  <r>
    <s v="ORD-00875"/>
    <d v="2024-12-28T00:00:00"/>
    <s v="CUST-0105"/>
    <s v="PROD-047"/>
    <s v="R029"/>
    <n v="5"/>
    <n v="3450"/>
    <n v="13.4"/>
    <n v="14938.5"/>
    <s v="Pending"/>
    <s v="Chennai"/>
    <s v="Beauty"/>
    <s v="West"/>
    <s v="Dec-24"/>
    <x v="3"/>
  </r>
  <r>
    <s v="ORD-00876"/>
    <d v="2024-04-15T00:00:00"/>
    <s v="CUST-0161"/>
    <s v="PROD-014"/>
    <s v="R027"/>
    <n v="7"/>
    <n v="3620"/>
    <n v="19.2"/>
    <n v="20474.72"/>
    <s v="Completed"/>
    <s v="Chennai"/>
    <s v="Apparel"/>
    <s v="West"/>
    <s v="Apr-24"/>
    <x v="2"/>
  </r>
  <r>
    <s v="ORD-00877"/>
    <d v="2024-08-01T00:00:00"/>
    <s v="CUST-0275"/>
    <s v="PROD-024"/>
    <s v="R010"/>
    <n v="10"/>
    <n v="2270"/>
    <n v="20.5"/>
    <n v="18046.5"/>
    <s v="Completed"/>
    <s v="Mumbai"/>
    <s v="Grocery"/>
    <s v="South"/>
    <s v="Aug-24"/>
    <x v="0"/>
  </r>
  <r>
    <s v="ORD-00878"/>
    <d v="2024-04-04T00:00:00"/>
    <s v="CUST-0049"/>
    <s v="PROD-015"/>
    <s v="R024"/>
    <n v="5"/>
    <n v="2720"/>
    <n v="29.3"/>
    <n v="9615.2000000000007"/>
    <s v="Completed"/>
    <s v="Mumbai"/>
    <s v="Apparel"/>
    <s v="West"/>
    <s v="Apr-24"/>
    <x v="2"/>
  </r>
  <r>
    <s v="ORD-00879"/>
    <d v="2024-07-26T00:00:00"/>
    <s v="CUST-0235"/>
    <s v="PROD-027"/>
    <s v="R022"/>
    <n v="9"/>
    <n v="3780"/>
    <n v="2.2999999999999998"/>
    <n v="33237.54"/>
    <s v="Completed"/>
    <s v="Chennai"/>
    <s v="Grocery"/>
    <s v="East"/>
    <s v="Jul-24"/>
    <x v="0"/>
  </r>
  <r>
    <s v="ORD-00880"/>
    <d v="2024-12-10T00:00:00"/>
    <s v="CUST-0220"/>
    <s v="PROD-025"/>
    <s v="R014"/>
    <n v="9"/>
    <n v="4060"/>
    <n v="11.5"/>
    <n v="32337.9"/>
    <s v="Completed"/>
    <s v="Chennai"/>
    <s v="Grocery"/>
    <s v="South"/>
    <s v="Dec-24"/>
    <x v="3"/>
  </r>
  <r>
    <s v="ORD-00881"/>
    <d v="2024-08-13T00:00:00"/>
    <s v="CUST-0298"/>
    <s v="PROD-021"/>
    <s v="R012"/>
    <n v="10"/>
    <n v="2760"/>
    <n v="3.9"/>
    <n v="26523.599999999999"/>
    <s v="Refunded"/>
    <s v="Delhi"/>
    <s v="Grocery"/>
    <s v="South"/>
    <s v="Aug-24"/>
    <x v="0"/>
  </r>
  <r>
    <s v="ORD-00882"/>
    <d v="2024-10-28T00:00:00"/>
    <s v="CUST-0222"/>
    <s v="PROD-040"/>
    <s v="R021"/>
    <n v="10"/>
    <n v="1080"/>
    <n v="21.4"/>
    <n v="8488.7999999999993"/>
    <s v="Completed"/>
    <s v="Chennai"/>
    <s v="Home"/>
    <s v="East"/>
    <s v="Oct-24"/>
    <x v="3"/>
  </r>
  <r>
    <s v="ORD-00883"/>
    <d v="2024-07-24T00:00:00"/>
    <s v="CUST-0049"/>
    <s v="PROD-034"/>
    <s v="R023"/>
    <n v="6"/>
    <n v="5080"/>
    <n v="29.8"/>
    <n v="21396.959999999999"/>
    <s v="Pending"/>
    <s v="Mumbai"/>
    <s v="Home"/>
    <s v="East"/>
    <s v="Jul-24"/>
    <x v="0"/>
  </r>
  <r>
    <s v="ORD-00884"/>
    <d v="2024-01-02T00:00:00"/>
    <s v="CUST-0147"/>
    <s v="PROD-046"/>
    <s v="R030"/>
    <n v="1"/>
    <n v="4880"/>
    <n v="28.2"/>
    <n v="3503.84"/>
    <s v="Completed"/>
    <s v="Pune"/>
    <s v="Beauty"/>
    <s v="West"/>
    <s v="Jan-24"/>
    <x v="1"/>
  </r>
  <r>
    <s v="ORD-00885"/>
    <d v="2024-09-27T00:00:00"/>
    <s v="CUST-0177"/>
    <s v="PROD-022"/>
    <s v="R027"/>
    <n v="1"/>
    <n v="2270"/>
    <n v="27.8"/>
    <n v="1638.94"/>
    <s v="Completed"/>
    <s v="Mumbai"/>
    <s v="Grocery"/>
    <s v="West"/>
    <s v="Sep-24"/>
    <x v="0"/>
  </r>
  <r>
    <s v="ORD-00886"/>
    <d v="2024-12-12T00:00:00"/>
    <s v="CUST-0121"/>
    <s v="PROD-006"/>
    <s v="R019"/>
    <n v="9"/>
    <n v="3970"/>
    <n v="7"/>
    <n v="33228.9"/>
    <s v="Completed"/>
    <s v="Delhi"/>
    <s v="Electronics"/>
    <s v="East"/>
    <s v="Dec-24"/>
    <x v="3"/>
  </r>
  <r>
    <s v="ORD-00887"/>
    <d v="2024-04-26T00:00:00"/>
    <s v="CUST-0262"/>
    <s v="PROD-048"/>
    <s v="R003"/>
    <n v="9"/>
    <n v="5100"/>
    <n v="9.6999999999999993"/>
    <n v="41447.699999999997"/>
    <s v="Completed"/>
    <s v="Mumbai"/>
    <s v="Beauty"/>
    <s v="North"/>
    <s v="Apr-24"/>
    <x v="2"/>
  </r>
  <r>
    <s v="ORD-00888"/>
    <d v="2024-07-25T00:00:00"/>
    <s v="CUST-0246"/>
    <s v="PROD-060"/>
    <s v="R005"/>
    <n v="8"/>
    <n v="190"/>
    <n v="10.199999999999999"/>
    <n v="1364.96"/>
    <s v="Completed"/>
    <s v="Delhi"/>
    <s v="Sports"/>
    <s v="North"/>
    <s v="Jul-24"/>
    <x v="0"/>
  </r>
  <r>
    <s v="ORD-00889"/>
    <d v="2024-12-23T00:00:00"/>
    <s v="CUST-0070"/>
    <s v="PROD-050"/>
    <s v="R026"/>
    <n v="1"/>
    <n v="6080"/>
    <n v="5.6"/>
    <n v="5739.52"/>
    <s v="Completed"/>
    <s v="Mumbai"/>
    <s v="Beauty"/>
    <s v="West"/>
    <s v="Dec-24"/>
    <x v="3"/>
  </r>
  <r>
    <s v="ORD-00890"/>
    <d v="2024-07-11T00:00:00"/>
    <s v="CUST-0218"/>
    <s v="PROD-057"/>
    <s v="R020"/>
    <n v="6"/>
    <n v="960"/>
    <n v="1.9"/>
    <n v="5650.56"/>
    <s v="Completed"/>
    <s v="Mumbai"/>
    <s v="Sports"/>
    <s v="East"/>
    <s v="Jul-24"/>
    <x v="0"/>
  </r>
  <r>
    <s v="ORD-00891"/>
    <d v="2024-01-25T00:00:00"/>
    <s v="CUST-0068"/>
    <s v="PROD-041"/>
    <s v="R004"/>
    <n v="7"/>
    <n v="1540"/>
    <n v="7.1"/>
    <n v="10014.620000000001"/>
    <s v="Completed"/>
    <s v="Delhi"/>
    <s v="Beauty"/>
    <s v="North"/>
    <s v="Jan-24"/>
    <x v="1"/>
  </r>
  <r>
    <s v="ORD-00892"/>
    <d v="2024-02-06T00:00:00"/>
    <s v="CUST-0261"/>
    <s v="PROD-005"/>
    <s v="R011"/>
    <n v="10"/>
    <n v="300"/>
    <n v="12.8"/>
    <n v="2616"/>
    <s v="Cancelled"/>
    <s v="Delhi"/>
    <s v="Electronics"/>
    <s v="South"/>
    <s v="Feb-24"/>
    <x v="1"/>
  </r>
  <r>
    <s v="ORD-00893"/>
    <d v="2024-06-13T00:00:00"/>
    <s v="CUST-0077"/>
    <s v="PROD-046"/>
    <s v="R011"/>
    <n v="4"/>
    <n v="4880"/>
    <n v="26.5"/>
    <n v="14347.2"/>
    <s v="Completed"/>
    <s v="Hyderabad"/>
    <s v="Beauty"/>
    <s v="South"/>
    <s v="Jun-24"/>
    <x v="2"/>
  </r>
  <r>
    <s v="ORD-00894"/>
    <d v="2024-10-24T00:00:00"/>
    <s v="CUST-0188"/>
    <s v="PROD-032"/>
    <s v="R003"/>
    <n v="2"/>
    <n v="370"/>
    <n v="26.5"/>
    <n v="543.9"/>
    <s v="Completed"/>
    <s v="Bengaluru"/>
    <s v="Home"/>
    <s v="North"/>
    <s v="Oct-24"/>
    <x v="3"/>
  </r>
  <r>
    <s v="ORD-00895"/>
    <d v="2024-10-28T00:00:00"/>
    <s v="CUST-0145"/>
    <s v="PROD-039"/>
    <s v="R002"/>
    <n v="3"/>
    <n v="4610"/>
    <n v="29.7"/>
    <n v="9722.49"/>
    <s v="Completed"/>
    <s v="Bengaluru"/>
    <s v="Home"/>
    <s v="North"/>
    <s v="Oct-24"/>
    <x v="3"/>
  </r>
  <r>
    <s v="ORD-00896"/>
    <d v="2024-09-04T00:00:00"/>
    <s v="CUST-0036"/>
    <s v="PROD-002"/>
    <s v="R013"/>
    <n v="5"/>
    <n v="2600"/>
    <n v="21.4"/>
    <n v="10218"/>
    <s v="Completed"/>
    <s v="Mumbai"/>
    <s v="Electronics"/>
    <s v="South"/>
    <s v="Sep-24"/>
    <x v="0"/>
  </r>
  <r>
    <s v="ORD-00600"/>
    <d v="2024-05-24T00:00:00"/>
    <s v="CUST-0269"/>
    <s v="PROD-009"/>
    <s v="R025"/>
    <n v="10"/>
    <n v="1220"/>
    <n v="24.3"/>
    <n v="9235.4"/>
    <s v="Completed"/>
    <s v="Pune"/>
    <s v="Electronics"/>
    <s v="West"/>
    <s v="May-24"/>
    <x v="2"/>
  </r>
  <r>
    <s v="ORD-00898"/>
    <d v="2024-12-20T00:00:00"/>
    <s v="CUST-9607"/>
    <s v="PROD-007"/>
    <s v="R015"/>
    <n v="10"/>
    <n v="1430"/>
    <n v="5.0999999999999996"/>
    <n v="13570.7"/>
    <s v="Cancelled"/>
    <s v="Chennai"/>
    <s v="Electronics"/>
    <s v="South"/>
    <s v="Dec-24"/>
    <x v="3"/>
  </r>
  <r>
    <s v="ORD-00899"/>
    <d v="2024-07-05T00:00:00"/>
    <s v="CUST-0189"/>
    <s v="PROD-046"/>
    <s v="R030"/>
    <n v="10"/>
    <n v="4880"/>
    <n v="25.5"/>
    <n v="36356"/>
    <s v="Cancelled"/>
    <s v="Chennai"/>
    <s v="Beauty"/>
    <s v="West"/>
    <s v="Jul-24"/>
    <x v="0"/>
  </r>
  <r>
    <s v="ORD-00900"/>
    <d v="2024-08-14T00:00:00"/>
    <s v="CUST-0199"/>
    <s v="PROD-050"/>
    <s v="R028"/>
    <n v="6"/>
    <n v="6080"/>
    <n v="21.6"/>
    <n v="28600.32"/>
    <s v="Completed"/>
    <s v="Hyderabad"/>
    <s v="Beauty"/>
    <s v="West"/>
    <s v="Aug-24"/>
    <x v="0"/>
  </r>
  <r>
    <s v="ORD-00901"/>
    <d v="2024-01-28T00:00:00"/>
    <s v="CUST-0277"/>
    <s v="PROD-045"/>
    <s v="R013"/>
    <n v="3"/>
    <n v="3020"/>
    <n v="20.7"/>
    <n v="7184.58"/>
    <s v="Completed"/>
    <s v="Chennai"/>
    <s v="Beauty"/>
    <s v="South"/>
    <s v="Jan-24"/>
    <x v="1"/>
  </r>
  <r>
    <s v="ORD-00902"/>
    <d v="2024-06-02T00:00:00"/>
    <s v="CUST-0108"/>
    <s v="PROD-015"/>
    <s v="R013"/>
    <n v="9"/>
    <n v="2720"/>
    <n v="21.4"/>
    <n v="19241.28"/>
    <s v="Completed"/>
    <s v="Bengaluru"/>
    <s v="Apparel"/>
    <s v="South"/>
    <s v="Jun-24"/>
    <x v="2"/>
  </r>
  <r>
    <s v="ORD-00903"/>
    <d v="2024-05-05T00:00:00"/>
    <s v="CUST-0203"/>
    <s v="PROD-003"/>
    <s v="R025"/>
    <n v="10"/>
    <n v="3570"/>
    <n v="4.4000000000000004"/>
    <n v="34129.199999999997"/>
    <s v="Completed"/>
    <s v="Chennai"/>
    <s v="Electronics"/>
    <s v="West"/>
    <s v="May-24"/>
    <x v="2"/>
  </r>
  <r>
    <s v="ORD-00904"/>
    <d v="2024-01-18T00:00:00"/>
    <s v="CUST-0272"/>
    <s v="PROD-040"/>
    <s v="R014"/>
    <n v="8"/>
    <n v="1080"/>
    <n v="23.8"/>
    <n v="6583.68"/>
    <s v="Completed"/>
    <s v="Mumbai"/>
    <s v="Home"/>
    <s v="South"/>
    <s v="Jan-24"/>
    <x v="1"/>
  </r>
  <r>
    <s v="ORD-00905"/>
    <d v="2024-03-16T00:00:00"/>
    <s v="CUST-0039"/>
    <s v="PROD-035"/>
    <s v="R011"/>
    <n v="8"/>
    <n v="1090"/>
    <n v="17.5"/>
    <n v="7194"/>
    <s v="Completed"/>
    <s v="Bengaluru"/>
    <s v="Home"/>
    <s v="South"/>
    <s v="Mar-24"/>
    <x v="1"/>
  </r>
  <r>
    <s v="ORD-00906"/>
    <d v="2024-11-19T00:00:00"/>
    <s v="CUST-0105"/>
    <s v="PROD-018"/>
    <s v="R027"/>
    <n v="7"/>
    <n v="3560"/>
    <n v="11.1"/>
    <n v="22153.88"/>
    <s v="Completed"/>
    <s v="Chennai"/>
    <s v="Apparel"/>
    <s v="West"/>
    <s v="Nov-24"/>
    <x v="3"/>
  </r>
  <r>
    <s v="ORD-00907"/>
    <d v="2024-07-26T00:00:00"/>
    <s v="CUST-0095"/>
    <s v="PROD-060"/>
    <s v="R022"/>
    <n v="6"/>
    <n v="190"/>
    <n v="17.100000000000001"/>
    <n v="945.06"/>
    <s v="Cancelled"/>
    <s v="Mumbai"/>
    <s v="Sports"/>
    <s v="East"/>
    <s v="Jul-24"/>
    <x v="0"/>
  </r>
  <r>
    <s v="ORD-00908"/>
    <d v="2024-03-05T00:00:00"/>
    <s v="CUST-0138"/>
    <s v="PROD-025"/>
    <s v="R025"/>
    <n v="7"/>
    <n v="4060"/>
    <n v="0.6"/>
    <n v="28249.48"/>
    <s v="Completed"/>
    <s v="Chennai"/>
    <s v="Grocery"/>
    <s v="West"/>
    <s v="Mar-24"/>
    <x v="1"/>
  </r>
  <r>
    <s v="ORD-00909"/>
    <d v="2024-02-24T00:00:00"/>
    <s v="CUST-0155"/>
    <s v="PROD-039"/>
    <s v="R021"/>
    <n v="4"/>
    <n v="4610"/>
    <n v="1.9"/>
    <n v="18089.64"/>
    <s v="Pending"/>
    <s v="Pune"/>
    <s v="Home"/>
    <s v="East"/>
    <s v="Feb-24"/>
    <x v="1"/>
  </r>
  <r>
    <s v="ORD-00910"/>
    <d v="2024-12-14T00:00:00"/>
    <s v="CUST-0198"/>
    <s v="PROD-026"/>
    <s v="R020"/>
    <n v="4"/>
    <n v="4070"/>
    <n v="26.8"/>
    <n v="11916.96"/>
    <s v="Completed"/>
    <s v="Chennai"/>
    <s v="Grocery"/>
    <s v="East"/>
    <s v="Dec-24"/>
    <x v="3"/>
  </r>
  <r>
    <s v="ORD-00911"/>
    <d v="2024-12-07T00:00:00"/>
    <s v="CUST-0267"/>
    <s v="PROD-014"/>
    <s v="R004"/>
    <n v="4"/>
    <n v="3620"/>
    <n v="11.7"/>
    <n v="12785.84"/>
    <s v="Completed"/>
    <s v="Hyderabad"/>
    <s v="Apparel"/>
    <s v="North"/>
    <s v="Dec-24"/>
    <x v="3"/>
  </r>
  <r>
    <s v="ORD-00912"/>
    <d v="2024-05-18T00:00:00"/>
    <s v="CUST-0248"/>
    <s v="PROD-006"/>
    <s v="R030"/>
    <n v="3"/>
    <n v="3970"/>
    <n v="24.7"/>
    <n v="8968.23"/>
    <s v="Completed"/>
    <s v="Chennai"/>
    <s v="Electronics"/>
    <s v="West"/>
    <s v="May-24"/>
    <x v="2"/>
  </r>
  <r>
    <s v="ORD-00913"/>
    <d v="2024-03-04T00:00:00"/>
    <s v="CUST-0114"/>
    <s v="PROD-030"/>
    <s v="R028"/>
    <n v="4"/>
    <n v="970"/>
    <n v="0.4"/>
    <n v="3864.48"/>
    <s v="Completed"/>
    <s v="Bengaluru"/>
    <s v="Grocery"/>
    <s v="West"/>
    <s v="Mar-24"/>
    <x v="1"/>
  </r>
  <r>
    <s v="ORD-00914"/>
    <d v="2024-03-28T00:00:00"/>
    <s v="CUST-0129"/>
    <s v="PROD-057"/>
    <s v="R023"/>
    <n v="2"/>
    <n v="960"/>
    <n v="1.4"/>
    <n v="1893.12"/>
    <s v="Completed"/>
    <s v="Hyderabad"/>
    <s v="Sports"/>
    <s v="East"/>
    <s v="Mar-24"/>
    <x v="1"/>
  </r>
  <r>
    <s v="ORD-00915"/>
    <d v="2024-03-24T00:00:00"/>
    <s v="CUST-0182"/>
    <s v="PROD-005"/>
    <s v="R016"/>
    <n v="7"/>
    <n v="300"/>
    <n v="20.399999999999999"/>
    <n v="1671.6"/>
    <s v="Completed"/>
    <s v="Mumbai"/>
    <s v="Electronics"/>
    <s v="South"/>
    <s v="Mar-24"/>
    <x v="1"/>
  </r>
  <r>
    <s v="ORD-00916"/>
    <d v="2024-04-15T00:00:00"/>
    <s v="CUST-0020"/>
    <s v="PROD-002"/>
    <s v="R014"/>
    <n v="8"/>
    <n v="2600"/>
    <n v="2.2000000000000002"/>
    <n v="20342.400000000001"/>
    <s v="Cancelled"/>
    <s v="Hyderabad"/>
    <s v="Electronics"/>
    <s v="South"/>
    <s v="Apr-24"/>
    <x v="2"/>
  </r>
  <r>
    <s v="ORD-00917"/>
    <d v="2024-10-06T00:00:00"/>
    <s v="CUST-0163"/>
    <s v="PROD-032"/>
    <s v="R008"/>
    <n v="2"/>
    <n v="370"/>
    <n v="17.7"/>
    <n v="609.02"/>
    <s v="Completed"/>
    <s v="Pune"/>
    <s v="Home"/>
    <s v="North"/>
    <s v="Oct-24"/>
    <x v="3"/>
  </r>
  <r>
    <s v="ORD-00918"/>
    <d v="2024-06-12T00:00:00"/>
    <s v="CUST-0142"/>
    <s v="PROD-047"/>
    <s v="R026"/>
    <n v="4"/>
    <n v="3450"/>
    <n v="9.8000000000000007"/>
    <n v="12447.6"/>
    <s v="Cancelled"/>
    <s v="Chennai"/>
    <s v="Beauty"/>
    <s v="West"/>
    <s v="Jun-24"/>
    <x v="2"/>
  </r>
  <r>
    <s v="ORD-00919"/>
    <d v="2024-07-13T00:00:00"/>
    <s v="CUST-0221"/>
    <s v="PROD-019"/>
    <s v="R020"/>
    <n v="1"/>
    <n v="2480"/>
    <n v="5.8"/>
    <n v="2336.16"/>
    <s v="Completed"/>
    <s v="Delhi"/>
    <s v="Apparel"/>
    <s v="East"/>
    <s v="Jul-24"/>
    <x v="0"/>
  </r>
  <r>
    <s v="ORD-00920"/>
    <d v="2024-02-07T00:00:00"/>
    <s v="CUST-0079"/>
    <s v="PROD-028"/>
    <s v="R019"/>
    <n v="5"/>
    <n v="3660"/>
    <n v="4.7"/>
    <n v="17439.900000000001"/>
    <s v="Pending"/>
    <s v="Mumbai"/>
    <s v="Grocery"/>
    <s v="East"/>
    <s v="Feb-24"/>
    <x v="1"/>
  </r>
  <r>
    <s v="ORD-00921"/>
    <d v="2024-01-24T00:00:00"/>
    <s v="CUST-0133"/>
    <s v="PROD-044"/>
    <s v="R023"/>
    <n v="7"/>
    <n v="1650"/>
    <n v="8.6"/>
    <n v="10556.7"/>
    <s v="Completed"/>
    <s v="Chennai"/>
    <s v="Beauty"/>
    <s v="East"/>
    <s v="Jan-24"/>
    <x v="1"/>
  </r>
  <r>
    <s v="ORD-00922"/>
    <d v="2024-06-30T00:00:00"/>
    <s v="CUST-0086"/>
    <s v="PROD-060"/>
    <s v="R025"/>
    <n v="6"/>
    <n v="190"/>
    <n v="14.6"/>
    <n v="973.56"/>
    <s v="Completed"/>
    <s v="Hyderabad"/>
    <s v="Sports"/>
    <s v="West"/>
    <s v="Jun-24"/>
    <x v="2"/>
  </r>
  <r>
    <s v="ORD-00923"/>
    <d v="2024-09-11T00:00:00"/>
    <s v="CUST-0155"/>
    <s v="PROD-022"/>
    <s v="R001"/>
    <n v="5"/>
    <n v="2270"/>
    <n v="5.9"/>
    <n v="10680.35"/>
    <s v="Completed"/>
    <s v="Pune"/>
    <s v="Grocery"/>
    <s v="North"/>
    <s v="Sep-24"/>
    <x v="0"/>
  </r>
  <r>
    <s v="ORD-00924"/>
    <d v="2024-11-29T00:00:00"/>
    <s v="CUST-0244"/>
    <s v="PROD-024"/>
    <s v="R011"/>
    <n v="1"/>
    <n v="2270"/>
    <n v="14.9"/>
    <n v="1931.77"/>
    <s v="Completed"/>
    <s v="Bengaluru"/>
    <s v="Grocery"/>
    <s v="South"/>
    <s v="Nov-24"/>
    <x v="3"/>
  </r>
  <r>
    <s v="ORD-00925"/>
    <d v="2024-10-14T00:00:00"/>
    <s v="CUST-0262"/>
    <s v="PROD-011"/>
    <s v="R018"/>
    <n v="4"/>
    <n v="3450"/>
    <n v="11.7"/>
    <n v="12185.4"/>
    <s v="Cancelled"/>
    <s v="Mumbai"/>
    <s v="Apparel"/>
    <s v="East"/>
    <s v="Oct-24"/>
    <x v="3"/>
  </r>
  <r>
    <s v="ORD-00926"/>
    <d v="2024-02-01T00:00:00"/>
    <s v="CUST-0251"/>
    <s v="PROD-045"/>
    <s v="R028"/>
    <n v="7"/>
    <n v="3020"/>
    <n v="18.8"/>
    <n v="17165.68"/>
    <s v="Completed"/>
    <s v="Mumbai"/>
    <s v="Beauty"/>
    <s v="West"/>
    <s v="Feb-24"/>
    <x v="1"/>
  </r>
  <r>
    <s v="ORD-00927"/>
    <d v="2024-11-17T00:00:00"/>
    <s v="CUST-0007"/>
    <s v="PROD-033"/>
    <s v="R016"/>
    <n v="4"/>
    <n v="2030"/>
    <n v="25.7"/>
    <n v="6033.16"/>
    <s v="Completed"/>
    <s v="Bengaluru"/>
    <s v="Home"/>
    <s v="South"/>
    <s v="Nov-24"/>
    <x v="3"/>
  </r>
  <r>
    <s v="ORD-00928"/>
    <d v="2024-03-11T00:00:00"/>
    <s v="CUST-0161"/>
    <s v="PROD-011"/>
    <s v="R014"/>
    <n v="4"/>
    <n v="3450"/>
    <n v="3.9"/>
    <n v="13261.8"/>
    <s v="Completed"/>
    <s v="Chennai"/>
    <s v="Apparel"/>
    <s v="South"/>
    <s v="Mar-24"/>
    <x v="1"/>
  </r>
  <r>
    <s v="ORD-00929"/>
    <d v="2024-02-25T00:00:00"/>
    <s v="CUST-0251"/>
    <s v="PROD-049"/>
    <s v="R028"/>
    <n v="5"/>
    <n v="960"/>
    <n v="8"/>
    <n v="4416"/>
    <s v="Completed"/>
    <s v="Mumbai"/>
    <s v="Beauty"/>
    <s v="West"/>
    <s v="Feb-24"/>
    <x v="1"/>
  </r>
  <r>
    <s v="ORD-00930"/>
    <d v="2024-09-15T00:00:00"/>
    <s v="CUST-0098"/>
    <s v="PROD-006"/>
    <s v="R001"/>
    <n v="7"/>
    <n v="3970"/>
    <n v="11.7"/>
    <n v="24538.57"/>
    <s v="Completed"/>
    <s v="Delhi"/>
    <s v="Electronics"/>
    <s v="North"/>
    <s v="Sep-24"/>
    <x v="0"/>
  </r>
  <r>
    <s v="ORD-00931"/>
    <d v="2024-09-19T00:00:00"/>
    <s v="CUST-0200"/>
    <s v="PROD-052"/>
    <s v="R026"/>
    <n v="3"/>
    <n v="5410"/>
    <n v="10"/>
    <n v="14607"/>
    <s v="Completed"/>
    <s v="Hyderabad"/>
    <s v="Sports"/>
    <s v="West"/>
    <s v="Sep-24"/>
    <x v="0"/>
  </r>
  <r>
    <s v="ORD-00932"/>
    <d v="2024-05-16T00:00:00"/>
    <s v="CUST-0228"/>
    <s v="PROD-003"/>
    <s v="R007"/>
    <n v="8"/>
    <n v="3570"/>
    <n v="8.5"/>
    <n v="26132.400000000001"/>
    <s v="Completed"/>
    <s v="Pune"/>
    <s v="Electronics"/>
    <s v="North"/>
    <s v="May-24"/>
    <x v="2"/>
  </r>
  <r>
    <s v="ORD-00933"/>
    <d v="2024-08-13T00:00:00"/>
    <s v="CUST-0095"/>
    <s v="PROD-002"/>
    <s v="R014"/>
    <n v="7"/>
    <n v="2600"/>
    <n v="27.1"/>
    <n v="13267.8"/>
    <s v="Completed"/>
    <s v="Mumbai"/>
    <s v="Electronics"/>
    <s v="South"/>
    <s v="Aug-24"/>
    <x v="0"/>
  </r>
  <r>
    <s v="ORD-00934"/>
    <d v="2024-05-30T00:00:00"/>
    <s v="CUST-0175"/>
    <s v="PROD-053"/>
    <s v="R026"/>
    <n v="6"/>
    <n v="470"/>
    <n v="2.4"/>
    <n v="2752.32"/>
    <s v="Pending"/>
    <s v="Delhi"/>
    <s v="Sports"/>
    <s v="West"/>
    <s v="May-24"/>
    <x v="2"/>
  </r>
  <r>
    <s v="ORD-00935"/>
    <d v="2024-03-20T00:00:00"/>
    <s v="CUST-0270"/>
    <s v="PROD-053"/>
    <s v="R025"/>
    <n v="3"/>
    <n v="470"/>
    <n v="6.3"/>
    <n v="1321.17"/>
    <s v="Completed"/>
    <s v="Bengaluru"/>
    <s v="Sports"/>
    <s v="West"/>
    <s v="Mar-24"/>
    <x v="1"/>
  </r>
  <r>
    <s v="ORD-00936"/>
    <d v="2024-09-05T00:00:00"/>
    <s v="CUST-0105"/>
    <s v="PROD-059"/>
    <s v="R004"/>
    <n v="3"/>
    <n v="3780"/>
    <n v="19.399999999999999"/>
    <n v="9140.0400000000009"/>
    <s v="Pending"/>
    <s v="Chennai"/>
    <s v="Sports"/>
    <s v="North"/>
    <s v="Sep-24"/>
    <x v="0"/>
  </r>
  <r>
    <s v="ORD-00937"/>
    <d v="2024-04-10T00:00:00"/>
    <s v="CUST-0147"/>
    <s v="PROD-056"/>
    <s v="R019"/>
    <n v="5"/>
    <n v="6940"/>
    <n v="12.6"/>
    <n v="30327.8"/>
    <s v="Completed"/>
    <s v="Pune"/>
    <s v="Sports"/>
    <s v="East"/>
    <s v="Apr-24"/>
    <x v="2"/>
  </r>
  <r>
    <s v="ORD-00938"/>
    <d v="2024-04-04T00:00:00"/>
    <s v="CUST-0106"/>
    <s v="PROD-004"/>
    <s v="R030"/>
    <n v="2"/>
    <n v="3870"/>
    <n v="10.5"/>
    <n v="6927.3"/>
    <s v="Completed"/>
    <s v="Pune"/>
    <s v="Electronics"/>
    <s v="West"/>
    <s v="Apr-24"/>
    <x v="2"/>
  </r>
  <r>
    <s v="ORD-00939"/>
    <d v="2024-08-12T00:00:00"/>
    <s v="CUST-0130"/>
    <s v="PROD-052"/>
    <s v="R014"/>
    <n v="8"/>
    <n v="5410"/>
    <n v="28.4"/>
    <n v="30988.48"/>
    <s v="Pending"/>
    <s v="Bengaluru"/>
    <s v="Sports"/>
    <s v="South"/>
    <s v="Aug-24"/>
    <x v="0"/>
  </r>
  <r>
    <s v="ORD-00940"/>
    <d v="2024-11-22T00:00:00"/>
    <s v="CUST-0241"/>
    <s v="PROD-006"/>
    <s v="R030"/>
    <n v="7"/>
    <n v="3970"/>
    <n v="12.3"/>
    <n v="24371.83"/>
    <s v="Completed"/>
    <s v="Pune"/>
    <s v="Electronics"/>
    <s v="West"/>
    <s v="Nov-24"/>
    <x v="3"/>
  </r>
  <r>
    <s v="ORD-00941"/>
    <d v="2024-11-14T00:00:00"/>
    <s v="CUST-0151"/>
    <s v="PROD-056"/>
    <s v="R001"/>
    <n v="5"/>
    <n v="6940"/>
    <n v="1.5"/>
    <n v="34179.5"/>
    <s v="Completed"/>
    <s v="Mumbai"/>
    <s v="Sports"/>
    <s v="North"/>
    <s v="Nov-24"/>
    <x v="3"/>
  </r>
  <r>
    <s v="ORD-00942"/>
    <d v="2024-09-06T00:00:00"/>
    <s v="CUST-0022"/>
    <s v="PROD-012"/>
    <s v="R006"/>
    <n v="7"/>
    <n v="3160"/>
    <n v="2.4"/>
    <n v="21589.119999999999"/>
    <s v="Refunded"/>
    <s v="Bengaluru"/>
    <s v="Apparel"/>
    <s v="North"/>
    <s v="Sep-24"/>
    <x v="0"/>
  </r>
  <r>
    <s v="ORD-00943"/>
    <d v="2024-07-24T00:00:00"/>
    <s v="CUST-0030"/>
    <s v="PROD-020"/>
    <s v="R024"/>
    <n v="2"/>
    <n v="820"/>
    <n v="8.1"/>
    <n v="1507.16"/>
    <s v="Completed"/>
    <s v="Bengaluru"/>
    <s v="Apparel"/>
    <s v="West"/>
    <s v="Jul-24"/>
    <x v="0"/>
  </r>
  <r>
    <s v="ORD-00944"/>
    <d v="2024-10-02T00:00:00"/>
    <s v="CUST-0176"/>
    <s v="PROD-041"/>
    <s v="R030"/>
    <n v="2"/>
    <n v="1540"/>
    <n v="17.7"/>
    <n v="2534.84"/>
    <s v="Completed"/>
    <s v="Bengaluru"/>
    <s v="Beauty"/>
    <s v="West"/>
    <s v="Oct-24"/>
    <x v="3"/>
  </r>
  <r>
    <s v="ORD-00945"/>
    <d v="2024-06-08T00:00:00"/>
    <s v="CUST-0270"/>
    <s v="PROD-004"/>
    <s v="R001"/>
    <n v="10"/>
    <n v="3870"/>
    <n v="12.2"/>
    <n v="33978.6"/>
    <s v="Refunded"/>
    <s v="Bengaluru"/>
    <s v="Electronics"/>
    <s v="North"/>
    <s v="Jun-24"/>
    <x v="2"/>
  </r>
  <r>
    <s v="ORD-00946"/>
    <d v="2024-07-15T00:00:00"/>
    <s v="CUST-0216"/>
    <s v="PROD-008"/>
    <s v="R002"/>
    <n v="7"/>
    <n v="2660"/>
    <n v="4.7"/>
    <n v="17744.86"/>
    <s v="Completed"/>
    <s v="Mumbai"/>
    <s v="Electronics"/>
    <s v="North"/>
    <s v="Jul-24"/>
    <x v="0"/>
  </r>
  <r>
    <s v="ORD-00947"/>
    <d v="2024-05-19T00:00:00"/>
    <s v="CUST-0187"/>
    <s v="PROD-003"/>
    <s v="R009"/>
    <n v="4"/>
    <n v="3570"/>
    <n v="19.3"/>
    <n v="11523.96"/>
    <s v="Completed"/>
    <s v="Chennai"/>
    <s v="Electronics"/>
    <s v="South"/>
    <s v="May-24"/>
    <x v="2"/>
  </r>
  <r>
    <s v="ORD-00948"/>
    <d v="2024-04-11T00:00:00"/>
    <s v="CUST-0143"/>
    <s v="PROD-033"/>
    <s v="R002"/>
    <n v="2"/>
    <n v="2030"/>
    <n v="2.6"/>
    <n v="3954.44"/>
    <s v="Completed"/>
    <s v="Chennai"/>
    <s v="Home"/>
    <s v="North"/>
    <s v="Apr-24"/>
    <x v="2"/>
  </r>
  <r>
    <s v="ORD-00949"/>
    <d v="2024-05-15T00:00:00"/>
    <s v="CUST-0104"/>
    <s v="PROD-012"/>
    <s v="R013"/>
    <n v="6"/>
    <n v="3160"/>
    <n v="25.8"/>
    <n v="14068.32"/>
    <s v="Completed"/>
    <s v="Hyderabad"/>
    <s v="Apparel"/>
    <s v="South"/>
    <s v="May-24"/>
    <x v="2"/>
  </r>
  <r>
    <s v="ORD-00950"/>
    <d v="2024-10-26T00:00:00"/>
    <s v="CUST-0121"/>
    <s v="PROD-034"/>
    <s v="R014"/>
    <n v="4"/>
    <n v="5080"/>
    <n v="2"/>
    <n v="19913.599999999999"/>
    <s v="Completed"/>
    <s v=" Delhi "/>
    <s v="Home"/>
    <s v="South"/>
    <s v="Oct-24"/>
    <x v="3"/>
  </r>
  <r>
    <s v="ORD-00951"/>
    <d v="2024-02-05T00:00:00"/>
    <s v="CUST-0228"/>
    <s v="PROD-047"/>
    <s v="R010"/>
    <n v="6"/>
    <n v="3450"/>
    <n v="1.8"/>
    <n v="20327.400000000001"/>
    <s v="Cancelled"/>
    <s v="Pune"/>
    <s v="Beauty"/>
    <s v="South"/>
    <s v="Feb-24"/>
    <x v="1"/>
  </r>
  <r>
    <s v="ORD-00952"/>
    <d v="2024-10-10T00:00:00"/>
    <s v="CUST-0218"/>
    <s v="PROD-051"/>
    <s v="R016"/>
    <n v="3"/>
    <n v="3450"/>
    <n v="4.7"/>
    <n v="9863.5499999999993"/>
    <s v="Pending"/>
    <s v="Mumbai"/>
    <s v="Sports"/>
    <s v="South"/>
    <s v="Oct-24"/>
    <x v="3"/>
  </r>
  <r>
    <s v="ORD-00953"/>
    <d v="2024-03-16T00:00:00"/>
    <s v="CUST-0118"/>
    <s v="PROD-001"/>
    <s v="R027"/>
    <n v="7"/>
    <n v="5330"/>
    <n v="16.399999999999999"/>
    <n v="31191.16"/>
    <s v="Completed"/>
    <s v="Hyderabad"/>
    <s v="Electronics"/>
    <s v="West"/>
    <s v="Mar-24"/>
    <x v="1"/>
  </r>
  <r>
    <s v="ORD-00954"/>
    <d v="2024-08-18T00:00:00"/>
    <s v="CUST-0262"/>
    <s v="PROD-029"/>
    <s v="R003"/>
    <n v="6"/>
    <n v="2210"/>
    <n v="13.1"/>
    <n v="11522.94"/>
    <s v="Completed"/>
    <s v="Mumbai"/>
    <s v="Grocery"/>
    <s v="North"/>
    <s v="Aug-24"/>
    <x v="0"/>
  </r>
  <r>
    <s v="ORD-00955"/>
    <d v="2024-10-14T00:00:00"/>
    <s v="CUST-0137"/>
    <s v="PROD-040"/>
    <s v="R026"/>
    <n v="8"/>
    <n v="1080"/>
    <n v="8.6999999999999993"/>
    <n v="7888.32"/>
    <s v="Completed"/>
    <s v="Mumbai"/>
    <s v="Home"/>
    <s v="West"/>
    <s v="Oct-24"/>
    <x v="3"/>
  </r>
  <r>
    <s v="ORD-00956"/>
    <d v="2024-07-22T00:00:00"/>
    <s v="CUST-0145"/>
    <s v="PROD-014"/>
    <s v="R015"/>
    <n v="5"/>
    <n v="3620"/>
    <n v="16.100000000000001"/>
    <n v="15185.9"/>
    <s v="Completed"/>
    <s v="Bengaluru"/>
    <s v="Apparel"/>
    <s v="South"/>
    <s v="Jul-24"/>
    <x v="0"/>
  </r>
  <r>
    <s v="ORD-00957"/>
    <d v="2024-07-10T00:00:00"/>
    <s v="CUST-0275"/>
    <s v="PROD-018"/>
    <s v="R011"/>
    <n v="7"/>
    <n v="3560"/>
    <n v="8.5"/>
    <n v="22801.8"/>
    <s v="Completed"/>
    <s v="Mumbai"/>
    <s v="Apparel"/>
    <s v="South"/>
    <s v="Jul-24"/>
    <x v="0"/>
  </r>
  <r>
    <s v="ORD-00958"/>
    <d v="2024-07-23T00:00:00"/>
    <s v="CUST-0189"/>
    <s v="PROD-033"/>
    <s v="R025"/>
    <n v="8"/>
    <n v="2030"/>
    <n v="18.100000000000001"/>
    <n v="13300.56"/>
    <s v="Completed"/>
    <s v="Chennai"/>
    <s v="Home"/>
    <s v="West"/>
    <s v="Jul-24"/>
    <x v="0"/>
  </r>
  <r>
    <s v="ORD-00959"/>
    <d v="2024-02-28T00:00:00"/>
    <s v="CUST-0105"/>
    <s v="PROD-044"/>
    <s v="R011"/>
    <n v="10"/>
    <n v="1650"/>
    <n v="7.1"/>
    <n v="15328.5"/>
    <s v="Completed"/>
    <s v="Chennai"/>
    <s v="Beauty"/>
    <s v="South"/>
    <s v="Feb-24"/>
    <x v="1"/>
  </r>
  <r>
    <s v="ORD-00960"/>
    <d v="2024-08-13T00:00:00"/>
    <s v="CUST-0284"/>
    <s v="PROD-021"/>
    <s v="R017"/>
    <n v="4"/>
    <n v="2760"/>
    <n v="17.600000000000001"/>
    <n v="9096.9599999999991"/>
    <s v="Cancelled"/>
    <s v="Hyderabad"/>
    <s v="Grocery"/>
    <s v="East"/>
    <s v="Aug-24"/>
    <x v="0"/>
  </r>
  <r>
    <s v="ORD-00961"/>
    <d v="2024-06-17T00:00:00"/>
    <s v="CUST-0296"/>
    <s v="PROD-006"/>
    <s v="R009"/>
    <n v="4"/>
    <n v="3970"/>
    <n v="4.3"/>
    <n v="15197.16"/>
    <s v="Completed"/>
    <s v="Delhi"/>
    <s v="Electronics"/>
    <s v="South"/>
    <s v="Jun-24"/>
    <x v="2"/>
  </r>
  <r>
    <s v="ORD-00962"/>
    <d v="2024-08-05T00:00:00"/>
    <s v="CUST-0087"/>
    <s v="PROD-050"/>
    <s v="R010"/>
    <n v="2"/>
    <n v="6080"/>
    <n v="23.8"/>
    <n v="9265.92"/>
    <s v="Completed"/>
    <s v="Pune"/>
    <s v="Beauty"/>
    <s v="South"/>
    <s v="Aug-24"/>
    <x v="0"/>
  </r>
  <r>
    <s v="ORD-00963"/>
    <d v="2024-11-06T00:00:00"/>
    <s v="CUST-0012"/>
    <s v="PROD-024"/>
    <s v="R004"/>
    <n v="4"/>
    <n v="2270"/>
    <n v="28.9"/>
    <n v="6455.88"/>
    <s v="Completed"/>
    <s v="Pune"/>
    <s v="Grocery"/>
    <s v="North"/>
    <s v="Nov-24"/>
    <x v="3"/>
  </r>
  <r>
    <s v="ORD-00964"/>
    <d v="2024-05-29T00:00:00"/>
    <s v="CUST-0241"/>
    <s v="PROD-006"/>
    <s v="R004"/>
    <n v="10"/>
    <n v="3970"/>
    <n v="26.2"/>
    <n v="29298.6"/>
    <s v="Completed"/>
    <s v="Pune"/>
    <s v="Electronics"/>
    <s v="North"/>
    <s v="May-24"/>
    <x v="2"/>
  </r>
  <r>
    <s v="ORD-00965"/>
    <d v="2024-03-27T00:00:00"/>
    <s v="CUST-0133"/>
    <s v="PROD-048"/>
    <s v="R013"/>
    <n v="4"/>
    <n v="5100"/>
    <n v="2.1"/>
    <n v="19971.599999999999"/>
    <s v="Completed"/>
    <s v="Chennai"/>
    <s v="Beauty"/>
    <s v="South"/>
    <s v="Mar-24"/>
    <x v="1"/>
  </r>
  <r>
    <s v="ORD-00966"/>
    <d v="2024-05-16T00:00:00"/>
    <s v="CUST-0230"/>
    <s v="PROD-045"/>
    <s v="R024"/>
    <n v="5"/>
    <n v="3020"/>
    <n v="17.3"/>
    <n v="12487.7"/>
    <s v="Completed"/>
    <s v="Pune"/>
    <s v="Beauty"/>
    <s v="West"/>
    <s v="May-24"/>
    <x v="2"/>
  </r>
  <r>
    <s v="ORD-00967"/>
    <d v="2024-08-17T00:00:00"/>
    <s v="CUST-0126"/>
    <s v="PROD-057"/>
    <s v="R016"/>
    <n v="8"/>
    <n v="960"/>
    <n v="1.3"/>
    <n v="7580.16"/>
    <s v="Cancelled"/>
    <s v="Mumbai"/>
    <s v="Sports"/>
    <s v="South"/>
    <s v="Aug-24"/>
    <x v="0"/>
  </r>
  <r>
    <s v="ORD-00968"/>
    <d v="2024-11-16T00:00:00"/>
    <s v="CUST-0233"/>
    <s v="PROD-019"/>
    <s v="R008"/>
    <n v="9"/>
    <n v="2480"/>
    <n v="15.6"/>
    <n v="18838.080000000002"/>
    <s v="Completed"/>
    <s v="Mumbai"/>
    <s v="Apparel"/>
    <s v="North"/>
    <s v="Nov-24"/>
    <x v="3"/>
  </r>
  <r>
    <s v="ORD-00969"/>
    <d v="2024-10-01T00:00:00"/>
    <s v="CUST-9555"/>
    <s v="PROD-030"/>
    <s v="R012"/>
    <n v="1"/>
    <n v="970"/>
    <n v="24.9"/>
    <n v="728.47"/>
    <s v="Completed"/>
    <s v="Bengaluru"/>
    <s v="Grocery"/>
    <s v="South"/>
    <s v="Oct-24"/>
    <x v="3"/>
  </r>
  <r>
    <s v="ORD-00970"/>
    <d v="2024-11-10T00:00:00"/>
    <s v="CUST-0150"/>
    <s v="PROD-023"/>
    <s v="R022"/>
    <n v="4"/>
    <n v="2380"/>
    <n v="9.5"/>
    <n v="8615.6"/>
    <s v="Cancelled"/>
    <s v="Pune"/>
    <s v="Grocery"/>
    <s v="East"/>
    <s v="Nov-24"/>
    <x v="3"/>
  </r>
  <r>
    <s v="ORD-00971"/>
    <d v="2024-05-11T00:00:00"/>
    <s v="CUST-0204"/>
    <s v="PROD-052"/>
    <s v="R005"/>
    <n v="4"/>
    <n v="5410"/>
    <n v="18.7"/>
    <n v="17593.32"/>
    <s v="Completed"/>
    <s v="Hyderabad"/>
    <s v="Sports"/>
    <s v="North"/>
    <s v="May-24"/>
    <x v="2"/>
  </r>
  <r>
    <s v="ORD-00972"/>
    <d v="2024-10-08T00:00:00"/>
    <s v="CUST-0040"/>
    <s v="PROD-034"/>
    <s v="R022"/>
    <n v="7"/>
    <n v="5080"/>
    <n v="6.5"/>
    <n v="33248.6"/>
    <s v="Completed"/>
    <s v="Chennai"/>
    <s v="Home"/>
    <s v="East"/>
    <s v="Oct-24"/>
    <x v="3"/>
  </r>
  <r>
    <s v="ORD-00973"/>
    <d v="2024-02-17T00:00:00"/>
    <s v="CUST-0060"/>
    <s v="PROD-007"/>
    <s v="R025"/>
    <n v="5"/>
    <n v="1430"/>
    <n v="19.8"/>
    <n v="5734.3"/>
    <s v="Completed"/>
    <s v="Pune"/>
    <s v="Electronics"/>
    <s v="West"/>
    <s v="Feb-24"/>
    <x v="1"/>
  </r>
  <r>
    <s v="ORD-00974"/>
    <d v="2024-11-15T00:00:00"/>
    <s v="CUST-0017"/>
    <s v="PROD-037"/>
    <s v="R011"/>
    <n v="7"/>
    <n v="660"/>
    <n v="17.3"/>
    <n v="3820.74"/>
    <s v="Completed"/>
    <s v="Delhi"/>
    <s v="Home"/>
    <s v="South"/>
    <s v="Nov-24"/>
    <x v="3"/>
  </r>
  <r>
    <s v="ORD-00975"/>
    <d v="2024-08-01T00:00:00"/>
    <s v="CUST-0093"/>
    <s v="PROD-041"/>
    <s v="R004"/>
    <n v="10"/>
    <n v="1540"/>
    <n v="17.5"/>
    <n v="12705"/>
    <s v="Completed"/>
    <s v="Pune"/>
    <s v="Beauty"/>
    <s v="North"/>
    <s v="Aug-24"/>
    <x v="0"/>
  </r>
  <r>
    <s v="ORD-01662"/>
    <d v="2024-03-07T00:00:00"/>
    <s v="CUST-0068"/>
    <s v="PROD-029"/>
    <s v="R003"/>
    <n v="10"/>
    <n v="2210"/>
    <n v="24.1"/>
    <n v="16773.900000000001"/>
    <s v="Pending"/>
    <s v="Delhi"/>
    <s v="Grocery"/>
    <s v="North"/>
    <s v="Mar-24"/>
    <x v="1"/>
  </r>
  <r>
    <s v="ORD-00977"/>
    <d v="2024-08-15T00:00:00"/>
    <s v="CUST-0251"/>
    <s v="PROD-057"/>
    <s v="R022"/>
    <n v="4"/>
    <n v="960"/>
    <n v="13.4"/>
    <n v="3325.44"/>
    <s v="Completed"/>
    <s v="Mumbai"/>
    <s v="Sports"/>
    <s v="East"/>
    <s v="Aug-24"/>
    <x v="0"/>
  </r>
  <r>
    <s v="ORD-00978"/>
    <d v="2024-12-02T00:00:00"/>
    <s v="CUST-0076"/>
    <s v="PROD-047"/>
    <s v="R022"/>
    <n v="8"/>
    <n v="3450"/>
    <n v="3.7"/>
    <n v="26578.799999999999"/>
    <s v="Completed"/>
    <s v="Mumbai"/>
    <s v="Beauty"/>
    <s v="East"/>
    <s v="Dec-24"/>
    <x v="3"/>
  </r>
  <r>
    <s v="ORD-00979"/>
    <d v="2024-07-08T00:00:00"/>
    <s v="CUST-9927"/>
    <s v="PROD-033"/>
    <s v="R005"/>
    <n v="6"/>
    <n v="2030"/>
    <n v="9.5"/>
    <n v="11022.9"/>
    <s v="Completed"/>
    <s v="Mumbai"/>
    <s v="Home"/>
    <s v="North"/>
    <s v="Jul-24"/>
    <x v="0"/>
  </r>
  <r>
    <s v="ORD-00980"/>
    <d v="2024-04-17T00:00:00"/>
    <s v="CUST-0135"/>
    <s v="PROD-011"/>
    <s v="R009"/>
    <n v="7"/>
    <n v="3450"/>
    <n v="28.2"/>
    <n v="17339.7"/>
    <s v="Completed"/>
    <s v="Pune"/>
    <s v="Apparel"/>
    <s v="South"/>
    <s v="Apr-24"/>
    <x v="2"/>
  </r>
  <r>
    <s v="ORD-00981"/>
    <d v="2024-08-27T00:00:00"/>
    <s v="CUST-0163"/>
    <s v="PROD-027"/>
    <s v="R011"/>
    <n v="7"/>
    <n v="3780"/>
    <n v="15.1"/>
    <n v="22464.54"/>
    <s v="Completed"/>
    <s v="Pune"/>
    <s v="Grocery"/>
    <s v="South"/>
    <s v="Aug-24"/>
    <x v="0"/>
  </r>
  <r>
    <s v="ORD-00947"/>
    <d v="2024-05-05T00:00:00"/>
    <s v="CUST-0107"/>
    <s v="PROD-021"/>
    <s v="R002"/>
    <n v="4"/>
    <n v="2760"/>
    <n v="14.8"/>
    <n v="9406.08"/>
    <s v="Completed"/>
    <s v="Pune"/>
    <s v="Grocery"/>
    <s v="North"/>
    <s v="May-24"/>
    <x v="2"/>
  </r>
  <r>
    <s v="ORD-00983"/>
    <d v="2024-02-05T00:00:00"/>
    <s v="CUST-0209"/>
    <s v="PROD-041"/>
    <s v="R029"/>
    <n v="4"/>
    <n v="1540"/>
    <n v="13.9"/>
    <n v="5303.76"/>
    <s v="Completed"/>
    <s v="Pune"/>
    <s v="Beauty"/>
    <s v="West"/>
    <s v="Feb-24"/>
    <x v="1"/>
  </r>
  <r>
    <s v="ORD-00984"/>
    <d v="2024-05-26T00:00:00"/>
    <s v="CUST-0074"/>
    <s v="PROD-031"/>
    <s v="R007"/>
    <n v="2"/>
    <n v="3730"/>
    <n v="15.7"/>
    <n v="6288.78"/>
    <s v="Cancelled"/>
    <s v="Bengaluru"/>
    <s v="Home"/>
    <s v="North"/>
    <s v="May-24"/>
    <x v="2"/>
  </r>
  <r>
    <s v="ORD-00985"/>
    <d v="2024-10-12T00:00:00"/>
    <s v="CUST-0037"/>
    <s v="PROD-031"/>
    <s v="R027"/>
    <n v="4"/>
    <n v="3730"/>
    <n v="2.1"/>
    <n v="14606.68"/>
    <s v="Completed"/>
    <s v="Bengaluru"/>
    <s v="Home"/>
    <s v="West"/>
    <s v="Oct-24"/>
    <x v="3"/>
  </r>
  <r>
    <s v="ORD-00986"/>
    <d v="2024-06-14T00:00:00"/>
    <s v="CUST-0026"/>
    <s v="PROD-012"/>
    <s v="R013"/>
    <n v="1"/>
    <n v="3160"/>
    <n v="29.8"/>
    <n v="2218.3200000000002"/>
    <s v="Completed"/>
    <s v="Pune"/>
    <s v="Apparel"/>
    <s v="South"/>
    <s v="Jun-24"/>
    <x v="2"/>
  </r>
  <r>
    <s v="ORD-00987"/>
    <d v="2024-09-09T00:00:00"/>
    <s v="CUST-0151"/>
    <s v="PROD-042"/>
    <s v="R022"/>
    <n v="9"/>
    <n v="2290"/>
    <n v="8.3000000000000007"/>
    <n v="18899.37"/>
    <s v="Pending"/>
    <s v="Mumbai"/>
    <s v="Beauty"/>
    <s v="East"/>
    <s v="Sep-24"/>
    <x v="0"/>
  </r>
  <r>
    <s v="ORD-00988"/>
    <d v="2024-12-06T00:00:00"/>
    <s v="CUST-0210"/>
    <s v="PROD-004"/>
    <s v="R013"/>
    <n v="2"/>
    <n v="3870"/>
    <n v="5.2"/>
    <n v="7337.52"/>
    <s v="Completed"/>
    <s v="Pune"/>
    <s v="Electronics"/>
    <s v="South"/>
    <s v="Dec-24"/>
    <x v="3"/>
  </r>
  <r>
    <s v="ORD-00989"/>
    <d v="2024-06-22T00:00:00"/>
    <s v="CUST-0192"/>
    <s v="PROD-003"/>
    <s v="R007"/>
    <n v="5"/>
    <n v="3570"/>
    <n v="19.899999999999999"/>
    <n v="14297.85"/>
    <s v="Completed"/>
    <s v="Bengaluru"/>
    <s v="Electronics"/>
    <s v="North"/>
    <s v="Jun-24"/>
    <x v="2"/>
  </r>
  <r>
    <s v="ORD-00990"/>
    <d v="2024-02-20T00:00:00"/>
    <s v="CUST-0161"/>
    <s v="PROD-054"/>
    <s v="R001"/>
    <n v="5"/>
    <n v="1010"/>
    <n v="2.2000000000000002"/>
    <n v="4938.8999999999996"/>
    <s v="Completed"/>
    <s v="Chennai"/>
    <s v="Sports"/>
    <s v="North"/>
    <s v="Feb-24"/>
    <x v="1"/>
  </r>
  <r>
    <s v="ORD-00991"/>
    <d v="2024-01-18T00:00:00"/>
    <s v="CUST-0255"/>
    <s v="PROD-042"/>
    <s v="R004"/>
    <n v="10"/>
    <n v="2290"/>
    <n v="16.8"/>
    <n v="19052.8"/>
    <s v="Cancelled"/>
    <s v="Chennai"/>
    <s v="Beauty"/>
    <s v="North"/>
    <s v="Jan-24"/>
    <x v="1"/>
  </r>
  <r>
    <s v="ORD-00992"/>
    <d v="2024-07-20T00:00:00"/>
    <s v="CUST-0027"/>
    <s v="PROD-039"/>
    <s v="R019"/>
    <n v="3"/>
    <n v="4610"/>
    <n v="13.2"/>
    <n v="12004.44"/>
    <s v="Pending"/>
    <s v="Hyderabad"/>
    <s v="Home"/>
    <s v="East"/>
    <s v="Jul-24"/>
    <x v="0"/>
  </r>
  <r>
    <s v="ORD-00993"/>
    <d v="2024-03-05T00:00:00"/>
    <s v="CUST-0228"/>
    <s v="PROD-017"/>
    <s v="R003"/>
    <n v="1"/>
    <n v="2510"/>
    <n v="16.899999999999999"/>
    <n v="2085.81"/>
    <s v="Completed"/>
    <s v="Pune"/>
    <s v="Apparel"/>
    <s v="North"/>
    <s v="Mar-24"/>
    <x v="1"/>
  </r>
  <r>
    <s v="ORD-00994"/>
    <d v="2024-03-16T00:00:00"/>
    <s v="CUST-0183"/>
    <s v="PROD-045"/>
    <s v="R009"/>
    <n v="1"/>
    <n v="3020"/>
    <n v="26.7"/>
    <n v="2213.66"/>
    <s v="Completed"/>
    <s v="Mumbai"/>
    <s v="Beauty"/>
    <s v="South"/>
    <s v="Mar-24"/>
    <x v="1"/>
  </r>
  <r>
    <s v="ORD-00995"/>
    <d v="2024-01-22T00:00:00"/>
    <s v="CUST-0026"/>
    <s v="PROD-060"/>
    <s v="R012"/>
    <n v="6"/>
    <n v="190"/>
    <n v="7.1"/>
    <n v="1059.06"/>
    <s v="Completed"/>
    <s v="Pune"/>
    <s v="Sports"/>
    <s v="South"/>
    <s v="Jan-24"/>
    <x v="1"/>
  </r>
  <r>
    <s v="ORD-00996"/>
    <d v="2024-08-25T00:00:00"/>
    <s v="CUST-0211"/>
    <s v="PROD-033"/>
    <s v="R002"/>
    <n v="6"/>
    <n v="2030"/>
    <n v="13.5"/>
    <n v="10535.7"/>
    <s v="Cancelled"/>
    <s v="Bengaluru"/>
    <s v="Home"/>
    <s v="North"/>
    <s v="Aug-24"/>
    <x v="0"/>
  </r>
  <r>
    <s v="ORD-00997"/>
    <d v="2024-09-12T00:00:00"/>
    <s v="CUST-0190"/>
    <s v="PROD-036"/>
    <s v="R012"/>
    <n v="10"/>
    <n v="3250"/>
    <n v="8.6999999999999993"/>
    <n v="29672.5"/>
    <s v="Completed"/>
    <s v="Hyderabad"/>
    <s v="Home"/>
    <s v="South"/>
    <s v="Sep-24"/>
    <x v="0"/>
  </r>
  <r>
    <s v="ORD-00998"/>
    <d v="2024-01-08T00:00:00"/>
    <s v="CUST-0172"/>
    <s v="PROD-033"/>
    <s v="R029"/>
    <n v="9"/>
    <n v="2030"/>
    <n v="29.3"/>
    <n v="12916.89"/>
    <s v="Completed"/>
    <s v="Pune"/>
    <s v="Home"/>
    <s v="West"/>
    <s v="Jan-24"/>
    <x v="1"/>
  </r>
  <r>
    <s v="ORD-00999"/>
    <d v="2024-03-29T00:00:00"/>
    <s v="CUST-0272"/>
    <s v="PROD-023"/>
    <s v="R025"/>
    <n v="1"/>
    <n v="2380"/>
    <n v="12.9"/>
    <n v="2072.98"/>
    <s v="Completed"/>
    <s v="Mumbai"/>
    <s v="Grocery"/>
    <s v="West"/>
    <s v="Mar-24"/>
    <x v="1"/>
  </r>
  <r>
    <s v="ORD-01000"/>
    <d v="2024-08-17T00:00:00"/>
    <s v="CUST-0232"/>
    <s v="PROD-011"/>
    <s v="R024"/>
    <n v="10"/>
    <n v="3450"/>
    <n v="18.5"/>
    <n v="28117.5"/>
    <s v="Completed"/>
    <s v="Hyderabad"/>
    <s v="Apparel"/>
    <s v="West"/>
    <s v="Aug-24"/>
    <x v="0"/>
  </r>
  <r>
    <s v="ORD-01001"/>
    <d v="2024-07-27T00:00:00"/>
    <s v="CUST-0282"/>
    <s v="PROD-012"/>
    <s v="R002"/>
    <n v="10"/>
    <n v="3160"/>
    <n v="26.3"/>
    <n v="23289.200000000001"/>
    <s v="Completed"/>
    <s v="Hyderabad"/>
    <s v="Apparel"/>
    <s v="North"/>
    <s v="Jul-24"/>
    <x v="0"/>
  </r>
  <r>
    <s v="ORD-01002"/>
    <d v="2024-08-27T00:00:00"/>
    <s v="CUST-0164"/>
    <s v="PROD-038"/>
    <s v="R026"/>
    <n v="10"/>
    <n v="5490"/>
    <n v="22.7"/>
    <n v="42437.7"/>
    <s v="Completed"/>
    <s v="Chennai"/>
    <s v="Home"/>
    <s v="West"/>
    <s v="Aug-24"/>
    <x v="0"/>
  </r>
  <r>
    <s v="ORD-01003"/>
    <d v="2024-09-28T00:00:00"/>
    <s v="CUST-0212"/>
    <s v="PROD-055"/>
    <s v="R006"/>
    <n v="8"/>
    <n v="2860"/>
    <n v="14.3"/>
    <n v="19608.16"/>
    <s v="Completed"/>
    <s v="Chennai"/>
    <s v="Sports"/>
    <s v="North"/>
    <s v="Sep-24"/>
    <x v="0"/>
  </r>
  <r>
    <s v="ORD-01004"/>
    <d v="2024-05-04T00:00:00"/>
    <s v="CUST-0234"/>
    <s v="PROD-049"/>
    <s v="R011"/>
    <n v="1"/>
    <n v="960"/>
    <n v="11.9"/>
    <n v="845.76"/>
    <s v="Completed"/>
    <s v="Bengaluru"/>
    <s v="Beauty"/>
    <s v="South"/>
    <s v="May-24"/>
    <x v="2"/>
  </r>
  <r>
    <s v="ORD-01005"/>
    <d v="2024-05-18T00:00:00"/>
    <s v="CUST-0292"/>
    <s v="PROD-040"/>
    <s v="R007"/>
    <n v="3"/>
    <n v="1080"/>
    <n v="26"/>
    <n v="2397.6"/>
    <s v="Completed"/>
    <s v="Bengaluru"/>
    <s v="Home"/>
    <s v="North"/>
    <s v="May-24"/>
    <x v="2"/>
  </r>
  <r>
    <s v="ORD-01006"/>
    <d v="2024-10-20T00:00:00"/>
    <s v="CUST-0018"/>
    <s v="PROD-055"/>
    <s v="R001"/>
    <n v="10"/>
    <n v="2860"/>
    <n v="13.1"/>
    <n v="24853.4"/>
    <s v="Refunded"/>
    <s v="Pune"/>
    <s v="Sports"/>
    <s v="North"/>
    <s v="Oct-24"/>
    <x v="3"/>
  </r>
  <r>
    <s v="ORD-01007"/>
    <d v="2024-12-04T00:00:00"/>
    <s v="CUST-0220"/>
    <s v="PROD-013"/>
    <s v="R001"/>
    <n v="3"/>
    <n v="3640"/>
    <n v="18.2"/>
    <n v="8932.56"/>
    <s v="Completed"/>
    <s v="Chennai"/>
    <s v="Apparel"/>
    <s v="North"/>
    <s v="Dec-24"/>
    <x v="3"/>
  </r>
  <r>
    <s v="ORD-01008"/>
    <d v="2024-04-23T00:00:00"/>
    <s v="CUST-0064"/>
    <s v="PROD-015"/>
    <s v="R018"/>
    <n v="3"/>
    <n v="2720"/>
    <n v="3.6"/>
    <n v="7866.24"/>
    <s v="Completed"/>
    <s v="Hyderabad"/>
    <s v="Apparel"/>
    <s v="East"/>
    <s v="Apr-24"/>
    <x v="2"/>
  </r>
  <r>
    <s v="ORD-01009"/>
    <d v="2024-12-04T00:00:00"/>
    <s v="CUST-0077"/>
    <s v="PROD-024"/>
    <s v="R008"/>
    <n v="4"/>
    <n v="2270"/>
    <n v="18.399999999999999"/>
    <n v="7409.28"/>
    <s v="Completed"/>
    <s v="Hyderabad"/>
    <s v="Grocery"/>
    <s v="North"/>
    <s v="Dec-24"/>
    <x v="3"/>
  </r>
  <r>
    <s v="ORD-01010"/>
    <d v="2024-07-10T00:00:00"/>
    <s v="CUST-0229"/>
    <s v="PROD-009"/>
    <s v="R029"/>
    <n v="5"/>
    <n v="1220"/>
    <n v="13.9"/>
    <n v="5252.1"/>
    <s v="Completed"/>
    <s v="Hyderabad"/>
    <s v="Electronics"/>
    <s v="West"/>
    <s v="Jul-24"/>
    <x v="0"/>
  </r>
  <r>
    <s v="ORD-01011"/>
    <d v="2024-08-26T00:00:00"/>
    <s v="CUST-0129"/>
    <s v="PROD-010"/>
    <s v="R015"/>
    <n v="8"/>
    <n v="2640"/>
    <n v="17.3"/>
    <n v="17466.240000000002"/>
    <s v="Completed"/>
    <s v="Hyderabad"/>
    <s v="Electronics"/>
    <s v="South"/>
    <s v="Aug-24"/>
    <x v="0"/>
  </r>
  <r>
    <s v="ORD-01012"/>
    <d v="2024-07-27T00:00:00"/>
    <s v="CUST-0145"/>
    <s v="PROD-030"/>
    <s v="R015"/>
    <n v="1"/>
    <n v="970"/>
    <n v="28"/>
    <n v="698.4"/>
    <s v="Cancelled"/>
    <s v="Bengaluru"/>
    <s v="Grocery"/>
    <s v="South"/>
    <s v="Jul-24"/>
    <x v="0"/>
  </r>
  <r>
    <s v="ORD-01013"/>
    <d v="2024-03-07T00:00:00"/>
    <s v="CUST-0258"/>
    <s v="PROD-031"/>
    <s v="R025"/>
    <n v="8"/>
    <n v="3730"/>
    <n v="2.1"/>
    <n v="29213.360000000001"/>
    <s v="Refunded"/>
    <s v="Pune"/>
    <s v="Home"/>
    <s v="West"/>
    <s v="Mar-24"/>
    <x v="1"/>
  </r>
  <r>
    <s v="ORD-01014"/>
    <d v="2024-11-02T00:00:00"/>
    <s v="CUST-0209"/>
    <s v="PROD-030"/>
    <s v="R024"/>
    <n v="7"/>
    <n v="970"/>
    <n v="25.5"/>
    <n v="5058.55"/>
    <s v="Completed"/>
    <s v="Pune"/>
    <s v="Grocery"/>
    <s v="West"/>
    <s v="Nov-24"/>
    <x v="3"/>
  </r>
  <r>
    <s v="ORD-01015"/>
    <d v="2024-01-27T00:00:00"/>
    <s v="CUST-0131"/>
    <s v="PROD-003"/>
    <s v="R022"/>
    <n v="6"/>
    <n v="3570"/>
    <n v="9.9"/>
    <n v="19299.419999999998"/>
    <s v="Completed"/>
    <s v="Delhi"/>
    <s v="Electronics"/>
    <s v="East"/>
    <s v="Jan-24"/>
    <x v="1"/>
  </r>
  <r>
    <s v="ORD-01016"/>
    <d v="2024-08-20T00:00:00"/>
    <s v="CUST-0276"/>
    <s v="PROD-030"/>
    <s v="R016"/>
    <n v="6"/>
    <n v="970"/>
    <n v="19.600000000000001"/>
    <n v="4679.28"/>
    <s v="Completed"/>
    <s v="Chennai"/>
    <s v="Grocery"/>
    <s v="South"/>
    <s v="Aug-24"/>
    <x v="0"/>
  </r>
  <r>
    <s v="ORD-01017"/>
    <d v="2024-09-19T00:00:00"/>
    <s v="CUST-0283"/>
    <s v="PROD-059"/>
    <s v="R011"/>
    <n v="8"/>
    <n v="3780"/>
    <n v="26.5"/>
    <n v="22226.400000000001"/>
    <s v="Completed"/>
    <s v="Delhi"/>
    <s v="Sports"/>
    <s v="South"/>
    <s v="Sep-24"/>
    <x v="0"/>
  </r>
  <r>
    <s v="ORD-01018"/>
    <d v="2024-08-24T00:00:00"/>
    <s v="CUST-0195"/>
    <s v="PROD-058"/>
    <s v="R011"/>
    <n v="6"/>
    <n v="2400"/>
    <n v="1.4"/>
    <n v="14198.4"/>
    <s v="Completed"/>
    <s v="Bengaluru"/>
    <s v="Sports"/>
    <s v="South"/>
    <s v="Aug-24"/>
    <x v="0"/>
  </r>
  <r>
    <s v="ORD-01019"/>
    <d v="2024-07-13T00:00:00"/>
    <s v="CUST-0181"/>
    <s v="PROD-036"/>
    <s v="R021"/>
    <n v="10"/>
    <n v="3250"/>
    <n v="19.3"/>
    <n v="26227.5"/>
    <s v="Completed"/>
    <s v="Delhi"/>
    <s v="Home"/>
    <s v="East"/>
    <s v="Jul-24"/>
    <x v="0"/>
  </r>
  <r>
    <s v="ORD-01020"/>
    <d v="2024-02-14T00:00:00"/>
    <s v="CUST-0149"/>
    <s v="PROD-021"/>
    <s v="R014"/>
    <n v="7"/>
    <n v="2760"/>
    <n v="23.6"/>
    <n v="14760.48"/>
    <s v="Pending"/>
    <s v="Hyderabad"/>
    <s v="Grocery"/>
    <s v="South"/>
    <s v="Feb-24"/>
    <x v="1"/>
  </r>
  <r>
    <s v="ORD-01021"/>
    <d v="2024-06-20T00:00:00"/>
    <s v="CUST-0152"/>
    <s v="PROD-003"/>
    <s v="R001"/>
    <n v="3"/>
    <n v="3570"/>
    <n v="26.3"/>
    <n v="7893.27"/>
    <s v="Completed"/>
    <s v="Bengaluru"/>
    <s v="Electronics"/>
    <s v="North"/>
    <s v="Jun-24"/>
    <x v="2"/>
  </r>
  <r>
    <s v="ORD-01022"/>
    <d v="2024-04-10T00:00:00"/>
    <s v="CUST-0085"/>
    <s v="PROD-027"/>
    <s v="R015"/>
    <n v="4"/>
    <n v="3780"/>
    <n v="10.1"/>
    <n v="13592.88"/>
    <s v="Completed"/>
    <s v="Chennai"/>
    <s v="Grocery"/>
    <s v="South"/>
    <s v="Apr-24"/>
    <x v="2"/>
  </r>
  <r>
    <s v="ORD-01023"/>
    <d v="2024-11-04T00:00:00"/>
    <s v="CUST-0231"/>
    <s v="PROD-007"/>
    <s v="R019"/>
    <n v="10"/>
    <n v="1430"/>
    <n v="3.7"/>
    <n v="13770.9"/>
    <s v="Completed"/>
    <s v="Chennai"/>
    <s v="Electronics"/>
    <s v="East"/>
    <s v="Nov-24"/>
    <x v="3"/>
  </r>
  <r>
    <s v="ORD-01024"/>
    <d v="2024-04-29T00:00:00"/>
    <s v="CUST-0044"/>
    <s v="PROD-022"/>
    <s v="R011"/>
    <n v="6"/>
    <n v="2270"/>
    <n v="7.9"/>
    <n v="12544.02"/>
    <s v="Refunded"/>
    <s v="Hyderabad"/>
    <s v="Grocery"/>
    <s v="South"/>
    <s v="Apr-24"/>
    <x v="2"/>
  </r>
  <r>
    <s v="ORD-01025"/>
    <d v="2024-04-24T00:00:00"/>
    <s v="CUST-0027"/>
    <s v="PROD-054"/>
    <s v="R013"/>
    <n v="1"/>
    <n v="1010"/>
    <n v="6.9"/>
    <n v="940.31"/>
    <s v="Pending"/>
    <s v="Hyderabad"/>
    <s v="Sports"/>
    <s v="South"/>
    <s v="Apr-24"/>
    <x v="2"/>
  </r>
  <r>
    <s v="ORD-01026"/>
    <d v="2024-04-29T00:00:00"/>
    <s v="CUST-0101"/>
    <s v="PROD-055"/>
    <s v="R014"/>
    <n v="2"/>
    <n v="2860"/>
    <n v="20.100000000000001"/>
    <n v="4570.28"/>
    <s v="Completed"/>
    <s v="Hyderabad"/>
    <s v="Sports"/>
    <s v="South"/>
    <s v="Apr-24"/>
    <x v="2"/>
  </r>
  <r>
    <s v="ORD-01027"/>
    <d v="2024-06-18T00:00:00"/>
    <s v="CUST-0123"/>
    <s v="PROD-002"/>
    <s v="R019"/>
    <n v="9"/>
    <n v="2600"/>
    <n v="15.9"/>
    <n v="19679.400000000001"/>
    <s v="Cancelled"/>
    <s v="Chennai"/>
    <s v="Electronics"/>
    <s v="East"/>
    <s v="Jun-24"/>
    <x v="2"/>
  </r>
  <r>
    <s v="ORD-01028"/>
    <d v="2024-04-27T00:00:00"/>
    <s v="CUST-0124"/>
    <s v="PROD-053"/>
    <s v="R024"/>
    <n v="10"/>
    <n v="470"/>
    <n v="23.1"/>
    <n v="3614.3"/>
    <s v="Pending"/>
    <s v="Pune"/>
    <s v="Sports"/>
    <s v="West"/>
    <s v="Apr-24"/>
    <x v="2"/>
  </r>
  <r>
    <s v="ORD-01029"/>
    <d v="2024-07-22T00:00:00"/>
    <s v="CUST-0159"/>
    <s v="PROD-037"/>
    <s v="R013"/>
    <n v="10"/>
    <n v="660"/>
    <n v="9.4"/>
    <n v="5979.6"/>
    <s v="Completed"/>
    <s v="Hyderabad"/>
    <s v="Home"/>
    <s v="South"/>
    <s v="Jul-24"/>
    <x v="0"/>
  </r>
  <r>
    <s v="ORD-01030"/>
    <d v="2024-01-16T00:00:00"/>
    <s v="CUST-0087"/>
    <s v="PROD-009"/>
    <s v="R023"/>
    <n v="5"/>
    <n v="1220"/>
    <n v="23.3"/>
    <n v="4678.7"/>
    <s v="Completed"/>
    <s v="Pune"/>
    <s v="Electronics"/>
    <s v="East"/>
    <s v="Jan-24"/>
    <x v="1"/>
  </r>
  <r>
    <s v="ORD-01031"/>
    <d v="2024-01-03T00:00:00"/>
    <s v="CUST-0295"/>
    <s v="PROD-036"/>
    <s v="R011"/>
    <n v="9"/>
    <n v="3250"/>
    <n v="19.600000000000001"/>
    <n v="23517"/>
    <s v="Pending"/>
    <s v="Delhi"/>
    <s v="Home"/>
    <s v="South"/>
    <s v="Jan-24"/>
    <x v="1"/>
  </r>
  <r>
    <s v="ORD-01032"/>
    <d v="2024-09-07T00:00:00"/>
    <s v="CUST-0211"/>
    <s v="PROD-016"/>
    <s v="R018"/>
    <n v="7"/>
    <n v="620"/>
    <n v="29"/>
    <n v="3081.4"/>
    <s v="Completed"/>
    <s v="Bengaluru"/>
    <s v="Apparel"/>
    <s v="East"/>
    <s v="Sep-24"/>
    <x v="0"/>
  </r>
  <r>
    <s v="ORD-01033"/>
    <d v="2024-06-10T00:00:00"/>
    <s v="CUST-0265"/>
    <s v="PROD-026"/>
    <s v="R006"/>
    <n v="9"/>
    <n v="4070"/>
    <n v="16.2"/>
    <n v="30695.94"/>
    <s v="Completed"/>
    <s v="Chennai"/>
    <s v="Grocery"/>
    <s v="North"/>
    <s v="Jun-24"/>
    <x v="2"/>
  </r>
  <r>
    <s v="ORD-01034"/>
    <d v="2024-02-29T00:00:00"/>
    <s v="CUST-0252"/>
    <s v="PROD-012"/>
    <s v="R007"/>
    <n v="8"/>
    <n v="3160"/>
    <n v="23.8"/>
    <n v="19263.36"/>
    <s v="Completed"/>
    <s v="Bengaluru"/>
    <s v="Apparel"/>
    <s v="North"/>
    <s v="Feb-24"/>
    <x v="1"/>
  </r>
  <r>
    <s v="ORD-01035"/>
    <d v="2024-05-10T00:00:00"/>
    <s v="CUST-0180"/>
    <s v="PROD-029"/>
    <s v="R022"/>
    <n v="3"/>
    <n v="2210"/>
    <n v="29.7"/>
    <n v="4660.8900000000003"/>
    <s v="Completed"/>
    <s v="Chennai"/>
    <s v="Grocery"/>
    <s v="East"/>
    <s v="May-24"/>
    <x v="2"/>
  </r>
  <r>
    <s v="ORD-01036"/>
    <d v="2024-03-10T00:00:00"/>
    <s v="CUST-0231"/>
    <s v="PROD-053"/>
    <s v="R025"/>
    <n v="9"/>
    <n v="470"/>
    <n v="27.1"/>
    <n v="3083.67"/>
    <s v="Completed"/>
    <s v="Chennai"/>
    <s v="Sports"/>
    <s v="West"/>
    <s v="Mar-24"/>
    <x v="1"/>
  </r>
  <r>
    <s v="ORD-01037"/>
    <d v="2024-11-26T00:00:00"/>
    <s v="CUST-0161"/>
    <s v="PROD-032"/>
    <s v="R020"/>
    <n v="6"/>
    <n v="370"/>
    <n v="5.4"/>
    <n v="2100.12"/>
    <s v="Completed"/>
    <s v="Chennai"/>
    <s v="Home"/>
    <s v="East"/>
    <s v="Nov-24"/>
    <x v="3"/>
  </r>
  <r>
    <s v="ORD-01038"/>
    <d v="2024-07-23T00:00:00"/>
    <s v="CUST-0249"/>
    <s v="PROD-059"/>
    <s v="R018"/>
    <n v="10"/>
    <n v="3780"/>
    <n v="21.5"/>
    <n v="29673"/>
    <s v="Pending"/>
    <s v="Mumbai"/>
    <s v="Sports"/>
    <s v="East"/>
    <s v="Jul-24"/>
    <x v="0"/>
  </r>
  <r>
    <s v="ORD-01039"/>
    <d v="2024-10-13T00:00:00"/>
    <s v="CUST-0048"/>
    <s v="PROD-056"/>
    <s v="R009"/>
    <n v="4"/>
    <n v="6940"/>
    <n v="3.9"/>
    <n v="26677.360000000001"/>
    <s v="Cancelled"/>
    <s v="Delhi"/>
    <s v="Sports"/>
    <s v="South"/>
    <s v="Oct-24"/>
    <x v="3"/>
  </r>
  <r>
    <s v="ORD-01040"/>
    <d v="2024-07-03T00:00:00"/>
    <s v="CUST-0068"/>
    <s v="PROD-031"/>
    <s v="R022"/>
    <n v="3"/>
    <n v="3730"/>
    <n v="20.7"/>
    <n v="8873.67"/>
    <s v="Completed"/>
    <s v="Delhi"/>
    <s v="Home"/>
    <s v="East"/>
    <s v="Jul-24"/>
    <x v="0"/>
  </r>
  <r>
    <s v="ORD-01041"/>
    <d v="2024-01-09T00:00:00"/>
    <s v="CUST-0213"/>
    <s v="PROD-034"/>
    <s v="R025"/>
    <n v="8"/>
    <n v="5080"/>
    <n v="6.2"/>
    <n v="38120.32"/>
    <s v="Completed"/>
    <s v="Mumbai"/>
    <s v="Home"/>
    <s v="West"/>
    <s v="Jan-24"/>
    <x v="1"/>
  </r>
  <r>
    <s v="ORD-01042"/>
    <d v="2024-06-12T00:00:00"/>
    <s v="CUST-0159"/>
    <s v="PROD-052"/>
    <s v="R001"/>
    <n v="5"/>
    <n v="5410"/>
    <n v="5.2"/>
    <n v="25643.4"/>
    <s v="Completed"/>
    <s v="Hyderabad"/>
    <s v="Sports"/>
    <s v="North"/>
    <s v="Jun-24"/>
    <x v="2"/>
  </r>
  <r>
    <s v="ORD-01043"/>
    <d v="2024-04-22T00:00:00"/>
    <s v="CUST-0298"/>
    <s v="PROD-015"/>
    <s v="R026"/>
    <n v="6"/>
    <n v="2720"/>
    <n v="29.8"/>
    <n v="11456.64"/>
    <s v="Pending"/>
    <s v="Delhi"/>
    <s v="Apparel"/>
    <s v="West"/>
    <s v="Apr-24"/>
    <x v="2"/>
  </r>
  <r>
    <s v="ORD-01044"/>
    <d v="2024-06-25T00:00:00"/>
    <s v="CUST-0145"/>
    <s v="PROD-009"/>
    <s v="R010"/>
    <n v="1"/>
    <n v="1220"/>
    <n v="22.6"/>
    <n v="944.28"/>
    <s v="Completed"/>
    <s v="Bengaluru"/>
    <s v="Electronics"/>
    <s v="South"/>
    <s v="Jun-24"/>
    <x v="2"/>
  </r>
  <r>
    <s v="ORD-01045"/>
    <d v="2024-12-14T00:00:00"/>
    <s v="CUST-0015"/>
    <s v="PROD-046"/>
    <s v="R008"/>
    <n v="10"/>
    <n v="4880"/>
    <n v="7.3"/>
    <n v="45237.599999999999"/>
    <s v="Completed"/>
    <s v="Chennai"/>
    <s v="Beauty"/>
    <s v="North"/>
    <s v="Dec-24"/>
    <x v="3"/>
  </r>
  <r>
    <s v="ORD-01046"/>
    <d v="2024-06-07T00:00:00"/>
    <s v="CUST-0054"/>
    <s v="PROD-022"/>
    <s v="R021"/>
    <n v="10"/>
    <n v="2270"/>
    <n v="1.6"/>
    <n v="22336.799999999999"/>
    <s v="Completed"/>
    <s v="Mumbai"/>
    <s v="Grocery"/>
    <s v="East"/>
    <s v="Jun-24"/>
    <x v="2"/>
  </r>
  <r>
    <s v="ORD-01047"/>
    <d v="2024-10-24T00:00:00"/>
    <s v="CUST-0150"/>
    <s v="PROD-030"/>
    <s v="R003"/>
    <n v="8"/>
    <n v="970"/>
    <n v="13.1"/>
    <n v="6743.44"/>
    <s v="Completed"/>
    <s v="Pune"/>
    <s v="Grocery"/>
    <s v="North"/>
    <s v="Oct-24"/>
    <x v="3"/>
  </r>
  <r>
    <s v="ORD-01048"/>
    <d v="2024-12-20T00:00:00"/>
    <s v="CUST-0096"/>
    <s v="PROD-023"/>
    <s v="R012"/>
    <n v="7"/>
    <n v="2380"/>
    <n v="10.6"/>
    <n v="14894.04"/>
    <s v="Cancelled"/>
    <s v="Delhi"/>
    <s v="Grocery"/>
    <s v="South"/>
    <s v="Dec-24"/>
    <x v="3"/>
  </r>
  <r>
    <s v="ORD-01049"/>
    <d v="2024-07-15T00:00:00"/>
    <s v="CUST-0288"/>
    <s v="PROD-014"/>
    <s v="R016"/>
    <n v="6"/>
    <n v="3620"/>
    <n v="21.3"/>
    <n v="17093.64"/>
    <s v="Cancelled"/>
    <s v="Hyderabad"/>
    <s v="Apparel"/>
    <s v="South"/>
    <s v="Jul-24"/>
    <x v="0"/>
  </r>
  <r>
    <s v="ORD-01050"/>
    <d v="2024-09-20T00:00:00"/>
    <s v="CUST-0048"/>
    <s v="PROD-026"/>
    <s v="R027"/>
    <n v="3"/>
    <n v="4070"/>
    <n v="8.1999999999999993"/>
    <n v="11208.78"/>
    <s v="Cancelled"/>
    <s v="Delhi"/>
    <s v="Grocery"/>
    <s v="West"/>
    <s v="Sep-24"/>
    <x v="0"/>
  </r>
  <r>
    <s v="ORD-01051"/>
    <d v="2024-10-13T00:00:00"/>
    <s v="CUST-0104"/>
    <s v="PROD-048"/>
    <s v="R026"/>
    <n v="8"/>
    <n v="5100"/>
    <n v="26.9"/>
    <n v="29824.799999999999"/>
    <s v="Completed"/>
    <s v="Hyderabad"/>
    <s v="Beauty"/>
    <s v="West"/>
    <s v="Oct-24"/>
    <x v="3"/>
  </r>
  <r>
    <s v="ORD-01052"/>
    <d v="2024-01-05T00:00:00"/>
    <s v="CUST-0054"/>
    <s v="PROD-045"/>
    <s v="R017"/>
    <n v="3"/>
    <n v="3020"/>
    <n v="18.5"/>
    <n v="7383.9"/>
    <s v="Cancelled"/>
    <s v="Mumbai"/>
    <s v="Beauty"/>
    <s v="East"/>
    <s v="Jan-24"/>
    <x v="1"/>
  </r>
  <r>
    <s v="ORD-01053"/>
    <d v="2024-09-29T00:00:00"/>
    <s v="CUST-0158"/>
    <s v="PROD-049"/>
    <s v="R002"/>
    <n v="8"/>
    <n v="960"/>
    <n v="7.1"/>
    <n v="7134.72"/>
    <s v="Completed"/>
    <s v="Pune"/>
    <s v="Beauty"/>
    <s v="North"/>
    <s v="Sep-24"/>
    <x v="0"/>
  </r>
  <r>
    <s v="ORD-01054"/>
    <d v="2024-04-01T00:00:00"/>
    <s v="CUST-0231"/>
    <s v="PROD-034"/>
    <s v="R015"/>
    <n v="8"/>
    <n v="5080"/>
    <n v="6.2"/>
    <n v="38120.32"/>
    <s v="Completed"/>
    <s v="Chennai"/>
    <s v="Home"/>
    <s v="South"/>
    <s v="Apr-24"/>
    <x v="2"/>
  </r>
  <r>
    <s v="ORD-01055"/>
    <d v="2024-05-24T00:00:00"/>
    <s v="CUST-0277"/>
    <s v="PROD-050"/>
    <s v="R010"/>
    <n v="6"/>
    <n v="6080"/>
    <n v="25.8"/>
    <n v="27068.16"/>
    <s v="Completed"/>
    <s v="Chennai"/>
    <s v="Beauty"/>
    <s v="South"/>
    <s v="May-24"/>
    <x v="2"/>
  </r>
  <r>
    <s v="ORD-01056"/>
    <d v="2024-09-09T00:00:00"/>
    <s v="CUST-0232"/>
    <s v="PROD-041"/>
    <s v="R010"/>
    <n v="5"/>
    <n v="1540"/>
    <n v="24.6"/>
    <n v="5805.8"/>
    <s v="Completed"/>
    <s v="Hyderabad"/>
    <s v="Beauty"/>
    <s v="South"/>
    <s v="Sep-24"/>
    <x v="0"/>
  </r>
  <r>
    <s v="ORD-01057"/>
    <d v="2024-04-22T00:00:00"/>
    <s v="CUST-0074"/>
    <s v="PROD-054"/>
    <s v="R024"/>
    <n v="4"/>
    <n v="1010"/>
    <n v="2.9"/>
    <n v="3922.84"/>
    <s v="Pending"/>
    <s v="Bengaluru"/>
    <s v="Sports"/>
    <s v="West"/>
    <s v="Apr-24"/>
    <x v="2"/>
  </r>
  <r>
    <s v="ORD-01058"/>
    <d v="2024-10-21T00:00:00"/>
    <s v="CUST-0068"/>
    <s v="PROD-049"/>
    <s v="R026"/>
    <n v="5"/>
    <n v="960"/>
    <n v="11.4"/>
    <n v="4252.8"/>
    <s v="Completed"/>
    <s v="Delhi"/>
    <s v="Beauty"/>
    <s v="West"/>
    <s v="Oct-24"/>
    <x v="3"/>
  </r>
  <r>
    <s v="ORD-01059"/>
    <d v="2024-08-20T00:00:00"/>
    <s v="CUST-0152"/>
    <s v="PROD-041"/>
    <s v="R010"/>
    <n v="1"/>
    <n v="1540"/>
    <n v="5.6"/>
    <n v="1453.76"/>
    <s v="Completed"/>
    <s v="Bengaluru"/>
    <s v="Beauty"/>
    <s v="South"/>
    <s v="Aug-24"/>
    <x v="0"/>
  </r>
  <r>
    <s v="ORD-01060"/>
    <d v="2024-04-15T00:00:00"/>
    <s v="CUST-0046"/>
    <s v="PROD-043"/>
    <s v="R019"/>
    <n v="9"/>
    <n v="3350"/>
    <n v="2.1"/>
    <n v="29516.85"/>
    <s v="Completed"/>
    <s v="Delhi"/>
    <s v="Beauty"/>
    <s v="East"/>
    <s v="Apr-24"/>
    <x v="2"/>
  </r>
  <r>
    <s v="ORD-01061"/>
    <d v="2024-02-14T00:00:00"/>
    <s v="CUST-0201"/>
    <s v="PROD-051"/>
    <s v="R021"/>
    <n v="7"/>
    <n v="3450"/>
    <n v="4.7"/>
    <n v="23014.95"/>
    <s v="Completed"/>
    <s v="Hyderabad"/>
    <s v="Sports"/>
    <s v="East"/>
    <s v="Feb-24"/>
    <x v="1"/>
  </r>
  <r>
    <s v="ORD-01062"/>
    <d v="2024-10-29T00:00:00"/>
    <s v="CUST-0191"/>
    <s v="PROD-057"/>
    <s v="R019"/>
    <n v="10"/>
    <n v="960"/>
    <n v="17.899999999999999"/>
    <n v="7881.6"/>
    <s v="Completed"/>
    <s v="Hyderabad"/>
    <s v="Sports"/>
    <s v="East"/>
    <s v="Oct-24"/>
    <x v="3"/>
  </r>
  <r>
    <s v="ORD-01063"/>
    <d v="2024-11-21T00:00:00"/>
    <s v="CUST-0192"/>
    <s v="PROD-013"/>
    <s v="R014"/>
    <n v="1"/>
    <n v="3640"/>
    <n v="8.8000000000000007"/>
    <n v="3319.68"/>
    <s v="Completed"/>
    <s v="Bengaluru"/>
    <s v="Apparel"/>
    <s v="South"/>
    <s v="Nov-24"/>
    <x v="3"/>
  </r>
  <r>
    <s v="ORD-01064"/>
    <d v="2024-03-27T00:00:00"/>
    <s v="CUST-0074"/>
    <s v="PROD-029"/>
    <s v="R017"/>
    <n v="1"/>
    <n v="2210"/>
    <n v="10.7"/>
    <n v="1973.53"/>
    <s v="Completed"/>
    <s v="Bengaluru"/>
    <s v="Grocery"/>
    <s v="East"/>
    <s v="Mar-24"/>
    <x v="1"/>
  </r>
  <r>
    <s v="ORD-01065"/>
    <d v="2024-01-27T00:00:00"/>
    <s v="CUST-0071"/>
    <s v="PROD-031"/>
    <s v="R005"/>
    <n v="2"/>
    <n v="3730"/>
    <n v="13.9"/>
    <n v="6423.06"/>
    <s v="Completed"/>
    <s v="Delhi"/>
    <s v="Home"/>
    <s v="North"/>
    <s v="Jan-24"/>
    <x v="1"/>
  </r>
  <r>
    <s v="ORD-01066"/>
    <d v="2024-09-07T00:00:00"/>
    <s v="CUST-0210"/>
    <s v="PROD-052"/>
    <s v="R010"/>
    <n v="7"/>
    <n v="5410"/>
    <n v="23.6"/>
    <n v="28932.68"/>
    <s v="Completed"/>
    <s v="Pune"/>
    <s v="Sports"/>
    <s v="South"/>
    <s v="Sep-24"/>
    <x v="0"/>
  </r>
  <r>
    <s v="ORD-01067"/>
    <d v="2024-11-22T00:00:00"/>
    <s v="CUST-0054"/>
    <s v="PROD-027"/>
    <s v="R018"/>
    <n v="7"/>
    <n v="3780"/>
    <n v="8.5"/>
    <n v="24210.9"/>
    <s v="Cancelled"/>
    <s v="Mumbai"/>
    <s v="Grocery"/>
    <s v="East"/>
    <s v="Nov-24"/>
    <x v="3"/>
  </r>
  <r>
    <s v="ORD-01068"/>
    <d v="2024-09-20T00:00:00"/>
    <s v="CUST-0194"/>
    <s v="PROD-039"/>
    <s v="R016"/>
    <n v="9"/>
    <n v="4610"/>
    <n v="26.6"/>
    <n v="30453.66"/>
    <s v="Completed"/>
    <s v="Delhi"/>
    <s v="Home"/>
    <s v="South"/>
    <s v="Sep-24"/>
    <x v="0"/>
  </r>
  <r>
    <s v="ORD-01069"/>
    <d v="2024-03-22T00:00:00"/>
    <s v="CUST-0231"/>
    <s v="PROD-010"/>
    <s v="R025"/>
    <n v="5"/>
    <n v="2640"/>
    <n v="1.5"/>
    <n v="13002"/>
    <s v="Completed"/>
    <s v="Chennai"/>
    <s v="Electronics"/>
    <s v="West"/>
    <s v="Mar-24"/>
    <x v="1"/>
  </r>
  <r>
    <s v="ORD-01070"/>
    <d v="2024-08-11T00:00:00"/>
    <s v="CUST-0053"/>
    <s v="PROD-014"/>
    <s v="R010"/>
    <n v="3"/>
    <n v="3620"/>
    <n v="3.1"/>
    <n v="10523.34"/>
    <s v="Completed"/>
    <s v="Delhi"/>
    <s v="Apparel"/>
    <s v="South"/>
    <s v="Aug-24"/>
    <x v="0"/>
  </r>
  <r>
    <s v="ORD-01071"/>
    <d v="2024-08-26T00:00:00"/>
    <s v="CUST-0290"/>
    <s v="PROD-053"/>
    <s v="R018"/>
    <n v="5"/>
    <n v="470"/>
    <n v="10.6"/>
    <n v="2100.9"/>
    <s v="Cancelled"/>
    <s v="Delhi"/>
    <s v="Sports"/>
    <s v="East"/>
    <s v="Aug-24"/>
    <x v="0"/>
  </r>
  <r>
    <s v="ORD-01072"/>
    <d v="2024-06-20T00:00:00"/>
    <s v="CUST-0261"/>
    <s v="PROD-001"/>
    <s v="R009"/>
    <n v="7"/>
    <n v="5330"/>
    <n v="25"/>
    <n v="27982.5"/>
    <s v="Cancelled"/>
    <s v="Delhi"/>
    <s v="Electronics"/>
    <s v="South"/>
    <s v="Jun-24"/>
    <x v="2"/>
  </r>
  <r>
    <s v="ORD-01073"/>
    <d v="2024-01-01T00:00:00"/>
    <s v="CUST-0045"/>
    <s v="PROD-050"/>
    <s v="R014"/>
    <n v="1"/>
    <n v="6080"/>
    <n v="27.8"/>
    <n v="4389.76"/>
    <s v="Completed"/>
    <s v="Chennai"/>
    <s v="Beauty"/>
    <s v="South"/>
    <s v="Jan-24"/>
    <x v="1"/>
  </r>
  <r>
    <s v="ORD-01074"/>
    <d v="2024-02-25T00:00:00"/>
    <s v="CUST-0064"/>
    <s v="PROD-043"/>
    <s v="R024"/>
    <n v="6"/>
    <n v="3350"/>
    <n v="12"/>
    <n v="17688"/>
    <s v="Completed"/>
    <s v="Hyderabad"/>
    <s v="Beauty"/>
    <s v="West"/>
    <s v="Feb-24"/>
    <x v="1"/>
  </r>
  <r>
    <s v="ORD-01075"/>
    <d v="2024-10-27T00:00:00"/>
    <s v="CUST-9754"/>
    <s v="PROD-056"/>
    <s v="R027"/>
    <n v="6"/>
    <n v="6940"/>
    <n v="20"/>
    <n v="33312"/>
    <s v="Completed"/>
    <s v="Chennai"/>
    <s v="Sports"/>
    <s v="West"/>
    <s v="Oct-24"/>
    <x v="3"/>
  </r>
  <r>
    <s v="ORD-01076"/>
    <d v="2024-12-10T00:00:00"/>
    <s v="CUST-0200"/>
    <s v="PROD-032"/>
    <s v="R007"/>
    <n v="1"/>
    <n v="370"/>
    <n v="10"/>
    <n v="333"/>
    <s v="Completed"/>
    <s v="Hyderabad"/>
    <s v="Home"/>
    <s v="North"/>
    <s v="Dec-24"/>
    <x v="3"/>
  </r>
  <r>
    <s v="ORD-01077"/>
    <d v="2024-05-20T00:00:00"/>
    <s v="CUST-0058"/>
    <s v="PROD-038"/>
    <s v="R020"/>
    <n v="2"/>
    <n v="5490"/>
    <n v="27.9"/>
    <n v="7916.58"/>
    <s v="Completed"/>
    <s v="Bengaluru"/>
    <s v="Home"/>
    <s v="East"/>
    <s v="May-24"/>
    <x v="2"/>
  </r>
  <r>
    <s v="ORD-01078"/>
    <d v="2024-07-06T00:00:00"/>
    <s v="CUST-0156"/>
    <s v="PROD-028"/>
    <s v="R009"/>
    <n v="5"/>
    <n v="3660"/>
    <n v="4.5999999999999996"/>
    <n v="17458.2"/>
    <s v="Completed"/>
    <s v="Mumbai"/>
    <s v="Grocery"/>
    <s v="South"/>
    <s v="Jul-24"/>
    <x v="0"/>
  </r>
  <r>
    <s v="ORD-01079"/>
    <d v="2024-09-28T00:00:00"/>
    <s v="CUST-0107"/>
    <s v="PROD-005"/>
    <s v="R029"/>
    <n v="6"/>
    <n v="300"/>
    <n v="9"/>
    <n v="1638"/>
    <s v="Completed"/>
    <s v="Pune"/>
    <s v="Electronics"/>
    <s v="West"/>
    <s v="Sep-24"/>
    <x v="0"/>
  </r>
  <r>
    <s v="ORD-01080"/>
    <d v="2024-08-19T00:00:00"/>
    <s v="CUST-0184"/>
    <s v="PROD-005"/>
    <s v="R012"/>
    <n v="3"/>
    <n v="300"/>
    <n v="19.2"/>
    <n v="727.2"/>
    <s v="Completed"/>
    <s v="Pune"/>
    <s v="Electronics"/>
    <s v="South"/>
    <s v="Aug-24"/>
    <x v="0"/>
  </r>
  <r>
    <s v="ORD-01081"/>
    <d v="2024-09-02T00:00:00"/>
    <s v="CUST-0202"/>
    <s v="PROD-049"/>
    <s v="R014"/>
    <n v="6"/>
    <n v="960"/>
    <n v="29.3"/>
    <n v="4072.32"/>
    <s v="Cancelled"/>
    <s v="Chennai"/>
    <s v="Beauty"/>
    <s v="South"/>
    <s v="Sep-24"/>
    <x v="0"/>
  </r>
  <r>
    <s v="ORD-01082"/>
    <d v="2024-04-01T00:00:00"/>
    <s v="CUST-0137"/>
    <s v="PROD-022"/>
    <s v="R025"/>
    <n v="1"/>
    <n v="2270"/>
    <n v="12.4"/>
    <n v="1988.52"/>
    <s v="Completed"/>
    <s v="Mumbai"/>
    <s v="Grocery"/>
    <s v="West"/>
    <s v="Apr-24"/>
    <x v="2"/>
  </r>
  <r>
    <s v="ORD-01083"/>
    <d v="2024-09-06T00:00:00"/>
    <s v="CUST-0108"/>
    <s v="PROD-033"/>
    <s v="R027"/>
    <n v="10"/>
    <n v="2030"/>
    <n v="4"/>
    <n v="19488"/>
    <s v="Completed"/>
    <s v="Bengaluru"/>
    <s v="Home"/>
    <s v="West"/>
    <s v="Sep-24"/>
    <x v="0"/>
  </r>
  <r>
    <s v="ORD-01084"/>
    <d v="2024-11-13T00:00:00"/>
    <s v="CUST-0126"/>
    <s v="PROD-040"/>
    <s v="R021"/>
    <n v="9"/>
    <n v="1080"/>
    <n v="19.2"/>
    <n v="7853.76"/>
    <s v="Pending"/>
    <s v="Mumbai"/>
    <s v="Home"/>
    <s v="East"/>
    <s v="Nov-24"/>
    <x v="3"/>
  </r>
  <r>
    <s v="ORD-01085"/>
    <d v="2024-06-20T00:00:00"/>
    <s v="CUST-0107"/>
    <s v="PROD-055"/>
    <s v="R025"/>
    <n v="5"/>
    <n v="2860"/>
    <n v="25"/>
    <n v="10725"/>
    <s v="Pending"/>
    <s v="Pune"/>
    <s v="Sports"/>
    <s v="West"/>
    <s v="Jun-24"/>
    <x v="2"/>
  </r>
  <r>
    <s v="ORD-01086"/>
    <d v="2024-10-23T00:00:00"/>
    <s v="CUST-0071"/>
    <s v="PROD-024"/>
    <s v="R012"/>
    <n v="6"/>
    <n v="2270"/>
    <n v="9.3000000000000007"/>
    <n v="12353.34"/>
    <s v="Completed"/>
    <s v="Delhi"/>
    <s v="Grocery"/>
    <s v="South"/>
    <s v="Oct-24"/>
    <x v="3"/>
  </r>
  <r>
    <s v="ORD-01087"/>
    <d v="2024-02-06T00:00:00"/>
    <s v="CUST-0238"/>
    <s v="PROD-015"/>
    <s v="R024"/>
    <n v="1"/>
    <n v="2720"/>
    <n v="15.2"/>
    <n v="2306.56"/>
    <s v="Completed"/>
    <s v="Delhi"/>
    <s v="Apparel"/>
    <s v="West"/>
    <s v="Feb-24"/>
    <x v="1"/>
  </r>
  <r>
    <s v="ORD-01088"/>
    <d v="2024-12-12T00:00:00"/>
    <s v="CUST-0022"/>
    <s v="PROD-004"/>
    <s v="R005"/>
    <n v="10"/>
    <n v="3870"/>
    <n v="4.9000000000000004"/>
    <n v="36803.699999999997"/>
    <s v="Cancelled"/>
    <s v="Bengaluru"/>
    <s v="Electronics"/>
    <s v="North"/>
    <s v="Dec-24"/>
    <x v="3"/>
  </r>
  <r>
    <s v="ORD-01089"/>
    <d v="2024-02-10T00:00:00"/>
    <s v="CUST-0100"/>
    <s v="PROD-011"/>
    <s v="R019"/>
    <n v="8"/>
    <n v="3450"/>
    <n v="20.6"/>
    <n v="21914.400000000001"/>
    <s v="Completed"/>
    <s v="Hyderabad"/>
    <s v="Apparel"/>
    <s v="East"/>
    <s v="Feb-24"/>
    <x v="1"/>
  </r>
  <r>
    <s v="ORD-01090"/>
    <d v="2024-04-24T00:00:00"/>
    <s v="CUST-0263"/>
    <s v="PROD-053"/>
    <s v="R002"/>
    <n v="1"/>
    <n v="470"/>
    <n v="5.4"/>
    <n v="444.62"/>
    <s v="Refunded"/>
    <s v="Mumbai"/>
    <s v="Sports"/>
    <s v="North"/>
    <s v="Apr-24"/>
    <x v="2"/>
  </r>
  <r>
    <s v="ORD-01091"/>
    <d v="2024-04-23T00:00:00"/>
    <s v="CUST-0032"/>
    <s v="PROD-006"/>
    <s v="R009"/>
    <n v="5"/>
    <n v="3970"/>
    <n v="5.8"/>
    <n v="18698.7"/>
    <s v="Completed"/>
    <s v="Hyderabad"/>
    <s v="Electronics"/>
    <s v="South"/>
    <s v="Apr-24"/>
    <x v="2"/>
  </r>
  <r>
    <s v="ORD-01092"/>
    <d v="2024-06-26T00:00:00"/>
    <s v="CUST-0227"/>
    <s v="PROD-048"/>
    <s v="R012"/>
    <n v="2"/>
    <n v="5100"/>
    <n v="19.899999999999999"/>
    <n v="8170.2"/>
    <s v="Completed"/>
    <s v="Bengaluru"/>
    <s v="Beauty"/>
    <s v="South"/>
    <s v="Jun-24"/>
    <x v="2"/>
  </r>
  <r>
    <s v="ORD-01093"/>
    <d v="2024-12-30T00:00:00"/>
    <s v="CUST-0124"/>
    <s v="PROD-047"/>
    <s v="R001"/>
    <n v="6"/>
    <n v="3450"/>
    <n v="13"/>
    <n v="18009"/>
    <s v="Completed"/>
    <s v="Pune"/>
    <s v="Beauty"/>
    <s v="North"/>
    <s v="Dec-24"/>
    <x v="3"/>
  </r>
  <r>
    <s v="ORD-01094"/>
    <d v="2024-12-27T00:00:00"/>
    <s v="CUST-0276"/>
    <s v="PROD-031"/>
    <s v="R012"/>
    <n v="9"/>
    <n v="3730"/>
    <n v="15.5"/>
    <n v="28366.65"/>
    <s v="Completed"/>
    <s v="Chennai"/>
    <s v="Home"/>
    <s v="South"/>
    <s v="Dec-24"/>
    <x v="3"/>
  </r>
  <r>
    <s v="ORD-01095"/>
    <d v="2024-05-28T00:00:00"/>
    <s v="CUST-0100"/>
    <s v="PROD-049"/>
    <s v="R020"/>
    <n v="5"/>
    <n v="960"/>
    <n v="9.3000000000000007"/>
    <n v="4353.6000000000004"/>
    <s v="Completed"/>
    <s v="Hyderabad"/>
    <s v="Beauty"/>
    <s v="East"/>
    <s v="May-24"/>
    <x v="2"/>
  </r>
  <r>
    <s v="ORD-01096"/>
    <d v="2024-08-07T00:00:00"/>
    <s v="CUST-0221"/>
    <s v="PROD-034"/>
    <s v="R008"/>
    <n v="3"/>
    <n v="5080"/>
    <n v="17.399999999999999"/>
    <n v="12588.24"/>
    <s v="Cancelled"/>
    <s v="Delhi"/>
    <s v="Home"/>
    <s v="North"/>
    <s v="Aug-24"/>
    <x v="0"/>
  </r>
  <r>
    <s v="ORD-01097"/>
    <d v="2024-01-09T00:00:00"/>
    <s v="CUST-0266"/>
    <s v="PROD-004"/>
    <s v="R003"/>
    <n v="4"/>
    <n v="3870"/>
    <n v="20.5"/>
    <n v="12306.6"/>
    <s v="Pending"/>
    <s v="Pune"/>
    <s v="Electronics"/>
    <s v="North"/>
    <s v="Jan-24"/>
    <x v="1"/>
  </r>
  <r>
    <s v="ORD-01098"/>
    <d v="2024-08-24T00:00:00"/>
    <s v="CUST-0210"/>
    <s v="PROD-059"/>
    <s v="R024"/>
    <n v="1"/>
    <n v="3780"/>
    <n v="21.5"/>
    <n v="2967.3"/>
    <s v="Completed"/>
    <s v="Pune"/>
    <s v="Sports"/>
    <s v="West"/>
    <s v="Aug-24"/>
    <x v="0"/>
  </r>
  <r>
    <s v="ORD-01099"/>
    <d v="2024-11-26T00:00:00"/>
    <s v="CUST-0293"/>
    <s v="PROD-004"/>
    <s v="R017"/>
    <n v="3"/>
    <n v="3870"/>
    <n v="21.9"/>
    <n v="9067.41"/>
    <s v="Pending"/>
    <s v="Bengaluru"/>
    <s v="Electronics"/>
    <s v="East"/>
    <s v="Nov-24"/>
    <x v="3"/>
  </r>
  <r>
    <s v="ORD-01100"/>
    <d v="2024-06-20T00:00:00"/>
    <s v="CUST-0291"/>
    <s v="PROD-033"/>
    <s v="R009"/>
    <n v="4"/>
    <n v="2030"/>
    <n v="23.4"/>
    <n v="6219.92"/>
    <s v="Completed"/>
    <s v="Pune"/>
    <s v="Home"/>
    <s v="South"/>
    <s v="Jun-24"/>
    <x v="2"/>
  </r>
  <r>
    <s v="ORD-01101"/>
    <d v="2024-04-25T00:00:00"/>
    <s v="CUST-0295"/>
    <s v="PROD-029"/>
    <s v="R003"/>
    <n v="6"/>
    <n v="2210"/>
    <n v="9.1"/>
    <n v="12053.34"/>
    <s v="Completed"/>
    <s v="Delhi"/>
    <s v="Grocery"/>
    <s v="North"/>
    <s v="Apr-24"/>
    <x v="2"/>
  </r>
  <r>
    <s v="ORD-01102"/>
    <d v="2024-12-01T00:00:00"/>
    <s v="CUST-0123"/>
    <s v="PROD-041"/>
    <s v="R017"/>
    <n v="5"/>
    <n v="1540"/>
    <n v="18.100000000000001"/>
    <n v="6306.3"/>
    <s v="Completed"/>
    <s v="Chennai"/>
    <s v="Beauty"/>
    <s v="East"/>
    <s v="Dec-24"/>
    <x v="3"/>
  </r>
  <r>
    <s v="ORD-01103"/>
    <d v="2024-04-11T00:00:00"/>
    <s v="CUST-0167"/>
    <s v="PROD-054"/>
    <s v="R011"/>
    <n v="1"/>
    <n v="1010"/>
    <n v="7.3"/>
    <n v="936.27"/>
    <s v="Completed"/>
    <s v="Delhi"/>
    <s v="Sports"/>
    <s v="South"/>
    <s v="Apr-24"/>
    <x v="2"/>
  </r>
  <r>
    <s v="ORD-01104"/>
    <d v="2024-03-09T00:00:00"/>
    <s v="CUST-0247"/>
    <s v="PROD-001"/>
    <s v="R015"/>
    <n v="10"/>
    <n v="5330"/>
    <n v="27.3"/>
    <n v="38749.1"/>
    <s v="Completed"/>
    <s v="Pune"/>
    <s v="Electronics"/>
    <s v="South"/>
    <s v="Mar-24"/>
    <x v="1"/>
  </r>
  <r>
    <s v="ORD-01105"/>
    <d v="2024-09-13T00:00:00"/>
    <s v="CUST-0224"/>
    <s v="PROD-003"/>
    <s v="R022"/>
    <n v="7"/>
    <n v="3570"/>
    <n v="24.3"/>
    <n v="18917.43"/>
    <s v="Completed"/>
    <s v="Chennai"/>
    <s v="Electronics"/>
    <s v="East"/>
    <s v="Sep-24"/>
    <x v="0"/>
  </r>
  <r>
    <s v="ORD-01106"/>
    <d v="2024-10-04T00:00:00"/>
    <s v="CUST-0102"/>
    <s v="PROD-043"/>
    <s v="R017"/>
    <n v="1"/>
    <n v="3350"/>
    <n v="14.9"/>
    <n v="2850.85"/>
    <s v="Completed"/>
    <s v="Chennai"/>
    <s v="Beauty"/>
    <s v="East"/>
    <s v="Oct-24"/>
    <x v="3"/>
  </r>
  <r>
    <s v="ORD-01107"/>
    <d v="2024-09-06T00:00:00"/>
    <s v="CUST-0151"/>
    <s v="PROD-017"/>
    <s v="R023"/>
    <n v="2"/>
    <n v="2510"/>
    <n v="10.6"/>
    <n v="4487.88"/>
    <s v="Completed"/>
    <s v="Mumbai"/>
    <s v="Apparel"/>
    <s v="East"/>
    <s v="Sep-24"/>
    <x v="0"/>
  </r>
  <r>
    <s v="ORD-01108"/>
    <d v="2024-03-18T00:00:00"/>
    <s v="CUST-0182"/>
    <s v="PROD-030"/>
    <s v="R025"/>
    <n v="5"/>
    <n v="970"/>
    <n v="6.8"/>
    <n v="4520.2"/>
    <s v="Pending"/>
    <s v="Mumbai"/>
    <s v="Grocery"/>
    <s v="West"/>
    <s v="Mar-24"/>
    <x v="1"/>
  </r>
  <r>
    <s v="ORD-01109"/>
    <d v="2024-08-15T00:00:00"/>
    <s v="CUST-0152"/>
    <s v="PROD-027"/>
    <s v="R002"/>
    <n v="5"/>
    <n v="3780"/>
    <n v="16.600000000000001"/>
    <n v="15762.6"/>
    <s v="Completed"/>
    <s v="Bengaluru"/>
    <s v="Grocery"/>
    <s v="North"/>
    <s v="Aug-24"/>
    <x v="0"/>
  </r>
  <r>
    <s v="ORD-01110"/>
    <d v="2024-03-28T00:00:00"/>
    <s v="CUST-0247"/>
    <s v="PROD-017"/>
    <s v="R007"/>
    <n v="3"/>
    <n v="2510"/>
    <n v="24.9"/>
    <n v="5655.03"/>
    <s v="Cancelled"/>
    <s v="Pune"/>
    <s v="Apparel"/>
    <s v="North"/>
    <s v="Mar-24"/>
    <x v="1"/>
  </r>
  <r>
    <s v="ORD-01111"/>
    <d v="2024-09-13T00:00:00"/>
    <s v="CUST-0220"/>
    <s v="PROD-033"/>
    <s v="R008"/>
    <n v="3"/>
    <n v="2030"/>
    <n v="3.8"/>
    <n v="5858.58"/>
    <s v="Completed"/>
    <s v="Chennai"/>
    <s v="Home"/>
    <s v="North"/>
    <s v="Sep-24"/>
    <x v="0"/>
  </r>
  <r>
    <s v="ORD-01112"/>
    <d v="2024-07-05T00:00:00"/>
    <s v="CUST-0206"/>
    <s v="PROD-060"/>
    <s v="R014"/>
    <n v="9"/>
    <n v="190"/>
    <n v="5.4"/>
    <n v="1617.66"/>
    <s v="Completed"/>
    <s v="Mumbai"/>
    <s v="Sports"/>
    <s v="South"/>
    <s v="Jul-24"/>
    <x v="0"/>
  </r>
  <r>
    <s v="ORD-01113"/>
    <d v="2024-02-16T00:00:00"/>
    <s v="CUST-0219"/>
    <s v="PROD-029"/>
    <s v="R020"/>
    <n v="6"/>
    <n v="2210"/>
    <n v="29.4"/>
    <n v="9361.56"/>
    <s v="Completed"/>
    <s v="Chennai"/>
    <s v="Grocery"/>
    <s v="East"/>
    <s v="Feb-24"/>
    <x v="1"/>
  </r>
  <r>
    <s v="ORD-01114"/>
    <d v="2024-09-11T00:00:00"/>
    <s v="CUST-0298"/>
    <s v="PROD-013"/>
    <s v="R005"/>
    <n v="4"/>
    <n v="3640"/>
    <n v="0.6"/>
    <n v="14472.64"/>
    <s v="Completed"/>
    <s v="Delhi"/>
    <s v="Apparel"/>
    <s v="North"/>
    <s v="Sep-24"/>
    <x v="0"/>
  </r>
  <r>
    <s v="ORD-01115"/>
    <d v="2024-11-30T00:00:00"/>
    <s v="CUST-0254"/>
    <s v="PROD-009"/>
    <s v="R009"/>
    <n v="9"/>
    <n v="1220"/>
    <n v="24.1"/>
    <n v="8333.82"/>
    <s v="Completed"/>
    <s v="Bengaluru"/>
    <s v="Electronics"/>
    <s v="South"/>
    <s v="Nov-24"/>
    <x v="3"/>
  </r>
  <r>
    <s v="ORD-01116"/>
    <d v="2024-04-20T00:00:00"/>
    <s v="CUST-0085"/>
    <s v="PROD-056"/>
    <s v="R009"/>
    <n v="2"/>
    <n v="6940"/>
    <n v="27"/>
    <n v="10132.4"/>
    <s v="Completed"/>
    <s v="Chennai"/>
    <s v="Sports"/>
    <s v="South"/>
    <s v="Apr-24"/>
    <x v="2"/>
  </r>
  <r>
    <s v="ORD-01117"/>
    <d v="2024-11-08T00:00:00"/>
    <s v="CUST-0181"/>
    <s v="PROD-055"/>
    <s v="R010"/>
    <n v="6"/>
    <n v="2860"/>
    <n v="6.6"/>
    <n v="16027.44"/>
    <s v="Completed"/>
    <s v="Delhi"/>
    <s v="Sports"/>
    <s v="South"/>
    <s v="Nov-24"/>
    <x v="3"/>
  </r>
  <r>
    <s v="ORD-01118"/>
    <d v="2024-09-10T00:00:00"/>
    <s v="CUST-0143"/>
    <s v="PROD-015"/>
    <s v="R018"/>
    <n v="5"/>
    <n v="2720"/>
    <n v="21.4"/>
    <n v="10689.6"/>
    <s v="Completed"/>
    <s v="Chennai"/>
    <s v="Apparel"/>
    <s v="East"/>
    <s v="Sep-24"/>
    <x v="0"/>
  </r>
  <r>
    <s v="ORD-01119"/>
    <d v="2024-06-02T00:00:00"/>
    <s v="CUST-0263"/>
    <s v="PROD-020"/>
    <s v="R006"/>
    <n v="5"/>
    <n v="820"/>
    <n v="28.6"/>
    <n v="2927.4"/>
    <s v="Completed"/>
    <s v="Mumbai"/>
    <s v="Apparel"/>
    <s v="North"/>
    <s v="Jun-24"/>
    <x v="2"/>
  </r>
  <r>
    <s v="ORD-01120"/>
    <d v="2024-07-16T00:00:00"/>
    <s v="CUST-0105"/>
    <s v="PROD-042"/>
    <s v="R022"/>
    <n v="6"/>
    <n v="2290"/>
    <n v="18.8"/>
    <n v="11156.88"/>
    <s v="Completed"/>
    <s v="Chennai"/>
    <s v="Beauty"/>
    <s v="East"/>
    <s v="Jul-24"/>
    <x v="0"/>
  </r>
  <r>
    <s v="ORD-01121"/>
    <d v="2024-04-12T00:00:00"/>
    <s v="CUST-0256"/>
    <s v="PROD-047"/>
    <s v="R021"/>
    <n v="6"/>
    <n v="3450"/>
    <n v="28.4"/>
    <n v="14821.2"/>
    <s v="Completed"/>
    <s v="Hyderabad"/>
    <s v="Beauty"/>
    <s v="East"/>
    <s v="Apr-24"/>
    <x v="2"/>
  </r>
  <r>
    <s v="ORD-01122"/>
    <d v="2024-02-18T00:00:00"/>
    <s v="CUST-0260"/>
    <s v="PROD-033"/>
    <s v="R002"/>
    <n v="10"/>
    <n v="2030"/>
    <n v="8"/>
    <n v="18676"/>
    <s v="Completed"/>
    <s v="Bengaluru"/>
    <s v="Home"/>
    <s v="North"/>
    <s v="Feb-24"/>
    <x v="1"/>
  </r>
  <r>
    <s v="ORD-01123"/>
    <d v="2024-03-27T00:00:00"/>
    <s v="CUST-0233"/>
    <s v="PROD-058"/>
    <s v="R022"/>
    <n v="1"/>
    <n v="2400"/>
    <n v="9.6999999999999993"/>
    <n v="2167.1999999999998"/>
    <s v="Completed"/>
    <s v="Mumbai"/>
    <s v="Sports"/>
    <s v="East"/>
    <s v="Mar-24"/>
    <x v="1"/>
  </r>
  <r>
    <s v="ORD-01124"/>
    <d v="2024-03-18T00:00:00"/>
    <s v="CUST-0183"/>
    <s v="PROD-033"/>
    <s v="R014"/>
    <n v="4"/>
    <n v="2030"/>
    <n v="24.8"/>
    <n v="6106.24"/>
    <s v="Pending"/>
    <s v="Mumbai"/>
    <s v="Home"/>
    <s v="South"/>
    <s v="Mar-24"/>
    <x v="1"/>
  </r>
  <r>
    <s v="ORD-01125"/>
    <d v="2024-08-09T00:00:00"/>
    <s v="CUST-0142"/>
    <s v="PROD-025"/>
    <s v="R002"/>
    <n v="5"/>
    <n v="4060"/>
    <n v="9.1"/>
    <n v="18452.7"/>
    <s v="Pending"/>
    <s v="Chennai"/>
    <s v="Grocery"/>
    <s v="North"/>
    <s v="Aug-24"/>
    <x v="0"/>
  </r>
  <r>
    <s v="ORD-01126"/>
    <d v="2024-05-26T00:00:00"/>
    <s v="CUST-0150"/>
    <s v="PROD-033"/>
    <s v="R013"/>
    <n v="9"/>
    <n v="2030"/>
    <n v="15.9"/>
    <n v="15365.07"/>
    <s v="Pending"/>
    <s v="Pune"/>
    <s v="Home"/>
    <s v="South"/>
    <s v="May-24"/>
    <x v="2"/>
  </r>
  <r>
    <s v="ORD-01127"/>
    <d v="2024-08-25T00:00:00"/>
    <s v="CUST-0001"/>
    <s v="PROD-043"/>
    <s v="R014"/>
    <n v="1"/>
    <n v="3350"/>
    <n v="23.2"/>
    <n v="2572.8000000000002"/>
    <s v="Refunded"/>
    <s v="Pune"/>
    <s v="Beauty"/>
    <s v="South"/>
    <s v="Aug-24"/>
    <x v="0"/>
  </r>
  <r>
    <s v="ORD-01128"/>
    <d v="2024-12-08T00:00:00"/>
    <s v="CUST-0104"/>
    <s v="PROD-037"/>
    <s v="R006"/>
    <n v="4"/>
    <n v="660"/>
    <n v="27.1"/>
    <n v="1924.56"/>
    <s v="Completed"/>
    <s v="Hyderabad"/>
    <s v="Home"/>
    <s v="North"/>
    <s v="Dec-24"/>
    <x v="3"/>
  </r>
  <r>
    <s v="ORD-01129"/>
    <d v="2024-05-29T00:00:00"/>
    <s v="CUST-0261"/>
    <s v="PROD-045"/>
    <s v="R014"/>
    <n v="3"/>
    <n v="3020"/>
    <n v="7.2"/>
    <n v="8407.68"/>
    <s v="Completed"/>
    <s v="Delhi"/>
    <s v="Beauty"/>
    <s v="South"/>
    <s v="May-24"/>
    <x v="2"/>
  </r>
  <r>
    <s v="ORD-01130"/>
    <d v="2024-04-27T00:00:00"/>
    <s v="CUST-0010"/>
    <s v="PROD-008"/>
    <s v="R006"/>
    <n v="3"/>
    <n v="2660"/>
    <n v="0.2"/>
    <n v="7964.04"/>
    <s v="Completed"/>
    <s v="Mumbai"/>
    <s v="Electronics"/>
    <s v="North"/>
    <s v="Apr-24"/>
    <x v="2"/>
  </r>
  <r>
    <s v="ORD-01131"/>
    <d v="2024-12-24T00:00:00"/>
    <s v="CUST-0237"/>
    <s v="PROD-054"/>
    <s v="R006"/>
    <n v="4"/>
    <n v="1010"/>
    <n v="3.1"/>
    <n v="3914.76"/>
    <s v="Completed"/>
    <s v="Mumbai"/>
    <s v="Sports"/>
    <s v="North"/>
    <s v="Dec-24"/>
    <x v="3"/>
  </r>
  <r>
    <s v="ORD-01132"/>
    <d v="2024-03-29T00:00:00"/>
    <s v="CUST-0128"/>
    <s v="PROD-038"/>
    <s v="R017"/>
    <n v="5"/>
    <n v="5490"/>
    <n v="3.6"/>
    <n v="26461.8"/>
    <s v="Completed"/>
    <s v="Hyderabad"/>
    <s v="Home"/>
    <s v="East"/>
    <s v="Mar-24"/>
    <x v="1"/>
  </r>
  <r>
    <s v="ORD-01133"/>
    <d v="2024-01-31T00:00:00"/>
    <s v="CUST-0182"/>
    <s v="PROD-058"/>
    <s v="R019"/>
    <n v="1"/>
    <n v="2400"/>
    <n v="24.3"/>
    <n v="1816.8"/>
    <s v="Completed"/>
    <s v="Mumbai"/>
    <s v="Sports"/>
    <s v="East"/>
    <s v="Jan-24"/>
    <x v="1"/>
  </r>
  <r>
    <s v="ORD-01134"/>
    <d v="2024-08-28T00:00:00"/>
    <s v="CUST-0131"/>
    <s v="PROD-037"/>
    <s v="R009"/>
    <n v="8"/>
    <n v="660"/>
    <n v="19.8"/>
    <n v="4234.5600000000004"/>
    <s v="Completed"/>
    <s v="Delhi"/>
    <s v="Home"/>
    <s v="South"/>
    <s v="Aug-24"/>
    <x v="0"/>
  </r>
  <r>
    <s v="ORD-01135"/>
    <d v="2024-07-31T00:00:00"/>
    <s v="CUST-0023"/>
    <s v="PROD-001"/>
    <s v="R016"/>
    <n v="9"/>
    <n v="5330"/>
    <n v="16.5"/>
    <n v="40054.949999999997"/>
    <s v="Completed"/>
    <s v="Chennai"/>
    <s v="Electronics"/>
    <s v="South"/>
    <s v="Jul-24"/>
    <x v="0"/>
  </r>
  <r>
    <s v="ORD-01136"/>
    <d v="2024-08-12T00:00:00"/>
    <s v="CUST-0171"/>
    <s v="PROD-002"/>
    <s v="R007"/>
    <n v="5"/>
    <n v="2600"/>
    <n v="0.3"/>
    <n v="12961"/>
    <s v="Completed"/>
    <s v="Chennai"/>
    <s v="Electronics"/>
    <s v="North"/>
    <s v="Aug-24"/>
    <x v="0"/>
  </r>
  <r>
    <s v="ORD-01137"/>
    <d v="2024-06-19T00:00:00"/>
    <s v="CUST-0116"/>
    <s v="PROD-034"/>
    <s v="R018"/>
    <n v="4"/>
    <n v="5080"/>
    <n v="13.8"/>
    <n v="17515.84"/>
    <s v="Pending"/>
    <s v="Bengaluru"/>
    <s v="Home"/>
    <s v="East"/>
    <s v="Jun-24"/>
    <x v="2"/>
  </r>
  <r>
    <s v="ORD-01138"/>
    <d v="2024-11-01T00:00:00"/>
    <s v="CUST-0021"/>
    <s v="PROD-023"/>
    <s v="R002"/>
    <n v="7"/>
    <n v="2380"/>
    <n v="15.5"/>
    <n v="14077.7"/>
    <s v="Completed"/>
    <s v="Pune"/>
    <s v="Grocery"/>
    <s v="North"/>
    <s v="Nov-24"/>
    <x v="3"/>
  </r>
  <r>
    <s v="ORD-01139"/>
    <d v="2024-12-22T00:00:00"/>
    <s v="CUST-0234"/>
    <s v="PROD-046"/>
    <s v="R006"/>
    <n v="3"/>
    <n v="4880"/>
    <n v="6.1"/>
    <n v="13746.96"/>
    <s v="Completed"/>
    <s v="Bengaluru"/>
    <s v="Beauty"/>
    <s v="North"/>
    <s v="Dec-24"/>
    <x v="3"/>
  </r>
  <r>
    <s v="ORD-01140"/>
    <d v="2024-03-04T00:00:00"/>
    <s v="CUST-0225"/>
    <s v="PROD-043"/>
    <s v="R009"/>
    <n v="2"/>
    <n v="3350"/>
    <n v="17.2"/>
    <n v="5547.6"/>
    <s v="Completed"/>
    <s v="Chennai"/>
    <s v="Beauty"/>
    <s v="South"/>
    <s v="Mar-24"/>
    <x v="1"/>
  </r>
  <r>
    <s v="ORD-01141"/>
    <d v="2024-02-09T00:00:00"/>
    <s v="CUST-0268"/>
    <s v="PROD-030"/>
    <s v="R024"/>
    <n v="5"/>
    <n v="970"/>
    <n v="23.6"/>
    <n v="3705.4"/>
    <s v="Completed"/>
    <s v="Chennai"/>
    <s v="Grocery"/>
    <s v="West"/>
    <s v="Feb-24"/>
    <x v="1"/>
  </r>
  <r>
    <s v="ORD-01142"/>
    <d v="2024-12-06T00:00:00"/>
    <s v="CUST-0248"/>
    <s v="PROD-005"/>
    <s v="R022"/>
    <n v="5"/>
    <n v="300"/>
    <n v="3.8"/>
    <n v="1443"/>
    <s v="Completed"/>
    <s v="Chennai"/>
    <s v="Electronics"/>
    <s v="East"/>
    <s v="Dec-24"/>
    <x v="3"/>
  </r>
  <r>
    <s v="ORD-01143"/>
    <d v="2024-03-07T00:00:00"/>
    <s v="CUST-0026"/>
    <s v="PROD-006"/>
    <s v="R005"/>
    <n v="9"/>
    <n v="3970"/>
    <n v="0.8"/>
    <n v="35444.160000000003"/>
    <s v="Completed"/>
    <s v="Pune"/>
    <s v="Electronics"/>
    <s v="North"/>
    <s v="Mar-24"/>
    <x v="1"/>
  </r>
  <r>
    <s v="ORD-01144"/>
    <d v="2024-05-28T00:00:00"/>
    <s v="CUST-0257"/>
    <s v="PROD-015"/>
    <s v="R013"/>
    <n v="4"/>
    <n v="2720"/>
    <n v="12.7"/>
    <n v="9498.24"/>
    <s v="Completed"/>
    <s v="Mumbai"/>
    <s v="Apparel"/>
    <s v="South"/>
    <s v="May-24"/>
    <x v="2"/>
  </r>
  <r>
    <s v="ORD-01145"/>
    <d v="2024-04-30T00:00:00"/>
    <s v="CUST-0258"/>
    <s v="PROD-016"/>
    <s v="R021"/>
    <n v="3"/>
    <n v="620"/>
    <n v="5.5"/>
    <n v="1757.7"/>
    <s v="Completed"/>
    <s v="Pune"/>
    <s v="Apparel"/>
    <s v="East"/>
    <s v="Apr-24"/>
    <x v="2"/>
  </r>
  <r>
    <s v="ORD-01146"/>
    <d v="2024-07-06T00:00:00"/>
    <s v="CUST-0142"/>
    <s v="PROD-041"/>
    <s v="R024"/>
    <n v="2"/>
    <n v="1540"/>
    <n v="2.2000000000000002"/>
    <n v="3012.24"/>
    <s v="Pending"/>
    <s v="Chennai"/>
    <s v="Beauty"/>
    <s v="West"/>
    <s v="Jul-24"/>
    <x v="0"/>
  </r>
  <r>
    <s v="ORD-01147"/>
    <d v="2024-08-30T00:00:00"/>
    <s v="CUST-0020"/>
    <s v="PROD-042"/>
    <s v="R026"/>
    <n v="1"/>
    <n v="2290"/>
    <n v="24.4"/>
    <n v="1731.24"/>
    <s v="Cancelled"/>
    <s v="Hyderabad"/>
    <s v="Beauty"/>
    <s v="West"/>
    <s v="Aug-24"/>
    <x v="0"/>
  </r>
  <r>
    <s v="ORD-01148"/>
    <d v="2024-01-22T00:00:00"/>
    <s v="CUST-0016"/>
    <s v="PROD-015"/>
    <s v="R018"/>
    <n v="8"/>
    <n v="2720"/>
    <n v="1.7"/>
    <n v="21390.080000000002"/>
    <s v="Completed"/>
    <s v="Delhi"/>
    <s v="Apparel"/>
    <s v="East"/>
    <s v="Jan-24"/>
    <x v="1"/>
  </r>
  <r>
    <s v="ORD-01149"/>
    <d v="2024-04-08T00:00:00"/>
    <s v="CUST-0288"/>
    <s v="PROD-025"/>
    <s v="R023"/>
    <n v="4"/>
    <n v="4060"/>
    <n v="19.600000000000001"/>
    <n v="13056.96"/>
    <s v="Cancelled"/>
    <s v="Hyderabad"/>
    <s v="Grocery"/>
    <s v="East"/>
    <s v="Apr-24"/>
    <x v="2"/>
  </r>
  <r>
    <s v="ORD-01150"/>
    <d v="2024-03-19T00:00:00"/>
    <s v="CUST-0133"/>
    <s v="PROD-003"/>
    <s v="R016"/>
    <n v="8"/>
    <n v="3570"/>
    <n v="10.8"/>
    <n v="25475.52"/>
    <s v="Completed"/>
    <s v="Chennai"/>
    <s v="Electronics"/>
    <s v="South"/>
    <s v="Mar-24"/>
    <x v="1"/>
  </r>
  <r>
    <s v="ORD-01151"/>
    <d v="2024-02-02T00:00:00"/>
    <s v="CUST-0192"/>
    <s v="PROD-051"/>
    <s v="R004"/>
    <n v="10"/>
    <n v="3450"/>
    <n v="13.5"/>
    <n v="29842.5"/>
    <s v="Pending"/>
    <s v="Bengaluru"/>
    <s v="Sports"/>
    <s v="North"/>
    <s v="Feb-24"/>
    <x v="1"/>
  </r>
  <r>
    <s v="ORD-01152"/>
    <d v="2024-06-26T00:00:00"/>
    <s v="CUST-0298"/>
    <s v="PROD-010"/>
    <s v="R007"/>
    <n v="10"/>
    <n v="2640"/>
    <n v="29.8"/>
    <n v="18532.8"/>
    <s v="Completed"/>
    <s v="Delhi"/>
    <s v="Electronics"/>
    <s v="North"/>
    <s v="Jun-24"/>
    <x v="2"/>
  </r>
  <r>
    <s v="ORD-01153"/>
    <d v="2024-11-23T00:00:00"/>
    <s v="CUST-0088"/>
    <s v="PROD-032"/>
    <s v="R009"/>
    <n v="3"/>
    <n v="370"/>
    <n v="25.5"/>
    <n v="826.95"/>
    <s v="Completed"/>
    <s v="Chennai"/>
    <s v="Home"/>
    <s v="South"/>
    <s v="Nov-24"/>
    <x v="3"/>
  </r>
  <r>
    <s v="ORD-01154"/>
    <d v="2024-12-01T00:00:00"/>
    <s v="CUST-0274"/>
    <s v="PROD-009"/>
    <s v="R030"/>
    <n v="3"/>
    <n v="1220"/>
    <n v="7.7"/>
    <n v="3378.18"/>
    <s v="Pending"/>
    <s v="Bengaluru"/>
    <s v="Electronics"/>
    <s v="West"/>
    <s v="Dec-24"/>
    <x v="3"/>
  </r>
  <r>
    <s v="ORD-01155"/>
    <d v="2024-07-26T00:00:00"/>
    <s v="CUST-0165"/>
    <s v="PROD-010"/>
    <s v="R022"/>
    <n v="1"/>
    <n v="2640"/>
    <n v="23.6"/>
    <n v="2016.96"/>
    <s v="Completed"/>
    <s v="Pune"/>
    <s v="Electronics"/>
    <s v="East"/>
    <s v="Jul-24"/>
    <x v="0"/>
  </r>
  <r>
    <s v="ORD-01156"/>
    <d v="2024-09-28T00:00:00"/>
    <s v="CUST-0275"/>
    <s v="PROD-048"/>
    <s v="R011"/>
    <n v="9"/>
    <n v="5100"/>
    <n v="9.5"/>
    <n v="41539.5"/>
    <s v="Completed"/>
    <s v="Mumbai"/>
    <s v="Beauty"/>
    <s v="South"/>
    <s v="Sep-24"/>
    <x v="0"/>
  </r>
  <r>
    <s v="ORD-01157"/>
    <d v="2024-05-23T00:00:00"/>
    <s v="CUST-0225"/>
    <s v="PROD-050"/>
    <s v="R008"/>
    <n v="7"/>
    <n v="6080"/>
    <n v="17.5"/>
    <n v="35112"/>
    <s v="Completed"/>
    <s v="Chennai"/>
    <s v="Beauty"/>
    <s v="North"/>
    <s v="May-24"/>
    <x v="2"/>
  </r>
  <r>
    <s v="ORD-01158"/>
    <d v="2024-11-06T00:00:00"/>
    <s v="CUST-0059"/>
    <s v="PROD-005"/>
    <s v="R026"/>
    <n v="1"/>
    <n v="300"/>
    <n v="26.9"/>
    <n v="219.3"/>
    <s v="Completed"/>
    <s v="Pune"/>
    <s v="Electronics"/>
    <s v="West"/>
    <s v="Nov-24"/>
    <x v="3"/>
  </r>
  <r>
    <s v="ORD-01159"/>
    <d v="2024-12-24T00:00:00"/>
    <s v="CUST-0149"/>
    <s v="PROD-045"/>
    <s v="R020"/>
    <n v="6"/>
    <n v="3020"/>
    <n v="28.5"/>
    <n v="12955.8"/>
    <s v="Completed"/>
    <s v="Hyderabad"/>
    <s v="Beauty"/>
    <s v="East"/>
    <s v="Dec-24"/>
    <x v="3"/>
  </r>
  <r>
    <s v="ORD-01160"/>
    <d v="2024-01-03T00:00:00"/>
    <s v="CUST-0283"/>
    <s v="PROD-005"/>
    <s v="R018"/>
    <n v="8"/>
    <n v="300"/>
    <n v="1.2"/>
    <n v="2371.1999999999998"/>
    <s v="Completed"/>
    <s v="Delhi"/>
    <s v="Electronics"/>
    <s v="East"/>
    <s v="Jan-24"/>
    <x v="1"/>
  </r>
  <r>
    <s v="ORD-01161"/>
    <d v="2024-08-19T00:00:00"/>
    <s v="CUST-0039"/>
    <s v="PROD-043"/>
    <s v="R011"/>
    <n v="9"/>
    <n v="3350"/>
    <n v="0.6"/>
    <n v="29969.1"/>
    <s v="Refunded"/>
    <s v="Bengaluru"/>
    <s v="Beauty"/>
    <s v="South"/>
    <s v="Aug-24"/>
    <x v="0"/>
  </r>
  <r>
    <s v="ORD-01162"/>
    <d v="2024-07-06T00:00:00"/>
    <s v="CUST-0046"/>
    <s v="PROD-026"/>
    <s v="R024"/>
    <n v="4"/>
    <n v="4070"/>
    <n v="10.1"/>
    <n v="14635.72"/>
    <s v="Completed"/>
    <s v="Delhi"/>
    <s v="Grocery"/>
    <s v="West"/>
    <s v="Jul-24"/>
    <x v="0"/>
  </r>
  <r>
    <s v="ORD-01163"/>
    <d v="2024-11-18T00:00:00"/>
    <s v="CUST-0105"/>
    <s v="PROD-059"/>
    <s v="R024"/>
    <n v="9"/>
    <n v="3780"/>
    <n v="27.8"/>
    <n v="24562.44"/>
    <s v="Cancelled"/>
    <s v="Chennai"/>
    <s v="Sports"/>
    <s v="West"/>
    <s v="Nov-24"/>
    <x v="3"/>
  </r>
  <r>
    <s v="ORD-01164"/>
    <d v="2024-04-25T00:00:00"/>
    <s v="CUST-0006"/>
    <s v="PROD-040"/>
    <s v="R030"/>
    <n v="6"/>
    <n v="1080"/>
    <n v="17.5"/>
    <n v="5346"/>
    <s v="Completed"/>
    <s v="Pune"/>
    <s v="Home"/>
    <s v="West"/>
    <s v="Apr-24"/>
    <x v="2"/>
  </r>
  <r>
    <s v="ORD-01165"/>
    <d v="2024-11-07T00:00:00"/>
    <s v="CUST-0192"/>
    <s v="PROD-002"/>
    <s v="R023"/>
    <n v="3"/>
    <n v="2600"/>
    <n v="1.9"/>
    <n v="7651.8"/>
    <s v="Completed"/>
    <s v="Bengaluru"/>
    <s v="Electronics"/>
    <s v="East"/>
    <s v="Nov-24"/>
    <x v="3"/>
  </r>
  <r>
    <s v="ORD-01166"/>
    <d v="2024-03-24T00:00:00"/>
    <s v="CUST-0290"/>
    <s v="PROD-015"/>
    <s v="R008"/>
    <n v="5"/>
    <n v="2720"/>
    <n v="1.8"/>
    <n v="13355.2"/>
    <s v="Cancelled"/>
    <s v="Delhi"/>
    <s v="Apparel"/>
    <s v="North"/>
    <s v="Mar-24"/>
    <x v="1"/>
  </r>
  <r>
    <s v="ORD-01167"/>
    <d v="2024-07-12T00:00:00"/>
    <s v="CUST-0287"/>
    <s v="PROD-028"/>
    <s v="R012"/>
    <n v="8"/>
    <n v="3660"/>
    <n v="29.5"/>
    <n v="20642.400000000001"/>
    <s v="Completed"/>
    <s v="Chennai"/>
    <s v="Grocery"/>
    <s v="South"/>
    <s v="Jul-24"/>
    <x v="0"/>
  </r>
  <r>
    <s v="ORD-01168"/>
    <d v="2024-10-02T00:00:00"/>
    <s v="CUST-0025"/>
    <s v="PROD-044"/>
    <s v="R005"/>
    <n v="9"/>
    <n v="1650"/>
    <n v="19.8"/>
    <n v="11909.7"/>
    <s v="Refunded"/>
    <s v="Bengaluru"/>
    <s v="Beauty"/>
    <s v="North"/>
    <s v="Oct-24"/>
    <x v="3"/>
  </r>
  <r>
    <s v="ORD-01169"/>
    <d v="2024-07-29T00:00:00"/>
    <s v="CUST-0139"/>
    <s v="PROD-055"/>
    <s v="R019"/>
    <n v="3"/>
    <n v="2860"/>
    <n v="22.7"/>
    <n v="6632.34"/>
    <s v="Completed"/>
    <s v="Hyderabad"/>
    <s v="Sports"/>
    <s v="East"/>
    <s v="Jul-24"/>
    <x v="0"/>
  </r>
  <r>
    <s v="ORD-01170"/>
    <d v="2024-05-17T00:00:00"/>
    <s v="CUST-0278"/>
    <s v="PROD-051"/>
    <s v="R025"/>
    <n v="4"/>
    <n v="3450"/>
    <n v="9.1999999999999993"/>
    <n v="12530.4"/>
    <s v="Completed"/>
    <s v="Hyderabad"/>
    <s v="Sports"/>
    <s v="West"/>
    <s v="May-24"/>
    <x v="2"/>
  </r>
  <r>
    <s v="ORD-01171"/>
    <d v="2024-04-23T00:00:00"/>
    <s v="CUST-0258"/>
    <s v="PROD-033"/>
    <s v="R003"/>
    <n v="4"/>
    <n v="2030"/>
    <n v="17.100000000000001"/>
    <n v="6731.48"/>
    <s v="Completed"/>
    <s v="Pune"/>
    <s v="Home"/>
    <s v="North"/>
    <s v="Apr-24"/>
    <x v="2"/>
  </r>
  <r>
    <s v="ORD-01172"/>
    <d v="2024-04-19T00:00:00"/>
    <s v="CUST-0106"/>
    <s v="PROD-022"/>
    <s v="R016"/>
    <n v="4"/>
    <n v="2270"/>
    <n v="27.3"/>
    <n v="6601.16"/>
    <s v="Completed"/>
    <s v="Pune"/>
    <s v="Grocery"/>
    <s v="South"/>
    <s v="Apr-24"/>
    <x v="2"/>
  </r>
  <r>
    <s v="ORD-01173"/>
    <d v="2024-03-22T00:00:00"/>
    <s v="CUST-0009"/>
    <s v="PROD-034"/>
    <s v="R013"/>
    <n v="9"/>
    <n v="5080"/>
    <n v="10.9"/>
    <n v="40736.519999999997"/>
    <s v="Completed"/>
    <s v="Mumbai"/>
    <s v="Home"/>
    <s v="South"/>
    <s v="Mar-24"/>
    <x v="1"/>
  </r>
  <r>
    <s v="ORD-01174"/>
    <d v="2024-11-06T00:00:00"/>
    <s v="CUST-0209"/>
    <s v="PROD-026"/>
    <s v="R029"/>
    <n v="8"/>
    <n v="4070"/>
    <n v="17.7"/>
    <n v="26796.880000000001"/>
    <s v="Completed"/>
    <s v="Pune"/>
    <s v="Grocery"/>
    <s v="West"/>
    <s v="Nov-24"/>
    <x v="3"/>
  </r>
  <r>
    <s v="ORD-01175"/>
    <d v="2024-03-21T00:00:00"/>
    <s v="CUST-0111"/>
    <s v="PROD-041"/>
    <s v="R005"/>
    <n v="1"/>
    <n v="1540"/>
    <n v="0.9"/>
    <n v="1526.14"/>
    <s v="Completed"/>
    <s v="Chennai"/>
    <s v="Beauty"/>
    <s v="North"/>
    <s v="Mar-24"/>
    <x v="1"/>
  </r>
  <r>
    <s v="ORD-01176"/>
    <d v="2024-05-04T00:00:00"/>
    <s v="CUST-0014"/>
    <s v="PROD-048"/>
    <s v="R024"/>
    <n v="10"/>
    <n v="5100"/>
    <n v="3"/>
    <n v="49470"/>
    <s v="Completed"/>
    <s v="Bengaluru"/>
    <s v="Beauty"/>
    <s v="West"/>
    <s v="May-24"/>
    <x v="2"/>
  </r>
  <r>
    <s v="ORD-01177"/>
    <d v="2024-12-30T00:00:00"/>
    <s v="CUST-0073"/>
    <s v="PROD-014"/>
    <s v="R006"/>
    <n v="6"/>
    <n v="3620"/>
    <n v="20.2"/>
    <n v="17332.560000000001"/>
    <s v="Completed"/>
    <s v="Pune"/>
    <s v="Apparel"/>
    <s v="North"/>
    <s v="Dec-24"/>
    <x v="3"/>
  </r>
  <r>
    <s v="ORD-01178"/>
    <d v="2024-02-02T00:00:00"/>
    <s v="CUST-0147"/>
    <s v="PROD-046"/>
    <s v="R003"/>
    <n v="7"/>
    <n v="4880"/>
    <n v="5"/>
    <n v="32452"/>
    <s v="Completed"/>
    <s v="Pune"/>
    <s v="Beauty"/>
    <s v="North"/>
    <s v="Feb-24"/>
    <x v="1"/>
  </r>
  <r>
    <s v="ORD-01179"/>
    <d v="2024-06-29T00:00:00"/>
    <s v="CUST-0006"/>
    <s v="PROD-010"/>
    <s v="R024"/>
    <n v="1"/>
    <n v="2640"/>
    <n v="4.0999999999999996"/>
    <n v="2531.7600000000002"/>
    <s v="Completed"/>
    <s v="Pune"/>
    <s v="Electronics"/>
    <s v="West"/>
    <s v="Jun-24"/>
    <x v="2"/>
  </r>
  <r>
    <s v="ORD-01180"/>
    <d v="2024-08-04T00:00:00"/>
    <s v="CUST-0031"/>
    <s v="PROD-026"/>
    <s v="R020"/>
    <n v="9"/>
    <n v="4070"/>
    <n v="4.4000000000000004"/>
    <n v="35018.28"/>
    <s v="Completed"/>
    <s v="Hyderabad"/>
    <s v="Grocery"/>
    <s v="East"/>
    <s v="Aug-24"/>
    <x v="0"/>
  </r>
  <r>
    <s v="ORD-01181"/>
    <d v="2024-11-21T00:00:00"/>
    <s v="CUST-0084"/>
    <s v="PROD-003"/>
    <s v="R025"/>
    <n v="9"/>
    <n v="3570"/>
    <n v="24.8"/>
    <n v="24161.759999999998"/>
    <s v="Completed"/>
    <s v="Chennai"/>
    <s v="Electronics"/>
    <s v="West"/>
    <s v="Nov-24"/>
    <x v="3"/>
  </r>
  <r>
    <s v="ORD-01182"/>
    <d v="2024-06-27T00:00:00"/>
    <s v="CUST-0203"/>
    <s v="PROD-043"/>
    <s v="R005"/>
    <n v="10"/>
    <n v="3350"/>
    <n v="25.1"/>
    <n v="25091.5"/>
    <s v="Cancelled"/>
    <s v="Chennai"/>
    <s v="Beauty"/>
    <s v="North"/>
    <s v="Jun-24"/>
    <x v="2"/>
  </r>
  <r>
    <s v="ORD-01183"/>
    <d v="2024-01-16T00:00:00"/>
    <s v="CUST-0138"/>
    <s v="PROD-059"/>
    <s v="R025"/>
    <n v="3"/>
    <n v="3780"/>
    <n v="3.8"/>
    <n v="10909.08"/>
    <s v="Completed"/>
    <s v="Chennai"/>
    <s v="Sports"/>
    <s v="West"/>
    <s v="Jan-24"/>
    <x v="1"/>
  </r>
  <r>
    <s v="ORD-01184"/>
    <d v="2024-12-25T00:00:00"/>
    <s v="CUST-0157"/>
    <s v="PROD-003"/>
    <s v="R008"/>
    <n v="4"/>
    <n v="3570"/>
    <n v="0.9"/>
    <n v="14151.48"/>
    <s v="Pending"/>
    <s v="Pune"/>
    <s v="Electronics"/>
    <s v="North"/>
    <s v="Dec-24"/>
    <x v="3"/>
  </r>
  <r>
    <s v="ORD-01185"/>
    <d v="2024-05-24T00:00:00"/>
    <s v="CUST-0298"/>
    <s v="PROD-055"/>
    <s v="R024"/>
    <n v="5"/>
    <n v="2860"/>
    <n v="20.100000000000001"/>
    <n v="11425.7"/>
    <s v="Completed"/>
    <s v="Delhi"/>
    <s v="Sports"/>
    <s v="West"/>
    <s v="May-24"/>
    <x v="2"/>
  </r>
  <r>
    <s v="ORD-01186"/>
    <d v="2024-08-14T00:00:00"/>
    <s v="CUST-0132"/>
    <s v="PROD-016"/>
    <s v="R003"/>
    <n v="1"/>
    <n v="620"/>
    <n v="1.1000000000000001"/>
    <n v="613.17999999999995"/>
    <s v="Cancelled"/>
    <s v="Delhi"/>
    <s v="Apparel"/>
    <s v="North"/>
    <s v="Aug-24"/>
    <x v="0"/>
  </r>
  <r>
    <s v="ORD-01187"/>
    <d v="2024-05-20T00:00:00"/>
    <s v="CUST-0006"/>
    <s v="PROD-003"/>
    <s v="R012"/>
    <n v="1"/>
    <n v="3570"/>
    <n v="11.1"/>
    <n v="3173.73"/>
    <s v="Cancelled"/>
    <s v="Pune"/>
    <s v="Electronics"/>
    <s v="South"/>
    <s v="May-24"/>
    <x v="2"/>
  </r>
  <r>
    <s v="ORD-01188"/>
    <d v="2024-09-16T00:00:00"/>
    <s v="CUST-0011"/>
    <s v="PROD-001"/>
    <s v="R012"/>
    <n v="1"/>
    <n v="5330"/>
    <n v="3.5"/>
    <n v="5143.45"/>
    <s v="Completed"/>
    <s v="Chennai"/>
    <s v="Electronics"/>
    <s v="South"/>
    <s v="Sep-24"/>
    <x v="0"/>
  </r>
  <r>
    <s v="ORD-01189"/>
    <d v="2024-02-26T00:00:00"/>
    <s v="CUST-0170"/>
    <s v="PROD-052"/>
    <s v="R018"/>
    <n v="7"/>
    <n v="5410"/>
    <n v="26.2"/>
    <n v="27948.06"/>
    <s v="Completed"/>
    <s v="Mumbai"/>
    <s v="Sports"/>
    <s v="East"/>
    <s v="Feb-24"/>
    <x v="1"/>
  </r>
  <r>
    <s v="ORD-01190"/>
    <d v="2024-03-23T00:00:00"/>
    <s v="CUST-0109"/>
    <s v="PROD-034"/>
    <s v="R016"/>
    <n v="10"/>
    <n v="5080"/>
    <n v="3.7"/>
    <n v="48920.4"/>
    <s v="Pending"/>
    <s v="Pune"/>
    <s v="Home"/>
    <s v="South"/>
    <s v="Mar-24"/>
    <x v="1"/>
  </r>
  <r>
    <s v="ORD-01191"/>
    <d v="2024-03-19T00:00:00"/>
    <s v="CUST-0066"/>
    <s v="PROD-003"/>
    <s v="R005"/>
    <n v="9"/>
    <n v="3570"/>
    <n v="5.6"/>
    <n v="30330.720000000001"/>
    <s v="Completed"/>
    <s v="Delhi"/>
    <s v="Electronics"/>
    <s v="North"/>
    <s v="Mar-24"/>
    <x v="1"/>
  </r>
  <r>
    <s v="ORD-01192"/>
    <d v="2024-12-30T00:00:00"/>
    <s v="CUST-0055"/>
    <s v="PROD-030"/>
    <s v="R022"/>
    <n v="9"/>
    <n v="970"/>
    <n v="19.5"/>
    <n v="7027.65"/>
    <s v="Completed"/>
    <s v="Bengaluru"/>
    <s v="Grocery"/>
    <s v="East"/>
    <s v="Dec-24"/>
    <x v="3"/>
  </r>
  <r>
    <s v="ORD-01193"/>
    <d v="2024-03-06T00:00:00"/>
    <s v="CUST-0298"/>
    <s v="PROD-005"/>
    <s v="R009"/>
    <n v="10"/>
    <n v="300"/>
    <n v="23"/>
    <n v="2310"/>
    <s v="Cancelled"/>
    <s v="Delhi"/>
    <s v="Electronics"/>
    <s v="South"/>
    <s v="Mar-24"/>
    <x v="1"/>
  </r>
  <r>
    <s v="ORD-01194"/>
    <d v="2024-07-06T00:00:00"/>
    <s v="CUST-0024"/>
    <s v="PROD-050"/>
    <s v="R003"/>
    <n v="10"/>
    <n v="6080"/>
    <n v="3.9"/>
    <n v="58428.800000000003"/>
    <s v="Completed"/>
    <s v="Chennai"/>
    <s v="Beauty"/>
    <s v="North"/>
    <s v="Jul-24"/>
    <x v="0"/>
  </r>
  <r>
    <s v="ORD-01195"/>
    <d v="2024-09-04T00:00:00"/>
    <s v="CUST-0008"/>
    <s v="PROD-048"/>
    <s v="R011"/>
    <n v="2"/>
    <n v="5100"/>
    <n v="11"/>
    <n v="9078"/>
    <s v="Completed"/>
    <s v="Pune"/>
    <s v="Beauty"/>
    <s v="South"/>
    <s v="Sep-24"/>
    <x v="0"/>
  </r>
  <r>
    <s v="ORD-01196"/>
    <d v="2024-04-12T00:00:00"/>
    <s v="CUST-0070"/>
    <s v="PROD-011"/>
    <s v="R019"/>
    <n v="9"/>
    <n v="3450"/>
    <n v="23.7"/>
    <n v="23691.15"/>
    <s v="Completed"/>
    <s v="Mumbai"/>
    <s v="Apparel"/>
    <s v="East"/>
    <s v="Apr-24"/>
    <x v="2"/>
  </r>
  <r>
    <s v="ORD-01197"/>
    <d v="2024-02-13T00:00:00"/>
    <s v="CUST-0270"/>
    <s v="PROD-019"/>
    <s v="R011"/>
    <n v="5"/>
    <n v="2480"/>
    <n v="20.399999999999999"/>
    <n v="9870.4"/>
    <s v="Completed"/>
    <s v="Bengaluru"/>
    <s v="Apparel"/>
    <s v="South"/>
    <s v="Feb-24"/>
    <x v="1"/>
  </r>
  <r>
    <s v="ORD-01198"/>
    <d v="2024-02-12T00:00:00"/>
    <s v="CUST-0175"/>
    <s v="PROD-060"/>
    <s v="R010"/>
    <n v="4"/>
    <n v="190"/>
    <n v="2.6"/>
    <n v="740.24"/>
    <s v="Completed"/>
    <s v="Delhi"/>
    <s v="Sports"/>
    <s v="South"/>
    <s v="Feb-24"/>
    <x v="1"/>
  </r>
  <r>
    <s v="ORD-01199"/>
    <d v="2024-01-09T00:00:00"/>
    <s v="CUST-0227"/>
    <s v="PROD-022"/>
    <s v="R020"/>
    <n v="4"/>
    <n v="2270"/>
    <n v="8.1"/>
    <n v="8344.52"/>
    <s v="Pending"/>
    <s v="Bengaluru"/>
    <s v="Grocery"/>
    <s v="East"/>
    <s v="Jan-24"/>
    <x v="1"/>
  </r>
  <r>
    <s v="ORD-01200"/>
    <d v="2024-04-18T00:00:00"/>
    <s v="CUST-0041"/>
    <s v="PROD-017"/>
    <s v="R028"/>
    <n v="7"/>
    <n v="2510"/>
    <n v="25.5"/>
    <n v="13089.65"/>
    <s v="Completed"/>
    <s v="Bengaluru"/>
    <s v="Apparel"/>
    <s v="West"/>
    <s v="Apr-24"/>
    <x v="2"/>
  </r>
  <r>
    <s v="ORD-01201"/>
    <d v="2024-05-11T00:00:00"/>
    <s v="CUST-0147"/>
    <s v="PROD-059"/>
    <s v="R004"/>
    <n v="3"/>
    <n v="3780"/>
    <n v="16.8"/>
    <n v="9434.8799999999992"/>
    <s v="Completed"/>
    <s v="Pune"/>
    <s v="Sports"/>
    <s v="North"/>
    <s v="May-24"/>
    <x v="2"/>
  </r>
  <r>
    <s v="ORD-01202"/>
    <d v="2024-08-14T00:00:00"/>
    <s v="CUST-0185"/>
    <s v="PROD-003"/>
    <s v="R010"/>
    <n v="7"/>
    <n v="3570"/>
    <n v="23.7"/>
    <n v="19067.37"/>
    <s v="Completed"/>
    <s v="Hyderabad"/>
    <s v="Electronics"/>
    <s v="South"/>
    <s v="Aug-24"/>
    <x v="0"/>
  </r>
  <r>
    <s v="ORD-01203"/>
    <d v="2024-09-24T00:00:00"/>
    <s v="CUST-0210"/>
    <s v="PROD-037"/>
    <s v="R011"/>
    <n v="4"/>
    <n v="660"/>
    <n v="3.6"/>
    <n v="2544.96"/>
    <s v="Completed"/>
    <s v="Pune"/>
    <s v="Home"/>
    <s v="South"/>
    <s v="Sep-24"/>
    <x v="0"/>
  </r>
  <r>
    <s v="ORD-01204"/>
    <d v="2024-07-28T00:00:00"/>
    <s v="CUST-0289"/>
    <s v="PROD-030"/>
    <s v="R010"/>
    <n v="7"/>
    <n v="970"/>
    <n v="23.7"/>
    <n v="5180.7700000000004"/>
    <s v="Completed"/>
    <s v="Mumbai"/>
    <s v="Grocery"/>
    <s v="South"/>
    <s v="Jul-24"/>
    <x v="0"/>
  </r>
  <r>
    <s v="ORD-01205"/>
    <d v="2024-02-16T00:00:00"/>
    <s v="CUST-0017"/>
    <s v="PROD-024"/>
    <s v="R006"/>
    <n v="8"/>
    <n v="2270"/>
    <n v="6.8"/>
    <n v="16925.12"/>
    <s v="Completed"/>
    <s v="Delhi"/>
    <s v="Grocery"/>
    <s v="North"/>
    <s v="Feb-24"/>
    <x v="1"/>
  </r>
  <r>
    <s v="ORD-01206"/>
    <d v="2024-10-20T00:00:00"/>
    <s v="CUST-0115"/>
    <s v="PROD-058"/>
    <s v="R012"/>
    <n v="1"/>
    <n v="2400"/>
    <n v="26.5"/>
    <n v="1764"/>
    <s v="Completed"/>
    <s v="Mumbai"/>
    <s v="Sports"/>
    <s v="South"/>
    <s v="Oct-24"/>
    <x v="3"/>
  </r>
  <r>
    <s v="ORD-01207"/>
    <d v="2024-08-21T00:00:00"/>
    <s v="CUST-0183"/>
    <s v="PROD-034"/>
    <s v="R010"/>
    <n v="5"/>
    <n v="5080"/>
    <n v="29.6"/>
    <n v="17881.599999999999"/>
    <s v="Completed"/>
    <s v="Mumbai"/>
    <s v="Home"/>
    <s v="South"/>
    <s v="Aug-24"/>
    <x v="0"/>
  </r>
  <r>
    <s v="ORD-01208"/>
    <d v="2024-02-29T00:00:00"/>
    <s v="CUST-0193"/>
    <s v="PROD-043"/>
    <s v="R014"/>
    <n v="9"/>
    <n v="3350"/>
    <n v="6.2"/>
    <n v="28280.7"/>
    <s v="Completed"/>
    <s v="Bengaluru"/>
    <s v="Beauty"/>
    <s v="South"/>
    <s v="Feb-24"/>
    <x v="1"/>
  </r>
  <r>
    <s v="ORD-01209"/>
    <d v="2024-09-25T00:00:00"/>
    <s v="CUST-0019"/>
    <s v="PROD-041"/>
    <s v="R001"/>
    <n v="4"/>
    <n v="1540"/>
    <n v="22.2"/>
    <n v="4792.4799999999996"/>
    <s v="Completed"/>
    <s v="Chennai"/>
    <s v="Beauty"/>
    <s v="North"/>
    <s v="Sep-24"/>
    <x v="0"/>
  </r>
  <r>
    <s v="ORD-01210"/>
    <d v="2024-05-19T00:00:00"/>
    <s v="CUST-0097"/>
    <s v="PROD-034"/>
    <s v="R002"/>
    <n v="10"/>
    <n v="5080"/>
    <n v="11.8"/>
    <n v="44805.599999999999"/>
    <s v="Completed"/>
    <s v="Mumbai"/>
    <s v="Home"/>
    <s v="North"/>
    <s v="May-24"/>
    <x v="2"/>
  </r>
  <r>
    <s v="ORD-01211"/>
    <d v="2024-01-05T00:00:00"/>
    <s v="CUST-0237"/>
    <s v="PROD-018"/>
    <s v="R012"/>
    <n v="9"/>
    <n v="3560"/>
    <n v="15.9"/>
    <n v="26945.64"/>
    <s v="Completed"/>
    <s v="Mumbai"/>
    <s v="Apparel"/>
    <s v="South"/>
    <s v="Jan-24"/>
    <x v="1"/>
  </r>
  <r>
    <s v="ORD-01212"/>
    <d v="2024-12-03T00:00:00"/>
    <s v="CUST-0252"/>
    <s v="PROD-040"/>
    <s v="R009"/>
    <n v="2"/>
    <n v="1080"/>
    <n v="21.1"/>
    <n v="1704.24"/>
    <s v="Completed"/>
    <s v="Bengaluru"/>
    <s v="Home"/>
    <s v="South"/>
    <s v="Dec-24"/>
    <x v="3"/>
  </r>
  <r>
    <s v="ORD-01213"/>
    <d v="2024-01-19T00:00:00"/>
    <s v="CUST-0216"/>
    <s v="PROD-023"/>
    <s v="R018"/>
    <n v="5"/>
    <n v="2380"/>
    <n v="20.5"/>
    <n v="9460.5"/>
    <s v="Completed"/>
    <s v="Mumbai"/>
    <s v="Grocery"/>
    <s v="East"/>
    <s v="Jan-24"/>
    <x v="1"/>
  </r>
  <r>
    <s v="ORD-01214"/>
    <d v="2024-07-25T00:00:00"/>
    <s v="CUST-0248"/>
    <s v="PROD-019"/>
    <s v="R025"/>
    <n v="9"/>
    <n v="2480"/>
    <n v="1.2"/>
    <n v="22052.16"/>
    <s v="Completed"/>
    <s v="Chennai"/>
    <s v="Apparel"/>
    <s v="West"/>
    <s v="Jul-24"/>
    <x v="0"/>
  </r>
  <r>
    <s v="ORD-01215"/>
    <d v="2024-02-26T00:00:00"/>
    <s v="CUST-0044"/>
    <s v="PROD-042"/>
    <s v="R012"/>
    <n v="9"/>
    <n v="2290"/>
    <n v="0.9"/>
    <n v="20424.509999999998"/>
    <s v="Completed"/>
    <s v="Hyderabad"/>
    <s v="Beauty"/>
    <s v="South"/>
    <s v="Feb-24"/>
    <x v="1"/>
  </r>
  <r>
    <s v="ORD-01216"/>
    <d v="2024-03-31T00:00:00"/>
    <s v="CUST-0251"/>
    <s v="PROD-011"/>
    <s v="R011"/>
    <n v="3"/>
    <n v="3450"/>
    <n v="29.5"/>
    <n v="7296.75"/>
    <s v="Completed"/>
    <s v="Mumbai"/>
    <s v="Apparel"/>
    <s v="South"/>
    <s v="Mar-24"/>
    <x v="1"/>
  </r>
  <r>
    <s v="ORD-01217"/>
    <d v="2024-10-04T00:00:00"/>
    <s v="CUST-0280"/>
    <s v="PROD-047"/>
    <s v="R024"/>
    <n v="9"/>
    <n v="3450"/>
    <n v="19.399999999999999"/>
    <n v="25026.3"/>
    <s v="Completed"/>
    <s v="Delhi"/>
    <s v="Beauty"/>
    <s v="West"/>
    <s v="Oct-24"/>
    <x v="3"/>
  </r>
  <r>
    <s v="ORD-01218"/>
    <d v="2024-08-12T00:00:00"/>
    <s v="CUST-0108"/>
    <s v="PROD-002"/>
    <s v="R030"/>
    <n v="2"/>
    <n v="2600"/>
    <n v="20.2"/>
    <n v="4149.6000000000004"/>
    <s v="Cancelled"/>
    <s v="Bengaluru"/>
    <s v="Electronics"/>
    <s v="West"/>
    <s v="Aug-24"/>
    <x v="0"/>
  </r>
  <r>
    <s v="ORD-01219"/>
    <d v="2024-08-15T00:00:00"/>
    <s v="CUST-0058"/>
    <s v="PROD-021"/>
    <s v="R025"/>
    <n v="1"/>
    <n v="2760"/>
    <n v="9.5"/>
    <n v="2497.8000000000002"/>
    <s v="Completed"/>
    <s v="Bengaluru"/>
    <s v="Grocery"/>
    <s v="West"/>
    <s v="Aug-24"/>
    <x v="0"/>
  </r>
  <r>
    <s v="ORD-01220"/>
    <d v="2024-10-28T00:00:00"/>
    <s v="CUST-0090"/>
    <s v="PROD-039"/>
    <s v="R003"/>
    <n v="4"/>
    <n v="4610"/>
    <n v="14.8"/>
    <n v="15710.88"/>
    <s v="Completed"/>
    <s v="Bengaluru"/>
    <s v="Home"/>
    <s v="North"/>
    <s v="Oct-24"/>
    <x v="3"/>
  </r>
  <r>
    <s v="ORD-01221"/>
    <d v="2024-08-28T00:00:00"/>
    <s v="CUST-0204"/>
    <s v="PROD-019"/>
    <s v="R024"/>
    <n v="3"/>
    <n v="2480"/>
    <n v="3.7"/>
    <n v="7164.72"/>
    <s v="Completed"/>
    <s v="Hyderabad"/>
    <s v="Apparel"/>
    <s v="West"/>
    <s v="Aug-24"/>
    <x v="0"/>
  </r>
  <r>
    <s v="ORD-01222"/>
    <d v="2024-11-14T00:00:00"/>
    <s v="CUST-0044"/>
    <s v="PROD-056"/>
    <s v="R011"/>
    <n v="5"/>
    <n v="6940"/>
    <n v="0.3"/>
    <n v="34595.9"/>
    <s v="Completed"/>
    <s v="Hyderabad"/>
    <s v="Sports"/>
    <s v="South"/>
    <s v="Nov-24"/>
    <x v="3"/>
  </r>
  <r>
    <s v="ORD-01223"/>
    <d v="2024-09-25T00:00:00"/>
    <s v="CUST-0068"/>
    <s v="PROD-022"/>
    <s v="R023"/>
    <n v="8"/>
    <n v="2270"/>
    <n v="15.6"/>
    <n v="15327.04"/>
    <s v="Pending"/>
    <s v="Delhi"/>
    <s v="Grocery"/>
    <s v="East"/>
    <s v="Sep-24"/>
    <x v="0"/>
  </r>
  <r>
    <s v="ORD-01224"/>
    <d v="2024-05-19T00:00:00"/>
    <s v="CUST-0127"/>
    <s v="PROD-048"/>
    <s v="R030"/>
    <n v="5"/>
    <n v="5100"/>
    <n v="9.5"/>
    <n v="23077.5"/>
    <s v="Completed"/>
    <s v="Bengaluru"/>
    <s v="Beauty"/>
    <s v="West"/>
    <s v="May-24"/>
    <x v="2"/>
  </r>
  <r>
    <s v="ORD-01225"/>
    <d v="2024-10-29T00:00:00"/>
    <s v="CUST-0191"/>
    <s v="PROD-036"/>
    <s v="R011"/>
    <n v="5"/>
    <n v="3250"/>
    <n v="8.1"/>
    <n v="14933.75"/>
    <s v="Completed"/>
    <s v="Hyderabad"/>
    <s v="Home"/>
    <s v="South"/>
    <s v="Oct-24"/>
    <x v="3"/>
  </r>
  <r>
    <s v="ORD-01226"/>
    <d v="2024-11-13T00:00:00"/>
    <s v="CUST-0028"/>
    <s v="PROD-006"/>
    <s v="R003"/>
    <n v="6"/>
    <n v="3970"/>
    <n v="18.8"/>
    <n v="19341.84"/>
    <s v="Pending"/>
    <s v="Bengaluru"/>
    <s v="Electronics"/>
    <s v="North"/>
    <s v="Nov-24"/>
    <x v="3"/>
  </r>
  <r>
    <s v="ORD-01227"/>
    <d v="2024-09-11T00:00:00"/>
    <s v="CUST-0027"/>
    <s v="PROD-001"/>
    <s v="R025"/>
    <n v="4"/>
    <n v="5330"/>
    <n v="19.7"/>
    <n v="17119.96"/>
    <s v="Completed"/>
    <s v="Hyderabad"/>
    <s v="Electronics"/>
    <s v="West"/>
    <s v="Sep-24"/>
    <x v="0"/>
  </r>
  <r>
    <s v="ORD-01228"/>
    <d v="2024-11-11T00:00:00"/>
    <s v="CUST-0193"/>
    <s v="PROD-008"/>
    <s v="R004"/>
    <n v="7"/>
    <n v="2660"/>
    <n v="8.5"/>
    <n v="17037.3"/>
    <s v="Completed"/>
    <s v="Bengaluru"/>
    <s v="Electronics"/>
    <s v="North"/>
    <s v="Nov-24"/>
    <x v="3"/>
  </r>
  <r>
    <s v="ORD-01229"/>
    <d v="2024-05-10T00:00:00"/>
    <s v="CUST-0202"/>
    <s v="PROD-012"/>
    <s v="R029"/>
    <n v="5"/>
    <n v="3160"/>
    <n v="13.4"/>
    <n v="13682.8"/>
    <s v="Pending"/>
    <s v="Chennai"/>
    <s v="Apparel"/>
    <s v="West"/>
    <s v="May-24"/>
    <x v="2"/>
  </r>
  <r>
    <s v="ORD-01230"/>
    <d v="2024-12-08T00:00:00"/>
    <s v="CUST-0230"/>
    <s v="PROD-054"/>
    <s v="R019"/>
    <n v="10"/>
    <n v="1010"/>
    <n v="14"/>
    <n v="8686"/>
    <s v="Completed"/>
    <s v="Pune"/>
    <s v="Sports"/>
    <s v="East"/>
    <s v="Dec-24"/>
    <x v="3"/>
  </r>
  <r>
    <s v="ORD-01231"/>
    <d v="2024-03-25T00:00:00"/>
    <s v="CUST-0280"/>
    <s v="PROD-041"/>
    <s v="R003"/>
    <n v="3"/>
    <n v="1540"/>
    <n v="13.7"/>
    <n v="3987.06"/>
    <s v="Pending"/>
    <s v="Delhi"/>
    <s v="Beauty"/>
    <s v="North"/>
    <s v="Mar-24"/>
    <x v="1"/>
  </r>
  <r>
    <s v="ORD-01232"/>
    <d v="2024-01-22T00:00:00"/>
    <s v="CUST-0196"/>
    <s v="PROD-048"/>
    <s v="R009"/>
    <n v="10"/>
    <n v="5100"/>
    <n v="13.8"/>
    <n v="43962"/>
    <s v="Completed"/>
    <s v="Chennai"/>
    <s v="Beauty"/>
    <s v="South"/>
    <s v="Jan-24"/>
    <x v="1"/>
  </r>
  <r>
    <s v="ORD-01233"/>
    <d v="2024-06-14T00:00:00"/>
    <s v="CUST-0019"/>
    <s v="PROD-007"/>
    <s v="R030"/>
    <n v="3"/>
    <n v="1430"/>
    <n v="1.5"/>
    <n v="4225.6499999999996"/>
    <s v="Completed"/>
    <s v="Chennai"/>
    <s v="Electronics"/>
    <s v="West"/>
    <s v="Jun-24"/>
    <x v="2"/>
  </r>
  <r>
    <s v="ORD-01234"/>
    <d v="2024-11-24T00:00:00"/>
    <s v="CUST-0201"/>
    <s v="PROD-038"/>
    <s v="R013"/>
    <n v="8"/>
    <n v="5490"/>
    <n v="23.2"/>
    <n v="33730.559999999998"/>
    <s v="Completed"/>
    <s v="Hyderabad"/>
    <s v="Home"/>
    <s v="South"/>
    <s v="Nov-24"/>
    <x v="3"/>
  </r>
  <r>
    <s v="ORD-01235"/>
    <d v="2024-07-22T00:00:00"/>
    <s v="CUST-0146"/>
    <s v="PROD-044"/>
    <s v="R008"/>
    <n v="6"/>
    <n v="1650"/>
    <n v="16.8"/>
    <n v="8236.7999999999993"/>
    <s v="Completed"/>
    <s v="Hyderabad"/>
    <s v="Beauty"/>
    <s v="North"/>
    <s v="Jul-24"/>
    <x v="0"/>
  </r>
  <r>
    <s v="ORD-01236"/>
    <d v="2024-06-17T00:00:00"/>
    <s v="CUST-0199"/>
    <s v="PROD-045"/>
    <s v="R018"/>
    <n v="3"/>
    <n v="3020"/>
    <n v="14.5"/>
    <n v="7746.3"/>
    <s v="Completed"/>
    <s v="Hyderabad"/>
    <s v="Beauty"/>
    <s v="East"/>
    <s v="Jun-24"/>
    <x v="2"/>
  </r>
  <r>
    <s v="ORD-01237"/>
    <d v="2024-05-26T00:00:00"/>
    <s v="CUST-0099"/>
    <s v="PROD-041"/>
    <s v="R003"/>
    <n v="5"/>
    <n v="1540"/>
    <n v="27.2"/>
    <n v="5605.6"/>
    <s v="Completed"/>
    <s v="Bengaluru"/>
    <s v="Beauty"/>
    <s v="North"/>
    <s v="May-24"/>
    <x v="2"/>
  </r>
  <r>
    <s v="ORD-00372"/>
    <d v="2024-01-16T00:00:00"/>
    <s v="CUST-0094"/>
    <s v="PROD-056"/>
    <s v="R023"/>
    <n v="4"/>
    <n v="6940"/>
    <n v="3.2"/>
    <n v="26871.68"/>
    <s v="Completed"/>
    <s v="Pune"/>
    <s v="Sports"/>
    <s v="East"/>
    <s v="Jan-24"/>
    <x v="1"/>
  </r>
  <r>
    <s v="ORD-01239"/>
    <d v="2024-08-13T00:00:00"/>
    <s v="CUST-0275"/>
    <s v="PROD-048"/>
    <s v="R017"/>
    <n v="2"/>
    <n v="5100"/>
    <n v="18.100000000000001"/>
    <n v="8353.7999999999993"/>
    <s v="Completed"/>
    <s v="Mumbai"/>
    <s v="Beauty"/>
    <s v="East"/>
    <s v="Aug-24"/>
    <x v="0"/>
  </r>
  <r>
    <s v="ORD-01240"/>
    <d v="2024-10-10T00:00:00"/>
    <s v="CUST-0230"/>
    <s v="PROD-001"/>
    <s v="R016"/>
    <n v="6"/>
    <n v="5330"/>
    <n v="0.3"/>
    <n v="31884.06"/>
    <s v="Pending"/>
    <s v="Pune"/>
    <s v="Electronics"/>
    <s v="South"/>
    <s v="Oct-24"/>
    <x v="3"/>
  </r>
  <r>
    <s v="ORD-01241"/>
    <d v="2024-06-06T00:00:00"/>
    <s v="CUST-0227"/>
    <s v="PROD-057"/>
    <s v="R029"/>
    <n v="5"/>
    <n v="960"/>
    <n v="16.600000000000001"/>
    <n v="4003.2"/>
    <s v="Completed"/>
    <s v="Bengaluru"/>
    <s v="Sports"/>
    <s v="West"/>
    <s v="Jun-24"/>
    <x v="2"/>
  </r>
  <r>
    <s v="ORD-01365"/>
    <d v="2024-07-08T00:00:00"/>
    <s v="CUST-0200"/>
    <s v="PROD-014"/>
    <s v="R022"/>
    <n v="7"/>
    <n v="3620"/>
    <n v="5.4"/>
    <n v="23971.64"/>
    <s v="Completed"/>
    <s v="Hyderabad"/>
    <s v="Apparel"/>
    <s v="East"/>
    <s v="Jul-24"/>
    <x v="0"/>
  </r>
  <r>
    <s v="ORD-01243"/>
    <d v="2024-03-17T00:00:00"/>
    <s v="CUST-0268"/>
    <s v="PROD-002"/>
    <s v="R006"/>
    <n v="6"/>
    <n v="2600"/>
    <n v="25.9"/>
    <n v="11559.6"/>
    <s v="Completed"/>
    <s v="Chennai"/>
    <s v="Electronics"/>
    <s v="North"/>
    <s v="Mar-24"/>
    <x v="1"/>
  </r>
  <r>
    <s v="ORD-01244"/>
    <d v="2024-01-07T00:00:00"/>
    <s v="CUST-0163"/>
    <s v="PROD-008"/>
    <s v="R013"/>
    <n v="7"/>
    <n v="2660"/>
    <n v="20.2"/>
    <n v="14858.76"/>
    <s v="Completed"/>
    <s v="Pune"/>
    <s v="Electronics"/>
    <s v="South"/>
    <s v="Jan-24"/>
    <x v="1"/>
  </r>
  <r>
    <s v="ORD-01245"/>
    <d v="2024-06-29T00:00:00"/>
    <s v="CUST-0233"/>
    <s v="PROD-019"/>
    <s v="R022"/>
    <n v="9"/>
    <n v="2480"/>
    <n v="14.7"/>
    <n v="19038.96"/>
    <s v="Completed"/>
    <s v="Mumbai"/>
    <s v="Apparel"/>
    <s v="East"/>
    <s v="Jun-24"/>
    <x v="2"/>
  </r>
  <r>
    <s v="ORD-01246"/>
    <d v="2024-10-03T00:00:00"/>
    <s v="CUST-0181"/>
    <s v="PROD-008"/>
    <s v="R015"/>
    <n v="4"/>
    <n v="2660"/>
    <n v="8.9"/>
    <n v="9693.0400000000009"/>
    <s v="Completed"/>
    <s v="Delhi"/>
    <s v="Electronics"/>
    <s v="South"/>
    <s v="Oct-24"/>
    <x v="3"/>
  </r>
  <r>
    <s v="ORD-01247"/>
    <d v="2024-09-05T00:00:00"/>
    <s v="CUST-0254"/>
    <s v="PROD-001"/>
    <s v="R010"/>
    <n v="1"/>
    <n v="5330"/>
    <n v="26.8"/>
    <n v="3901.56"/>
    <s v="Completed"/>
    <s v="Bengaluru"/>
    <s v="Electronics"/>
    <s v="South"/>
    <s v="Sep-24"/>
    <x v="0"/>
  </r>
  <r>
    <s v="ORD-01248"/>
    <d v="2024-09-09T00:00:00"/>
    <s v="CUST-0116"/>
    <s v="PROD-051"/>
    <s v="R027"/>
    <n v="6"/>
    <n v="3450"/>
    <n v="19.2"/>
    <n v="16725.599999999999"/>
    <s v="Pending"/>
    <s v="Bengaluru"/>
    <s v="Sports"/>
    <s v="West"/>
    <s v="Sep-24"/>
    <x v="0"/>
  </r>
  <r>
    <s v="ORD-01249"/>
    <d v="2024-02-12T00:00:00"/>
    <s v="CUST-0259"/>
    <s v="PROD-060"/>
    <s v="R025"/>
    <n v="10"/>
    <n v="190"/>
    <n v="18.100000000000001"/>
    <n v="1556.1"/>
    <s v="Completed"/>
    <s v="Mumbai"/>
    <s v="Sports"/>
    <s v="West"/>
    <s v="Feb-24"/>
    <x v="1"/>
  </r>
  <r>
    <s v="ORD-01250"/>
    <d v="2024-10-19T00:00:00"/>
    <s v="CUST-0198"/>
    <s v="PROD-006"/>
    <s v="R009"/>
    <n v="9"/>
    <n v="3970"/>
    <n v="18.2"/>
    <n v="29227.14"/>
    <s v="Pending"/>
    <s v="Chennai"/>
    <s v="Electronics"/>
    <s v="South"/>
    <s v="Oct-24"/>
    <x v="3"/>
  </r>
  <r>
    <s v="ORD-01251"/>
    <d v="2024-04-22T00:00:00"/>
    <s v="CUST-0204"/>
    <s v="PROD-039"/>
    <s v="R002"/>
    <n v="4"/>
    <n v="4610"/>
    <n v="15.1"/>
    <n v="15655.56"/>
    <s v="Cancelled"/>
    <s v="Hyderabad"/>
    <s v="Home"/>
    <s v="North"/>
    <s v="Apr-24"/>
    <x v="2"/>
  </r>
  <r>
    <s v="ORD-01252"/>
    <d v="2024-07-03T00:00:00"/>
    <s v="CUST-0216"/>
    <s v="PROD-016"/>
    <s v="R025"/>
    <n v="2"/>
    <n v="620"/>
    <n v="3.3"/>
    <n v="1199.08"/>
    <s v="Completed"/>
    <s v="Mumbai"/>
    <s v="Apparel"/>
    <s v="West"/>
    <s v="Jul-24"/>
    <x v="0"/>
  </r>
  <r>
    <s v="ORD-01253"/>
    <d v="2024-07-08T00:00:00"/>
    <s v="CUST-0030"/>
    <s v="PROD-041"/>
    <s v="R025"/>
    <n v="7"/>
    <n v="1540"/>
    <n v="27.5"/>
    <n v="7815.5"/>
    <s v="Completed"/>
    <s v="Bengaluru"/>
    <s v="Beauty"/>
    <s v="West"/>
    <s v="Jul-24"/>
    <x v="0"/>
  </r>
  <r>
    <s v="ORD-01254"/>
    <d v="2024-07-07T00:00:00"/>
    <s v="CUST-0019"/>
    <s v="PROD-053"/>
    <s v="R017"/>
    <n v="10"/>
    <n v="470"/>
    <n v="3.9"/>
    <n v="4516.7"/>
    <s v="Completed"/>
    <s v="Chennai"/>
    <s v="Sports"/>
    <s v="East"/>
    <s v="Jul-24"/>
    <x v="0"/>
  </r>
  <r>
    <s v="ORD-01255"/>
    <d v="2024-11-07T00:00:00"/>
    <s v="CUST-0034"/>
    <s v="PROD-046"/>
    <s v="R002"/>
    <n v="5"/>
    <n v="4880"/>
    <n v="27.4"/>
    <n v="17714.400000000001"/>
    <s v="Completed"/>
    <s v="Delhi"/>
    <s v="Beauty"/>
    <s v="North"/>
    <s v="Nov-24"/>
    <x v="3"/>
  </r>
  <r>
    <s v="ORD-01256"/>
    <d v="2024-09-13T00:00:00"/>
    <s v="CUST-0063"/>
    <s v="PROD-052"/>
    <s v="R029"/>
    <n v="1"/>
    <n v="5410"/>
    <n v="8.3000000000000007"/>
    <n v="4960.97"/>
    <s v="Completed"/>
    <s v="Mumbai"/>
    <s v="Sports"/>
    <s v="West"/>
    <s v="Sep-24"/>
    <x v="0"/>
  </r>
  <r>
    <s v="ORD-01257"/>
    <d v="2024-07-09T00:00:00"/>
    <s v="CUST-0203"/>
    <s v="PROD-004"/>
    <s v="R022"/>
    <n v="8"/>
    <n v="3870"/>
    <n v="9.3000000000000007"/>
    <n v="28080.720000000001"/>
    <s v="Pending"/>
    <s v="Chennai"/>
    <s v="Electronics"/>
    <s v="East"/>
    <s v="Jul-24"/>
    <x v="0"/>
  </r>
  <r>
    <s v="ORD-01258"/>
    <d v="2024-06-14T00:00:00"/>
    <s v="CUST-0016"/>
    <s v="PROD-010"/>
    <s v="R017"/>
    <n v="10"/>
    <n v="2640"/>
    <n v="19.899999999999999"/>
    <n v="21146.400000000001"/>
    <s v="Completed"/>
    <s v="Delhi"/>
    <s v="Electronics"/>
    <s v="East"/>
    <s v="Jun-24"/>
    <x v="2"/>
  </r>
  <r>
    <s v="ORD-01259"/>
    <d v="2024-08-04T00:00:00"/>
    <s v="CUST-0198"/>
    <s v="PROD-034"/>
    <s v="R007"/>
    <n v="1"/>
    <n v="5080"/>
    <n v="8.6"/>
    <n v="4643.12"/>
    <s v="Completed"/>
    <s v="Chennai"/>
    <s v="Home"/>
    <s v="North"/>
    <s v="Aug-24"/>
    <x v="0"/>
  </r>
  <r>
    <s v="ORD-01260"/>
    <d v="2024-04-17T00:00:00"/>
    <s v="CUST-0212"/>
    <s v="PROD-036"/>
    <s v="R018"/>
    <n v="9"/>
    <n v="3250"/>
    <n v="18.2"/>
    <n v="23926.5"/>
    <s v="Pending"/>
    <s v="Chennai"/>
    <s v="Home"/>
    <s v="East"/>
    <s v="Apr-24"/>
    <x v="2"/>
  </r>
  <r>
    <s v="ORD-01261"/>
    <d v="2024-11-11T00:00:00"/>
    <s v="CUST-0265"/>
    <s v="PROD-006"/>
    <s v="R002"/>
    <n v="8"/>
    <n v="3970"/>
    <n v="22.4"/>
    <n v="24645.759999999998"/>
    <s v="Completed"/>
    <s v="Chennai"/>
    <s v="Electronics"/>
    <s v="North"/>
    <s v="Nov-24"/>
    <x v="3"/>
  </r>
  <r>
    <s v="ORD-01262"/>
    <d v="2024-04-25T00:00:00"/>
    <s v="CUST-0165"/>
    <s v="PROD-037"/>
    <s v="R017"/>
    <n v="3"/>
    <n v="660"/>
    <n v="3.1"/>
    <n v="1918.62"/>
    <s v="Completed"/>
    <s v="Pune"/>
    <s v="Home"/>
    <s v="East"/>
    <s v="Apr-24"/>
    <x v="2"/>
  </r>
  <r>
    <s v="ORD-01263"/>
    <d v="2024-03-06T00:00:00"/>
    <s v="CUST-0109"/>
    <s v="PROD-002"/>
    <s v="R022"/>
    <n v="7"/>
    <n v="2600"/>
    <n v="15.4"/>
    <n v="15397.2"/>
    <s v="Completed"/>
    <s v="Pune"/>
    <s v="Electronics"/>
    <s v="East"/>
    <s v="Mar-24"/>
    <x v="1"/>
  </r>
  <r>
    <s v="ORD-01264"/>
    <d v="2024-09-30T00:00:00"/>
    <s v="CUST-0155"/>
    <s v="PROD-037"/>
    <s v="R015"/>
    <n v="9"/>
    <n v="660"/>
    <n v="23.7"/>
    <n v="4532.22"/>
    <s v="Completed"/>
    <s v="Pune"/>
    <s v="Home"/>
    <s v="South"/>
    <s v="Sep-24"/>
    <x v="0"/>
  </r>
  <r>
    <s v="ORD-01265"/>
    <d v="2024-04-13T00:00:00"/>
    <s v="CUST-0194"/>
    <s v="PROD-023"/>
    <s v="R021"/>
    <n v="3"/>
    <n v="2380"/>
    <n v="19.5"/>
    <n v="5747.7"/>
    <s v="Cancelled"/>
    <s v="Delhi"/>
    <s v="Grocery"/>
    <s v="East"/>
    <s v="Apr-24"/>
    <x v="2"/>
  </r>
  <r>
    <s v="ORD-01266"/>
    <d v="2024-11-28T00:00:00"/>
    <s v="CUST-0084"/>
    <s v="PROD-044"/>
    <s v="R010"/>
    <n v="9"/>
    <n v="1650"/>
    <n v="2.5"/>
    <n v="14478.75"/>
    <s v="Completed"/>
    <s v="Chennai"/>
    <s v="Beauty"/>
    <s v="South"/>
    <s v="Nov-24"/>
    <x v="3"/>
  </r>
  <r>
    <s v="ORD-01267"/>
    <d v="2024-12-24T00:00:00"/>
    <s v="CUST-9684"/>
    <s v="PROD-010"/>
    <s v="R006"/>
    <n v="8"/>
    <n v="2640"/>
    <n v="24.4"/>
    <n v="15966.72"/>
    <s v="Completed"/>
    <s v="Mumbai"/>
    <s v="Electronics"/>
    <s v="North"/>
    <s v="Dec-24"/>
    <x v="3"/>
  </r>
  <r>
    <s v="ORD-01268"/>
    <d v="2024-03-19T00:00:00"/>
    <s v="CUST-0218"/>
    <s v="PROD-023"/>
    <s v="R013"/>
    <n v="8"/>
    <n v="2380"/>
    <n v="24.2"/>
    <n v="14432.32"/>
    <s v="Completed"/>
    <s v="Mumbai"/>
    <s v="Grocery"/>
    <s v="South"/>
    <s v="Mar-24"/>
    <x v="1"/>
  </r>
  <r>
    <s v="ORD-01269"/>
    <d v="2024-03-22T00:00:00"/>
    <s v="CUST-0194"/>
    <s v="PROD-029"/>
    <s v="R007"/>
    <n v="10"/>
    <n v="2210"/>
    <n v="3.6"/>
    <n v="21304.400000000001"/>
    <s v="Completed"/>
    <s v="Delhi"/>
    <s v="Grocery"/>
    <s v="North"/>
    <s v="Mar-24"/>
    <x v="1"/>
  </r>
  <r>
    <s v="ORD-01270"/>
    <d v="2024-04-09T00:00:00"/>
    <s v="CUST-0037"/>
    <s v="PROD-050"/>
    <s v="R018"/>
    <n v="9"/>
    <n v="6080"/>
    <n v="17.2"/>
    <n v="45308.160000000003"/>
    <s v="Pending"/>
    <s v="Bengaluru"/>
    <s v="Beauty"/>
    <s v="East"/>
    <s v="Apr-24"/>
    <x v="2"/>
  </r>
  <r>
    <s v="ORD-01271"/>
    <d v="2024-02-10T00:00:00"/>
    <s v="CUST-0245"/>
    <s v="PROD-054"/>
    <s v="R022"/>
    <n v="8"/>
    <n v="1010"/>
    <n v="12.3"/>
    <n v="7086.16"/>
    <s v="Completed"/>
    <s v="Hyderabad"/>
    <s v="Sports"/>
    <s v="East"/>
    <s v="Feb-24"/>
    <x v="1"/>
  </r>
  <r>
    <s v="ORD-01272"/>
    <d v="2024-10-17T00:00:00"/>
    <s v="CUST-0266"/>
    <s v="PROD-028"/>
    <s v="R011"/>
    <n v="8"/>
    <n v="3660"/>
    <n v="8.4"/>
    <n v="26820.48"/>
    <s v="Completed"/>
    <s v="Pune"/>
    <s v="Grocery"/>
    <s v="South"/>
    <s v="Oct-24"/>
    <x v="3"/>
  </r>
  <r>
    <s v="ORD-01273"/>
    <d v="2024-05-31T00:00:00"/>
    <s v="CUST-0058"/>
    <s v="PROD-039"/>
    <s v="R029"/>
    <n v="8"/>
    <n v="4610"/>
    <n v="15.4"/>
    <n v="31200.48"/>
    <s v="Cancelled"/>
    <s v="Bengaluru"/>
    <s v="Home"/>
    <s v="West"/>
    <s v="May-24"/>
    <x v="2"/>
  </r>
  <r>
    <s v="ORD-01274"/>
    <d v="2024-08-21T00:00:00"/>
    <s v="CUST-0058"/>
    <s v="PROD-048"/>
    <s v="R006"/>
    <n v="9"/>
    <n v="5100"/>
    <n v="25.2"/>
    <n v="34333.199999999997"/>
    <s v="Cancelled"/>
    <s v="Bengaluru"/>
    <s v="Beauty"/>
    <s v="North"/>
    <s v="Aug-24"/>
    <x v="0"/>
  </r>
  <r>
    <s v="ORD-01275"/>
    <d v="2024-03-26T00:00:00"/>
    <s v="CUST-0028"/>
    <s v="PROD-045"/>
    <s v="R019"/>
    <n v="5"/>
    <n v="3020"/>
    <n v="23"/>
    <n v="11627"/>
    <s v="Completed"/>
    <s v="Bengaluru"/>
    <s v="Beauty"/>
    <s v="East"/>
    <s v="Mar-24"/>
    <x v="1"/>
  </r>
  <r>
    <s v="ORD-01276"/>
    <d v="2024-05-01T00:00:00"/>
    <s v="CUST-0262"/>
    <s v="PROD-059"/>
    <s v="R015"/>
    <n v="8"/>
    <n v="3780"/>
    <n v="17.100000000000001"/>
    <n v="25068.959999999999"/>
    <s v="Completed"/>
    <s v="Mumbai"/>
    <s v="Sports"/>
    <s v="South"/>
    <s v="May-24"/>
    <x v="2"/>
  </r>
  <r>
    <s v="ORD-01277"/>
    <d v="2024-05-25T00:00:00"/>
    <s v="CUST-0241"/>
    <s v="PROD-029"/>
    <s v="R001"/>
    <n v="10"/>
    <n v="2210"/>
    <n v="8.5"/>
    <n v="20221.5"/>
    <s v="Completed"/>
    <s v="Pune"/>
    <s v="Grocery"/>
    <s v="North"/>
    <s v="May-24"/>
    <x v="2"/>
  </r>
  <r>
    <s v="ORD-01278"/>
    <d v="2024-11-08T00:00:00"/>
    <s v="CUST-0109"/>
    <s v="PROD-029"/>
    <s v="R015"/>
    <n v="4"/>
    <n v="2210"/>
    <n v="3.1"/>
    <n v="8565.9599999999991"/>
    <s v="Completed"/>
    <s v="Pune"/>
    <s v="Grocery"/>
    <s v="South"/>
    <s v="Nov-24"/>
    <x v="3"/>
  </r>
  <r>
    <s v="ORD-01279"/>
    <d v="2024-09-05T00:00:00"/>
    <s v="CUST-0228"/>
    <s v="PROD-044"/>
    <s v="R015"/>
    <n v="1"/>
    <n v="1650"/>
    <n v="10"/>
    <n v="1485"/>
    <s v="Completed"/>
    <s v="Pune"/>
    <s v="Beauty"/>
    <s v="South"/>
    <s v="Sep-24"/>
    <x v="0"/>
  </r>
  <r>
    <s v="ORD-01280"/>
    <d v="2024-11-01T00:00:00"/>
    <s v="CUST-0239"/>
    <s v="PROD-060"/>
    <s v="R005"/>
    <n v="6"/>
    <n v="190"/>
    <n v="3.5"/>
    <n v="1100.0999999999999"/>
    <s v="Cancelled"/>
    <s v="Mumbai"/>
    <s v="Sports"/>
    <s v="North"/>
    <s v="Nov-24"/>
    <x v="3"/>
  </r>
  <r>
    <s v="ORD-01281"/>
    <d v="2024-10-24T00:00:00"/>
    <s v="CUST-0092"/>
    <s v="PROD-055"/>
    <s v="R027"/>
    <n v="8"/>
    <n v="2860"/>
    <n v="14.7"/>
    <n v="19516.64"/>
    <s v="Completed"/>
    <s v="Bengaluru"/>
    <s v="Sports"/>
    <s v="West"/>
    <s v="Oct-24"/>
    <x v="3"/>
  </r>
  <r>
    <s v="ORD-01282"/>
    <d v="2024-06-05T00:00:00"/>
    <s v="CUST-0283"/>
    <s v="PROD-005"/>
    <s v="R030"/>
    <n v="9"/>
    <n v="300"/>
    <n v="19.5"/>
    <n v="2173.5"/>
    <s v="Completed"/>
    <s v="Delhi"/>
    <s v="Electronics"/>
    <s v="West"/>
    <s v="Jun-24"/>
    <x v="2"/>
  </r>
  <r>
    <s v="ORD-01283"/>
    <d v="2024-11-12T00:00:00"/>
    <s v="CUST-0206"/>
    <s v="PROD-049"/>
    <s v="R007"/>
    <n v="10"/>
    <n v="960"/>
    <n v="9.6999999999999993"/>
    <n v="8668.7999999999993"/>
    <s v="Completed"/>
    <s v="Mumbai"/>
    <s v="Beauty"/>
    <s v="North"/>
    <s v="Nov-24"/>
    <x v="3"/>
  </r>
  <r>
    <s v="ORD-01284"/>
    <d v="2024-05-09T00:00:00"/>
    <s v="CUST-0174"/>
    <s v="PROD-020"/>
    <s v="R013"/>
    <n v="5"/>
    <n v="820"/>
    <n v="0.5"/>
    <n v="4079.5"/>
    <s v="Completed"/>
    <s v="Pune"/>
    <s v="Apparel"/>
    <s v="South"/>
    <s v="May-24"/>
    <x v="2"/>
  </r>
  <r>
    <s v="ORD-01285"/>
    <d v="2024-04-01T00:00:00"/>
    <s v="CUST-0040"/>
    <s v="PROD-032"/>
    <s v="R004"/>
    <n v="2"/>
    <n v="370"/>
    <n v="10.5"/>
    <n v="662.3"/>
    <s v="Pending"/>
    <s v="Chennai"/>
    <s v="Home"/>
    <s v="North"/>
    <s v="Apr-24"/>
    <x v="2"/>
  </r>
  <r>
    <s v="ORD-01286"/>
    <d v="2024-06-10T00:00:00"/>
    <s v="CUST-0153"/>
    <s v="PROD-038"/>
    <s v="R023"/>
    <n v="9"/>
    <n v="5490"/>
    <n v="14.2"/>
    <n v="42393.78"/>
    <s v="Cancelled"/>
    <s v="Mumbai"/>
    <s v="Home"/>
    <s v="East"/>
    <s v="Jun-24"/>
    <x v="2"/>
  </r>
  <r>
    <s v="ORD-01287"/>
    <d v="2024-04-16T00:00:00"/>
    <s v="CUST-0236"/>
    <s v="PROD-032"/>
    <s v="R018"/>
    <n v="3"/>
    <n v="370"/>
    <n v="18.399999999999999"/>
    <n v="905.76"/>
    <s v="Completed"/>
    <s v="Hyderabad"/>
    <s v="Home"/>
    <s v="East"/>
    <s v="Apr-24"/>
    <x v="2"/>
  </r>
  <r>
    <s v="ORD-01288"/>
    <d v="2024-10-19T00:00:00"/>
    <s v="CUST-0295"/>
    <s v="PROD-060"/>
    <s v="R018"/>
    <n v="6"/>
    <n v="190"/>
    <n v="12.9"/>
    <n v="992.94"/>
    <s v="Completed"/>
    <s v="Delhi"/>
    <s v="Sports"/>
    <s v="East"/>
    <s v="Oct-24"/>
    <x v="3"/>
  </r>
  <r>
    <s v="ORD-01289"/>
    <d v="2024-04-15T00:00:00"/>
    <s v="CUST-0145"/>
    <s v="PROD-029"/>
    <s v="R023"/>
    <n v="8"/>
    <n v="2210"/>
    <n v="9.8000000000000007"/>
    <n v="15947.36"/>
    <s v="Completed"/>
    <s v="Bengaluru"/>
    <s v="Grocery"/>
    <s v="East"/>
    <s v="Apr-24"/>
    <x v="2"/>
  </r>
  <r>
    <s v="ORD-01290"/>
    <d v="2024-06-10T00:00:00"/>
    <s v="CUST-0192"/>
    <s v="PROD-044"/>
    <s v="R009"/>
    <n v="7"/>
    <n v="1650"/>
    <n v="8.4"/>
    <n v="10579.8"/>
    <s v="Completed"/>
    <s v="Bengaluru"/>
    <s v="Beauty"/>
    <s v="South"/>
    <s v="Jun-24"/>
    <x v="2"/>
  </r>
  <r>
    <s v="ORD-01291"/>
    <d v="2024-03-08T00:00:00"/>
    <s v="CUST-0148"/>
    <s v="PROD-037"/>
    <s v="R013"/>
    <n v="8"/>
    <n v="660"/>
    <n v="7.5"/>
    <n v="4884"/>
    <s v="Completed"/>
    <s v="Chennai"/>
    <s v="Home"/>
    <s v="South"/>
    <s v="Mar-24"/>
    <x v="1"/>
  </r>
  <r>
    <s v="ORD-01292"/>
    <d v="2024-12-18T00:00:00"/>
    <s v="CUST-0227"/>
    <s v="PROD-039"/>
    <s v="R004"/>
    <n v="3"/>
    <n v="4610"/>
    <n v="29.6"/>
    <n v="9736.32"/>
    <s v="Completed"/>
    <s v="Bengaluru"/>
    <s v="Home"/>
    <s v="North"/>
    <s v="Dec-24"/>
    <x v="3"/>
  </r>
  <r>
    <s v="ORD-01293"/>
    <d v="2024-02-03T00:00:00"/>
    <s v="CUST-0170"/>
    <s v="PROD-029"/>
    <s v="R025"/>
    <n v="6"/>
    <n v="2210"/>
    <n v="9.5"/>
    <n v="12000.3"/>
    <s v="Completed"/>
    <s v="Mumbai"/>
    <s v="Grocery"/>
    <s v="West"/>
    <s v="Feb-24"/>
    <x v="1"/>
  </r>
  <r>
    <s v="ORD-01294"/>
    <d v="2024-08-29T00:00:00"/>
    <s v="CUST-0102"/>
    <s v="PROD-042"/>
    <s v="R017"/>
    <n v="4"/>
    <n v="2290"/>
    <n v="3.3"/>
    <n v="8857.7199999999993"/>
    <s v="Completed"/>
    <s v="Chennai"/>
    <s v="Beauty"/>
    <s v="East"/>
    <s v="Aug-24"/>
    <x v="0"/>
  </r>
  <r>
    <s v="ORD-01295"/>
    <d v="2024-03-18T00:00:00"/>
    <s v="CUST-0071"/>
    <s v="PROD-040"/>
    <s v="R026"/>
    <n v="5"/>
    <n v="1080"/>
    <n v="26.1"/>
    <n v="3990.6"/>
    <s v="Completed"/>
    <s v="Delhi"/>
    <s v="Home"/>
    <s v="West"/>
    <s v="Mar-24"/>
    <x v="1"/>
  </r>
  <r>
    <s v="ORD-01296"/>
    <d v="2024-01-21T00:00:00"/>
    <s v="CUST-0080"/>
    <s v="PROD-057"/>
    <s v="R010"/>
    <n v="7"/>
    <n v="960"/>
    <n v="17.7"/>
    <n v="5530.56"/>
    <s v="Completed"/>
    <s v="Pune"/>
    <s v="Sports"/>
    <s v="South"/>
    <s v="Jan-24"/>
    <x v="1"/>
  </r>
  <r>
    <s v="ORD-01297"/>
    <d v="2024-06-02T00:00:00"/>
    <s v="CUST-0272"/>
    <s v="PROD-058"/>
    <s v="R008"/>
    <n v="1"/>
    <n v="2400"/>
    <n v="29.9"/>
    <n v="1682.4"/>
    <s v="Completed"/>
    <s v="Mumbai"/>
    <s v="Sports"/>
    <s v="North"/>
    <s v="Jun-24"/>
    <x v="2"/>
  </r>
  <r>
    <s v="ORD-01298"/>
    <d v="2024-12-10T00:00:00"/>
    <s v="CUST-0076"/>
    <s v="PROD-042"/>
    <s v="R010"/>
    <n v="9"/>
    <n v="2290"/>
    <n v="28.8"/>
    <n v="14674.32"/>
    <s v="Completed"/>
    <s v="Mumbai"/>
    <s v="Beauty"/>
    <s v="South"/>
    <s v="Dec-24"/>
    <x v="3"/>
  </r>
  <r>
    <s v="ORD-01299"/>
    <d v="2024-01-03T00:00:00"/>
    <s v="CUST-0222"/>
    <s v="PROD-040"/>
    <s v="R018"/>
    <n v="9"/>
    <n v="1080"/>
    <n v="10.3"/>
    <n v="8718.84"/>
    <s v="Completed"/>
    <s v="Chennai"/>
    <s v="Home"/>
    <s v="East"/>
    <s v="Jan-24"/>
    <x v="1"/>
  </r>
  <r>
    <s v="ORD-01300"/>
    <d v="2024-06-06T00:00:00"/>
    <s v="CUST-0091"/>
    <s v="PROD-035"/>
    <s v="R004"/>
    <n v="1"/>
    <n v="1090"/>
    <n v="5.8"/>
    <n v="1026.78"/>
    <s v="Cancelled"/>
    <s v="Delhi"/>
    <s v="Home"/>
    <s v="North"/>
    <s v="Jun-24"/>
    <x v="2"/>
  </r>
  <r>
    <s v="ORD-01301"/>
    <d v="2024-09-25T00:00:00"/>
    <s v="CUST-0126"/>
    <s v="PROD-029"/>
    <s v="R018"/>
    <n v="3"/>
    <n v="2210"/>
    <n v="18.2"/>
    <n v="5423.34"/>
    <s v="Pending"/>
    <s v="Mumbai"/>
    <s v="Grocery"/>
    <s v="East"/>
    <s v="Sep-24"/>
    <x v="0"/>
  </r>
  <r>
    <s v="ORD-01302"/>
    <d v="2024-10-23T00:00:00"/>
    <s v="CUST-0241"/>
    <s v="PROD-014"/>
    <s v="R015"/>
    <n v="8"/>
    <n v="3620"/>
    <n v="1.4"/>
    <n v="28554.560000000001"/>
    <s v="Completed"/>
    <s v="Pune"/>
    <s v="Apparel"/>
    <s v="South"/>
    <s v="Oct-24"/>
    <x v="3"/>
  </r>
  <r>
    <s v="ORD-01303"/>
    <d v="2024-03-09T00:00:00"/>
    <s v="CUST-0118"/>
    <s v="PROD-033"/>
    <s v="R011"/>
    <n v="7"/>
    <n v="2030"/>
    <n v="27.7"/>
    <n v="10273.83"/>
    <s v="Completed"/>
    <s v="Hyderabad"/>
    <s v="Home"/>
    <s v="South"/>
    <s v="Mar-24"/>
    <x v="1"/>
  </r>
  <r>
    <s v="ORD-01304"/>
    <d v="2024-01-25T00:00:00"/>
    <s v="CUST-0090"/>
    <s v="PROD-004"/>
    <s v="R023"/>
    <n v="1"/>
    <n v="3870"/>
    <n v="29.6"/>
    <n v="2724.48"/>
    <s v="Completed"/>
    <s v="Bengaluru"/>
    <s v="Electronics"/>
    <s v="East"/>
    <s v="Jan-24"/>
    <x v="1"/>
  </r>
  <r>
    <s v="ORD-01305"/>
    <d v="2024-02-02T00:00:00"/>
    <s v="CUST-0037"/>
    <s v="PROD-003"/>
    <s v="R014"/>
    <n v="5"/>
    <n v="3570"/>
    <n v="11.8"/>
    <n v="15743.7"/>
    <s v="Refunded"/>
    <s v="Bengaluru"/>
    <s v="Electronics"/>
    <s v="South"/>
    <s v="Feb-24"/>
    <x v="1"/>
  </r>
  <r>
    <s v="ORD-01306"/>
    <d v="2024-12-24T00:00:00"/>
    <s v="CUST-0083"/>
    <s v="PROD-001"/>
    <s v="R019"/>
    <n v="7"/>
    <n v="5330"/>
    <n v="8.1999999999999993"/>
    <n v="34250.58"/>
    <s v="Completed"/>
    <s v="Bengaluru"/>
    <s v="Electronics"/>
    <s v="East"/>
    <s v="Dec-24"/>
    <x v="3"/>
  </r>
  <r>
    <s v="ORD-01307"/>
    <d v="2024-09-29T00:00:00"/>
    <s v="CUST-0154"/>
    <s v="PROD-009"/>
    <s v="R009"/>
    <n v="5"/>
    <n v="1220"/>
    <n v="17.8"/>
    <n v="5014.2"/>
    <s v="Refunded"/>
    <s v="Pune"/>
    <s v="Electronics"/>
    <s v="South"/>
    <s v="Sep-24"/>
    <x v="0"/>
  </r>
  <r>
    <s v="ORD-01308"/>
    <d v="2024-10-22T00:00:00"/>
    <s v="CUST-0265"/>
    <s v="PROD-011"/>
    <s v="R019"/>
    <n v="7"/>
    <n v="3450"/>
    <n v="29.3"/>
    <n v="17074.05"/>
    <s v="Completed"/>
    <s v="Chennai"/>
    <s v="Apparel"/>
    <s v="East"/>
    <s v="Oct-24"/>
    <x v="3"/>
  </r>
  <r>
    <s v="ORD-01309"/>
    <d v="2024-09-03T00:00:00"/>
    <s v="CUST-0115"/>
    <s v="PROD-018"/>
    <s v="R013"/>
    <n v="6"/>
    <n v="3560"/>
    <n v="9.4"/>
    <n v="19352.16"/>
    <s v="Pending"/>
    <s v="Mumbai"/>
    <s v="Apparel"/>
    <s v="South"/>
    <s v="Sep-24"/>
    <x v="0"/>
  </r>
  <r>
    <s v="ORD-01310"/>
    <d v="2024-04-03T00:00:00"/>
    <s v="CUST-0274"/>
    <s v="PROD-032"/>
    <s v="R005"/>
    <n v="4"/>
    <n v="370"/>
    <n v="4.9000000000000004"/>
    <n v="1407.48"/>
    <s v="Completed"/>
    <s v="Bengaluru"/>
    <s v="Home"/>
    <s v="North"/>
    <s v="Apr-24"/>
    <x v="2"/>
  </r>
  <r>
    <s v="ORD-01311"/>
    <d v="2024-12-21T00:00:00"/>
    <s v="CUST-0269"/>
    <s v="PROD-009"/>
    <s v="R003"/>
    <n v="1"/>
    <n v="1220"/>
    <n v="15.2"/>
    <n v="1034.56"/>
    <s v="Completed"/>
    <s v="Pune"/>
    <s v="Electronics"/>
    <s v="North"/>
    <s v="Dec-24"/>
    <x v="3"/>
  </r>
  <r>
    <s v="ORD-01312"/>
    <d v="2024-06-23T00:00:00"/>
    <s v="CUST-0045"/>
    <s v="PROD-013"/>
    <s v="R006"/>
    <n v="3"/>
    <n v="3640"/>
    <n v="12.3"/>
    <n v="9576.84"/>
    <s v="Pending"/>
    <s v="Chennai"/>
    <s v="Apparel"/>
    <s v="North"/>
    <s v="Jun-24"/>
    <x v="2"/>
  </r>
  <r>
    <s v="ORD-01313"/>
    <d v="2024-09-24T00:00:00"/>
    <s v="CUST-0054"/>
    <s v="PROD-045"/>
    <s v="R010"/>
    <n v="8"/>
    <n v="3020"/>
    <n v="28.2"/>
    <n v="17346.88"/>
    <s v="Pending"/>
    <s v="Mumbai"/>
    <s v="Beauty"/>
    <s v="South"/>
    <s v="Sep-24"/>
    <x v="0"/>
  </r>
  <r>
    <s v="ORD-01314"/>
    <d v="2024-06-26T00:00:00"/>
    <s v="CUST-0160"/>
    <s v="PROD-048"/>
    <s v="R008"/>
    <n v="3"/>
    <n v="5100"/>
    <n v="7.8"/>
    <n v="14106.6"/>
    <s v="Completed"/>
    <s v="Hyderabad"/>
    <s v="Beauty"/>
    <s v="North"/>
    <s v="Jun-24"/>
    <x v="2"/>
  </r>
  <r>
    <s v="ORD-01315"/>
    <d v="2024-04-25T00:00:00"/>
    <s v="CUST-0163"/>
    <s v="PROD-005"/>
    <s v="R001"/>
    <n v="9"/>
    <n v="300"/>
    <n v="19"/>
    <n v="2187"/>
    <s v="Completed"/>
    <s v="Pune"/>
    <s v="Electronics"/>
    <s v="North"/>
    <s v="Apr-24"/>
    <x v="2"/>
  </r>
  <r>
    <s v="ORD-01316"/>
    <d v="2024-12-08T00:00:00"/>
    <s v="CUST-0006"/>
    <s v="PROD-042"/>
    <s v="R007"/>
    <n v="10"/>
    <n v="2290"/>
    <n v="27.7"/>
    <n v="16556.7"/>
    <s v="Completed"/>
    <s v="Pune"/>
    <s v="Beauty"/>
    <s v="North"/>
    <s v="Dec-24"/>
    <x v="3"/>
  </r>
  <r>
    <s v="ORD-01317"/>
    <d v="2024-06-11T00:00:00"/>
    <s v="CUST-0142"/>
    <s v="PROD-013"/>
    <s v="R024"/>
    <n v="9"/>
    <n v="3640"/>
    <n v="20.100000000000001"/>
    <n v="26175.24"/>
    <s v="Completed"/>
    <s v="Chennai"/>
    <s v="Apparel"/>
    <s v="West"/>
    <s v="Jun-24"/>
    <x v="2"/>
  </r>
  <r>
    <s v="ORD-01318"/>
    <d v="2024-09-30T00:00:00"/>
    <s v="CUST-0262"/>
    <s v="PROD-020"/>
    <s v="R022"/>
    <n v="4"/>
    <n v="820"/>
    <n v="7.6"/>
    <n v="3030.72"/>
    <s v="Completed"/>
    <s v="Mumbai"/>
    <s v="Apparel"/>
    <s v="East"/>
    <s v="Sep-24"/>
    <x v="0"/>
  </r>
  <r>
    <s v="ORD-01319"/>
    <d v="2024-05-31T00:00:00"/>
    <s v="CUST-0049"/>
    <s v="PROD-030"/>
    <s v="R014"/>
    <n v="1"/>
    <n v="970"/>
    <n v="1.7"/>
    <n v="953.51"/>
    <s v="Completed"/>
    <s v="Mumbai"/>
    <s v="Grocery"/>
    <s v="South"/>
    <s v="May-24"/>
    <x v="2"/>
  </r>
  <r>
    <s v="ORD-01320"/>
    <d v="2024-01-27T00:00:00"/>
    <s v="CUST-0204"/>
    <s v="PROD-018"/>
    <s v="R019"/>
    <n v="5"/>
    <n v="3560"/>
    <n v="10.5"/>
    <n v="15931"/>
    <s v="Completed"/>
    <s v="Hyderabad"/>
    <s v="Apparel"/>
    <s v="East"/>
    <s v="Jan-24"/>
    <x v="1"/>
  </r>
  <r>
    <s v="ORD-01321"/>
    <d v="2024-01-17T00:00:00"/>
    <s v="CUST-0164"/>
    <s v="PROD-035"/>
    <s v="R009"/>
    <n v="6"/>
    <n v="1090"/>
    <n v="2.4"/>
    <n v="6383.04"/>
    <s v="Pending"/>
    <s v="Chennai"/>
    <s v="Home"/>
    <s v="South"/>
    <s v="Jan-24"/>
    <x v="1"/>
  </r>
  <r>
    <s v="ORD-01322"/>
    <d v="2024-01-15T00:00:00"/>
    <s v="CUST-0003"/>
    <s v="PROD-008"/>
    <s v="R017"/>
    <n v="6"/>
    <n v="2660"/>
    <n v="6.4"/>
    <n v="14938.56"/>
    <s v="Completed"/>
    <s v="Mumbai"/>
    <s v="Electronics"/>
    <s v="East"/>
    <s v="Jan-24"/>
    <x v="1"/>
  </r>
  <r>
    <s v="ORD-01323"/>
    <d v="2024-05-20T00:00:00"/>
    <s v="CUST-0032"/>
    <s v="PROD-006"/>
    <s v="R001"/>
    <n v="5"/>
    <n v="3970"/>
    <n v="18.8"/>
    <n v="16118.2"/>
    <s v="Pending"/>
    <s v="Hyderabad"/>
    <s v="Electronics"/>
    <s v="North"/>
    <s v="May-24"/>
    <x v="2"/>
  </r>
  <r>
    <s v="ORD-01324"/>
    <d v="2024-03-18T00:00:00"/>
    <s v="CUST-0208"/>
    <s v="PROD-056"/>
    <s v="R021"/>
    <n v="7"/>
    <n v="6940"/>
    <n v="23.8"/>
    <n v="37017.96"/>
    <s v="Refunded"/>
    <s v="Mumbai"/>
    <s v="Sports"/>
    <s v="East"/>
    <s v="Mar-24"/>
    <x v="1"/>
  </r>
  <r>
    <s v="ORD-01325"/>
    <d v="2024-09-09T00:00:00"/>
    <s v="CUST-0183"/>
    <s v="PROD-058"/>
    <s v="R004"/>
    <n v="3"/>
    <n v="2400"/>
    <n v="9.8000000000000007"/>
    <n v="6494.4"/>
    <s v="Completed"/>
    <s v="Mumbai"/>
    <s v="Sports"/>
    <s v="North"/>
    <s v="Sep-24"/>
    <x v="0"/>
  </r>
  <r>
    <s v="ORD-01326"/>
    <d v="2024-04-13T00:00:00"/>
    <s v="CUST-0021"/>
    <s v="PROD-051"/>
    <s v="R023"/>
    <n v="8"/>
    <n v="3450"/>
    <n v="26.6"/>
    <n v="20258.400000000001"/>
    <s v="Cancelled"/>
    <s v="Pune"/>
    <s v="Sports"/>
    <s v="East"/>
    <s v="Apr-24"/>
    <x v="2"/>
  </r>
  <r>
    <s v="ORD-01327"/>
    <d v="2024-04-07T00:00:00"/>
    <s v="CUST-0080"/>
    <s v="PROD-009"/>
    <s v="R004"/>
    <n v="4"/>
    <n v="1220"/>
    <n v="5.5"/>
    <n v="4611.6000000000004"/>
    <s v="Completed"/>
    <s v="Pune"/>
    <s v="Electronics"/>
    <s v="North"/>
    <s v="Apr-24"/>
    <x v="2"/>
  </r>
  <r>
    <s v="ORD-01328"/>
    <d v="2024-09-01T00:00:00"/>
    <s v="CUST-0286"/>
    <s v="PROD-016"/>
    <s v="R007"/>
    <n v="1"/>
    <n v="620"/>
    <n v="22.3"/>
    <n v="481.74"/>
    <s v="Pending"/>
    <s v="Delhi"/>
    <s v="Apparel"/>
    <s v="North"/>
    <s v="Sep-24"/>
    <x v="0"/>
  </r>
  <r>
    <s v="ORD-01329"/>
    <d v="2024-02-26T00:00:00"/>
    <s v="CUST-0152"/>
    <s v="PROD-005"/>
    <s v="R023"/>
    <n v="1"/>
    <n v="300"/>
    <n v="12.5"/>
    <n v="262.5"/>
    <s v="Completed"/>
    <s v="Bengaluru"/>
    <s v="Electronics"/>
    <s v="East"/>
    <s v="Feb-24"/>
    <x v="1"/>
  </r>
  <r>
    <s v="ORD-01330"/>
    <d v="2024-07-29T00:00:00"/>
    <s v="CUST-0254"/>
    <s v="PROD-054"/>
    <s v="R020"/>
    <n v="3"/>
    <n v="1010"/>
    <n v="14.1"/>
    <n v="2602.77"/>
    <s v="Completed"/>
    <s v="Bengaluru"/>
    <s v="Sports"/>
    <s v="East"/>
    <s v="Jul-24"/>
    <x v="0"/>
  </r>
  <r>
    <s v="ORD-01331"/>
    <d v="2024-11-04T00:00:00"/>
    <s v="CUST-0290"/>
    <s v="PROD-034"/>
    <s v="R027"/>
    <n v="2"/>
    <n v="5080"/>
    <n v="16.8"/>
    <n v="8453.1200000000008"/>
    <s v="Completed"/>
    <s v="Delhi"/>
    <s v="Home"/>
    <s v="West"/>
    <s v="Nov-24"/>
    <x v="3"/>
  </r>
  <r>
    <s v="ORD-01332"/>
    <d v="2024-05-04T00:00:00"/>
    <s v="CUST-0101"/>
    <s v="PROD-012"/>
    <s v="R027"/>
    <n v="2"/>
    <n v="3160"/>
    <n v="21.4"/>
    <n v="4967.5200000000004"/>
    <s v="Completed"/>
    <s v="Hyderabad"/>
    <s v="Apparel"/>
    <s v="West"/>
    <s v="May-24"/>
    <x v="2"/>
  </r>
  <r>
    <s v="ORD-01333"/>
    <d v="2024-08-31T00:00:00"/>
    <s v="CUST-0058"/>
    <s v="PROD-047"/>
    <s v="R016"/>
    <n v="7"/>
    <n v="3450"/>
    <n v="21.3"/>
    <n v="19006.05"/>
    <s v="Completed"/>
    <s v="Bengaluru"/>
    <s v="Beauty"/>
    <s v="South"/>
    <s v="Aug-24"/>
    <x v="0"/>
  </r>
  <r>
    <s v="ORD-01334"/>
    <d v="2024-01-31T00:00:00"/>
    <s v="CUST-0296"/>
    <s v="PROD-001"/>
    <s v="R006"/>
    <n v="2"/>
    <n v="5330"/>
    <n v="4.3"/>
    <n v="10201.620000000001"/>
    <s v="Completed"/>
    <s v="Delhi"/>
    <s v="Electronics"/>
    <s v="North"/>
    <s v="Jan-24"/>
    <x v="1"/>
  </r>
  <r>
    <s v="ORD-01335"/>
    <d v="2024-11-30T00:00:00"/>
    <s v="CUST-0249"/>
    <s v="PROD-056"/>
    <s v="R014"/>
    <n v="5"/>
    <n v="6940"/>
    <n v="2.9"/>
    <n v="33693.699999999997"/>
    <s v="Completed"/>
    <s v="Mumbai"/>
    <s v="Sports"/>
    <s v="South"/>
    <s v="Nov-24"/>
    <x v="3"/>
  </r>
  <r>
    <s v="ORD-01336"/>
    <d v="2024-08-30T00:00:00"/>
    <s v="CUST-0055"/>
    <s v="PROD-037"/>
    <s v="R028"/>
    <n v="5"/>
    <n v="660"/>
    <n v="15.8"/>
    <n v="2778.6"/>
    <s v="Completed"/>
    <s v="Bengaluru"/>
    <s v="Home"/>
    <s v="West"/>
    <s v="Aug-24"/>
    <x v="0"/>
  </r>
  <r>
    <s v="ORD-01337"/>
    <d v="2024-08-15T00:00:00"/>
    <s v="CUST-0005"/>
    <s v="PROD-048"/>
    <s v="R013"/>
    <n v="9"/>
    <n v="5100"/>
    <n v="0.4"/>
    <n v="45716.4"/>
    <s v="Completed"/>
    <s v="Chennai"/>
    <s v="Beauty"/>
    <s v="South"/>
    <s v="Aug-24"/>
    <x v="0"/>
  </r>
  <r>
    <s v="ORD-01338"/>
    <d v="2024-01-24T00:00:00"/>
    <s v="CUST-9595"/>
    <s v="PROD-044"/>
    <s v="R014"/>
    <n v="5"/>
    <n v="1650"/>
    <n v="0.8"/>
    <n v="8184"/>
    <s v="Pending"/>
    <s v="Chennai"/>
    <s v="Beauty"/>
    <s v="South"/>
    <s v="Jan-24"/>
    <x v="1"/>
  </r>
  <r>
    <s v="ORD-01339"/>
    <d v="2024-10-01T00:00:00"/>
    <s v="CUST-0138"/>
    <s v="PROD-013"/>
    <s v="R018"/>
    <n v="7"/>
    <n v="3640"/>
    <n v="25.5"/>
    <n v="18982.599999999999"/>
    <s v="Completed"/>
    <s v="Chennai"/>
    <s v="Apparel"/>
    <s v="East"/>
    <s v="Oct-24"/>
    <x v="3"/>
  </r>
  <r>
    <s v="ORD-01340"/>
    <d v="2024-12-17T00:00:00"/>
    <s v="CUST-0112"/>
    <s v="PROD-046"/>
    <s v="R029"/>
    <n v="6"/>
    <n v="4880"/>
    <n v="12.6"/>
    <n v="25590.720000000001"/>
    <s v="Cancelled"/>
    <s v="Hyderabad"/>
    <s v="Beauty"/>
    <s v="West"/>
    <s v="Dec-24"/>
    <x v="3"/>
  </r>
  <r>
    <s v="ORD-01341"/>
    <d v="2024-05-10T00:00:00"/>
    <s v="CUST-0254"/>
    <s v="PROD-001"/>
    <s v="R028"/>
    <n v="4"/>
    <n v="5330"/>
    <n v="16.2"/>
    <n v="17866.16"/>
    <s v="Completed"/>
    <s v="Bengaluru"/>
    <s v="Electronics"/>
    <s v="West"/>
    <s v="May-24"/>
    <x v="2"/>
  </r>
  <r>
    <s v="ORD-01342"/>
    <d v="2024-04-18T00:00:00"/>
    <s v="CUST-0087"/>
    <s v="PROD-038"/>
    <s v="R023"/>
    <n v="3"/>
    <n v="5490"/>
    <n v="26.7"/>
    <n v="12072.51"/>
    <s v="Completed"/>
    <s v="Pune"/>
    <s v="Home"/>
    <s v="East"/>
    <s v="Apr-24"/>
    <x v="2"/>
  </r>
  <r>
    <s v="ORD-01343"/>
    <d v="2024-09-29T00:00:00"/>
    <s v="CUST-0142"/>
    <s v="PROD-060"/>
    <s v="R002"/>
    <n v="7"/>
    <n v="190"/>
    <n v="11.6"/>
    <n v="1175.72"/>
    <s v="Completed"/>
    <s v="Chennai"/>
    <s v="Sports"/>
    <s v="North"/>
    <s v="Sep-24"/>
    <x v="0"/>
  </r>
  <r>
    <s v="ORD-01344"/>
    <d v="2024-05-25T00:00:00"/>
    <s v="CUST-0293"/>
    <s v="PROD-012"/>
    <s v="R016"/>
    <n v="5"/>
    <n v="3160"/>
    <n v="24.1"/>
    <n v="11992.2"/>
    <s v="Completed"/>
    <s v="Bengaluru"/>
    <s v="Apparel"/>
    <s v="South"/>
    <s v="May-24"/>
    <x v="2"/>
  </r>
  <r>
    <s v="ORD-01345"/>
    <d v="2024-04-13T00:00:00"/>
    <s v="CUST-0025"/>
    <s v="PROD-035"/>
    <s v="R023"/>
    <n v="1"/>
    <n v="1090"/>
    <n v="9.6"/>
    <n v="985.36"/>
    <s v="Refunded"/>
    <s v="Bengaluru"/>
    <s v="Home"/>
    <s v="East"/>
    <s v="Apr-24"/>
    <x v="2"/>
  </r>
  <r>
    <s v="ORD-01346"/>
    <d v="2024-06-04T00:00:00"/>
    <s v="CUST-0096"/>
    <s v="PROD-032"/>
    <s v="R004"/>
    <n v="9"/>
    <n v="370"/>
    <n v="4"/>
    <n v="3196.8"/>
    <s v="Completed"/>
    <s v="Delhi"/>
    <s v="Home"/>
    <s v="North"/>
    <s v="Jun-24"/>
    <x v="2"/>
  </r>
  <r>
    <s v="ORD-01347"/>
    <d v="2024-01-09T00:00:00"/>
    <s v="CUST-0069"/>
    <s v="PROD-008"/>
    <s v="R002"/>
    <n v="5"/>
    <n v="2660"/>
    <n v="24.6"/>
    <n v="10028.200000000001"/>
    <s v="Cancelled"/>
    <s v="Chennai"/>
    <s v="Electronics"/>
    <s v="North"/>
    <s v="Jan-24"/>
    <x v="1"/>
  </r>
  <r>
    <s v="ORD-01348"/>
    <d v="2024-02-05T00:00:00"/>
    <s v="CUST-0220"/>
    <s v="PROD-018"/>
    <s v="R018"/>
    <n v="4"/>
    <n v="3560"/>
    <n v="25.7"/>
    <n v="10580.32"/>
    <s v="Completed"/>
    <s v="Chennai"/>
    <s v="Apparel"/>
    <s v="East"/>
    <s v="Feb-24"/>
    <x v="1"/>
  </r>
  <r>
    <s v="ORD-01349"/>
    <d v="2024-04-28T00:00:00"/>
    <s v="CUST-0005"/>
    <s v="PROD-049"/>
    <s v="R005"/>
    <n v="8"/>
    <n v="960"/>
    <n v="0.1"/>
    <n v="7672.32"/>
    <s v="Completed"/>
    <s v="Chennai"/>
    <s v="Beauty"/>
    <s v="North"/>
    <s v="Apr-24"/>
    <x v="2"/>
  </r>
  <r>
    <s v="ORD-01350"/>
    <d v="2024-12-18T00:00:00"/>
    <s v="CUST-0222"/>
    <s v="PROD-032"/>
    <s v="R024"/>
    <n v="10"/>
    <n v="370"/>
    <n v="16.399999999999999"/>
    <n v="3093.2"/>
    <s v="Cancelled"/>
    <s v="Chennai"/>
    <s v="Home"/>
    <s v="West"/>
    <s v="Dec-24"/>
    <x v="3"/>
  </r>
  <r>
    <s v="ORD-01351"/>
    <d v="2024-04-17T00:00:00"/>
    <s v="CUST-0039"/>
    <s v="PROD-015"/>
    <s v="R029"/>
    <n v="4"/>
    <n v="2720"/>
    <n v="3.1"/>
    <n v="10542.72"/>
    <s v="Completed"/>
    <s v="Bengaluru"/>
    <s v="Apparel"/>
    <s v="West"/>
    <s v="Apr-24"/>
    <x v="2"/>
  </r>
  <r>
    <s v="ORD-01352"/>
    <d v="2024-05-29T00:00:00"/>
    <s v="CUST-0224"/>
    <s v="PROD-034"/>
    <s v="R005"/>
    <n v="10"/>
    <n v="5080"/>
    <n v="6.8"/>
    <n v="47345.599999999999"/>
    <s v="Completed"/>
    <s v="Chennai"/>
    <s v="Home"/>
    <s v="North"/>
    <s v="May-24"/>
    <x v="2"/>
  </r>
  <r>
    <s v="ORD-01353"/>
    <d v="2024-03-28T00:00:00"/>
    <s v="CUST-0288"/>
    <s v="PROD-042"/>
    <s v="R008"/>
    <n v="6"/>
    <n v="2290"/>
    <n v="22.6"/>
    <n v="10634.76"/>
    <s v="Completed"/>
    <s v="Hyderabad"/>
    <s v="Beauty"/>
    <s v="North"/>
    <s v="Mar-24"/>
    <x v="1"/>
  </r>
  <r>
    <s v="ORD-01354"/>
    <d v="2024-07-29T00:00:00"/>
    <s v="CUST-0002"/>
    <s v="PROD-021"/>
    <s v="R006"/>
    <n v="4"/>
    <n v="2760"/>
    <n v="27.2"/>
    <n v="8037.12"/>
    <s v="Refunded"/>
    <s v="Pune"/>
    <s v="Grocery"/>
    <s v="North"/>
    <s v="Jul-24"/>
    <x v="0"/>
  </r>
  <r>
    <s v="ORD-01355"/>
    <d v="2024-06-23T00:00:00"/>
    <s v="CUST-0172"/>
    <s v="PROD-024"/>
    <s v="R027"/>
    <n v="9"/>
    <n v="2270"/>
    <n v="5.2"/>
    <n v="19367.64"/>
    <s v="Completed"/>
    <s v="Pune"/>
    <s v="Grocery"/>
    <s v="West"/>
    <s v="Jun-24"/>
    <x v="2"/>
  </r>
  <r>
    <s v="ORD-01356"/>
    <d v="2024-07-27T00:00:00"/>
    <s v="CUST-0287"/>
    <s v="PROD-017"/>
    <s v="R008"/>
    <n v="3"/>
    <n v="2510"/>
    <n v="16.399999999999999"/>
    <n v="6295.08"/>
    <s v="Completed"/>
    <s v="Chennai"/>
    <s v="Apparel"/>
    <s v="North"/>
    <s v="Jul-24"/>
    <x v="0"/>
  </r>
  <r>
    <s v="ORD-01357"/>
    <d v="2024-02-15T00:00:00"/>
    <s v="CUST-0020"/>
    <s v="PROD-023"/>
    <s v="R012"/>
    <n v="1"/>
    <n v="2380"/>
    <n v="23.5"/>
    <n v="1820.7"/>
    <s v="Completed"/>
    <s v="Hyderabad"/>
    <s v="Grocery"/>
    <s v="South"/>
    <s v="Feb-24"/>
    <x v="1"/>
  </r>
  <r>
    <s v="ORD-01358"/>
    <d v="2024-06-04T00:00:00"/>
    <s v="CUST-0039"/>
    <s v="PROD-059"/>
    <s v="R019"/>
    <n v="2"/>
    <n v="3780"/>
    <n v="29.1"/>
    <n v="5360.04"/>
    <s v="Completed"/>
    <s v="Bengaluru"/>
    <s v="Sports"/>
    <s v="East"/>
    <s v="Jun-24"/>
    <x v="2"/>
  </r>
  <r>
    <s v="ORD-01359"/>
    <d v="2024-09-11T00:00:00"/>
    <s v="CUST-0128"/>
    <s v="PROD-011"/>
    <s v="R026"/>
    <n v="1"/>
    <n v="3450"/>
    <n v="17.8"/>
    <n v="2835.9"/>
    <s v="Completed"/>
    <s v="Hyderabad"/>
    <s v="Apparel"/>
    <s v="West"/>
    <s v="Sep-24"/>
    <x v="0"/>
  </r>
  <r>
    <s v="ORD-01360"/>
    <d v="2024-06-08T00:00:00"/>
    <s v="CUST-0149"/>
    <s v="PROD-046"/>
    <s v="R006"/>
    <n v="6"/>
    <n v="4880"/>
    <n v="15.6"/>
    <n v="24712.32"/>
    <s v="Pending"/>
    <s v="Hyderabad"/>
    <s v="Beauty"/>
    <s v="North"/>
    <s v="Jun-24"/>
    <x v="2"/>
  </r>
  <r>
    <s v="ORD-01361"/>
    <d v="2024-05-15T00:00:00"/>
    <s v="CUST-0101"/>
    <s v="PROD-049"/>
    <s v="R016"/>
    <n v="6"/>
    <n v="960"/>
    <n v="7.5"/>
    <n v="5328"/>
    <s v="Pending"/>
    <s v="Hyderabad"/>
    <s v="Beauty"/>
    <s v="South"/>
    <s v="May-24"/>
    <x v="2"/>
  </r>
  <r>
    <s v="ORD-01362"/>
    <d v="2024-08-28T00:00:00"/>
    <s v="CUST-0106"/>
    <s v="PROD-018"/>
    <s v="R023"/>
    <n v="1"/>
    <n v="3560"/>
    <n v="12.9"/>
    <n v="3100.76"/>
    <s v="Completed"/>
    <s v="Pune"/>
    <s v="Apparel"/>
    <s v="East"/>
    <s v="Aug-24"/>
    <x v="0"/>
  </r>
  <r>
    <s v="ORD-01363"/>
    <d v="2024-06-23T00:00:00"/>
    <s v="CUST-0085"/>
    <s v="PROD-025"/>
    <s v="R005"/>
    <n v="5"/>
    <n v="4060"/>
    <n v="18.100000000000001"/>
    <n v="16625.7"/>
    <s v="Pending"/>
    <s v="Chennai"/>
    <s v="Grocery"/>
    <s v="North"/>
    <s v="Jun-24"/>
    <x v="2"/>
  </r>
  <r>
    <s v="ORD-01364"/>
    <d v="2024-09-10T00:00:00"/>
    <s v="CUST-0071"/>
    <s v="PROD-015"/>
    <s v="R020"/>
    <n v="10"/>
    <n v="2720"/>
    <n v="23.2"/>
    <n v="20889.599999999999"/>
    <s v="Completed"/>
    <s v="Delhi"/>
    <s v="Apparel"/>
    <s v="East"/>
    <s v="Sep-24"/>
    <x v="0"/>
  </r>
  <r>
    <s v="ORD-01365"/>
    <d v="2024-09-12T00:00:00"/>
    <s v="CUST-0185"/>
    <s v="PROD-029"/>
    <s v="R022"/>
    <n v="1"/>
    <n v="2210"/>
    <n v="5.8"/>
    <n v="2081.8200000000002"/>
    <s v="Pending"/>
    <s v="Hyderabad"/>
    <s v="Grocery"/>
    <s v="East"/>
    <s v="Sep-24"/>
    <x v="0"/>
  </r>
  <r>
    <s v="ORD-01366"/>
    <d v="2024-09-12T00:00:00"/>
    <s v="CUST-0182"/>
    <s v="PROD-047"/>
    <s v="R013"/>
    <n v="5"/>
    <n v="3450"/>
    <n v="27.9"/>
    <n v="12437.25"/>
    <s v="Pending"/>
    <s v="Mumbai"/>
    <s v="Beauty"/>
    <s v="South"/>
    <s v="Sep-24"/>
    <x v="0"/>
  </r>
  <r>
    <s v="ORD-01367"/>
    <d v="2024-09-15T00:00:00"/>
    <s v="CUST-0177"/>
    <s v="PROD-023"/>
    <s v="R023"/>
    <n v="9"/>
    <n v="2380"/>
    <n v="15.2"/>
    <n v="18164.16"/>
    <s v="Refunded"/>
    <s v="Mumbai"/>
    <s v="Grocery"/>
    <s v="East"/>
    <s v="Sep-24"/>
    <x v="0"/>
  </r>
  <r>
    <s v="ORD-01368"/>
    <d v="2024-09-16T00:00:00"/>
    <s v="CUST-0253"/>
    <s v="PROD-023"/>
    <s v="R002"/>
    <n v="2"/>
    <n v="2380"/>
    <n v="24.3"/>
    <n v="3603.32"/>
    <s v="Completed"/>
    <s v="Delhi"/>
    <s v="Grocery"/>
    <s v="North"/>
    <s v="Sep-24"/>
    <x v="0"/>
  </r>
  <r>
    <s v="ORD-01369"/>
    <d v="2024-09-25T00:00:00"/>
    <s v="CUST-0071"/>
    <s v="PROD-018"/>
    <s v="R012"/>
    <n v="9"/>
    <n v="3560"/>
    <n v="6.6"/>
    <n v="29925.360000000001"/>
    <s v="Refunded"/>
    <s v="Delhi"/>
    <s v="Apparel"/>
    <s v="South"/>
    <s v="Sep-24"/>
    <x v="0"/>
  </r>
  <r>
    <s v="ORD-01370"/>
    <d v="2024-02-08T00:00:00"/>
    <s v="CUST-0240"/>
    <s v="PROD-009"/>
    <s v="R018"/>
    <n v="7"/>
    <n v="1220"/>
    <n v="29.4"/>
    <n v="6029.24"/>
    <s v="Completed"/>
    <s v="Chennai"/>
    <s v="Electronics"/>
    <s v="East"/>
    <s v="Feb-24"/>
    <x v="1"/>
  </r>
  <r>
    <s v="ORD-01371"/>
    <d v="2024-09-25T00:00:00"/>
    <s v="CUST-0050"/>
    <s v="PROD-056"/>
    <s v="R017"/>
    <n v="7"/>
    <n v="6940"/>
    <n v="9.6"/>
    <n v="43916.32"/>
    <s v="Completed"/>
    <s v="Mumbai"/>
    <s v="Sports"/>
    <s v="East"/>
    <s v="Sep-24"/>
    <x v="0"/>
  </r>
  <r>
    <s v="ORD-01372"/>
    <d v="2024-04-13T00:00:00"/>
    <s v="CUST-0089"/>
    <s v="PROD-035"/>
    <s v="R022"/>
    <n v="2"/>
    <n v="1090"/>
    <n v="17"/>
    <n v="1809.4"/>
    <s v="Completed"/>
    <s v="Mumbai"/>
    <s v="Home"/>
    <s v="East"/>
    <s v="Apr-24"/>
    <x v="2"/>
  </r>
  <r>
    <s v="ORD-01373"/>
    <d v="2024-07-13T00:00:00"/>
    <s v="CUST-0209"/>
    <s v="PROD-023"/>
    <s v="R028"/>
    <n v="4"/>
    <n v="2380"/>
    <n v="18.899999999999999"/>
    <n v="7720.72"/>
    <s v="Pending"/>
    <s v="Pune"/>
    <s v="Grocery"/>
    <s v="West"/>
    <s v="Jul-24"/>
    <x v="0"/>
  </r>
  <r>
    <s v="ORD-01374"/>
    <d v="2024-10-13T00:00:00"/>
    <s v="CUST-0089"/>
    <s v="PROD-024"/>
    <s v="R004"/>
    <n v="6"/>
    <n v="2270"/>
    <n v="20.9"/>
    <n v="10773.42"/>
    <s v="Pending"/>
    <s v="Mumbai"/>
    <s v="Grocery"/>
    <s v="North"/>
    <s v="Oct-24"/>
    <x v="3"/>
  </r>
  <r>
    <s v="ORD-01375"/>
    <d v="2024-10-16T00:00:00"/>
    <s v="CUST-0093"/>
    <s v="PROD-033"/>
    <s v="R019"/>
    <n v="10"/>
    <n v="2030"/>
    <n v="25"/>
    <n v="15225"/>
    <s v="Completed"/>
    <s v="Pune"/>
    <s v="Home"/>
    <s v="East"/>
    <s v="Oct-24"/>
    <x v="3"/>
  </r>
  <r>
    <s v="ORD-01376"/>
    <d v="2024-08-04T00:00:00"/>
    <s v="CUST-0018"/>
    <s v="PROD-035"/>
    <s v="R027"/>
    <n v="3"/>
    <n v="1090"/>
    <n v="12.1"/>
    <n v="2874.33"/>
    <s v="Completed"/>
    <s v="Pune"/>
    <s v="Home"/>
    <s v="West"/>
    <s v="Aug-24"/>
    <x v="0"/>
  </r>
  <r>
    <s v="ORD-01377"/>
    <d v="2024-01-12T00:00:00"/>
    <s v="CUST-0089"/>
    <s v="PROD-017"/>
    <s v="R017"/>
    <n v="3"/>
    <n v="2510"/>
    <n v="28.7"/>
    <n v="5368.89"/>
    <s v="Completed"/>
    <s v="Mumbai"/>
    <s v="Apparel"/>
    <s v="East"/>
    <s v="Jan-24"/>
    <x v="1"/>
  </r>
  <r>
    <s v="ORD-01378"/>
    <d v="2024-04-30T00:00:00"/>
    <s v="CUST-0116"/>
    <s v="PROD-024"/>
    <s v="R026"/>
    <n v="9"/>
    <n v="2270"/>
    <n v="25.4"/>
    <n v="15240.78"/>
    <s v="Pending"/>
    <s v="Bengaluru"/>
    <s v="Grocery"/>
    <s v="West"/>
    <s v="Apr-24"/>
    <x v="2"/>
  </r>
  <r>
    <s v="ORD-01379"/>
    <d v="2024-04-18T00:00:00"/>
    <s v="CUST-0071"/>
    <s v="PROD-006"/>
    <s v="R029"/>
    <n v="9"/>
    <n v="3970"/>
    <n v="10.1"/>
    <n v="32121.27"/>
    <s v="Cancelled"/>
    <s v="Delhi"/>
    <s v="Electronics"/>
    <s v="West"/>
    <s v="Apr-24"/>
    <x v="2"/>
  </r>
  <r>
    <s v="ORD-01380"/>
    <d v="2024-10-05T00:00:00"/>
    <s v="CUST-0115"/>
    <s v="PROD-029"/>
    <s v="R014"/>
    <n v="6"/>
    <n v="2210"/>
    <n v="7.4"/>
    <n v="12278.76"/>
    <s v="Completed"/>
    <s v="Mumbai"/>
    <s v="Grocery"/>
    <s v="South"/>
    <s v="Oct-24"/>
    <x v="3"/>
  </r>
  <r>
    <s v="ORD-01381"/>
    <d v="2024-03-09T00:00:00"/>
    <s v="CUST-0258"/>
    <s v="PROD-041"/>
    <s v="R017"/>
    <n v="7"/>
    <n v="1540"/>
    <n v="20.6"/>
    <n v="8559.32"/>
    <s v="Completed"/>
    <s v="Pune"/>
    <s v="Beauty"/>
    <s v="East"/>
    <s v="Mar-24"/>
    <x v="1"/>
  </r>
  <r>
    <s v="ORD-01382"/>
    <d v="2024-02-12T00:00:00"/>
    <s v="CUST-0290"/>
    <s v="PROD-039"/>
    <s v="R027"/>
    <n v="9"/>
    <n v="4610"/>
    <n v="2.1"/>
    <n v="40618.71"/>
    <s v="Completed"/>
    <s v="Delhi"/>
    <s v="Home"/>
    <s v="West"/>
    <s v="Feb-24"/>
    <x v="1"/>
  </r>
  <r>
    <s v="ORD-01383"/>
    <d v="2024-08-23T00:00:00"/>
    <s v="CUST-0279"/>
    <s v="PROD-006"/>
    <s v="R002"/>
    <n v="10"/>
    <n v="3970"/>
    <n v="13.3"/>
    <n v="34419.9"/>
    <s v="Pending"/>
    <s v="Mumbai"/>
    <s v="Electronics"/>
    <s v="North"/>
    <s v="Aug-24"/>
    <x v="0"/>
  </r>
  <r>
    <s v="ORD-01384"/>
    <d v="2024-08-30T00:00:00"/>
    <s v="CUST-0132"/>
    <s v="PROD-008"/>
    <s v="R008"/>
    <n v="8"/>
    <n v="2660"/>
    <n v="16.8"/>
    <n v="17704.96"/>
    <s v="Completed"/>
    <s v="Delhi"/>
    <s v="Electronics"/>
    <s v="North"/>
    <s v="Aug-24"/>
    <x v="0"/>
  </r>
  <r>
    <s v="ORD-01385"/>
    <d v="2024-02-07T00:00:00"/>
    <s v="CUST-0029"/>
    <s v="PROD-047"/>
    <s v="R021"/>
    <n v="6"/>
    <n v="3450"/>
    <n v="23.4"/>
    <n v="15856.2"/>
    <s v="Completed"/>
    <s v="Chennai"/>
    <s v="Beauty"/>
    <s v="East"/>
    <s v="Feb-24"/>
    <x v="1"/>
  </r>
  <r>
    <s v="ORD-01386"/>
    <d v="2024-11-25T00:00:00"/>
    <s v="CUST-0295"/>
    <s v="PROD-053"/>
    <s v="R007"/>
    <n v="10"/>
    <n v="470"/>
    <n v="21.2"/>
    <n v="3703.6"/>
    <s v="Completed"/>
    <s v="Delhi"/>
    <s v="Sports"/>
    <s v="North"/>
    <s v="Nov-24"/>
    <x v="3"/>
  </r>
  <r>
    <s v="ORD-00168"/>
    <d v="2024-02-12T00:00:00"/>
    <s v="CUST-0106"/>
    <s v="PROD-059"/>
    <s v="R022"/>
    <n v="7"/>
    <n v="3780"/>
    <n v="10.1"/>
    <n v="23787.54"/>
    <s v="Completed"/>
    <s v="Pune"/>
    <s v="Sports"/>
    <s v="East"/>
    <s v="Feb-24"/>
    <x v="1"/>
  </r>
  <r>
    <s v="ORD-01388"/>
    <d v="2024-02-02T00:00:00"/>
    <s v="CUST-0127"/>
    <s v="PROD-014"/>
    <s v="R027"/>
    <n v="3"/>
    <n v="3620"/>
    <n v="4.2"/>
    <n v="10403.879999999999"/>
    <s v="Completed"/>
    <s v="Bengaluru"/>
    <s v="Apparel"/>
    <s v="West"/>
    <s v="Feb-24"/>
    <x v="1"/>
  </r>
  <r>
    <s v="ORD-01389"/>
    <d v="2024-09-06T00:00:00"/>
    <s v="CUST-0031"/>
    <s v="PROD-049"/>
    <s v="R028"/>
    <n v="7"/>
    <n v="960"/>
    <n v="9"/>
    <n v="6115.2"/>
    <s v="Completed"/>
    <s v="Hyderabad"/>
    <s v="Beauty"/>
    <s v="West"/>
    <s v="Sep-24"/>
    <x v="0"/>
  </r>
  <r>
    <s v="ORD-01390"/>
    <d v="2024-02-22T00:00:00"/>
    <s v="CUST-0256"/>
    <s v="PROD-043"/>
    <s v="R007"/>
    <n v="10"/>
    <n v="3350"/>
    <n v="1.2"/>
    <n v="33098"/>
    <s v="Cancelled"/>
    <s v="Hyderabad"/>
    <s v="Beauty"/>
    <s v="North"/>
    <s v="Feb-24"/>
    <x v="1"/>
  </r>
  <r>
    <s v="ORD-01391"/>
    <d v="2024-04-06T00:00:00"/>
    <s v="CUST-0131"/>
    <s v="PROD-058"/>
    <s v="R030"/>
    <n v="3"/>
    <n v="2400"/>
    <n v="15.4"/>
    <n v="6091.2"/>
    <s v="Completed"/>
    <s v="Delhi"/>
    <s v="Sports"/>
    <s v="West"/>
    <s v="Apr-24"/>
    <x v="2"/>
  </r>
  <r>
    <s v="ORD-01392"/>
    <d v="2024-04-25T00:00:00"/>
    <s v="CUST-0270"/>
    <s v="PROD-055"/>
    <s v="R002"/>
    <n v="2"/>
    <n v="2860"/>
    <n v="10.5"/>
    <n v="5119.3999999999996"/>
    <s v="Completed"/>
    <s v="Bengaluru"/>
    <s v="Sports"/>
    <s v="North"/>
    <s v="Apr-24"/>
    <x v="2"/>
  </r>
  <r>
    <s v="ORD-01393"/>
    <d v="2024-11-24T00:00:00"/>
    <s v="CUST-0212"/>
    <s v="PROD-042"/>
    <s v="R008"/>
    <n v="4"/>
    <n v="2290"/>
    <n v="5.9"/>
    <n v="8619.56"/>
    <s v="Completed"/>
    <s v="Chennai"/>
    <s v="Beauty"/>
    <s v="North"/>
    <s v="Nov-24"/>
    <x v="3"/>
  </r>
  <r>
    <s v="ORD-01394"/>
    <d v="2024-07-26T00:00:00"/>
    <s v="CUST-0216"/>
    <s v="PROD-001"/>
    <s v="R023"/>
    <n v="7"/>
    <n v="5330"/>
    <n v="3.5"/>
    <n v="36004.15"/>
    <s v="Cancelled"/>
    <s v="Mumbai"/>
    <s v="Electronics"/>
    <s v="East"/>
    <s v="Jul-24"/>
    <x v="0"/>
  </r>
  <r>
    <s v="ORD-01395"/>
    <d v="2024-10-20T00:00:00"/>
    <s v="CUST-0189"/>
    <s v="PROD-013"/>
    <s v="R018"/>
    <n v="10"/>
    <n v="3640"/>
    <n v="20.100000000000001"/>
    <n v="29083.599999999999"/>
    <s v="Completed"/>
    <s v="Chennai"/>
    <s v="Apparel"/>
    <s v="East"/>
    <s v="Oct-24"/>
    <x v="3"/>
  </r>
  <r>
    <s v="ORD-01396"/>
    <d v="2024-12-07T00:00:00"/>
    <s v="CUST-0064"/>
    <s v="PROD-034"/>
    <s v="R024"/>
    <n v="10"/>
    <n v="5080"/>
    <n v="2.1"/>
    <n v="49733.2"/>
    <s v="Completed"/>
    <s v="Hyderabad"/>
    <s v="Home"/>
    <s v="West"/>
    <s v="Dec-24"/>
    <x v="3"/>
  </r>
  <r>
    <s v="ORD-01397"/>
    <d v="2024-08-13T00:00:00"/>
    <s v="CUST-0016"/>
    <s v="PROD-035"/>
    <s v="R018"/>
    <n v="4"/>
    <n v="1090"/>
    <n v="18.5"/>
    <n v="3553.4"/>
    <s v="Refunded"/>
    <s v="Delhi"/>
    <s v="Home"/>
    <s v="East"/>
    <s v="Aug-24"/>
    <x v="0"/>
  </r>
  <r>
    <s v="ORD-01398"/>
    <d v="2024-12-19T00:00:00"/>
    <s v="CUST-0296"/>
    <s v="PROD-047"/>
    <s v="R030"/>
    <n v="10"/>
    <n v="3450"/>
    <n v="26.5"/>
    <n v="25357.5"/>
    <s v="Refunded"/>
    <s v="Delhi"/>
    <s v="Beauty"/>
    <s v="West"/>
    <s v="Dec-24"/>
    <x v="3"/>
  </r>
  <r>
    <s v="ORD-01399"/>
    <d v="2024-07-10T00:00:00"/>
    <s v="CUST-0031"/>
    <s v="PROD-052"/>
    <s v="R009"/>
    <n v="9"/>
    <n v="5410"/>
    <n v="11.5"/>
    <n v="43090.65"/>
    <s v="Completed"/>
    <s v="Hyderabad"/>
    <s v="Sports"/>
    <s v="South"/>
    <s v="Jul-24"/>
    <x v="0"/>
  </r>
  <r>
    <s v="ORD-01400"/>
    <d v="2024-06-02T00:00:00"/>
    <s v="CUST-0207"/>
    <s v="PROD-011"/>
    <s v="R030"/>
    <n v="9"/>
    <n v="3450"/>
    <n v="0.3"/>
    <n v="30956.85"/>
    <s v="Refunded"/>
    <s v="Hyderabad"/>
    <s v="Apparel"/>
    <s v="West"/>
    <s v="Jun-24"/>
    <x v="2"/>
  </r>
  <r>
    <s v="ORD-01401"/>
    <d v="2024-11-18T00:00:00"/>
    <s v="CUST-0165"/>
    <s v="PROD-012"/>
    <s v="R025"/>
    <n v="10"/>
    <n v="3160"/>
    <n v="13.6"/>
    <n v="27302.400000000001"/>
    <s v="Completed"/>
    <s v="Pune"/>
    <s v="Apparel"/>
    <s v="West"/>
    <s v="Nov-24"/>
    <x v="3"/>
  </r>
  <r>
    <s v="ORD-01402"/>
    <d v="2024-05-21T00:00:00"/>
    <s v="CUST-0281"/>
    <s v="PROD-041"/>
    <s v="R026"/>
    <n v="3"/>
    <n v="1540"/>
    <n v="21.2"/>
    <n v="3640.56"/>
    <s v="Completed"/>
    <s v="Bengaluru"/>
    <s v="Beauty"/>
    <s v="West"/>
    <s v="May-24"/>
    <x v="2"/>
  </r>
  <r>
    <s v="ORD-01403"/>
    <d v="2024-04-20T00:00:00"/>
    <s v="CUST-0018"/>
    <s v="PROD-013"/>
    <s v="R022"/>
    <n v="5"/>
    <n v="3640"/>
    <n v="17.5"/>
    <n v="15015"/>
    <s v="Completed"/>
    <s v="Pune"/>
    <s v="Apparel"/>
    <s v="East"/>
    <s v="Apr-24"/>
    <x v="2"/>
  </r>
  <r>
    <s v="ORD-01404"/>
    <d v="2024-01-11T00:00:00"/>
    <s v="CUST-0204"/>
    <s v="PROD-059"/>
    <s v="R002"/>
    <n v="4"/>
    <n v="3780"/>
    <n v="9"/>
    <n v="13759.2"/>
    <s v="Pending"/>
    <s v="Hyderabad"/>
    <s v="Sports"/>
    <s v="North"/>
    <s v="Jan-24"/>
    <x v="1"/>
  </r>
  <r>
    <s v="ORD-01405"/>
    <d v="2024-08-22T00:00:00"/>
    <s v="CUST-0028"/>
    <s v="PROD-015"/>
    <s v="R025"/>
    <n v="9"/>
    <n v="2720"/>
    <n v="8.9"/>
    <n v="22301.279999999999"/>
    <s v="Completed"/>
    <s v="Bengaluru"/>
    <s v="Apparel"/>
    <s v="West"/>
    <s v="Aug-24"/>
    <x v="0"/>
  </r>
  <r>
    <s v="ORD-01406"/>
    <d v="2024-12-22T00:00:00"/>
    <s v="CUST-0144"/>
    <s v="PROD-014"/>
    <s v="R004"/>
    <n v="4"/>
    <n v="3620"/>
    <n v="8"/>
    <n v="13321.6"/>
    <s v="Pending"/>
    <s v="Chennai"/>
    <s v="Apparel"/>
    <s v="North"/>
    <s v="Dec-24"/>
    <x v="3"/>
  </r>
  <r>
    <s v="ORD-01407"/>
    <d v="2024-02-03T00:00:00"/>
    <s v="CUST-0043"/>
    <s v="PROD-011"/>
    <s v="R004"/>
    <n v="1"/>
    <n v="3450"/>
    <n v="0.2"/>
    <n v="3443.1"/>
    <s v="Completed"/>
    <s v="Hyderabad"/>
    <s v="Apparel"/>
    <s v="North"/>
    <s v="Feb-24"/>
    <x v="1"/>
  </r>
  <r>
    <s v="ORD-01408"/>
    <d v="2024-12-14T00:00:00"/>
    <s v="CUST-0246"/>
    <s v="PROD-013"/>
    <s v="R014"/>
    <n v="7"/>
    <n v="3640"/>
    <n v="4.5999999999999996"/>
    <n v="24307.919999999998"/>
    <s v="Completed"/>
    <s v="Delhi"/>
    <s v="Apparel"/>
    <s v="South"/>
    <s v="Dec-24"/>
    <x v="3"/>
  </r>
  <r>
    <s v="ORD-01409"/>
    <d v="2024-05-11T00:00:00"/>
    <s v="CUST-0156"/>
    <s v="PROD-016"/>
    <s v="R023"/>
    <n v="9"/>
    <n v="620"/>
    <n v="8.5"/>
    <n v="5105.7"/>
    <s v="Completed"/>
    <s v="Mumbai"/>
    <s v="Apparel"/>
    <s v="East"/>
    <s v="May-24"/>
    <x v="2"/>
  </r>
  <r>
    <s v="ORD-01410"/>
    <d v="2024-05-11T00:00:00"/>
    <s v="CUST-0066"/>
    <s v="PROD-059"/>
    <s v="R016"/>
    <n v="10"/>
    <n v="3780"/>
    <n v="5.8"/>
    <n v="35607.599999999999"/>
    <s v="Completed"/>
    <s v="Delhi"/>
    <s v="Sports"/>
    <s v="South"/>
    <s v="May-24"/>
    <x v="2"/>
  </r>
  <r>
    <s v="ORD-01411"/>
    <d v="2024-08-14T00:00:00"/>
    <s v="CUST-0121"/>
    <s v="PROD-003"/>
    <s v="R009"/>
    <n v="7"/>
    <n v="3570"/>
    <n v="26.1"/>
    <n v="18467.61"/>
    <s v="Completed"/>
    <s v="Delhi"/>
    <s v="Electronics"/>
    <s v="South"/>
    <s v="Aug-24"/>
    <x v="0"/>
  </r>
  <r>
    <s v="ORD-01412"/>
    <d v="2024-01-15T00:00:00"/>
    <s v="CUST-0066"/>
    <s v="PROD-044"/>
    <s v="R002"/>
    <n v="2"/>
    <n v="1650"/>
    <n v="3.8"/>
    <n v="3174.6"/>
    <s v="Completed"/>
    <s v="Delhi"/>
    <s v="Beauty"/>
    <s v="North"/>
    <s v="Jan-24"/>
    <x v="1"/>
  </r>
  <r>
    <s v="ORD-01413"/>
    <d v="2024-02-24T00:00:00"/>
    <s v="CUST-0099"/>
    <s v="PROD-049"/>
    <s v="R012"/>
    <n v="2"/>
    <n v="960"/>
    <n v="6.8"/>
    <n v="1789.44"/>
    <s v="Completed"/>
    <s v="Bengaluru"/>
    <s v="Beauty"/>
    <s v="South"/>
    <s v="Feb-24"/>
    <x v="1"/>
  </r>
  <r>
    <s v="ORD-01414"/>
    <d v="2024-03-25T00:00:00"/>
    <s v="CUST-0054"/>
    <s v="PROD-005"/>
    <s v="R006"/>
    <n v="2"/>
    <n v="300"/>
    <n v="2.8"/>
    <n v="583.20000000000005"/>
    <s v="Completed"/>
    <s v="Mumbai"/>
    <s v="Electronics"/>
    <s v="North"/>
    <s v="Mar-24"/>
    <x v="1"/>
  </r>
  <r>
    <s v="ORD-01415"/>
    <d v="2024-09-26T00:00:00"/>
    <s v="CUST-0124"/>
    <s v="PROD-025"/>
    <s v="R027"/>
    <n v="10"/>
    <n v="4060"/>
    <n v="15.1"/>
    <n v="34469.4"/>
    <s v="Completed"/>
    <s v="Pune"/>
    <s v="Grocery"/>
    <s v="West"/>
    <s v="Sep-24"/>
    <x v="0"/>
  </r>
  <r>
    <s v="ORD-01416"/>
    <d v="2024-01-29T00:00:00"/>
    <s v="CUST-0211"/>
    <s v="PROD-001"/>
    <s v="R022"/>
    <n v="6"/>
    <n v="5330"/>
    <n v="2"/>
    <n v="31340.400000000001"/>
    <s v="Completed"/>
    <s v="Bengaluru"/>
    <s v="Electronics"/>
    <s v="East"/>
    <s v="Jan-24"/>
    <x v="1"/>
  </r>
  <r>
    <s v="ORD-01417"/>
    <d v="2024-10-07T00:00:00"/>
    <s v="CUST-0298"/>
    <s v="PROD-031"/>
    <s v="R021"/>
    <n v="9"/>
    <n v="3730"/>
    <n v="24.5"/>
    <n v="25345.35"/>
    <s v="Refunded"/>
    <s v="Delhi"/>
    <s v="Home"/>
    <s v="East"/>
    <s v="Oct-24"/>
    <x v="3"/>
  </r>
  <r>
    <s v="ORD-01418"/>
    <d v="2024-11-15T00:00:00"/>
    <s v="CUST-0164"/>
    <s v="PROD-050"/>
    <s v="R030"/>
    <n v="1"/>
    <n v="6080"/>
    <n v="4.4000000000000004"/>
    <n v="5812.48"/>
    <s v="Cancelled"/>
    <s v="Chennai"/>
    <s v="Beauty"/>
    <s v="West"/>
    <s v="Nov-24"/>
    <x v="3"/>
  </r>
  <r>
    <s v="ORD-01419"/>
    <d v="2024-08-20T00:00:00"/>
    <s v="CUST-0003"/>
    <s v="PROD-015"/>
    <s v="R025"/>
    <n v="5"/>
    <n v="2720"/>
    <n v="9.1999999999999993"/>
    <n v="12348.8"/>
    <s v="Completed"/>
    <s v="Mumbai"/>
    <s v="Apparel"/>
    <s v="West"/>
    <s v="Aug-24"/>
    <x v="0"/>
  </r>
  <r>
    <s v="ORD-01420"/>
    <d v="2024-05-26T00:00:00"/>
    <s v="CUST-0239"/>
    <s v="PROD-011"/>
    <s v="R023"/>
    <n v="1"/>
    <n v="3450"/>
    <n v="15.6"/>
    <n v="2911.8"/>
    <s v="Completed"/>
    <s v="Mumbai"/>
    <s v="Apparel"/>
    <s v="East"/>
    <s v="May-24"/>
    <x v="2"/>
  </r>
  <r>
    <s v="ORD-01421"/>
    <d v="2024-07-11T00:00:00"/>
    <s v="CUST-0116"/>
    <s v="PROD-035"/>
    <s v="R022"/>
    <n v="2"/>
    <n v="1090"/>
    <n v="0.4"/>
    <n v="2171.2800000000002"/>
    <s v="Refunded"/>
    <s v="Bengaluru"/>
    <s v="Home"/>
    <s v="East"/>
    <s v="Jul-24"/>
    <x v="0"/>
  </r>
  <r>
    <s v="ORD-01422"/>
    <d v="2024-12-17T00:00:00"/>
    <s v="CUST-0232"/>
    <s v="PROD-003"/>
    <s v="R017"/>
    <n v="2"/>
    <n v="3570"/>
    <n v="9"/>
    <n v="6497.4"/>
    <s v="Completed"/>
    <s v="Hyderabad"/>
    <s v="Electronics"/>
    <s v="East"/>
    <s v="Dec-24"/>
    <x v="3"/>
  </r>
  <r>
    <s v="ORD-01423"/>
    <d v="2024-05-25T00:00:00"/>
    <s v="CUST-0121"/>
    <s v="PROD-019"/>
    <s v="R014"/>
    <n v="9"/>
    <n v="2480"/>
    <n v="3.6"/>
    <n v="21516.48"/>
    <s v="Pending"/>
    <s v="Delhi"/>
    <s v="Apparel"/>
    <s v="South"/>
    <s v="May-24"/>
    <x v="2"/>
  </r>
  <r>
    <s v="ORD-01424"/>
    <d v="2024-01-12T00:00:00"/>
    <s v="CUST-0178"/>
    <s v="PROD-027"/>
    <s v="R022"/>
    <n v="9"/>
    <n v="3780"/>
    <n v="4.5"/>
    <n v="32489.1"/>
    <s v="Completed"/>
    <s v="Hyderabad"/>
    <s v="Grocery"/>
    <s v="East"/>
    <s v="Jan-24"/>
    <x v="1"/>
  </r>
  <r>
    <s v="ORD-01425"/>
    <d v="2024-12-05T00:00:00"/>
    <s v="CUST-0131"/>
    <s v="PROD-025"/>
    <s v="R010"/>
    <n v="5"/>
    <n v="4060"/>
    <n v="2.7"/>
    <n v="19751.900000000001"/>
    <s v="Completed"/>
    <s v="Delhi"/>
    <s v="Grocery"/>
    <s v="South"/>
    <s v="Dec-24"/>
    <x v="3"/>
  </r>
  <r>
    <s v="ORD-01426"/>
    <d v="2024-09-29T00:00:00"/>
    <s v="CUST-0155"/>
    <s v="PROD-005"/>
    <s v="R002"/>
    <n v="8"/>
    <n v="300"/>
    <n v="19.8"/>
    <n v="1924.8"/>
    <s v="Cancelled"/>
    <s v="Pune"/>
    <s v="Electronics"/>
    <s v="North"/>
    <s v="Sep-24"/>
    <x v="0"/>
  </r>
  <r>
    <s v="ORD-01427"/>
    <d v="2024-06-11T00:00:00"/>
    <s v="CUST-0170"/>
    <s v="PROD-036"/>
    <s v="R002"/>
    <n v="10"/>
    <n v="3250"/>
    <n v="21.3"/>
    <n v="25577.5"/>
    <s v="Cancelled"/>
    <s v="Mumbai"/>
    <s v="Home"/>
    <s v="North"/>
    <s v="Jun-24"/>
    <x v="2"/>
  </r>
  <r>
    <s v="ORD-01428"/>
    <d v="2024-11-20T00:00:00"/>
    <s v="CUST-0180"/>
    <s v="PROD-055"/>
    <s v="R009"/>
    <n v="2"/>
    <n v="2860"/>
    <n v="13.7"/>
    <n v="4936.3599999999997"/>
    <s v="Completed"/>
    <s v="Chennai"/>
    <s v="Sports"/>
    <s v="South"/>
    <s v="Nov-24"/>
    <x v="3"/>
  </r>
  <r>
    <s v="ORD-01429"/>
    <d v="2024-08-19T00:00:00"/>
    <s v="CUST-0066"/>
    <s v="PROD-009"/>
    <s v="R017"/>
    <n v="10"/>
    <n v="1220"/>
    <n v="15.4"/>
    <n v="10321.200000000001"/>
    <s v="Completed"/>
    <s v="Delhi"/>
    <s v="Electronics"/>
    <s v="East"/>
    <s v="Aug-24"/>
    <x v="0"/>
  </r>
  <r>
    <s v="ORD-01430"/>
    <d v="2024-05-27T00:00:00"/>
    <s v="CUST-0267"/>
    <s v="PROD-027"/>
    <s v="R010"/>
    <n v="3"/>
    <n v="3780"/>
    <n v="1.9"/>
    <n v="11124.54"/>
    <s v="Completed"/>
    <s v="Hyderabad"/>
    <s v="Grocery"/>
    <s v="South"/>
    <s v="May-24"/>
    <x v="2"/>
  </r>
  <r>
    <s v="ORD-01431"/>
    <d v="2024-10-14T00:00:00"/>
    <s v="CUST-0034"/>
    <s v="PROD-038"/>
    <s v="R018"/>
    <n v="6"/>
    <n v="5490"/>
    <n v="0.5"/>
    <n v="32775.300000000003"/>
    <s v="Pending"/>
    <s v="Delhi"/>
    <s v="Home"/>
    <s v="East"/>
    <s v="Oct-24"/>
    <x v="3"/>
  </r>
  <r>
    <s v="ORD-01432"/>
    <d v="2024-07-22T00:00:00"/>
    <s v="CUST-0029"/>
    <s v="PROD-022"/>
    <s v="R029"/>
    <n v="6"/>
    <n v="2270"/>
    <n v="21.5"/>
    <n v="10691.7"/>
    <s v="Completed"/>
    <s v="Chennai"/>
    <s v="Grocery"/>
    <s v="West"/>
    <s v="Jul-24"/>
    <x v="0"/>
  </r>
  <r>
    <s v="ORD-01433"/>
    <d v="2024-11-04T00:00:00"/>
    <s v="CUST-0224"/>
    <s v="PROD-029"/>
    <s v="R023"/>
    <n v="7"/>
    <n v="2210"/>
    <n v="10.3"/>
    <n v="13876.59"/>
    <s v="Completed"/>
    <s v="Chennai"/>
    <s v="Grocery"/>
    <s v="East"/>
    <s v="Nov-24"/>
    <x v="3"/>
  </r>
  <r>
    <s v="ORD-01434"/>
    <d v="2024-11-09T00:00:00"/>
    <s v="CUST-9889"/>
    <s v="PROD-035"/>
    <s v="R009"/>
    <n v="8"/>
    <n v="1090"/>
    <n v="21.7"/>
    <n v="6827.76"/>
    <s v="Completed"/>
    <s v="Pune"/>
    <s v="Home"/>
    <s v="South"/>
    <s v="Nov-24"/>
    <x v="3"/>
  </r>
  <r>
    <s v="ORD-01435"/>
    <d v="2024-11-02T00:00:00"/>
    <s v="CUST-0130"/>
    <s v="PROD-018"/>
    <s v="R002"/>
    <n v="5"/>
    <n v="3560"/>
    <n v="19.399999999999999"/>
    <n v="14346.8"/>
    <s v="Pending"/>
    <s v="Bengaluru"/>
    <s v="Apparel"/>
    <s v="North"/>
    <s v="Nov-24"/>
    <x v="3"/>
  </r>
  <r>
    <s v="ORD-01436"/>
    <d v="2024-06-09T00:00:00"/>
    <s v="CUST-0060"/>
    <s v="PROD-054"/>
    <s v="R028"/>
    <n v="7"/>
    <n v="1010"/>
    <n v="28.2"/>
    <n v="5076.26"/>
    <s v="Completed"/>
    <s v="Pune"/>
    <s v="Sports"/>
    <s v="West"/>
    <s v="Jun-24"/>
    <x v="2"/>
  </r>
  <r>
    <s v="ORD-01437"/>
    <d v="2024-06-27T00:00:00"/>
    <s v="CUST-0299"/>
    <s v="PROD-033"/>
    <s v="R015"/>
    <n v="2"/>
    <n v="2030"/>
    <n v="27.3"/>
    <n v="2951.62"/>
    <s v="Refunded"/>
    <s v="Mumbai"/>
    <s v="Home"/>
    <s v="South"/>
    <s v="Jun-24"/>
    <x v="2"/>
  </r>
  <r>
    <s v="ORD-01438"/>
    <d v="2024-02-28T00:00:00"/>
    <s v="CUST-0013"/>
    <s v="PROD-001"/>
    <s v="R012"/>
    <n v="6"/>
    <n v="5330"/>
    <n v="0.6"/>
    <n v="31788.12"/>
    <s v="Completed"/>
    <s v="Delhi"/>
    <s v="Electronics"/>
    <s v="South"/>
    <s v="Feb-24"/>
    <x v="1"/>
  </r>
  <r>
    <s v="ORD-01439"/>
    <d v="2024-08-10T00:00:00"/>
    <s v="CUST-0193"/>
    <s v="PROD-010"/>
    <s v="R007"/>
    <n v="2"/>
    <n v="2640"/>
    <n v="26"/>
    <n v="3907.2"/>
    <s v="Pending"/>
    <s v="Bengaluru"/>
    <s v="Electronics"/>
    <s v="North"/>
    <s v="Aug-24"/>
    <x v="0"/>
  </r>
  <r>
    <s v="ORD-01440"/>
    <d v="2024-06-04T00:00:00"/>
    <s v="CUST-0170"/>
    <s v="PROD-008"/>
    <s v="R012"/>
    <n v="8"/>
    <n v="2660"/>
    <n v="2.9"/>
    <n v="20662.88"/>
    <s v="Completed"/>
    <s v="Mumbai"/>
    <s v="Electronics"/>
    <s v="South"/>
    <s v="Jun-24"/>
    <x v="2"/>
  </r>
  <r>
    <s v="ORD-01441"/>
    <d v="2024-04-08T00:00:00"/>
    <s v="CUST-0063"/>
    <s v="PROD-036"/>
    <s v="R023"/>
    <n v="6"/>
    <n v="3250"/>
    <n v="11.1"/>
    <n v="17335.5"/>
    <s v="Completed"/>
    <s v="Mumbai"/>
    <s v="Home"/>
    <s v="East"/>
    <s v="Apr-24"/>
    <x v="2"/>
  </r>
  <r>
    <s v="ORD-01442"/>
    <d v="2024-01-16T00:00:00"/>
    <s v="CUST-0168"/>
    <s v="PROD-029"/>
    <s v="R004"/>
    <n v="1"/>
    <n v="2210"/>
    <n v="3.5"/>
    <n v="2132.65"/>
    <s v="Completed"/>
    <s v="Pune"/>
    <s v="Grocery"/>
    <s v="North"/>
    <s v="Jan-24"/>
    <x v="1"/>
  </r>
  <r>
    <s v="ORD-01443"/>
    <d v="2024-05-20T00:00:00"/>
    <s v="CUST-0124"/>
    <s v="PROD-032"/>
    <s v="R019"/>
    <n v="9"/>
    <n v="370"/>
    <n v="12.4"/>
    <n v="2917.08"/>
    <s v="Completed"/>
    <s v="Pune"/>
    <s v="Home"/>
    <s v="East"/>
    <s v="May-24"/>
    <x v="2"/>
  </r>
  <r>
    <s v="ORD-01444"/>
    <d v="2024-06-10T00:00:00"/>
    <s v="CUST-0138"/>
    <s v="PROD-059"/>
    <s v="R022"/>
    <n v="3"/>
    <n v="3780"/>
    <n v="8.5"/>
    <n v="10376.1"/>
    <s v="Pending"/>
    <s v="Chennai"/>
    <s v="Sports"/>
    <s v="East"/>
    <s v="Jun-24"/>
    <x v="2"/>
  </r>
  <r>
    <s v="ORD-01445"/>
    <d v="2024-04-15T00:00:00"/>
    <s v="CUST-0146"/>
    <s v="PROD-054"/>
    <s v="R002"/>
    <n v="2"/>
    <n v="1010"/>
    <n v="2.7"/>
    <n v="1965.46"/>
    <s v="Completed"/>
    <s v="Hyderabad"/>
    <s v="Sports"/>
    <s v="North"/>
    <s v="Apr-24"/>
    <x v="2"/>
  </r>
  <r>
    <s v="ORD-01446"/>
    <d v="2024-12-13T00:00:00"/>
    <s v="CUST-0244"/>
    <s v="PROD-020"/>
    <s v="R012"/>
    <n v="2"/>
    <n v="820"/>
    <n v="13.2"/>
    <n v="1423.52"/>
    <s v="Pending"/>
    <s v="Bengaluru"/>
    <s v="Apparel"/>
    <s v="South"/>
    <s v="Dec-24"/>
    <x v="3"/>
  </r>
  <r>
    <s v="ORD-01447"/>
    <d v="2024-07-09T00:00:00"/>
    <s v="CUST-0291"/>
    <s v="PROD-028"/>
    <s v="R012"/>
    <n v="1"/>
    <n v="3660"/>
    <n v="14"/>
    <n v="3147.6"/>
    <s v="Refunded"/>
    <s v="Pune"/>
    <s v="Grocery"/>
    <s v="South"/>
    <s v="Jul-24"/>
    <x v="0"/>
  </r>
  <r>
    <s v="ORD-01448"/>
    <d v="2024-06-04T00:00:00"/>
    <s v="CUST-0222"/>
    <s v="PROD-022"/>
    <s v="R017"/>
    <n v="6"/>
    <n v="2270"/>
    <n v="16"/>
    <n v="11440.8"/>
    <s v="Completed"/>
    <s v="Chennai"/>
    <s v="Grocery"/>
    <s v="East"/>
    <s v="Jun-24"/>
    <x v="2"/>
  </r>
  <r>
    <s v="ORD-01449"/>
    <d v="2024-11-02T00:00:00"/>
    <s v="CUST-0137"/>
    <s v="PROD-049"/>
    <s v="R019"/>
    <n v="7"/>
    <n v="960"/>
    <n v="28.8"/>
    <n v="4784.6400000000003"/>
    <s v="Refunded"/>
    <s v="Mumbai"/>
    <s v="Beauty"/>
    <s v="East"/>
    <s v="Nov-24"/>
    <x v="3"/>
  </r>
  <r>
    <s v="ORD-01450"/>
    <d v="2024-12-19T00:00:00"/>
    <s v="CUST-0150"/>
    <s v="PROD-033"/>
    <s v="R025"/>
    <n v="9"/>
    <n v="2030"/>
    <n v="3.4"/>
    <n v="17648.82"/>
    <s v="Completed"/>
    <s v="Pune"/>
    <s v="Home"/>
    <s v="West"/>
    <s v="Dec-24"/>
    <x v="3"/>
  </r>
  <r>
    <s v="ORD-01451"/>
    <d v="2024-01-08T00:00:00"/>
    <s v="CUST-0058"/>
    <s v="PROD-023"/>
    <s v="R005"/>
    <n v="6"/>
    <n v="2380"/>
    <n v="13.2"/>
    <n v="12395.04"/>
    <s v="Completed"/>
    <s v="Bengaluru"/>
    <s v="Grocery"/>
    <s v="North"/>
    <s v="Jan-24"/>
    <x v="1"/>
  </r>
  <r>
    <s v="ORD-01452"/>
    <d v="2024-01-17T00:00:00"/>
    <s v="CUST-0187"/>
    <s v="PROD-047"/>
    <s v="R009"/>
    <n v="10"/>
    <n v="3450"/>
    <n v="8.6999999999999993"/>
    <n v="31498.5"/>
    <s v="Completed"/>
    <s v="Chennai"/>
    <s v="Beauty"/>
    <s v="South"/>
    <s v="Jan-24"/>
    <x v="1"/>
  </r>
  <r>
    <s v="ORD-01453"/>
    <d v="2024-07-14T00:00:00"/>
    <s v="CUST-0116"/>
    <s v="PROD-049"/>
    <s v="R021"/>
    <n v="6"/>
    <n v="960"/>
    <n v="20.6"/>
    <n v="4573.4399999999996"/>
    <s v="Pending"/>
    <s v="Bengaluru"/>
    <s v="Beauty"/>
    <s v="East"/>
    <s v="Jul-24"/>
    <x v="0"/>
  </r>
  <r>
    <s v="ORD-01454"/>
    <d v="2024-02-19T00:00:00"/>
    <s v="CUST-0290"/>
    <s v="PROD-018"/>
    <s v="R013"/>
    <n v="10"/>
    <n v="3560"/>
    <n v="1.4"/>
    <n v="35101.599999999999"/>
    <s v="Pending"/>
    <s v="Delhi"/>
    <s v="Apparel"/>
    <s v="South"/>
    <s v="Feb-24"/>
    <x v="1"/>
  </r>
  <r>
    <s v="ORD-01455"/>
    <d v="2024-03-03T00:00:00"/>
    <s v="CUST-0053"/>
    <s v="PROD-015"/>
    <s v="R014"/>
    <n v="4"/>
    <n v="2720"/>
    <n v="19.399999999999999"/>
    <n v="8769.2800000000007"/>
    <s v="Refunded"/>
    <s v="Delhi"/>
    <s v="Apparel"/>
    <s v="South"/>
    <s v="Mar-24"/>
    <x v="1"/>
  </r>
  <r>
    <s v="ORD-01456"/>
    <d v="2024-06-15T00:00:00"/>
    <s v="CUST-0044"/>
    <s v="PROD-009"/>
    <s v="R029"/>
    <n v="5"/>
    <n v="1220"/>
    <n v="15.6"/>
    <n v="5148.3999999999996"/>
    <s v="Completed"/>
    <s v="Hyderabad"/>
    <s v="Electronics"/>
    <s v="West"/>
    <s v="Jun-24"/>
    <x v="2"/>
  </r>
  <r>
    <s v="ORD-01457"/>
    <d v="2024-03-13T00:00:00"/>
    <s v="CUST-0267"/>
    <s v="PROD-035"/>
    <s v="R026"/>
    <n v="5"/>
    <n v="1090"/>
    <n v="15"/>
    <n v="4632.5"/>
    <s v="Completed"/>
    <s v="Hyderabad"/>
    <s v="Home"/>
    <s v="West"/>
    <s v="Mar-24"/>
    <x v="1"/>
  </r>
  <r>
    <s v="ORD-01458"/>
    <d v="2024-11-22T00:00:00"/>
    <s v="CUST-0179"/>
    <s v="PROD-032"/>
    <s v="R029"/>
    <n v="9"/>
    <n v="370"/>
    <n v="25.4"/>
    <n v="2484.1799999999998"/>
    <s v="Completed"/>
    <s v="Mumbai"/>
    <s v="Home"/>
    <s v="West"/>
    <s v="Nov-24"/>
    <x v="3"/>
  </r>
  <r>
    <s v="ORD-01459"/>
    <d v="2024-06-13T00:00:00"/>
    <s v="CUST-0089"/>
    <s v="PROD-055"/>
    <s v="R007"/>
    <n v="7"/>
    <n v="2860"/>
    <n v="14"/>
    <n v="17217.2"/>
    <s v="Completed"/>
    <s v="Mumbai"/>
    <s v="Sports"/>
    <s v="North"/>
    <s v="Jun-24"/>
    <x v="2"/>
  </r>
  <r>
    <s v="ORD-01460"/>
    <d v="2024-07-17T00:00:00"/>
    <s v="CUST-0090"/>
    <s v="PROD-029"/>
    <s v="R026"/>
    <n v="1"/>
    <n v="2210"/>
    <n v="1.7"/>
    <n v="2172.4299999999998"/>
    <s v="Completed"/>
    <s v="Bengaluru"/>
    <s v="Grocery"/>
    <s v="West"/>
    <s v="Jul-24"/>
    <x v="0"/>
  </r>
  <r>
    <s v="ORD-01461"/>
    <d v="2024-10-19T00:00:00"/>
    <s v="CUST-0135"/>
    <s v="PROD-030"/>
    <s v="R025"/>
    <n v="3"/>
    <n v="970"/>
    <n v="20.3"/>
    <n v="2319.27"/>
    <s v="Pending"/>
    <s v="Pune"/>
    <s v="Grocery"/>
    <s v="West"/>
    <s v="Oct-24"/>
    <x v="3"/>
  </r>
  <r>
    <s v="ORD-01462"/>
    <d v="2024-07-03T00:00:00"/>
    <s v="CUST-0252"/>
    <s v="PROD-018"/>
    <s v="R021"/>
    <n v="5"/>
    <n v="3560"/>
    <n v="17.100000000000001"/>
    <n v="14756.2"/>
    <s v="Completed"/>
    <s v="Bengaluru"/>
    <s v="Apparel"/>
    <s v="East"/>
    <s v="Jul-24"/>
    <x v="0"/>
  </r>
  <r>
    <s v="ORD-01463"/>
    <d v="2024-04-05T00:00:00"/>
    <s v="CUST-0086"/>
    <s v="PROD-040"/>
    <s v="R023"/>
    <n v="10"/>
    <n v="1080"/>
    <n v="12.8"/>
    <n v="9417.6"/>
    <s v="Completed"/>
    <s v="Hyderabad"/>
    <s v="Home"/>
    <s v="East"/>
    <s v="Apr-24"/>
    <x v="2"/>
  </r>
  <r>
    <s v="ORD-01464"/>
    <d v="2024-02-02T00:00:00"/>
    <s v="CUST-0264"/>
    <s v="PROD-009"/>
    <s v="R011"/>
    <n v="3"/>
    <n v="1220"/>
    <n v="1.9"/>
    <n v="3590.46"/>
    <s v="Completed"/>
    <s v="Pune"/>
    <s v="Electronics"/>
    <s v="South"/>
    <s v="Feb-24"/>
    <x v="1"/>
  </r>
  <r>
    <s v="ORD-01465"/>
    <d v="2024-07-06T00:00:00"/>
    <s v="CUST-9851"/>
    <s v="PROD-031"/>
    <s v="R009"/>
    <n v="1"/>
    <n v="3730"/>
    <n v="14.7"/>
    <n v="3181.69"/>
    <s v="Pending"/>
    <s v="Pune"/>
    <s v="Home"/>
    <s v="South"/>
    <s v="Jul-24"/>
    <x v="0"/>
  </r>
  <r>
    <s v="ORD-01466"/>
    <d v="2024-12-02T00:00:00"/>
    <s v="CUST-0143"/>
    <s v="PROD-007"/>
    <s v="R001"/>
    <n v="3"/>
    <n v="1430"/>
    <n v="13.2"/>
    <n v="3723.72"/>
    <s v="Completed"/>
    <s v="Chennai"/>
    <s v="Electronics"/>
    <s v="North"/>
    <s v="Dec-24"/>
    <x v="3"/>
  </r>
  <r>
    <s v="ORD-01467"/>
    <d v="2024-05-01T00:00:00"/>
    <s v="CUST-0086"/>
    <s v="PROD-050"/>
    <s v="R018"/>
    <n v="2"/>
    <n v="6080"/>
    <n v="21.8"/>
    <n v="9509.1200000000008"/>
    <s v="Cancelled"/>
    <s v="Hyderabad"/>
    <s v="Beauty"/>
    <s v="East"/>
    <s v="May-24"/>
    <x v="2"/>
  </r>
  <r>
    <s v="ORD-01468"/>
    <d v="2024-02-21T00:00:00"/>
    <s v="CUST-0196"/>
    <s v="PROD-048"/>
    <s v="R015"/>
    <n v="9"/>
    <n v="5100"/>
    <n v="29.3"/>
    <n v="32451.3"/>
    <s v="Completed"/>
    <s v="Chennai"/>
    <s v="Beauty"/>
    <s v="South"/>
    <s v="Feb-24"/>
    <x v="1"/>
  </r>
  <r>
    <s v="ORD-01469"/>
    <d v="2024-05-12T00:00:00"/>
    <s v="CUST-0089"/>
    <s v="PROD-011"/>
    <s v="R014"/>
    <n v="5"/>
    <n v="3450"/>
    <n v="5.3"/>
    <n v="16335.75"/>
    <s v="Completed"/>
    <s v="Mumbai"/>
    <s v="Apparel"/>
    <s v="South"/>
    <s v="May-24"/>
    <x v="2"/>
  </r>
  <r>
    <s v="ORD-01470"/>
    <d v="2024-12-06T00:00:00"/>
    <s v="CUST-0149"/>
    <s v="PROD-003"/>
    <s v="R002"/>
    <n v="6"/>
    <n v="3570"/>
    <n v="17.3"/>
    <n v="17714.34"/>
    <s v="Completed"/>
    <s v="Hyderabad"/>
    <s v="Electronics"/>
    <s v="North"/>
    <s v="Dec-24"/>
    <x v="3"/>
  </r>
  <r>
    <s v="ORD-01471"/>
    <d v="2024-06-01T00:00:00"/>
    <s v="CUST-0161"/>
    <s v="PROD-031"/>
    <s v="R018"/>
    <n v="6"/>
    <n v="3730"/>
    <n v="1"/>
    <n v="22156.2"/>
    <s v="Completed"/>
    <s v="Chennai"/>
    <s v="Home"/>
    <s v="East"/>
    <s v="Jun-24"/>
    <x v="2"/>
  </r>
  <r>
    <s v="ORD-01472"/>
    <d v="2024-09-10T00:00:00"/>
    <s v="CUST-0022"/>
    <s v="PROD-059"/>
    <s v="R019"/>
    <n v="4"/>
    <n v="3780"/>
    <n v="13.1"/>
    <n v="13139.28"/>
    <s v="Completed"/>
    <s v="Bengaluru"/>
    <s v="Sports"/>
    <s v="East"/>
    <s v="Sep-24"/>
    <x v="0"/>
  </r>
  <r>
    <s v="ORD-01473"/>
    <d v="2024-08-07T00:00:00"/>
    <s v="CUST-0169"/>
    <s v="PROD-017"/>
    <s v="R011"/>
    <n v="1"/>
    <n v="2510"/>
    <n v="27.8"/>
    <n v="1812.22"/>
    <s v="Cancelled"/>
    <s v="Bengaluru"/>
    <s v="Apparel"/>
    <s v="South"/>
    <s v="Aug-24"/>
    <x v="0"/>
  </r>
  <r>
    <s v="ORD-01474"/>
    <d v="2024-10-12T00:00:00"/>
    <s v="CUST-0290"/>
    <s v="PROD-037"/>
    <s v="R007"/>
    <n v="9"/>
    <n v="660"/>
    <n v="29.3"/>
    <n v="4199.58"/>
    <s v="Completed"/>
    <s v="Delhi"/>
    <s v="Home"/>
    <s v="North"/>
    <s v="Oct-24"/>
    <x v="3"/>
  </r>
  <r>
    <s v="ORD-01475"/>
    <d v="2024-08-03T00:00:00"/>
    <s v="CUST-0156"/>
    <s v="PROD-013"/>
    <s v="R030"/>
    <n v="7"/>
    <n v="3640"/>
    <n v="11.6"/>
    <n v="22524.32"/>
    <s v="Completed"/>
    <s v="Mumbai"/>
    <s v="Apparel"/>
    <s v="West"/>
    <s v="Aug-24"/>
    <x v="0"/>
  </r>
  <r>
    <s v="ORD-01476"/>
    <d v="2024-05-03T00:00:00"/>
    <s v="CUST-0005"/>
    <s v="PROD-052"/>
    <s v="R019"/>
    <n v="8"/>
    <n v="5410"/>
    <n v="25.6"/>
    <n v="32200.32"/>
    <s v="Completed"/>
    <s v="Chennai"/>
    <s v="Sports"/>
    <s v="East"/>
    <s v="May-24"/>
    <x v="2"/>
  </r>
  <r>
    <s v="ORD-01477"/>
    <d v="2024-02-20T00:00:00"/>
    <s v="CUST-0206"/>
    <s v="PROD-058"/>
    <s v="R008"/>
    <n v="4"/>
    <n v="2400"/>
    <n v="10.4"/>
    <n v="8601.6"/>
    <s v="Completed"/>
    <s v="Mumbai"/>
    <s v="Sports"/>
    <s v="North"/>
    <s v="Feb-24"/>
    <x v="1"/>
  </r>
  <r>
    <s v="ORD-01478"/>
    <d v="2024-02-11T00:00:00"/>
    <s v="CUST-0240"/>
    <s v="PROD-038"/>
    <s v="R028"/>
    <n v="2"/>
    <n v="5490"/>
    <n v="5.4"/>
    <n v="10387.08"/>
    <s v="Completed"/>
    <s v="Chennai"/>
    <s v="Home"/>
    <s v="West"/>
    <s v="Feb-24"/>
    <x v="1"/>
  </r>
  <r>
    <s v="ORD-01479"/>
    <d v="2024-08-12T00:00:00"/>
    <s v="CUST-0109"/>
    <s v="PROD-041"/>
    <s v="R016"/>
    <n v="6"/>
    <n v="1540"/>
    <n v="0.6"/>
    <n v="9184.56"/>
    <s v="Completed"/>
    <s v="Pune"/>
    <s v="Beauty"/>
    <s v="South"/>
    <s v="Aug-24"/>
    <x v="0"/>
  </r>
  <r>
    <s v="ORD-01480"/>
    <d v="2024-02-21T00:00:00"/>
    <s v="CUST-0201"/>
    <s v="PROD-001"/>
    <s v="R001"/>
    <n v="3"/>
    <n v="5330"/>
    <n v="1"/>
    <n v="15830.1"/>
    <s v="Pending"/>
    <s v="Hyderabad"/>
    <s v="Electronics"/>
    <s v="North"/>
    <s v="Feb-24"/>
    <x v="1"/>
  </r>
  <r>
    <s v="ORD-01481"/>
    <d v="2024-08-18T00:00:00"/>
    <s v="CUST-0100"/>
    <s v="PROD-055"/>
    <s v="R012"/>
    <n v="6"/>
    <n v="2860"/>
    <n v="13.3"/>
    <n v="14877.72"/>
    <s v="Completed"/>
    <s v="Hyderabad"/>
    <s v="Sports"/>
    <s v="South"/>
    <s v="Aug-24"/>
    <x v="0"/>
  </r>
  <r>
    <s v="ORD-01482"/>
    <d v="2024-01-14T00:00:00"/>
    <s v="CUST-0262"/>
    <s v="PROD-046"/>
    <s v="R006"/>
    <n v="3"/>
    <n v="4880"/>
    <n v="12.1"/>
    <n v="12868.56"/>
    <s v="Completed"/>
    <s v="Mumbai"/>
    <s v="Beauty"/>
    <s v="North"/>
    <s v="Jan-24"/>
    <x v="1"/>
  </r>
  <r>
    <s v="ORD-01483"/>
    <d v="2024-03-02T00:00:00"/>
    <s v="CUST-0067"/>
    <s v="PROD-017"/>
    <s v="R005"/>
    <n v="5"/>
    <n v="2510"/>
    <n v="2.9"/>
    <n v="12186.05"/>
    <s v="Pending"/>
    <s v="Delhi"/>
    <s v="Apparel"/>
    <s v="North"/>
    <s v="Mar-24"/>
    <x v="1"/>
  </r>
  <r>
    <s v="ORD-01484"/>
    <d v="2024-08-21T00:00:00"/>
    <s v="CUST-9844"/>
    <s v="PROD-006"/>
    <s v="R020"/>
    <n v="9"/>
    <n v="3970"/>
    <n v="28"/>
    <n v="25725.599999999999"/>
    <s v="Completed"/>
    <s v="Pune"/>
    <s v="Electronics"/>
    <s v="East"/>
    <s v="Aug-24"/>
    <x v="0"/>
  </r>
  <r>
    <s v="ORD-01485"/>
    <d v="2024-10-28T00:00:00"/>
    <s v="CUST-0122"/>
    <s v="PROD-053"/>
    <s v="R027"/>
    <n v="4"/>
    <n v="470"/>
    <n v="19.100000000000001"/>
    <n v="1520.92"/>
    <s v="Pending"/>
    <s v="Mumbai"/>
    <s v="Sports"/>
    <s v="West"/>
    <s v="Oct-24"/>
    <x v="3"/>
  </r>
  <r>
    <s v="ORD-01486"/>
    <d v="2024-09-15T00:00:00"/>
    <s v="CUST-0129"/>
    <s v="PROD-001"/>
    <s v="R025"/>
    <n v="7"/>
    <n v="5330"/>
    <n v="17.2"/>
    <n v="30892.68"/>
    <s v="Cancelled"/>
    <s v="Hyderabad"/>
    <s v="Electronics"/>
    <s v="West"/>
    <s v="Sep-24"/>
    <x v="0"/>
  </r>
  <r>
    <s v="ORD-01487"/>
    <d v="2024-08-07T00:00:00"/>
    <s v="CUST-0056"/>
    <s v="PROD-035"/>
    <s v="R012"/>
    <n v="4"/>
    <n v="1090"/>
    <n v="4.9000000000000004"/>
    <n v="4146.3599999999997"/>
    <s v="Cancelled"/>
    <s v="Bengaluru"/>
    <s v="Home"/>
    <s v="South"/>
    <s v="Aug-24"/>
    <x v="0"/>
  </r>
  <r>
    <s v="ORD-01488"/>
    <d v="2024-06-13T00:00:00"/>
    <s v="CUST-0080"/>
    <s v="PROD-054"/>
    <s v="R009"/>
    <n v="2"/>
    <n v="1010"/>
    <n v="14"/>
    <n v="1737.2"/>
    <s v="Completed"/>
    <s v="Pune"/>
    <s v="Sports"/>
    <s v="South"/>
    <s v="Jun-24"/>
    <x v="2"/>
  </r>
  <r>
    <s v="ORD-01489"/>
    <d v="2024-02-21T00:00:00"/>
    <s v="CUST-0155"/>
    <s v="PROD-004"/>
    <s v="R016"/>
    <n v="9"/>
    <n v="3870"/>
    <n v="8.1999999999999993"/>
    <n v="31973.94"/>
    <s v="Completed"/>
    <s v="Pune"/>
    <s v="Electronics"/>
    <s v="South"/>
    <s v="Feb-24"/>
    <x v="1"/>
  </r>
  <r>
    <s v="ORD-01490"/>
    <d v="2024-07-18T00:00:00"/>
    <s v="CUST-0278"/>
    <s v="PROD-008"/>
    <s v="R013"/>
    <n v="7"/>
    <n v="2660"/>
    <n v="15.9"/>
    <n v="15659.42"/>
    <s v="Completed"/>
    <s v="Hyderabad"/>
    <s v="Electronics"/>
    <s v="South"/>
    <s v="Jul-24"/>
    <x v="0"/>
  </r>
  <r>
    <s v="ORD-01491"/>
    <d v="2024-11-23T00:00:00"/>
    <s v="CUST-0075"/>
    <s v="PROD-007"/>
    <s v="R019"/>
    <n v="4"/>
    <n v="1430"/>
    <n v="25.6"/>
    <n v="4255.68"/>
    <s v="Completed"/>
    <s v="Mumbai"/>
    <s v="Electronics"/>
    <s v="East"/>
    <s v="Nov-24"/>
    <x v="3"/>
  </r>
  <r>
    <s v="ORD-01492"/>
    <d v="2024-03-23T00:00:00"/>
    <s v="CUST-0274"/>
    <s v="PROD-046"/>
    <s v="R023"/>
    <n v="4"/>
    <n v="4880"/>
    <n v="19.399999999999999"/>
    <n v="15733.12"/>
    <s v="Cancelled"/>
    <s v="Bengaluru"/>
    <s v="Beauty"/>
    <s v="East"/>
    <s v="Mar-24"/>
    <x v="1"/>
  </r>
  <r>
    <s v="ORD-01493"/>
    <d v="2024-10-01T00:00:00"/>
    <s v="CUST-0197"/>
    <s v="PROD-060"/>
    <s v="R001"/>
    <n v="2"/>
    <n v="190"/>
    <n v="9"/>
    <n v="345.8"/>
    <s v="Completed"/>
    <s v="Bengaluru"/>
    <s v="Sports"/>
    <s v="North"/>
    <s v="Oct-24"/>
    <x v="3"/>
  </r>
  <r>
    <s v="ORD-01494"/>
    <d v="2024-05-03T00:00:00"/>
    <s v="CUST-0294"/>
    <s v="PROD-045"/>
    <s v="R019"/>
    <n v="1"/>
    <n v="3020"/>
    <n v="3.6"/>
    <n v="2911.28"/>
    <s v="Refunded"/>
    <s v="Delhi"/>
    <s v="Beauty"/>
    <s v="East"/>
    <s v="May-24"/>
    <x v="2"/>
  </r>
  <r>
    <s v="ORD-01495"/>
    <d v="2024-11-05T00:00:00"/>
    <s v="CUST-0281"/>
    <s v="PROD-046"/>
    <s v="R019"/>
    <n v="2"/>
    <n v="4880"/>
    <n v="2"/>
    <n v="9564.7999999999993"/>
    <s v="Cancelled"/>
    <s v="Bengaluru"/>
    <s v="Beauty"/>
    <s v="East"/>
    <s v="Nov-24"/>
    <x v="3"/>
  </r>
  <r>
    <s v="ORD-01496"/>
    <d v="2024-01-28T00:00:00"/>
    <s v="CUST-0130"/>
    <s v="PROD-058"/>
    <s v="R027"/>
    <n v="4"/>
    <n v="2400"/>
    <n v="11.5"/>
    <n v="8496"/>
    <s v="Completed"/>
    <s v="Bengaluru"/>
    <s v="Sports"/>
    <s v="West"/>
    <s v="Jan-24"/>
    <x v="1"/>
  </r>
  <r>
    <s v="ORD-01497"/>
    <d v="2024-03-06T00:00:00"/>
    <s v="CUST-0097"/>
    <s v="PROD-050"/>
    <s v="R002"/>
    <n v="2"/>
    <n v="6080"/>
    <n v="0.5"/>
    <n v="12099.2"/>
    <s v="Cancelled"/>
    <s v="Mumbai"/>
    <s v="Beauty"/>
    <s v="North"/>
    <s v="Mar-24"/>
    <x v="1"/>
  </r>
  <r>
    <s v="ORD-01498"/>
    <d v="2024-04-02T00:00:00"/>
    <s v="CUST-0148"/>
    <s v="PROD-023"/>
    <s v="R023"/>
    <n v="7"/>
    <n v="2380"/>
    <n v="12.3"/>
    <n v="14610.82"/>
    <s v="Completed"/>
    <s v="Chennai"/>
    <s v="Grocery"/>
    <s v="East"/>
    <s v="Apr-24"/>
    <x v="2"/>
  </r>
  <r>
    <s v="ORD-01499"/>
    <d v="2024-08-05T00:00:00"/>
    <s v="CUST-0102"/>
    <s v="PROD-041"/>
    <s v="R001"/>
    <n v="10"/>
    <n v="1540"/>
    <n v="20.6"/>
    <n v="12227.6"/>
    <s v="Completed"/>
    <s v="Chennai"/>
    <s v="Beauty"/>
    <s v="North"/>
    <s v="Aug-24"/>
    <x v="0"/>
  </r>
  <r>
    <s v="ORD-01500"/>
    <d v="2024-08-16T00:00:00"/>
    <s v="CUST-0265"/>
    <s v="PROD-004"/>
    <s v="R028"/>
    <n v="7"/>
    <n v="3870"/>
    <n v="6.1"/>
    <n v="25437.51"/>
    <s v="Completed"/>
    <s v="Chennai"/>
    <s v="Electronics"/>
    <s v="West"/>
    <s v="Aug-24"/>
    <x v="0"/>
  </r>
  <r>
    <s v="ORD-01501"/>
    <d v="2024-04-01T00:00:00"/>
    <s v="CUST-0073"/>
    <s v="PROD-032"/>
    <s v="R021"/>
    <n v="3"/>
    <n v="370"/>
    <n v="13.7"/>
    <n v="957.93"/>
    <s v="Completed"/>
    <s v="Pune"/>
    <s v="Home"/>
    <s v="East"/>
    <s v="Apr-24"/>
    <x v="2"/>
  </r>
  <r>
    <s v="ORD-01502"/>
    <d v="2024-02-06T00:00:00"/>
    <s v="CUST-0070"/>
    <s v="PROD-060"/>
    <s v="R027"/>
    <n v="8"/>
    <n v="190"/>
    <n v="0.2"/>
    <n v="1516.96"/>
    <s v="Completed"/>
    <s v="Mumbai"/>
    <s v="Sports"/>
    <s v="West"/>
    <s v="Feb-24"/>
    <x v="1"/>
  </r>
  <r>
    <s v="ORD-01503"/>
    <d v="2024-07-28T00:00:00"/>
    <s v="CUST-0202"/>
    <s v="PROD-007"/>
    <s v="R011"/>
    <n v="6"/>
    <n v="1430"/>
    <n v="0.1"/>
    <n v="8571.42"/>
    <s v="Completed"/>
    <s v="Chennai"/>
    <s v="Electronics"/>
    <s v="South"/>
    <s v="Jul-24"/>
    <x v="0"/>
  </r>
  <r>
    <s v="ORD-01504"/>
    <d v="2024-02-24T00:00:00"/>
    <s v="CUST-0240"/>
    <s v="PROD-053"/>
    <s v="R020"/>
    <n v="4"/>
    <n v="470"/>
    <n v="3"/>
    <n v="1823.6"/>
    <s v="Completed"/>
    <s v="Chennai"/>
    <s v="Sports"/>
    <s v="East"/>
    <s v="Feb-24"/>
    <x v="1"/>
  </r>
  <r>
    <s v="ORD-01505"/>
    <d v="2024-06-03T00:00:00"/>
    <s v="CUST-0163"/>
    <s v="PROD-018"/>
    <s v="R004"/>
    <n v="4"/>
    <n v="3560"/>
    <n v="1.1000000000000001"/>
    <n v="14083.36"/>
    <s v="Completed"/>
    <s v="Pune"/>
    <s v="Apparel"/>
    <s v="North"/>
    <s v="Jun-24"/>
    <x v="2"/>
  </r>
  <r>
    <s v="ORD-01506"/>
    <d v="2024-08-17T00:00:00"/>
    <s v="CUST-0238"/>
    <s v="PROD-046"/>
    <s v="R012"/>
    <n v="5"/>
    <n v="4880"/>
    <n v="17"/>
    <n v="20252"/>
    <s v="Completed"/>
    <s v="Delhi"/>
    <s v="Beauty"/>
    <s v="South"/>
    <s v="Aug-24"/>
    <x v="0"/>
  </r>
  <r>
    <s v="ORD-01507"/>
    <d v="2024-07-10T00:00:00"/>
    <s v="CUST-0196"/>
    <s v="PROD-003"/>
    <s v="R009"/>
    <n v="9"/>
    <n v="3570"/>
    <n v="12"/>
    <n v="28274.400000000001"/>
    <s v="Completed"/>
    <s v="Chennai"/>
    <s v="Electronics"/>
    <s v="South"/>
    <s v="Jul-24"/>
    <x v="0"/>
  </r>
  <r>
    <s v="ORD-01508"/>
    <d v="2024-03-19T00:00:00"/>
    <s v="CUST-0220"/>
    <s v="PROD-051"/>
    <s v="R025"/>
    <n v="6"/>
    <n v="3450"/>
    <n v="22.7"/>
    <n v="16001.1"/>
    <s v="Cancelled"/>
    <s v="Chennai"/>
    <s v="Sports"/>
    <s v="West"/>
    <s v="Mar-24"/>
    <x v="1"/>
  </r>
  <r>
    <s v="ORD-01509"/>
    <d v="2024-06-13T00:00:00"/>
    <s v="CUST-0142"/>
    <s v="PROD-040"/>
    <s v="R002"/>
    <n v="10"/>
    <n v="1080"/>
    <n v="27.4"/>
    <n v="7840.8"/>
    <s v="Completed"/>
    <s v="Chennai"/>
    <s v="Home"/>
    <s v="North"/>
    <s v="Jun-24"/>
    <x v="2"/>
  </r>
  <r>
    <s v="ORD-01510"/>
    <d v="2024-11-09T00:00:00"/>
    <s v="CUST-0217"/>
    <s v="PROD-041"/>
    <s v="R025"/>
    <n v="6"/>
    <n v="1540"/>
    <n v="17.100000000000001"/>
    <n v="7659.96"/>
    <s v="Completed"/>
    <s v="Pune"/>
    <s v="Beauty"/>
    <s v="West"/>
    <s v="Nov-24"/>
    <x v="3"/>
  </r>
  <r>
    <s v="ORD-01511"/>
    <d v="2024-09-21T00:00:00"/>
    <s v="CUST-9582"/>
    <s v="PROD-015"/>
    <s v="R013"/>
    <n v="6"/>
    <n v="2720"/>
    <n v="28.1"/>
    <n v="11734.08"/>
    <s v="Completed"/>
    <s v="Mumbai"/>
    <s v="Apparel"/>
    <s v="South"/>
    <s v="Sep-24"/>
    <x v="0"/>
  </r>
  <r>
    <s v="ORD-01512"/>
    <d v="2024-10-04T00:00:00"/>
    <s v="CUST-0267"/>
    <s v="PROD-034"/>
    <s v="R005"/>
    <n v="2"/>
    <n v="5080"/>
    <n v="11.1"/>
    <n v="9032.24"/>
    <s v="Completed"/>
    <s v="Hyderabad"/>
    <s v="Home"/>
    <s v="North"/>
    <s v="Oct-24"/>
    <x v="3"/>
  </r>
  <r>
    <s v="ORD-01513"/>
    <d v="2024-02-07T00:00:00"/>
    <s v="CUST-9565"/>
    <s v="PROD-016"/>
    <s v="R008"/>
    <n v="5"/>
    <n v="620"/>
    <n v="10.9"/>
    <n v="2762.1"/>
    <s v="Pending"/>
    <s v="Chennai"/>
    <s v="Apparel"/>
    <s v="North"/>
    <s v="Feb-24"/>
    <x v="1"/>
  </r>
  <r>
    <s v="ORD-01514"/>
    <d v="2024-03-26T00:00:00"/>
    <s v="CUST-0051"/>
    <s v="PROD-019"/>
    <s v="R003"/>
    <n v="3"/>
    <n v="2480"/>
    <n v="5"/>
    <n v="7068"/>
    <s v="Completed"/>
    <s v="Pune"/>
    <s v="Apparel"/>
    <s v="North"/>
    <s v="Mar-24"/>
    <x v="1"/>
  </r>
  <r>
    <s v="ORD-01515"/>
    <d v="2024-09-02T00:00:00"/>
    <s v="CUST-0075"/>
    <s v="PROD-054"/>
    <s v="R005"/>
    <n v="9"/>
    <n v="1010"/>
    <n v="21.9"/>
    <n v="7099.29"/>
    <s v="Completed"/>
    <s v="Mumbai"/>
    <s v="Sports"/>
    <s v="North"/>
    <s v="Sep-24"/>
    <x v="0"/>
  </r>
  <r>
    <s v="ORD-01516"/>
    <d v="2024-09-15T00:00:00"/>
    <s v="CUST-0106"/>
    <s v="PROD-040"/>
    <s v="R004"/>
    <n v="2"/>
    <n v="1080"/>
    <n v="8.5"/>
    <n v="1976.4"/>
    <s v="Completed"/>
    <s v="Pune"/>
    <s v="Home"/>
    <s v="North"/>
    <s v="Sep-24"/>
    <x v="0"/>
  </r>
  <r>
    <s v="ORD-01517"/>
    <d v="2024-02-03T00:00:00"/>
    <s v="CUST-0053"/>
    <s v="PROD-053"/>
    <s v="R025"/>
    <n v="5"/>
    <n v="470"/>
    <n v="8"/>
    <n v="2162"/>
    <s v="Completed"/>
    <s v="Delhi"/>
    <s v="Sports"/>
    <s v="West"/>
    <s v="Feb-24"/>
    <x v="1"/>
  </r>
  <r>
    <s v="ORD-01518"/>
    <d v="2024-03-24T00:00:00"/>
    <s v="CUST-0042"/>
    <s v="PROD-006"/>
    <s v="R020"/>
    <n v="9"/>
    <n v="3970"/>
    <n v="18.5"/>
    <n v="29119.95"/>
    <s v="Completed"/>
    <s v="Pune"/>
    <s v="Electronics"/>
    <s v="East"/>
    <s v="Mar-24"/>
    <x v="1"/>
  </r>
  <r>
    <s v="ORD-01519"/>
    <d v="2024-11-18T00:00:00"/>
    <s v="CUST-0120"/>
    <s v="PROD-044"/>
    <s v="R010"/>
    <n v="9"/>
    <n v="1650"/>
    <n v="19.5"/>
    <n v="11954.25"/>
    <s v="Completed"/>
    <s v="Mumbai"/>
    <s v="Beauty"/>
    <s v="South"/>
    <s v="Nov-24"/>
    <x v="3"/>
  </r>
  <r>
    <s v="ORD-01520"/>
    <d v="2024-03-13T00:00:00"/>
    <s v="CUST-0166"/>
    <s v="PROD-043"/>
    <s v="R006"/>
    <n v="9"/>
    <n v="3350"/>
    <n v="4.0999999999999996"/>
    <n v="28913.85"/>
    <s v="Completed"/>
    <s v="Hyderabad"/>
    <s v="Beauty"/>
    <s v="North"/>
    <s v="Mar-24"/>
    <x v="1"/>
  </r>
  <r>
    <s v="ORD-01521"/>
    <d v="2024-02-20T00:00:00"/>
    <s v="CUST-0175"/>
    <s v="PROD-006"/>
    <s v="R023"/>
    <n v="7"/>
    <n v="3970"/>
    <n v="15.6"/>
    <n v="23454.76"/>
    <s v="Completed"/>
    <s v="Delhi"/>
    <s v="Electronics"/>
    <s v="East"/>
    <s v="Feb-24"/>
    <x v="1"/>
  </r>
  <r>
    <s v="ORD-01522"/>
    <d v="2024-06-11T00:00:00"/>
    <s v="CUST-0001"/>
    <s v="PROD-027"/>
    <s v="R018"/>
    <n v="7"/>
    <n v="3780"/>
    <n v="18.7"/>
    <n v="21511.98"/>
    <s v="Completed"/>
    <s v="Pune"/>
    <s v="Grocery"/>
    <s v="East"/>
    <s v="Jun-24"/>
    <x v="2"/>
  </r>
  <r>
    <s v="ORD-01523"/>
    <d v="2024-11-29T00:00:00"/>
    <s v="CUST-0238"/>
    <s v="PROD-020"/>
    <s v="R013"/>
    <n v="4"/>
    <n v="820"/>
    <n v="18.8"/>
    <n v="2663.36"/>
    <s v="Cancelled"/>
    <s v="Delhi"/>
    <s v="Apparel"/>
    <s v="South"/>
    <s v="Nov-24"/>
    <x v="3"/>
  </r>
  <r>
    <s v="ORD-01524"/>
    <d v="2024-11-04T00:00:00"/>
    <s v="CUST-0279"/>
    <s v="PROD-044"/>
    <s v="R022"/>
    <n v="1"/>
    <n v="1650"/>
    <n v="18.8"/>
    <n v="1339.8"/>
    <s v="Cancelled"/>
    <s v="Mumbai"/>
    <s v="Beauty"/>
    <s v="East"/>
    <s v="Nov-24"/>
    <x v="3"/>
  </r>
  <r>
    <s v="ORD-01525"/>
    <d v="2024-04-15T00:00:00"/>
    <s v="CUST-0042"/>
    <s v="PROD-027"/>
    <s v="R021"/>
    <n v="2"/>
    <n v="3780"/>
    <n v="1"/>
    <n v="7484.4"/>
    <s v="Refunded"/>
    <s v="Pune"/>
    <s v="Grocery"/>
    <s v="East"/>
    <s v="Apr-24"/>
    <x v="2"/>
  </r>
  <r>
    <s v="ORD-01526"/>
    <d v="2024-05-05T00:00:00"/>
    <s v="CUST-0137"/>
    <s v="PROD-029"/>
    <s v="R027"/>
    <n v="5"/>
    <n v="2210"/>
    <n v="16.600000000000001"/>
    <n v="9215.7000000000007"/>
    <s v="Completed"/>
    <s v="Mumbai"/>
    <s v="Grocery"/>
    <s v="West"/>
    <s v="May-24"/>
    <x v="2"/>
  </r>
  <r>
    <s v="ORD-01527"/>
    <d v="2024-07-14T00:00:00"/>
    <s v="CUST-0160"/>
    <s v="PROD-056"/>
    <s v="R010"/>
    <n v="10"/>
    <n v="6940"/>
    <n v="10.6"/>
    <n v="62043.6"/>
    <s v="Completed"/>
    <s v="Hyderabad"/>
    <s v="Sports"/>
    <s v="South"/>
    <s v="Jul-24"/>
    <x v="0"/>
  </r>
  <r>
    <s v="ORD-01528"/>
    <d v="2024-06-11T00:00:00"/>
    <s v="CUST-0102"/>
    <s v="PROD-042"/>
    <s v="R005"/>
    <n v="8"/>
    <n v="2290"/>
    <n v="12.2"/>
    <n v="16084.96"/>
    <s v="Completed"/>
    <s v="Chennai"/>
    <s v="Beauty"/>
    <s v="North"/>
    <s v="Jun-24"/>
    <x v="2"/>
  </r>
  <r>
    <s v="ORD-01529"/>
    <d v="2024-08-25T00:00:00"/>
    <s v="CUST-0133"/>
    <s v="PROD-033"/>
    <s v="R025"/>
    <n v="5"/>
    <n v="2030"/>
    <n v="23.8"/>
    <n v="7734.3"/>
    <s v="Cancelled"/>
    <s v="Chennai"/>
    <s v="Home"/>
    <s v="West"/>
    <s v="Aug-24"/>
    <x v="0"/>
  </r>
  <r>
    <s v="ORD-01530"/>
    <d v="2024-09-11T00:00:00"/>
    <s v="CUST-0080"/>
    <s v="PROD-006"/>
    <s v="R029"/>
    <n v="3"/>
    <n v="3970"/>
    <n v="7.7"/>
    <n v="10992.93"/>
    <s v="Completed"/>
    <s v="Pune"/>
    <s v="Electronics"/>
    <s v="West"/>
    <s v="Sep-24"/>
    <x v="0"/>
  </r>
  <r>
    <s v="ORD-01821"/>
    <d v="2024-07-08T00:00:00"/>
    <s v="CUST-0299"/>
    <s v="PROD-020"/>
    <s v="R016"/>
    <n v="1"/>
    <n v="820"/>
    <n v="5.4"/>
    <n v="775.72"/>
    <s v="Completed"/>
    <s v="Mumbai"/>
    <s v="Apparel"/>
    <s v="South"/>
    <s v="Jul-24"/>
    <x v="0"/>
  </r>
  <r>
    <s v="ORD-01532"/>
    <d v="2024-06-29T00:00:00"/>
    <s v="CUST-0078"/>
    <s v="PROD-004"/>
    <s v="R025"/>
    <n v="3"/>
    <n v="3870"/>
    <n v="1.9"/>
    <n v="11389.41"/>
    <s v="Completed"/>
    <s v="Delhi"/>
    <s v="Electronics"/>
    <s v="West"/>
    <s v="Jun-24"/>
    <x v="2"/>
  </r>
  <r>
    <s v="ORD-01533"/>
    <d v="2024-01-05T00:00:00"/>
    <s v="CUST-0251"/>
    <s v="PROD-030"/>
    <s v="R022"/>
    <n v="6"/>
    <n v="970"/>
    <n v="27.1"/>
    <n v="4242.78"/>
    <s v="Completed"/>
    <s v="Mumbai"/>
    <s v="Grocery"/>
    <s v="East"/>
    <s v="Jan-24"/>
    <x v="1"/>
  </r>
  <r>
    <s v="ORD-01534"/>
    <d v="2024-10-02T00:00:00"/>
    <s v="CUST-0191"/>
    <s v="PROD-046"/>
    <s v="R025"/>
    <n v="1"/>
    <n v="4880"/>
    <n v="26.8"/>
    <n v="3572.16"/>
    <s v="Completed"/>
    <s v="Hyderabad"/>
    <s v="Beauty"/>
    <s v="West"/>
    <s v="Oct-24"/>
    <x v="3"/>
  </r>
  <r>
    <s v="ORD-01535"/>
    <d v="2024-02-15T00:00:00"/>
    <s v="CUST-0130"/>
    <s v="PROD-022"/>
    <s v="R023"/>
    <n v="1"/>
    <n v="2270"/>
    <n v="22.2"/>
    <n v="1766.06"/>
    <s v="Completed"/>
    <s v="Bengaluru"/>
    <s v="Grocery"/>
    <s v="East"/>
    <s v="Feb-24"/>
    <x v="1"/>
  </r>
  <r>
    <s v="ORD-01536"/>
    <d v="2024-03-25T00:00:00"/>
    <s v="CUST-0056"/>
    <s v="PROD-047"/>
    <s v="R026"/>
    <n v="10"/>
    <n v="3450"/>
    <n v="21.9"/>
    <n v="26944.5"/>
    <s v="Completed"/>
    <s v="Bengaluru"/>
    <s v="Beauty"/>
    <s v="West"/>
    <s v="Mar-24"/>
    <x v="1"/>
  </r>
  <r>
    <s v="ORD-01537"/>
    <d v="2024-11-20T00:00:00"/>
    <s v="CUST-0185"/>
    <s v="PROD-022"/>
    <s v="R011"/>
    <n v="3"/>
    <n v="2270"/>
    <n v="19.100000000000001"/>
    <n v="5509.29"/>
    <s v="Cancelled"/>
    <s v="Hyderabad"/>
    <s v="Grocery"/>
    <s v="South"/>
    <s v="Nov-24"/>
    <x v="3"/>
  </r>
  <r>
    <s v="ORD-01538"/>
    <d v="2024-03-09T00:00:00"/>
    <s v="CUST-0195"/>
    <s v="PROD-029"/>
    <s v="R030"/>
    <n v="10"/>
    <n v="2210"/>
    <n v="22.3"/>
    <n v="17171.7"/>
    <s v="Completed"/>
    <s v="Bengaluru"/>
    <s v="Grocery"/>
    <s v="West"/>
    <s v="Mar-24"/>
    <x v="1"/>
  </r>
  <r>
    <s v="ORD-01539"/>
    <d v="2024-06-22T00:00:00"/>
    <s v="CUST-0067"/>
    <s v="PROD-033"/>
    <s v="R011"/>
    <n v="9"/>
    <n v="2030"/>
    <n v="24.8"/>
    <n v="13739.04"/>
    <s v="Completed"/>
    <s v="Delhi"/>
    <s v="Home"/>
    <s v="South"/>
    <s v="Jun-24"/>
    <x v="2"/>
  </r>
  <r>
    <s v="ORD-01540"/>
    <d v="2024-03-29T00:00:00"/>
    <s v="CUST-0149"/>
    <s v="PROD-043"/>
    <s v="R023"/>
    <n v="5"/>
    <n v="3350"/>
    <n v="18.2"/>
    <n v="13701.5"/>
    <s v="Completed"/>
    <s v="Hyderabad"/>
    <s v="Beauty"/>
    <s v="East"/>
    <s v="Mar-24"/>
    <x v="1"/>
  </r>
  <r>
    <s v="ORD-01541"/>
    <d v="2024-03-07T00:00:00"/>
    <s v="CUST-0268"/>
    <s v="PROD-013"/>
    <s v="R008"/>
    <n v="7"/>
    <n v="3640"/>
    <n v="14.4"/>
    <n v="21810.880000000001"/>
    <s v="Completed"/>
    <s v="Chennai"/>
    <s v="Apparel"/>
    <s v="North"/>
    <s v="Mar-24"/>
    <x v="1"/>
  </r>
  <r>
    <s v="ORD-01542"/>
    <d v="2024-04-03T00:00:00"/>
    <s v="CUST-0126"/>
    <s v="PROD-051"/>
    <s v="R018"/>
    <n v="9"/>
    <n v="3450"/>
    <n v="20.100000000000001"/>
    <n v="24808.95"/>
    <s v="Completed"/>
    <s v="Mumbai"/>
    <s v="Sports"/>
    <s v="East"/>
    <s v="Apr-24"/>
    <x v="2"/>
  </r>
  <r>
    <s v="ORD-01543"/>
    <d v="2024-05-31T00:00:00"/>
    <s v="CUST-0017"/>
    <s v="PROD-047"/>
    <s v="R003"/>
    <n v="6"/>
    <n v="3450"/>
    <n v="19.899999999999999"/>
    <n v="16580.7"/>
    <s v="Pending"/>
    <s v="Delhi"/>
    <s v="Beauty"/>
    <s v="North"/>
    <s v="May-24"/>
    <x v="2"/>
  </r>
  <r>
    <s v="ORD-01544"/>
    <d v="2024-11-03T00:00:00"/>
    <s v="CUST-0250"/>
    <s v="PROD-042"/>
    <s v="R022"/>
    <n v="4"/>
    <n v="2290"/>
    <n v="4.8"/>
    <n v="8720.32"/>
    <s v="Pending"/>
    <s v="Delhi"/>
    <s v="Beauty"/>
    <s v="East"/>
    <s v="Nov-24"/>
    <x v="3"/>
  </r>
  <r>
    <s v="ORD-01545"/>
    <d v="2024-07-06T00:00:00"/>
    <s v="CUST-0245"/>
    <s v="PROD-057"/>
    <s v="R010"/>
    <n v="9"/>
    <n v="960"/>
    <n v="2.4"/>
    <n v="8432.64"/>
    <s v="Completed"/>
    <s v="Hyderabad"/>
    <s v="Sports"/>
    <s v="South"/>
    <s v="Jul-24"/>
    <x v="0"/>
  </r>
  <r>
    <s v="ORD-01546"/>
    <d v="2024-07-16T00:00:00"/>
    <s v="CUST-0016"/>
    <s v="PROD-039"/>
    <s v="R025"/>
    <n v="9"/>
    <n v="4610"/>
    <n v="21.3"/>
    <n v="32652.63"/>
    <s v="Completed"/>
    <s v="Delhi"/>
    <s v="Home"/>
    <s v="West"/>
    <s v="Jul-24"/>
    <x v="0"/>
  </r>
  <r>
    <s v="ORD-01547"/>
    <d v="2024-08-10T00:00:00"/>
    <s v="CUST-0063"/>
    <s v="PROD-028"/>
    <s v="R003"/>
    <n v="1"/>
    <n v="3660"/>
    <n v="15.6"/>
    <n v="3089.04"/>
    <s v="Completed"/>
    <s v="Mumbai"/>
    <s v="Grocery"/>
    <s v="North"/>
    <s v="Aug-24"/>
    <x v="0"/>
  </r>
  <r>
    <s v="ORD-01548"/>
    <d v="2024-12-27T00:00:00"/>
    <s v="CUST-0200"/>
    <s v="PROD-008"/>
    <s v="R012"/>
    <n v="5"/>
    <n v="2660"/>
    <n v="20.399999999999999"/>
    <n v="10586.8"/>
    <s v="Completed"/>
    <s v="Hyderabad"/>
    <s v="Electronics"/>
    <s v="South"/>
    <s v="Dec-24"/>
    <x v="3"/>
  </r>
  <r>
    <s v="ORD-01549"/>
    <d v="2024-04-19T00:00:00"/>
    <s v="CUST-0017"/>
    <s v="PROD-041"/>
    <s v="R026"/>
    <n v="8"/>
    <n v="1540"/>
    <n v="0.5"/>
    <n v="12258.4"/>
    <s v="Completed"/>
    <s v="Delhi"/>
    <s v="Beauty"/>
    <s v="West"/>
    <s v="Apr-24"/>
    <x v="2"/>
  </r>
  <r>
    <s v="ORD-01550"/>
    <d v="2024-11-25T00:00:00"/>
    <s v="CUST-0264"/>
    <s v="PROD-006"/>
    <s v="R004"/>
    <n v="4"/>
    <n v="3970"/>
    <n v="22.5"/>
    <n v="12307"/>
    <s v="Completed"/>
    <s v="Pune"/>
    <s v="Electronics"/>
    <s v="North"/>
    <s v="Nov-24"/>
    <x v="3"/>
  </r>
  <r>
    <s v="ORD-01551"/>
    <d v="2024-03-17T00:00:00"/>
    <s v="CUST-0102"/>
    <s v="PROD-059"/>
    <s v="R007"/>
    <n v="8"/>
    <n v="3780"/>
    <n v="3.8"/>
    <n v="29090.880000000001"/>
    <s v="Completed"/>
    <s v="Chennai"/>
    <s v="Sports"/>
    <s v="North"/>
    <s v="Mar-24"/>
    <x v="1"/>
  </r>
  <r>
    <s v="ORD-01552"/>
    <d v="2024-09-15T00:00:00"/>
    <s v="CUST-0092"/>
    <s v="PROD-022"/>
    <s v="R004"/>
    <n v="4"/>
    <n v="2270"/>
    <n v="3.8"/>
    <n v="8734.9599999999991"/>
    <s v="Cancelled"/>
    <s v="Bengaluru"/>
    <s v="Grocery"/>
    <s v="North"/>
    <s v="Sep-24"/>
    <x v="0"/>
  </r>
  <r>
    <s v="ORD-01553"/>
    <d v="2024-01-13T00:00:00"/>
    <s v="CUST-0139"/>
    <s v="PROD-009"/>
    <s v="R009"/>
    <n v="10"/>
    <n v="1220"/>
    <n v="19.5"/>
    <n v="9821"/>
    <s v="Completed"/>
    <s v="Hyderabad"/>
    <s v="Electronics"/>
    <s v="South"/>
    <s v="Jan-24"/>
    <x v="1"/>
  </r>
  <r>
    <s v="ORD-01554"/>
    <d v="2024-01-30T00:00:00"/>
    <s v="CUST-0129"/>
    <s v="PROD-043"/>
    <s v="R015"/>
    <n v="10"/>
    <n v="3350"/>
    <n v="7.8"/>
    <n v="30887"/>
    <s v="Completed"/>
    <s v="Hyderabad"/>
    <s v="Beauty"/>
    <s v="South"/>
    <s v="Jan-24"/>
    <x v="1"/>
  </r>
  <r>
    <s v="ORD-01555"/>
    <d v="2024-03-07T00:00:00"/>
    <s v="CUST-9841"/>
    <s v="PROD-043"/>
    <s v="R030"/>
    <n v="7"/>
    <n v="3350"/>
    <n v="14.5"/>
    <n v="20049.75"/>
    <s v="Completed"/>
    <s v="Bengaluru"/>
    <s v="Beauty"/>
    <s v="West"/>
    <s v="Mar-24"/>
    <x v="1"/>
  </r>
  <r>
    <s v="ORD-01556"/>
    <d v="2024-05-28T00:00:00"/>
    <s v="CUST-0069"/>
    <s v="PROD-038"/>
    <s v="R014"/>
    <n v="6"/>
    <n v="5490"/>
    <n v="8"/>
    <n v="30304.799999999999"/>
    <s v="Completed"/>
    <s v="Chennai"/>
    <s v="Home"/>
    <s v="South"/>
    <s v="May-24"/>
    <x v="2"/>
  </r>
  <r>
    <s v="ORD-01557"/>
    <d v="2024-11-22T00:00:00"/>
    <s v="CUST-0140"/>
    <s v="PROD-055"/>
    <s v="R018"/>
    <n v="3"/>
    <n v="2860"/>
    <n v="19.899999999999999"/>
    <n v="6872.58"/>
    <s v="Completed"/>
    <s v="Hyderabad"/>
    <s v="Sports"/>
    <s v="East"/>
    <s v="Nov-24"/>
    <x v="3"/>
  </r>
  <r>
    <s v="ORD-01558"/>
    <d v="2024-01-04T00:00:00"/>
    <s v="CUST-0138"/>
    <s v="PROD-010"/>
    <s v="R024"/>
    <n v="3"/>
    <n v="2640"/>
    <n v="29.3"/>
    <n v="5599.44"/>
    <s v="Completed"/>
    <s v="Chennai"/>
    <s v="Electronics"/>
    <s v="West"/>
    <s v="Jan-24"/>
    <x v="1"/>
  </r>
  <r>
    <s v="ORD-01559"/>
    <d v="2024-04-02T00:00:00"/>
    <s v="CUST-0277"/>
    <s v="PROD-011"/>
    <s v="R029"/>
    <n v="8"/>
    <n v="3450"/>
    <n v="15.2"/>
    <n v="23404.799999999999"/>
    <s v="Cancelled"/>
    <s v="Chennai"/>
    <s v="Apparel"/>
    <s v="West"/>
    <s v="Apr-24"/>
    <x v="2"/>
  </r>
  <r>
    <s v="ORD-01560"/>
    <d v="2024-02-27T00:00:00"/>
    <s v="CUST-0017"/>
    <s v="PROD-032"/>
    <s v="R025"/>
    <n v="6"/>
    <n v="370"/>
    <n v="7"/>
    <n v="2064.6"/>
    <s v="Completed"/>
    <s v="Delhi"/>
    <s v="Home"/>
    <s v="West"/>
    <s v="Feb-24"/>
    <x v="1"/>
  </r>
  <r>
    <s v="ORD-01561"/>
    <d v="2024-05-27T00:00:00"/>
    <s v="CUST-0170"/>
    <s v="PROD-025"/>
    <s v="R029"/>
    <n v="10"/>
    <n v="4060"/>
    <n v="4.7"/>
    <n v="38691.800000000003"/>
    <s v="Cancelled"/>
    <s v="Mumbai"/>
    <s v="Grocery"/>
    <s v="West"/>
    <s v="May-24"/>
    <x v="2"/>
  </r>
  <r>
    <s v="ORD-01562"/>
    <d v="2024-05-14T00:00:00"/>
    <s v="CUST-0022"/>
    <s v="PROD-004"/>
    <s v="R024"/>
    <n v="1"/>
    <n v="3870"/>
    <n v="18.2"/>
    <n v="3165.66"/>
    <s v="Pending"/>
    <s v="Bengaluru"/>
    <s v="Electronics"/>
    <s v="West"/>
    <s v="May-24"/>
    <x v="2"/>
  </r>
  <r>
    <s v="ORD-01563"/>
    <d v="2024-04-03T00:00:00"/>
    <s v="CUST-0158"/>
    <s v="PROD-001"/>
    <s v="R006"/>
    <n v="1"/>
    <n v="5330"/>
    <n v="3.9"/>
    <n v="5122.13"/>
    <s v="Refunded"/>
    <s v="Pune"/>
    <s v="Electronics"/>
    <s v="North"/>
    <s v="Apr-24"/>
    <x v="2"/>
  </r>
  <r>
    <s v="ORD-01564"/>
    <d v="2024-01-21T00:00:00"/>
    <s v="CUST-0160"/>
    <s v="PROD-032"/>
    <s v="R020"/>
    <n v="8"/>
    <n v="370"/>
    <n v="1.3"/>
    <n v="2921.52"/>
    <s v="Completed"/>
    <s v="Hyderabad"/>
    <s v="Home"/>
    <s v="East"/>
    <s v="Jan-24"/>
    <x v="1"/>
  </r>
  <r>
    <s v="ORD-01565"/>
    <d v="2024-11-26T00:00:00"/>
    <s v="CUST-0009"/>
    <s v="PROD-005"/>
    <s v="R020"/>
    <n v="7"/>
    <n v="300"/>
    <n v="7.1"/>
    <n v="1950.9"/>
    <s v="Completed"/>
    <s v="Mumbai"/>
    <s v="Electronics"/>
    <s v="East"/>
    <s v="Nov-24"/>
    <x v="3"/>
  </r>
  <r>
    <s v="ORD-01566"/>
    <d v="2024-08-04T00:00:00"/>
    <s v="CUST-0151"/>
    <s v="PROD-043"/>
    <s v="R012"/>
    <n v="8"/>
    <n v="3350"/>
    <n v="11.2"/>
    <n v="23798.400000000001"/>
    <s v="Completed"/>
    <s v="Mumbai"/>
    <s v="Beauty"/>
    <s v="South"/>
    <s v="Aug-24"/>
    <x v="0"/>
  </r>
  <r>
    <s v="ORD-01567"/>
    <d v="2024-08-24T00:00:00"/>
    <s v="CUST-0105"/>
    <s v="PROD-056"/>
    <s v="R009"/>
    <n v="6"/>
    <n v="6940"/>
    <n v="0.3"/>
    <n v="41515.08"/>
    <s v="Completed"/>
    <s v="Chennai"/>
    <s v="Sports"/>
    <s v="South"/>
    <s v="Aug-24"/>
    <x v="0"/>
  </r>
  <r>
    <s v="ORD-01568"/>
    <d v="2024-07-10T00:00:00"/>
    <s v="CUST-0292"/>
    <s v="PROD-049"/>
    <s v="R008"/>
    <n v="10"/>
    <n v="960"/>
    <n v="9.3000000000000007"/>
    <n v="8707.2000000000007"/>
    <s v="Cancelled"/>
    <s v="Bengaluru"/>
    <s v="Beauty"/>
    <s v="North"/>
    <s v="Jul-24"/>
    <x v="0"/>
  </r>
  <r>
    <s v="ORD-01569"/>
    <d v="2024-11-29T00:00:00"/>
    <s v="CUST-0076"/>
    <s v="PROD-021"/>
    <s v="R021"/>
    <n v="10"/>
    <n v="2760"/>
    <n v="17.2"/>
    <n v="22852.799999999999"/>
    <s v="Completed"/>
    <s v="Mumbai"/>
    <s v="Grocery"/>
    <s v="East"/>
    <s v="Nov-24"/>
    <x v="3"/>
  </r>
  <r>
    <s v="ORD-01570"/>
    <d v="2024-03-07T00:00:00"/>
    <s v="CUST-0152"/>
    <s v="PROD-024"/>
    <s v="R026"/>
    <n v="4"/>
    <n v="2270"/>
    <n v="26.8"/>
    <n v="6646.56"/>
    <s v="Completed"/>
    <s v="Bengaluru"/>
    <s v="Grocery"/>
    <s v="West"/>
    <s v="Mar-24"/>
    <x v="1"/>
  </r>
  <r>
    <s v="ORD-01571"/>
    <d v="2024-02-20T00:00:00"/>
    <s v="CUST-0146"/>
    <s v="PROD-002"/>
    <s v="R021"/>
    <n v="2"/>
    <n v="2600"/>
    <n v="27"/>
    <n v="3796"/>
    <s v="Completed"/>
    <s v="Hyderabad"/>
    <s v="Electronics"/>
    <s v="East"/>
    <s v="Feb-24"/>
    <x v="1"/>
  </r>
  <r>
    <s v="ORD-01572"/>
    <d v="2024-01-13T00:00:00"/>
    <s v="CUST-0127"/>
    <s v="PROD-003"/>
    <s v="R024"/>
    <n v="4"/>
    <n v="3570"/>
    <n v="12.3"/>
    <n v="12523.56"/>
    <s v="Completed"/>
    <s v="Bengaluru"/>
    <s v="Electronics"/>
    <s v="West"/>
    <s v="Jan-24"/>
    <x v="1"/>
  </r>
  <r>
    <s v="ORD-01573"/>
    <d v="2024-01-25T00:00:00"/>
    <s v="CUST-0173"/>
    <s v="PROD-034"/>
    <s v="R016"/>
    <n v="5"/>
    <n v="5080"/>
    <n v="1.3"/>
    <n v="25069.8"/>
    <s v="Completed"/>
    <s v="Mumbai"/>
    <s v="Home"/>
    <s v="South"/>
    <s v="Jan-24"/>
    <x v="1"/>
  </r>
  <r>
    <s v="ORD-01574"/>
    <d v="2024-02-18T00:00:00"/>
    <s v="CUST-0206"/>
    <s v="PROD-049"/>
    <s v="R016"/>
    <n v="5"/>
    <n v="960"/>
    <n v="25.2"/>
    <n v="3590.4"/>
    <s v="Completed"/>
    <s v="Mumbai"/>
    <s v="Beauty"/>
    <s v="South"/>
    <s v="Feb-24"/>
    <x v="1"/>
  </r>
  <r>
    <s v="ORD-01575"/>
    <d v="2024-11-08T00:00:00"/>
    <s v="CUST-0072"/>
    <s v="PROD-053"/>
    <s v="R010"/>
    <n v="7"/>
    <n v="470"/>
    <n v="21.6"/>
    <n v="2579.36"/>
    <s v="Completed"/>
    <s v="Mumbai"/>
    <s v="Sports"/>
    <s v="South"/>
    <s v="Nov-24"/>
    <x v="3"/>
  </r>
  <r>
    <s v="ORD-01576"/>
    <d v="2024-11-29T00:00:00"/>
    <s v="CUST-0004"/>
    <s v="PROD-009"/>
    <s v="R027"/>
    <n v="4"/>
    <n v="1220"/>
    <n v="12.6"/>
    <n v="4265.12"/>
    <s v="Completed"/>
    <s v="Delhi"/>
    <s v="Electronics"/>
    <s v="West"/>
    <s v="Nov-24"/>
    <x v="3"/>
  </r>
  <r>
    <s v="ORD-01577"/>
    <d v="2024-01-02T00:00:00"/>
    <s v="CUST-0249"/>
    <s v="PROD-054"/>
    <s v="R008"/>
    <n v="4"/>
    <n v="1010"/>
    <n v="11.3"/>
    <n v="3583.48"/>
    <s v="Completed"/>
    <s v="Mumbai"/>
    <s v="Sports"/>
    <s v="North"/>
    <s v="Jan-24"/>
    <x v="1"/>
  </r>
  <r>
    <s v="ORD-01578"/>
    <d v="2024-06-11T00:00:00"/>
    <s v="CUST-0139"/>
    <s v="PROD-028"/>
    <s v="R005"/>
    <n v="4"/>
    <n v="3660"/>
    <n v="7.2"/>
    <n v="13585.92"/>
    <s v="Completed"/>
    <s v="Hyderabad"/>
    <s v="Grocery"/>
    <s v="North"/>
    <s v="Jun-24"/>
    <x v="2"/>
  </r>
  <r>
    <s v="ORD-01579"/>
    <d v="2024-02-23T00:00:00"/>
    <s v="CUST-0019"/>
    <s v="PROD-038"/>
    <s v="R010"/>
    <n v="4"/>
    <n v="5490"/>
    <n v="8"/>
    <n v="20203.2"/>
    <s v="Completed"/>
    <s v="Chennai"/>
    <s v="Home"/>
    <s v="South"/>
    <s v="Feb-24"/>
    <x v="1"/>
  </r>
  <r>
    <s v="ORD-01580"/>
    <d v="2024-12-19T00:00:00"/>
    <s v="CUST-0210"/>
    <s v="PROD-022"/>
    <s v="R003"/>
    <n v="6"/>
    <n v="2270"/>
    <n v="17.100000000000001"/>
    <n v="11290.98"/>
    <s v="Completed"/>
    <s v="Pune"/>
    <s v="Grocery"/>
    <s v="North"/>
    <s v="Dec-24"/>
    <x v="3"/>
  </r>
  <r>
    <s v="ORD-01581"/>
    <d v="2024-10-23T00:00:00"/>
    <s v="CUST-0168"/>
    <s v="PROD-022"/>
    <s v="R015"/>
    <n v="8"/>
    <n v="2270"/>
    <n v="11.9"/>
    <n v="15998.96"/>
    <s v="Pending"/>
    <s v="Pune"/>
    <s v="Grocery"/>
    <s v="South"/>
    <s v="Oct-24"/>
    <x v="3"/>
  </r>
  <r>
    <s v="ORD-01582"/>
    <d v="2024-10-27T00:00:00"/>
    <s v="CUST-0094"/>
    <s v="PROD-002"/>
    <s v="R018"/>
    <n v="6"/>
    <n v="2600"/>
    <n v="5.0999999999999996"/>
    <n v="14804.4"/>
    <s v="Completed"/>
    <s v="Pune"/>
    <s v="Electronics"/>
    <s v="East"/>
    <s v="Oct-24"/>
    <x v="3"/>
  </r>
  <r>
    <s v="ORD-01583"/>
    <d v="2024-04-21T00:00:00"/>
    <s v="CUST-0259"/>
    <s v="PROD-004"/>
    <s v="R027"/>
    <n v="9"/>
    <n v="3870"/>
    <n v="1.8"/>
    <n v="34203.06"/>
    <s v="Cancelled"/>
    <s v="Mumbai"/>
    <s v="Electronics"/>
    <s v="West"/>
    <s v="Apr-24"/>
    <x v="2"/>
  </r>
  <r>
    <s v="ORD-01584"/>
    <d v="2024-06-16T00:00:00"/>
    <s v="CUST-0150"/>
    <s v="PROD-006"/>
    <s v="R006"/>
    <n v="3"/>
    <n v="3970"/>
    <n v="8.1999999999999993"/>
    <n v="10933.38"/>
    <s v="Completed"/>
    <s v="Pune"/>
    <s v="Electronics"/>
    <s v="North"/>
    <s v="Jun-24"/>
    <x v="2"/>
  </r>
  <r>
    <s v="ORD-01585"/>
    <d v="2024-05-26T00:00:00"/>
    <s v="CUST-0040"/>
    <s v="PROD-049"/>
    <s v="R028"/>
    <n v="9"/>
    <n v="960"/>
    <n v="21.7"/>
    <n v="6765.12"/>
    <s v="Cancelled"/>
    <s v="Chennai"/>
    <s v="Beauty"/>
    <s v="West"/>
    <s v="May-24"/>
    <x v="2"/>
  </r>
  <r>
    <s v="ORD-01586"/>
    <d v="2024-12-06T00:00:00"/>
    <s v="CUST-0290"/>
    <s v="PROD-052"/>
    <s v="R025"/>
    <n v="3"/>
    <n v="5410"/>
    <n v="20.3"/>
    <n v="12935.31"/>
    <s v="Completed"/>
    <s v="Delhi"/>
    <s v="Sports"/>
    <s v="West"/>
    <s v="Dec-24"/>
    <x v="3"/>
  </r>
  <r>
    <s v="ORD-01587"/>
    <d v="2024-10-14T00:00:00"/>
    <s v="CUST-0123"/>
    <s v="PROD-011"/>
    <s v="R005"/>
    <n v="3"/>
    <n v="3450"/>
    <n v="11.6"/>
    <n v="9149.4"/>
    <s v="Completed"/>
    <s v="Chennai"/>
    <s v="Apparel"/>
    <s v="North"/>
    <s v="Oct-24"/>
    <x v="3"/>
  </r>
  <r>
    <s v="ORD-01588"/>
    <d v="2024-04-10T00:00:00"/>
    <s v="CUST-0053"/>
    <s v="PROD-045"/>
    <s v="R008"/>
    <n v="2"/>
    <n v="3020"/>
    <n v="20.8"/>
    <n v="4783.68"/>
    <s v="Pending"/>
    <s v="Delhi"/>
    <s v="Beauty"/>
    <s v="North"/>
    <s v="Apr-24"/>
    <x v="2"/>
  </r>
  <r>
    <s v="ORD-01589"/>
    <d v="2024-09-28T00:00:00"/>
    <s v="CUST-0179"/>
    <s v="PROD-060"/>
    <s v="R002"/>
    <n v="3"/>
    <n v="190"/>
    <n v="10.7"/>
    <n v="509.01"/>
    <s v="Completed"/>
    <s v="Mumbai"/>
    <s v="Sports"/>
    <s v="North"/>
    <s v="Sep-24"/>
    <x v="0"/>
  </r>
  <r>
    <s v="ORD-01590"/>
    <d v="2024-01-03T00:00:00"/>
    <s v="CUST-0006"/>
    <s v="PROD-031"/>
    <s v="R012"/>
    <n v="4"/>
    <n v="3730"/>
    <n v="6.9"/>
    <n v="13890.52"/>
    <s v="Completed"/>
    <s v="Pune"/>
    <s v="Home"/>
    <s v="South"/>
    <s v="Jan-24"/>
    <x v="1"/>
  </r>
  <r>
    <s v="ORD-01591"/>
    <d v="2024-07-30T00:00:00"/>
    <s v="CUST-0272"/>
    <s v="PROD-051"/>
    <s v="R025"/>
    <n v="9"/>
    <n v="3450"/>
    <n v="22.2"/>
    <n v="24156.9"/>
    <s v="Cancelled"/>
    <s v="Mumbai"/>
    <s v="Sports"/>
    <s v="West"/>
    <s v="Jul-24"/>
    <x v="0"/>
  </r>
  <r>
    <s v="ORD-01592"/>
    <d v="2024-02-14T00:00:00"/>
    <s v="CUST-0274"/>
    <s v="PROD-006"/>
    <s v="R002"/>
    <n v="3"/>
    <n v="3970"/>
    <n v="6.8"/>
    <n v="11100.12"/>
    <s v="Completed"/>
    <s v="Bengaluru"/>
    <s v="Electronics"/>
    <s v="North"/>
    <s v="Feb-24"/>
    <x v="1"/>
  </r>
  <r>
    <s v="ORD-01593"/>
    <d v="2024-06-19T00:00:00"/>
    <s v="CUST-0262"/>
    <s v="PROD-035"/>
    <s v="R022"/>
    <n v="3"/>
    <n v="1090"/>
    <n v="23.7"/>
    <n v="2495.0100000000002"/>
    <s v="Completed"/>
    <s v="Mumbai"/>
    <s v="Home"/>
    <s v="East"/>
    <s v="Jun-24"/>
    <x v="2"/>
  </r>
  <r>
    <s v="ORD-01594"/>
    <d v="2024-01-09T00:00:00"/>
    <s v="CUST-0087"/>
    <s v="PROD-033"/>
    <s v="R023"/>
    <n v="3"/>
    <n v="2030"/>
    <n v="18.8"/>
    <n v="4945.08"/>
    <s v="Completed"/>
    <s v="Pune"/>
    <s v="Home"/>
    <s v="East"/>
    <s v="Jan-24"/>
    <x v="1"/>
  </r>
  <r>
    <s v="ORD-01595"/>
    <d v="2024-03-16T00:00:00"/>
    <s v="CUST-0198"/>
    <s v="PROD-026"/>
    <s v="R008"/>
    <n v="2"/>
    <n v="4070"/>
    <n v="14.3"/>
    <n v="6975.98"/>
    <s v="Completed"/>
    <s v="Chennai"/>
    <s v="Grocery"/>
    <s v="North"/>
    <s v="Mar-24"/>
    <x v="1"/>
  </r>
  <r>
    <s v="ORD-01596"/>
    <d v="2024-04-28T00:00:00"/>
    <s v="CUST-0065"/>
    <s v="PROD-014"/>
    <s v="R028"/>
    <n v="3"/>
    <n v="3620"/>
    <n v="13.5"/>
    <n v="9393.9"/>
    <s v="Completed"/>
    <s v="Chennai"/>
    <s v="Apparel"/>
    <s v="West"/>
    <s v="Apr-24"/>
    <x v="2"/>
  </r>
  <r>
    <s v="ORD-01597"/>
    <d v="2024-11-27T00:00:00"/>
    <s v="CUST-0209"/>
    <s v="PROD-054"/>
    <s v="R001"/>
    <n v="4"/>
    <n v="1010"/>
    <n v="3.3"/>
    <n v="3906.68"/>
    <s v="Completed"/>
    <s v="Pune"/>
    <s v="Sports"/>
    <s v="North"/>
    <s v="Nov-24"/>
    <x v="3"/>
  </r>
  <r>
    <s v="ORD-01598"/>
    <d v="2024-07-18T00:00:00"/>
    <s v="CUST-0181"/>
    <s v="PROD-030"/>
    <s v="R005"/>
    <n v="7"/>
    <n v="970"/>
    <n v="0.1"/>
    <n v="6783.21"/>
    <s v="Completed"/>
    <s v="Delhi"/>
    <s v="Grocery"/>
    <s v="North"/>
    <s v="Jul-24"/>
    <x v="0"/>
  </r>
  <r>
    <s v="ORD-01599"/>
    <d v="2024-10-06T00:00:00"/>
    <s v="CUST-0007"/>
    <s v="PROD-053"/>
    <s v="R027"/>
    <n v="5"/>
    <n v="470"/>
    <n v="18.3"/>
    <n v="1919.95"/>
    <s v="Refunded"/>
    <s v="Bengaluru"/>
    <s v="Sports"/>
    <s v="West"/>
    <s v="Oct-24"/>
    <x v="3"/>
  </r>
  <r>
    <s v="ORD-01600"/>
    <d v="2024-04-11T00:00:00"/>
    <s v="CUST-0050"/>
    <s v="PROD-011"/>
    <s v="R010"/>
    <n v="8"/>
    <n v="3450"/>
    <n v="5.0999999999999996"/>
    <n v="26192.400000000001"/>
    <s v="Refunded"/>
    <s v="Mumbai"/>
    <s v="Apparel"/>
    <s v="South"/>
    <s v="Apr-24"/>
    <x v="2"/>
  </r>
  <r>
    <s v="ORD-01601"/>
    <d v="2024-06-22T00:00:00"/>
    <s v="CUST-0155"/>
    <s v="PROD-010"/>
    <s v="R022"/>
    <n v="1"/>
    <n v="2640"/>
    <n v="5.9"/>
    <n v="2484.2399999999998"/>
    <s v="Completed"/>
    <s v="Pune"/>
    <s v="Electronics"/>
    <s v="East"/>
    <s v="Jun-24"/>
    <x v="2"/>
  </r>
  <r>
    <s v="ORD-01602"/>
    <d v="2024-03-03T00:00:00"/>
    <s v="CUST-0085"/>
    <s v="PROD-003"/>
    <s v="R020"/>
    <n v="10"/>
    <n v="3570"/>
    <n v="21.5"/>
    <n v="28024.5"/>
    <s v="Completed"/>
    <s v="Chennai"/>
    <s v="Electronics"/>
    <s v="East"/>
    <s v="Mar-24"/>
    <x v="1"/>
  </r>
  <r>
    <s v="ORD-01603"/>
    <d v="2024-10-16T00:00:00"/>
    <s v="CUST-0285"/>
    <s v="PROD-007"/>
    <s v="R016"/>
    <n v="10"/>
    <n v="1430"/>
    <n v="11.4"/>
    <n v="12669.8"/>
    <s v="Cancelled"/>
    <s v="Hyderabad"/>
    <s v="Electronics"/>
    <s v="South"/>
    <s v="Oct-24"/>
    <x v="3"/>
  </r>
  <r>
    <s v="ORD-01604"/>
    <d v="2024-12-17T00:00:00"/>
    <s v="CUST-0148"/>
    <s v="PROD-057"/>
    <s v="R013"/>
    <n v="7"/>
    <n v="960"/>
    <n v="22.9"/>
    <n v="5181.12"/>
    <s v="Completed"/>
    <s v="Chennai"/>
    <s v="Sports"/>
    <s v="South"/>
    <s v="Dec-24"/>
    <x v="3"/>
  </r>
  <r>
    <s v="ORD-01605"/>
    <d v="2024-11-10T00:00:00"/>
    <s v="CUST-0252"/>
    <s v="PROD-036"/>
    <s v="R010"/>
    <n v="8"/>
    <n v="3250"/>
    <n v="1.9"/>
    <n v="25506"/>
    <s v="Completed"/>
    <s v="Bengaluru"/>
    <s v="Home"/>
    <s v="South"/>
    <s v="Nov-24"/>
    <x v="3"/>
  </r>
  <r>
    <s v="ORD-01606"/>
    <d v="2024-03-05T00:00:00"/>
    <s v="CUST-0141"/>
    <s v="PROD-051"/>
    <s v="R018"/>
    <n v="9"/>
    <n v="3450"/>
    <n v="18"/>
    <n v="25461"/>
    <s v="Completed"/>
    <s v="Hyderabad"/>
    <s v="Sports"/>
    <s v="East"/>
    <s v="Mar-24"/>
    <x v="1"/>
  </r>
  <r>
    <s v="ORD-01607"/>
    <d v="2024-02-21T00:00:00"/>
    <s v="CUST-0101"/>
    <s v="PROD-024"/>
    <s v="R016"/>
    <n v="5"/>
    <n v="2270"/>
    <n v="11.5"/>
    <n v="10044.75"/>
    <s v="Completed"/>
    <s v="Hyderabad"/>
    <s v="Grocery"/>
    <s v="South"/>
    <s v="Feb-24"/>
    <x v="1"/>
  </r>
  <r>
    <s v="ORD-01608"/>
    <d v="2024-06-06T00:00:00"/>
    <s v="CUST-0223"/>
    <s v="PROD-045"/>
    <s v="R019"/>
    <n v="6"/>
    <n v="3020"/>
    <n v="12.6"/>
    <n v="15836.88"/>
    <s v="Completed"/>
    <s v="Bengaluru"/>
    <s v="Beauty"/>
    <s v="East"/>
    <s v="Jun-24"/>
    <x v="2"/>
  </r>
  <r>
    <s v="ORD-01609"/>
    <d v="2024-01-26T00:00:00"/>
    <s v="CUST-0197"/>
    <s v="PROD-010"/>
    <s v="R008"/>
    <n v="8"/>
    <n v="2640"/>
    <n v="14.5"/>
    <n v="18057.599999999999"/>
    <s v="Refunded"/>
    <s v="Bengaluru"/>
    <s v="Electronics"/>
    <s v="North"/>
    <s v="Jan-24"/>
    <x v="1"/>
  </r>
  <r>
    <s v="ORD-01610"/>
    <d v="2024-09-26T00:00:00"/>
    <s v="CUST-0260"/>
    <s v="PROD-024"/>
    <s v="R027"/>
    <n v="2"/>
    <n v="2270"/>
    <n v="27"/>
    <n v="3314.2"/>
    <s v="Completed"/>
    <s v="Bengaluru"/>
    <s v="Grocery"/>
    <s v="West"/>
    <s v="Sep-24"/>
    <x v="0"/>
  </r>
  <r>
    <s v="ORD-01611"/>
    <d v="2024-12-10T00:00:00"/>
    <s v="CUST-0180"/>
    <s v="PROD-021"/>
    <s v="R027"/>
    <n v="8"/>
    <n v="2760"/>
    <n v="18"/>
    <n v="18105.599999999999"/>
    <s v="Cancelled"/>
    <s v="Chennai"/>
    <s v="Grocery"/>
    <s v="West"/>
    <s v="Dec-24"/>
    <x v="3"/>
  </r>
  <r>
    <s v="ORD-01612"/>
    <d v="2024-04-16T00:00:00"/>
    <s v="CUST-0166"/>
    <s v="PROD-014"/>
    <s v="R023"/>
    <n v="8"/>
    <n v="3620"/>
    <n v="7.1"/>
    <n v="26903.84"/>
    <s v="Completed"/>
    <s v="Hyderabad"/>
    <s v="Apparel"/>
    <s v="East"/>
    <s v="Apr-24"/>
    <x v="2"/>
  </r>
  <r>
    <s v="ORD-01613"/>
    <d v="2024-07-04T00:00:00"/>
    <s v="CUST-0062"/>
    <s v="PROD-042"/>
    <s v="R021"/>
    <n v="8"/>
    <n v="2290"/>
    <n v="16.399999999999999"/>
    <n v="15315.52"/>
    <s v="Completed"/>
    <s v="Pune"/>
    <s v="Beauty"/>
    <s v="East"/>
    <s v="Jul-24"/>
    <x v="0"/>
  </r>
  <r>
    <s v="ORD-01614"/>
    <d v="2024-06-19T00:00:00"/>
    <s v="CUST-0130"/>
    <s v="PROD-044"/>
    <s v="R019"/>
    <n v="3"/>
    <n v="1650"/>
    <n v="1.8"/>
    <n v="4860.8999999999996"/>
    <s v="Cancelled"/>
    <s v="Bengaluru"/>
    <s v="Beauty"/>
    <s v="East"/>
    <s v="Jun-24"/>
    <x v="2"/>
  </r>
  <r>
    <s v="ORD-01615"/>
    <d v="2024-12-16T00:00:00"/>
    <s v="CUST-0162"/>
    <s v="PROD-001"/>
    <s v="R018"/>
    <n v="3"/>
    <n v="5330"/>
    <n v="22.2"/>
    <n v="12440.22"/>
    <s v="Completed"/>
    <s v="Mumbai"/>
    <s v="Electronics"/>
    <s v="East"/>
    <s v="Dec-24"/>
    <x v="3"/>
  </r>
  <r>
    <s v="ORD-01616"/>
    <d v="2024-08-30T00:00:00"/>
    <s v="CUST-0153"/>
    <s v="PROD-040"/>
    <s v="R022"/>
    <n v="7"/>
    <n v="1080"/>
    <n v="17.899999999999999"/>
    <n v="6206.76"/>
    <s v="Completed"/>
    <s v="Mumbai"/>
    <s v="Home"/>
    <s v="East"/>
    <s v="Aug-24"/>
    <x v="0"/>
  </r>
  <r>
    <s v="ORD-01617"/>
    <d v="2024-06-17T00:00:00"/>
    <s v="CUST-0071"/>
    <s v="PROD-009"/>
    <s v="R022"/>
    <n v="10"/>
    <n v="1220"/>
    <n v="5.7"/>
    <n v="11504.6"/>
    <s v="Completed"/>
    <s v="Delhi"/>
    <s v="Electronics"/>
    <s v="East"/>
    <s v="Jun-24"/>
    <x v="2"/>
  </r>
  <r>
    <s v="ORD-01618"/>
    <d v="2024-12-22T00:00:00"/>
    <s v="CUST-0200"/>
    <s v="PROD-037"/>
    <s v="R030"/>
    <n v="10"/>
    <n v="660"/>
    <n v="7.5"/>
    <n v="6105"/>
    <s v="Completed"/>
    <s v="Hyderabad"/>
    <s v="Home"/>
    <s v="West"/>
    <s v="Dec-24"/>
    <x v="3"/>
  </r>
  <r>
    <s v="ORD-01619"/>
    <d v="2024-09-22T00:00:00"/>
    <s v="CUST-0266"/>
    <s v="PROD-040"/>
    <s v="R020"/>
    <n v="6"/>
    <n v="1080"/>
    <n v="28.9"/>
    <n v="4607.28"/>
    <s v="Completed"/>
    <s v="Pune"/>
    <s v="Home"/>
    <s v="East"/>
    <s v="Sep-24"/>
    <x v="0"/>
  </r>
  <r>
    <s v="ORD-01620"/>
    <d v="2024-10-19T00:00:00"/>
    <s v="CUST-0171"/>
    <s v="PROD-022"/>
    <s v="R020"/>
    <n v="7"/>
    <n v="2270"/>
    <n v="1.4"/>
    <n v="15667.54"/>
    <s v="Completed"/>
    <s v="Chennai"/>
    <s v="Grocery"/>
    <s v="East"/>
    <s v="Oct-24"/>
    <x v="3"/>
  </r>
  <r>
    <s v="ORD-01621"/>
    <d v="2024-07-02T00:00:00"/>
    <s v="CUST-0221"/>
    <s v="PROD-032"/>
    <s v="R028"/>
    <n v="3"/>
    <n v="370"/>
    <n v="9.6"/>
    <n v="1003.44"/>
    <s v="Refunded"/>
    <s v="Delhi"/>
    <s v="Home"/>
    <s v="West"/>
    <s v="Jul-24"/>
    <x v="0"/>
  </r>
  <r>
    <s v="ORD-01622"/>
    <d v="2024-03-14T00:00:00"/>
    <s v="CUST-0038"/>
    <s v="PROD-030"/>
    <s v="R009"/>
    <n v="9"/>
    <n v="970"/>
    <n v="29.7"/>
    <n v="6137.19"/>
    <s v="Completed"/>
    <s v="Mumbai"/>
    <s v="Grocery"/>
    <s v="South"/>
    <s v="Mar-24"/>
    <x v="1"/>
  </r>
  <r>
    <s v="ORD-00613"/>
    <d v="2024-04-23T00:00:00"/>
    <s v="CUST-0174"/>
    <s v="PROD-016"/>
    <s v="R003"/>
    <n v="1"/>
    <n v="620"/>
    <n v="10.4"/>
    <n v="555.52"/>
    <s v="Cancelled"/>
    <s v="Pune"/>
    <s v="Apparel"/>
    <s v="North"/>
    <s v="Apr-24"/>
    <x v="2"/>
  </r>
  <r>
    <s v="ORD-01624"/>
    <d v="2024-08-29T00:00:00"/>
    <s v="CUST-0054"/>
    <s v="PROD-028"/>
    <s v="R029"/>
    <n v="5"/>
    <n v="3660"/>
    <n v="8"/>
    <n v="16836"/>
    <s v="Completed"/>
    <s v="Mumbai"/>
    <s v="Grocery"/>
    <s v="West"/>
    <s v="Aug-24"/>
    <x v="0"/>
  </r>
  <r>
    <s v="ORD-01625"/>
    <d v="2024-12-02T00:00:00"/>
    <s v="CUST-0071"/>
    <s v="PROD-029"/>
    <s v="R024"/>
    <n v="7"/>
    <n v="2210"/>
    <n v="13.7"/>
    <n v="13350.61"/>
    <s v="Refunded"/>
    <s v="Delhi"/>
    <s v="Grocery"/>
    <s v="West"/>
    <s v="Dec-24"/>
    <x v="3"/>
  </r>
  <r>
    <s v="ORD-01626"/>
    <d v="2024-12-05T00:00:00"/>
    <s v="CUST-0004"/>
    <s v="PROD-059"/>
    <s v="R028"/>
    <n v="1"/>
    <n v="3780"/>
    <n v="11.5"/>
    <n v="3345.3"/>
    <s v="Completed"/>
    <s v="Delhi"/>
    <s v="Sports"/>
    <s v="West"/>
    <s v="Dec-24"/>
    <x v="3"/>
  </r>
  <r>
    <s v="ORD-01627"/>
    <d v="2024-11-05T00:00:00"/>
    <s v="CUST-0033"/>
    <s v="PROD-002"/>
    <s v="R005"/>
    <n v="10"/>
    <n v="2600"/>
    <n v="29.4"/>
    <n v="18356"/>
    <s v="Completed"/>
    <s v="Delhi"/>
    <s v="Electronics"/>
    <s v="North"/>
    <s v="Nov-24"/>
    <x v="3"/>
  </r>
  <r>
    <s v="ORD-01628"/>
    <d v="2024-03-14T00:00:00"/>
    <s v="CUST-0079"/>
    <s v="PROD-027"/>
    <s v="R017"/>
    <n v="3"/>
    <n v="3780"/>
    <n v="14.4"/>
    <n v="9707.0400000000009"/>
    <s v="Completed"/>
    <s v="Mumbai"/>
    <s v="Grocery"/>
    <s v="East"/>
    <s v="Mar-24"/>
    <x v="1"/>
  </r>
  <r>
    <s v="ORD-01629"/>
    <d v="2024-05-09T00:00:00"/>
    <s v="CUST-0176"/>
    <s v="PROD-010"/>
    <s v="R003"/>
    <n v="10"/>
    <n v="2640"/>
    <n v="26.8"/>
    <n v="19324.8"/>
    <s v="Pending"/>
    <s v="Bengaluru"/>
    <s v="Electronics"/>
    <s v="North"/>
    <s v="May-24"/>
    <x v="2"/>
  </r>
  <r>
    <s v="ORD-01630"/>
    <d v="2024-02-25T00:00:00"/>
    <s v="CUST-0254"/>
    <s v="PROD-035"/>
    <s v="R013"/>
    <n v="3"/>
    <n v="1090"/>
    <n v="9.1"/>
    <n v="2972.43"/>
    <s v="Completed"/>
    <s v="Bengaluru"/>
    <s v="Home"/>
    <s v="South"/>
    <s v="Feb-24"/>
    <x v="1"/>
  </r>
  <r>
    <s v="ORD-01631"/>
    <d v="2024-10-09T00:00:00"/>
    <s v="CUST-0212"/>
    <s v="PROD-011"/>
    <s v="R024"/>
    <n v="3"/>
    <n v="3450"/>
    <n v="23"/>
    <n v="7969.5"/>
    <s v="Pending"/>
    <s v="Chennai"/>
    <s v="Apparel"/>
    <s v="West"/>
    <s v="Oct-24"/>
    <x v="3"/>
  </r>
  <r>
    <s v="ORD-01632"/>
    <d v="2024-03-14T00:00:00"/>
    <s v="CUST-0109"/>
    <s v="PROD-049"/>
    <s v="R015"/>
    <n v="1"/>
    <n v="960"/>
    <n v="1.1000000000000001"/>
    <n v="949.44"/>
    <s v="Completed"/>
    <s v="Pune"/>
    <s v="Beauty"/>
    <s v="South"/>
    <s v="Mar-24"/>
    <x v="1"/>
  </r>
  <r>
    <s v="ORD-01633"/>
    <d v="2024-10-12T00:00:00"/>
    <s v="CUST-0087"/>
    <s v="PROD-028"/>
    <s v="R030"/>
    <n v="9"/>
    <n v="3660"/>
    <n v="9"/>
    <n v="29975.4"/>
    <s v="Completed"/>
    <s v="Pune"/>
    <s v="Grocery"/>
    <s v="West"/>
    <s v="Oct-24"/>
    <x v="3"/>
  </r>
  <r>
    <s v="ORD-01634"/>
    <d v="2024-05-08T00:00:00"/>
    <s v="CUST-0167"/>
    <s v="PROD-031"/>
    <s v="R008"/>
    <n v="3"/>
    <n v="3730"/>
    <n v="15.8"/>
    <n v="9421.98"/>
    <s v="Completed"/>
    <s v="Delhi"/>
    <s v="Home"/>
    <s v="North"/>
    <s v="May-24"/>
    <x v="2"/>
  </r>
  <r>
    <s v="ORD-01635"/>
    <d v="2024-02-25T00:00:00"/>
    <s v="CUST-0079"/>
    <s v="PROD-026"/>
    <s v="R004"/>
    <n v="6"/>
    <n v="4070"/>
    <n v="6.2"/>
    <n v="22905.96"/>
    <s v="Completed"/>
    <s v="Mumbai"/>
    <s v="Grocery"/>
    <s v="North"/>
    <s v="Feb-24"/>
    <x v="1"/>
  </r>
  <r>
    <s v="ORD-01636"/>
    <d v="2024-02-07T00:00:00"/>
    <s v="CUST-0115"/>
    <s v="PROD-008"/>
    <s v="R022"/>
    <n v="1"/>
    <n v="2660"/>
    <n v="14.6"/>
    <n v="2271.64"/>
    <s v="Completed"/>
    <s v="Mumbai"/>
    <s v="Electronics"/>
    <s v="East"/>
    <s v="Feb-24"/>
    <x v="1"/>
  </r>
  <r>
    <s v="ORD-01637"/>
    <d v="2024-03-27T00:00:00"/>
    <s v="CUST-0184"/>
    <s v="PROD-033"/>
    <s v="R003"/>
    <n v="3"/>
    <n v="2030"/>
    <n v="13.3"/>
    <n v="5280.03"/>
    <s v="Cancelled"/>
    <s v="Pune"/>
    <s v="Home"/>
    <s v="North"/>
    <s v="Mar-24"/>
    <x v="1"/>
  </r>
  <r>
    <s v="ORD-01638"/>
    <d v="2024-04-11T00:00:00"/>
    <s v="CUST-0084"/>
    <s v="PROD-028"/>
    <s v="R001"/>
    <n v="4"/>
    <n v="3660"/>
    <n v="2.2000000000000002"/>
    <n v="14317.92"/>
    <s v="Completed"/>
    <s v="Chennai"/>
    <s v="Grocery"/>
    <s v="North"/>
    <s v="Apr-24"/>
    <x v="2"/>
  </r>
  <r>
    <s v="ORD-01639"/>
    <d v="2024-03-13T00:00:00"/>
    <s v="CUST-0186"/>
    <s v="PROD-008"/>
    <s v="R006"/>
    <n v="2"/>
    <n v="2660"/>
    <n v="7.2"/>
    <n v="4936.96"/>
    <s v="Cancelled"/>
    <s v="Bengaluru"/>
    <s v="Electronics"/>
    <s v="North"/>
    <s v="Mar-24"/>
    <x v="1"/>
  </r>
  <r>
    <s v="ORD-01640"/>
    <d v="2024-11-28T00:00:00"/>
    <s v="CUST-0077"/>
    <s v="PROD-046"/>
    <s v="R013"/>
    <n v="2"/>
    <n v="4880"/>
    <n v="23.8"/>
    <n v="7437.12"/>
    <s v="Completed"/>
    <s v="Hyderabad"/>
    <s v="Beauty"/>
    <s v="South"/>
    <s v="Nov-24"/>
    <x v="3"/>
  </r>
  <r>
    <s v="ORD-01641"/>
    <d v="2024-04-29T00:00:00"/>
    <s v="CUST-0093"/>
    <s v="PROD-011"/>
    <s v="R011"/>
    <n v="1"/>
    <n v="3450"/>
    <n v="1.7"/>
    <n v="3391.35"/>
    <s v="Completed"/>
    <s v="Pune"/>
    <s v="Apparel"/>
    <s v="South"/>
    <s v="Apr-24"/>
    <x v="2"/>
  </r>
  <r>
    <s v="ORD-01642"/>
    <d v="2024-09-15T00:00:00"/>
    <s v="CUST-0018"/>
    <s v="PROD-045"/>
    <s v="R023"/>
    <n v="4"/>
    <n v="3020"/>
    <n v="17.8"/>
    <n v="9929.76"/>
    <s v="Completed"/>
    <s v="Pune"/>
    <s v="Beauty"/>
    <s v="East"/>
    <s v="Sep-24"/>
    <x v="0"/>
  </r>
  <r>
    <s v="ORD-01643"/>
    <d v="2024-08-08T00:00:00"/>
    <s v="CUST-0034"/>
    <s v="PROD-056"/>
    <s v="R021"/>
    <n v="6"/>
    <n v="6940"/>
    <n v="8.9"/>
    <n v="37934.04"/>
    <s v="Completed"/>
    <s v="Delhi"/>
    <s v="Sports"/>
    <s v="East"/>
    <s v="Aug-24"/>
    <x v="0"/>
  </r>
  <r>
    <s v="ORD-01644"/>
    <d v="2024-08-19T00:00:00"/>
    <s v="CUST-0111"/>
    <s v="PROD-021"/>
    <s v="R023"/>
    <n v="10"/>
    <n v="2760"/>
    <n v="8.9"/>
    <n v="25143.599999999999"/>
    <s v="Completed"/>
    <s v="Chennai"/>
    <s v="Grocery"/>
    <s v="East"/>
    <s v="Aug-24"/>
    <x v="0"/>
  </r>
  <r>
    <s v="ORD-01645"/>
    <d v="2024-01-19T00:00:00"/>
    <s v="CUST-0210"/>
    <s v="PROD-049"/>
    <s v="R020"/>
    <n v="8"/>
    <n v="960"/>
    <n v="20.9"/>
    <n v="6074.88"/>
    <s v="Completed"/>
    <s v="Pune"/>
    <s v="Beauty"/>
    <s v="East"/>
    <s v="Jan-24"/>
    <x v="1"/>
  </r>
  <r>
    <s v="ORD-01646"/>
    <d v="2024-07-25T00:00:00"/>
    <s v="CUST-0037"/>
    <s v="PROD-049"/>
    <s v="R012"/>
    <n v="4"/>
    <n v="960"/>
    <n v="29.1"/>
    <n v="2722.56"/>
    <s v="Completed"/>
    <s v="Bengaluru"/>
    <s v="Beauty"/>
    <s v="South"/>
    <s v="Jul-24"/>
    <x v="0"/>
  </r>
  <r>
    <s v="ORD-01647"/>
    <d v="2024-04-28T00:00:00"/>
    <s v="CUST-0192"/>
    <s v="PROD-030"/>
    <s v="R021"/>
    <n v="1"/>
    <n v="970"/>
    <n v="8.4"/>
    <n v="888.52"/>
    <s v="Cancelled"/>
    <s v="Bengaluru"/>
    <s v="Grocery"/>
    <s v="East"/>
    <s v="Apr-24"/>
    <x v="2"/>
  </r>
  <r>
    <s v="ORD-01648"/>
    <d v="2024-04-18T00:00:00"/>
    <s v="CUST-0038"/>
    <s v="PROD-050"/>
    <s v="R023"/>
    <n v="5"/>
    <n v="6080"/>
    <n v="17.600000000000001"/>
    <n v="25049.599999999999"/>
    <s v="Completed"/>
    <s v="Mumbai"/>
    <s v="Beauty"/>
    <s v="East"/>
    <s v="Apr-24"/>
    <x v="2"/>
  </r>
  <r>
    <s v="ORD-01649"/>
    <d v="2024-08-21T00:00:00"/>
    <s v="CUST-0034"/>
    <s v="PROD-028"/>
    <s v="R013"/>
    <n v="4"/>
    <n v="3660"/>
    <n v="21.8"/>
    <n v="11448.48"/>
    <s v="Pending"/>
    <s v="Delhi"/>
    <s v="Grocery"/>
    <s v="South"/>
    <s v="Aug-24"/>
    <x v="0"/>
  </r>
  <r>
    <s v="ORD-01650"/>
    <d v="2024-06-19T00:00:00"/>
    <s v="CUST-0248"/>
    <s v="PROD-031"/>
    <s v="R008"/>
    <n v="6"/>
    <n v="3730"/>
    <n v="13.3"/>
    <n v="19403.46"/>
    <s v="Cancelled"/>
    <s v="Chennai"/>
    <s v="Home"/>
    <s v="North"/>
    <s v="Jun-24"/>
    <x v="2"/>
  </r>
  <r>
    <s v="ORD-01651"/>
    <d v="2024-11-29T00:00:00"/>
    <s v="CUST-0194"/>
    <s v="PROD-004"/>
    <s v="R029"/>
    <n v="8"/>
    <n v="3870"/>
    <n v="21.2"/>
    <n v="24396.48"/>
    <s v="Pending"/>
    <s v="Delhi"/>
    <s v="Electronics"/>
    <s v="West"/>
    <s v="Nov-24"/>
    <x v="3"/>
  </r>
  <r>
    <s v="ORD-01652"/>
    <d v="2024-04-08T00:00:00"/>
    <s v="CUST-0114"/>
    <s v="PROD-021"/>
    <s v="R016"/>
    <n v="4"/>
    <n v="2760"/>
    <n v="14"/>
    <n v="9494.4"/>
    <s v="Completed"/>
    <s v="Bengaluru"/>
    <s v="Grocery"/>
    <s v="South"/>
    <s v="Apr-24"/>
    <x v="2"/>
  </r>
  <r>
    <s v="ORD-01653"/>
    <d v="2024-11-01T00:00:00"/>
    <s v="CUST-0118"/>
    <s v="PROD-023"/>
    <s v="R020"/>
    <n v="5"/>
    <n v="2380"/>
    <n v="16.399999999999999"/>
    <n v="9948.4"/>
    <s v="Completed"/>
    <s v="Hyderabad"/>
    <s v="Grocery"/>
    <s v="East"/>
    <s v="Nov-24"/>
    <x v="3"/>
  </r>
  <r>
    <s v="ORD-01654"/>
    <d v="2024-01-16T00:00:00"/>
    <s v="CUST-9719"/>
    <s v="PROD-050"/>
    <s v="R015"/>
    <n v="2"/>
    <n v="6080"/>
    <n v="20.100000000000001"/>
    <n v="9715.84"/>
    <s v="Cancelled"/>
    <s v="Mumbai"/>
    <s v="Beauty"/>
    <s v="South"/>
    <s v="Jan-24"/>
    <x v="1"/>
  </r>
  <r>
    <s v="ORD-01655"/>
    <d v="2024-10-03T00:00:00"/>
    <s v="CUST-0232"/>
    <s v="PROD-016"/>
    <s v="R016"/>
    <n v="2"/>
    <n v="620"/>
    <n v="4.3"/>
    <n v="1186.68"/>
    <s v="Completed"/>
    <s v="Hyderabad"/>
    <s v="Apparel"/>
    <s v="South"/>
    <s v="Oct-24"/>
    <x v="3"/>
  </r>
  <r>
    <s v="ORD-01656"/>
    <d v="2024-12-28T00:00:00"/>
    <s v="CUST-0240"/>
    <s v="PROD-004"/>
    <s v="R012"/>
    <n v="7"/>
    <n v="3870"/>
    <n v="5.9"/>
    <n v="25491.69"/>
    <s v="Completed"/>
    <s v="Chennai"/>
    <s v="Electronics"/>
    <s v="South"/>
    <s v="Dec-24"/>
    <x v="3"/>
  </r>
  <r>
    <s v="ORD-01657"/>
    <d v="2024-04-30T00:00:00"/>
    <s v="CUST-0227"/>
    <s v="PROD-003"/>
    <s v="R020"/>
    <n v="8"/>
    <n v="3570"/>
    <n v="24.6"/>
    <n v="21534.240000000002"/>
    <s v="Completed"/>
    <s v="Bengaluru"/>
    <s v="Electronics"/>
    <s v="East"/>
    <s v="Apr-24"/>
    <x v="2"/>
  </r>
  <r>
    <s v="ORD-01658"/>
    <d v="2024-12-27T00:00:00"/>
    <s v="CUST-0234"/>
    <s v="PROD-026"/>
    <s v="R010"/>
    <n v="1"/>
    <n v="4070"/>
    <n v="29.1"/>
    <n v="2885.63"/>
    <s v="Pending"/>
    <s v="Bengaluru"/>
    <s v="Grocery"/>
    <s v="South"/>
    <s v="Dec-24"/>
    <x v="3"/>
  </r>
  <r>
    <s v="ORD-01659"/>
    <d v="2024-10-03T00:00:00"/>
    <s v="CUST-0041"/>
    <s v="PROD-020"/>
    <s v="R017"/>
    <n v="1"/>
    <n v="820"/>
    <n v="17.899999999999999"/>
    <n v="673.22"/>
    <s v="Completed"/>
    <s v="Bengaluru"/>
    <s v="Apparel"/>
    <s v="East"/>
    <s v="Oct-24"/>
    <x v="3"/>
  </r>
  <r>
    <s v="ORD-01660"/>
    <d v="2024-12-17T00:00:00"/>
    <s v="CUST-0129"/>
    <s v="PROD-045"/>
    <s v="R029"/>
    <n v="5"/>
    <n v="3020"/>
    <n v="26.2"/>
    <n v="11143.8"/>
    <s v="Completed"/>
    <s v="Hyderabad"/>
    <s v="Beauty"/>
    <s v="West"/>
    <s v="Dec-24"/>
    <x v="3"/>
  </r>
  <r>
    <s v="ORD-01661"/>
    <d v="2024-04-29T00:00:00"/>
    <s v="CUST-0141"/>
    <s v="PROD-018"/>
    <s v="R022"/>
    <n v="10"/>
    <n v="3560"/>
    <n v="15.4"/>
    <n v="30117.599999999999"/>
    <s v="Refunded"/>
    <s v="Hyderabad"/>
    <s v="Apparel"/>
    <s v="East"/>
    <s v="Apr-24"/>
    <x v="2"/>
  </r>
  <r>
    <s v="ORD-01662"/>
    <d v="2024-06-24T00:00:00"/>
    <s v="CUST-0282"/>
    <s v="PROD-043"/>
    <s v="R001"/>
    <n v="3"/>
    <n v="3350"/>
    <n v="8.1"/>
    <n v="9235.9500000000007"/>
    <s v="Completed"/>
    <s v="Hyderabad"/>
    <s v="Beauty"/>
    <s v="North"/>
    <s v="Jun-24"/>
    <x v="2"/>
  </r>
  <r>
    <s v="ORD-01663"/>
    <d v="2024-09-07T00:00:00"/>
    <s v="CUST-0269"/>
    <s v="PROD-042"/>
    <s v="R025"/>
    <n v="10"/>
    <n v="2290"/>
    <n v="7"/>
    <n v="21297"/>
    <s v="Completed"/>
    <s v="Pune"/>
    <s v="Beauty"/>
    <s v="West"/>
    <s v="Sep-24"/>
    <x v="0"/>
  </r>
  <r>
    <s v="ORD-01664"/>
    <d v="2024-07-10T00:00:00"/>
    <s v="CUST-0239"/>
    <s v="PROD-028"/>
    <s v="R003"/>
    <n v="6"/>
    <n v="3660"/>
    <n v="29.9"/>
    <n v="15393.96"/>
    <s v="Completed"/>
    <s v="Mumbai"/>
    <s v="Grocery"/>
    <s v="North"/>
    <s v="Jul-24"/>
    <x v="0"/>
  </r>
  <r>
    <s v="ORD-01665"/>
    <d v="2024-05-14T00:00:00"/>
    <s v="CUST-0075"/>
    <s v="PROD-010"/>
    <s v="R013"/>
    <n v="8"/>
    <n v="2640"/>
    <n v="4.2"/>
    <n v="20232.96"/>
    <s v="Refunded"/>
    <s v="Mumbai"/>
    <s v="Electronics"/>
    <s v="South"/>
    <s v="May-24"/>
    <x v="2"/>
  </r>
  <r>
    <s v="ORD-01666"/>
    <d v="2024-04-04T00:00:00"/>
    <s v="CUST-0184"/>
    <s v="PROD-032"/>
    <s v="R006"/>
    <n v="5"/>
    <n v="370"/>
    <n v="6"/>
    <n v="1739"/>
    <s v="Completed"/>
    <s v="Pune"/>
    <s v="Home"/>
    <s v="North"/>
    <s v="Apr-24"/>
    <x v="2"/>
  </r>
  <r>
    <s v="ORD-01667"/>
    <d v="2024-03-26T00:00:00"/>
    <s v="CUST-0144"/>
    <s v="PROD-024"/>
    <s v="R007"/>
    <n v="9"/>
    <n v="2270"/>
    <n v="4.7"/>
    <n v="19469.79"/>
    <s v="Completed"/>
    <s v="Chennai"/>
    <s v="Grocery"/>
    <s v="North"/>
    <s v="Mar-24"/>
    <x v="1"/>
  </r>
  <r>
    <s v="ORD-01668"/>
    <d v="2024-05-02T00:00:00"/>
    <s v="CUST-0039"/>
    <s v="PROD-037"/>
    <s v="R011"/>
    <n v="5"/>
    <n v="660"/>
    <n v="21"/>
    <n v="2607"/>
    <s v="Completed"/>
    <s v="Bengaluru"/>
    <s v="Home"/>
    <s v="South"/>
    <s v="May-24"/>
    <x v="2"/>
  </r>
  <r>
    <s v="ORD-01669"/>
    <d v="2024-04-25T00:00:00"/>
    <s v="CUST-9765"/>
    <s v="PROD-057"/>
    <s v="R003"/>
    <n v="2"/>
    <n v="960"/>
    <n v="7.3"/>
    <n v="1779.84"/>
    <s v="Completed"/>
    <s v="Bengaluru"/>
    <s v="Sports"/>
    <s v="North"/>
    <s v="Apr-24"/>
    <x v="2"/>
  </r>
  <r>
    <s v="ORD-01670"/>
    <d v="2024-08-05T00:00:00"/>
    <s v="CUST-0159"/>
    <s v="PROD-048"/>
    <s v="R009"/>
    <n v="3"/>
    <n v="5100"/>
    <n v="21"/>
    <n v="12087"/>
    <s v="Completed"/>
    <s v="Hyderabad"/>
    <s v="Beauty"/>
    <s v="South"/>
    <s v="Aug-24"/>
    <x v="0"/>
  </r>
  <r>
    <s v="ORD-01671"/>
    <d v="2024-10-01T00:00:00"/>
    <s v="CUST-0168"/>
    <s v="PROD-012"/>
    <s v="R004"/>
    <n v="3"/>
    <n v="3160"/>
    <n v="13.5"/>
    <n v="8200.2000000000007"/>
    <s v="Completed"/>
    <s v="Pune"/>
    <s v="Apparel"/>
    <s v="North"/>
    <s v="Oct-24"/>
    <x v="3"/>
  </r>
  <r>
    <s v="ORD-01672"/>
    <d v="2024-08-20T00:00:00"/>
    <s v="CUST-9552"/>
    <s v="PROD-041"/>
    <s v="R005"/>
    <n v="9"/>
    <n v="1540"/>
    <n v="18.2"/>
    <n v="11337.48"/>
    <s v="Cancelled"/>
    <s v="Bengaluru"/>
    <s v="Beauty"/>
    <s v="North"/>
    <s v="Aug-24"/>
    <x v="0"/>
  </r>
  <r>
    <s v="ORD-01673"/>
    <d v="2024-05-19T00:00:00"/>
    <s v="CUST-0056"/>
    <s v="PROD-047"/>
    <s v="R024"/>
    <n v="4"/>
    <n v="3450"/>
    <n v="26.4"/>
    <n v="10156.799999999999"/>
    <s v="Pending"/>
    <s v="Bengaluru"/>
    <s v="Beauty"/>
    <s v="West"/>
    <s v="May-24"/>
    <x v="2"/>
  </r>
  <r>
    <s v="ORD-01674"/>
    <d v="2024-11-02T00:00:00"/>
    <s v="CUST-0239"/>
    <s v="PROD-023"/>
    <s v="R026"/>
    <n v="4"/>
    <n v="2380"/>
    <n v="6.9"/>
    <n v="8863.1200000000008"/>
    <s v="Completed"/>
    <s v="Mumbai"/>
    <s v="Grocery"/>
    <s v="West"/>
    <s v="Nov-24"/>
    <x v="3"/>
  </r>
  <r>
    <s v="ORD-01675"/>
    <d v="2024-05-07T00:00:00"/>
    <s v="CUST-0168"/>
    <s v="PROD-031"/>
    <s v="R003"/>
    <n v="2"/>
    <n v="3730"/>
    <n v="22.9"/>
    <n v="5751.66"/>
    <s v="Completed"/>
    <s v="Pune"/>
    <s v="Home"/>
    <s v="North"/>
    <s v="May-24"/>
    <x v="2"/>
  </r>
  <r>
    <s v="ORD-01676"/>
    <d v="2024-09-14T00:00:00"/>
    <s v="CUST-0012"/>
    <s v="PROD-036"/>
    <s v="R002"/>
    <n v="7"/>
    <n v="3250"/>
    <n v="6"/>
    <n v="21385"/>
    <s v="Completed"/>
    <s v="Pune"/>
    <s v="Home"/>
    <s v="North"/>
    <s v="Sep-24"/>
    <x v="0"/>
  </r>
  <r>
    <s v="ORD-01677"/>
    <d v="2024-08-15T00:00:00"/>
    <s v="CUST-0057"/>
    <s v="PROD-053"/>
    <s v="R020"/>
    <n v="9"/>
    <n v="470"/>
    <n v="11.6"/>
    <n v="3739.32"/>
    <s v="Completed"/>
    <s v="Pune"/>
    <s v="Sports"/>
    <s v="East"/>
    <s v="Aug-24"/>
    <x v="0"/>
  </r>
  <r>
    <s v="ORD-01678"/>
    <d v="2024-10-09T00:00:00"/>
    <s v="CUST-0030"/>
    <s v="PROD-042"/>
    <s v="R026"/>
    <n v="5"/>
    <n v="2290"/>
    <n v="27.6"/>
    <n v="8289.7999999999993"/>
    <s v="Completed"/>
    <s v="Bengaluru"/>
    <s v="Beauty"/>
    <s v="West"/>
    <s v="Oct-24"/>
    <x v="3"/>
  </r>
  <r>
    <s v="ORD-01679"/>
    <d v="2024-06-19T00:00:00"/>
    <s v="CUST-0166"/>
    <s v="PROD-007"/>
    <s v="R029"/>
    <n v="6"/>
    <n v="1430"/>
    <n v="18.399999999999999"/>
    <n v="7001.28"/>
    <s v="Pending"/>
    <s v="Hyderabad"/>
    <s v="Electronics"/>
    <s v="West"/>
    <s v="Jun-24"/>
    <x v="2"/>
  </r>
  <r>
    <s v="ORD-01680"/>
    <d v="2024-02-14T00:00:00"/>
    <s v="CUST-0188"/>
    <s v="PROD-055"/>
    <s v="R002"/>
    <n v="7"/>
    <n v="2860"/>
    <n v="19.5"/>
    <n v="16116.1"/>
    <s v="Completed"/>
    <s v="Bengaluru"/>
    <s v="Sports"/>
    <s v="North"/>
    <s v="Feb-24"/>
    <x v="1"/>
  </r>
  <r>
    <s v="ORD-01681"/>
    <d v="2024-05-27T00:00:00"/>
    <s v="CUST-0097"/>
    <s v="PROD-047"/>
    <s v="R020"/>
    <n v="8"/>
    <n v="3450"/>
    <n v="25.5"/>
    <n v="20562"/>
    <s v="Pending"/>
    <s v="Mumbai"/>
    <s v="Beauty"/>
    <s v="East"/>
    <s v="May-24"/>
    <x v="2"/>
  </r>
  <r>
    <s v="ORD-01682"/>
    <d v="2024-10-13T00:00:00"/>
    <s v="CUST-0026"/>
    <s v="PROD-052"/>
    <s v="R019"/>
    <n v="7"/>
    <n v="5410"/>
    <n v="15.2"/>
    <n v="32113.759999999998"/>
    <s v="Cancelled"/>
    <s v="Pune"/>
    <s v="Sports"/>
    <s v="East"/>
    <s v="Oct-24"/>
    <x v="3"/>
  </r>
  <r>
    <s v="ORD-01683"/>
    <d v="2024-10-23T00:00:00"/>
    <s v="CUST-0026"/>
    <s v="PROD-040"/>
    <s v="R025"/>
    <n v="3"/>
    <n v="1080"/>
    <n v="26"/>
    <n v="2397.6"/>
    <s v="Completed"/>
    <s v="Pune"/>
    <s v="Home"/>
    <s v="West"/>
    <s v="Oct-24"/>
    <x v="3"/>
  </r>
  <r>
    <s v="ORD-01684"/>
    <d v="2024-03-03T00:00:00"/>
    <s v="CUST-0020"/>
    <s v="PROD-055"/>
    <s v="R019"/>
    <n v="8"/>
    <n v="2860"/>
    <n v="14.8"/>
    <n v="19493.759999999998"/>
    <s v="Completed"/>
    <s v="Hyderabad"/>
    <s v="Sports"/>
    <s v="East"/>
    <s v="Mar-24"/>
    <x v="1"/>
  </r>
  <r>
    <s v="ORD-01685"/>
    <d v="2024-02-10T00:00:00"/>
    <s v="CUST-9740"/>
    <s v="PROD-045"/>
    <s v="R013"/>
    <n v="4"/>
    <n v="3020"/>
    <n v="8.1"/>
    <n v="11101.52"/>
    <s v="Completed"/>
    <s v="Hyderabad"/>
    <s v="Beauty"/>
    <s v="South"/>
    <s v="Feb-24"/>
    <x v="1"/>
  </r>
  <r>
    <s v="ORD-01686"/>
    <d v="2024-12-23T00:00:00"/>
    <s v="CUST-0095"/>
    <s v="PROD-057"/>
    <s v="R025"/>
    <n v="4"/>
    <n v="960"/>
    <n v="6.4"/>
    <n v="3594.24"/>
    <s v="Cancelled"/>
    <s v="Mumbai"/>
    <s v="Sports"/>
    <s v="West"/>
    <s v="Dec-24"/>
    <x v="3"/>
  </r>
  <r>
    <s v="ORD-01687"/>
    <d v="2024-10-31T00:00:00"/>
    <s v="CUST-0079"/>
    <s v="PROD-004"/>
    <s v="R029"/>
    <n v="4"/>
    <n v="3870"/>
    <n v="15.9"/>
    <n v="13018.68"/>
    <s v="Completed"/>
    <s v="Mumbai"/>
    <s v="Electronics"/>
    <s v="West"/>
    <s v="Oct-24"/>
    <x v="3"/>
  </r>
  <r>
    <s v="ORD-01688"/>
    <d v="2024-03-27T00:00:00"/>
    <s v="CUST-0060"/>
    <s v="PROD-012"/>
    <s v="R020"/>
    <n v="5"/>
    <n v="3160"/>
    <n v="29.8"/>
    <n v="11091.6"/>
    <s v="Completed"/>
    <s v="Pune"/>
    <s v="Apparel"/>
    <s v="East"/>
    <s v="Mar-24"/>
    <x v="1"/>
  </r>
  <r>
    <s v="ORD-01689"/>
    <d v="2024-04-21T00:00:00"/>
    <s v="CUST-0080"/>
    <s v="PROD-047"/>
    <s v="R027"/>
    <n v="5"/>
    <n v="3450"/>
    <n v="29.4"/>
    <n v="12178.5"/>
    <s v="Completed"/>
    <s v="Pune"/>
    <s v="Beauty"/>
    <s v="West"/>
    <s v="Apr-24"/>
    <x v="2"/>
  </r>
  <r>
    <s v="ORD-01690"/>
    <d v="2024-08-31T00:00:00"/>
    <s v="CUST-0136"/>
    <s v="PROD-049"/>
    <s v="R018"/>
    <n v="10"/>
    <n v="960"/>
    <n v="27"/>
    <n v="7008"/>
    <s v="Cancelled"/>
    <s v="Chennai"/>
    <s v="Beauty"/>
    <s v="East"/>
    <s v="Aug-24"/>
    <x v="0"/>
  </r>
  <r>
    <s v="ORD-01691"/>
    <d v="2024-05-17T00:00:00"/>
    <s v="CUST-0074"/>
    <s v="PROD-056"/>
    <s v="R018"/>
    <n v="10"/>
    <n v="6940"/>
    <n v="20.100000000000001"/>
    <n v="55450.6"/>
    <s v="Completed"/>
    <s v="Bengaluru"/>
    <s v="Sports"/>
    <s v="East"/>
    <s v="May-24"/>
    <x v="2"/>
  </r>
  <r>
    <s v="ORD-01692"/>
    <d v="2024-05-24T00:00:00"/>
    <s v="CUST-0090"/>
    <s v="PROD-058"/>
    <s v="R009"/>
    <n v="9"/>
    <n v="2400"/>
    <n v="7.8"/>
    <n v="19915.2"/>
    <s v="Completed"/>
    <s v="Bengaluru"/>
    <s v="Sports"/>
    <s v="South"/>
    <s v="May-24"/>
    <x v="2"/>
  </r>
  <r>
    <s v="ORD-01693"/>
    <d v="2024-04-15T00:00:00"/>
    <s v="CUST-0300"/>
    <s v="PROD-052"/>
    <s v="R017"/>
    <n v="1"/>
    <n v="5410"/>
    <n v="22.8"/>
    <n v="4176.5200000000004"/>
    <s v="Completed"/>
    <s v="Mumbai"/>
    <s v="Sports"/>
    <s v="East"/>
    <s v="Apr-24"/>
    <x v="2"/>
  </r>
  <r>
    <s v="ORD-01694"/>
    <d v="2024-12-03T00:00:00"/>
    <s v="CUST-0188"/>
    <s v="PROD-009"/>
    <s v="R004"/>
    <n v="7"/>
    <n v="1220"/>
    <n v="18.8"/>
    <n v="6934.48"/>
    <s v="Pending"/>
    <s v="Bengaluru"/>
    <s v="Electronics"/>
    <s v="North"/>
    <s v="Dec-24"/>
    <x v="3"/>
  </r>
  <r>
    <s v="ORD-01695"/>
    <d v="2024-10-30T00:00:00"/>
    <s v="CUST-0250"/>
    <s v="PROD-035"/>
    <s v="R019"/>
    <n v="1"/>
    <n v="1090"/>
    <n v="23.5"/>
    <n v="833.85"/>
    <s v="Completed"/>
    <s v="Delhi"/>
    <s v="Home"/>
    <s v="East"/>
    <s v="Oct-24"/>
    <x v="3"/>
  </r>
  <r>
    <s v="ORD-01696"/>
    <d v="2024-08-27T00:00:00"/>
    <s v="CUST-0195"/>
    <s v="PROD-021"/>
    <s v="R023"/>
    <n v="2"/>
    <n v="2760"/>
    <n v="2.2999999999999998"/>
    <n v="5393.04"/>
    <s v="Completed"/>
    <s v="Bengaluru"/>
    <s v="Grocery"/>
    <s v="East"/>
    <s v="Aug-24"/>
    <x v="0"/>
  </r>
  <r>
    <s v="ORD-01697"/>
    <d v="2024-11-30T00:00:00"/>
    <s v="CUST-0185"/>
    <s v="PROD-003"/>
    <s v="R026"/>
    <n v="3"/>
    <n v="3570"/>
    <n v="18.399999999999999"/>
    <n v="8739.36"/>
    <s v="Refunded"/>
    <s v="Hyderabad"/>
    <s v="Electronics"/>
    <s v="West"/>
    <s v="Nov-24"/>
    <x v="3"/>
  </r>
  <r>
    <s v="ORD-01698"/>
    <d v="2024-07-29T00:00:00"/>
    <s v="CUST-0256"/>
    <s v="PROD-009"/>
    <s v="R004"/>
    <n v="7"/>
    <n v="1220"/>
    <n v="25.8"/>
    <n v="6336.68"/>
    <s v="Refunded"/>
    <s v="Hyderabad"/>
    <s v="Electronics"/>
    <s v="North"/>
    <s v="Jul-24"/>
    <x v="0"/>
  </r>
  <r>
    <s v="ORD-01699"/>
    <d v="2024-07-28T00:00:00"/>
    <s v="CUST-0060"/>
    <s v="PROD-051"/>
    <s v="R029"/>
    <n v="6"/>
    <n v="3450"/>
    <n v="13.1"/>
    <n v="17988.3"/>
    <s v="Completed"/>
    <s v="Pune"/>
    <s v="Sports"/>
    <s v="West"/>
    <s v="Jul-24"/>
    <x v="0"/>
  </r>
  <r>
    <s v="ORD-01700"/>
    <d v="2024-05-23T00:00:00"/>
    <s v="CUST-0275"/>
    <s v="PROD-029"/>
    <s v="R004"/>
    <n v="10"/>
    <n v="2210"/>
    <n v="16.600000000000001"/>
    <n v="18431.400000000001"/>
    <s v="Completed"/>
    <s v="Mumbai"/>
    <s v="Grocery"/>
    <s v="North"/>
    <s v="May-24"/>
    <x v="2"/>
  </r>
  <r>
    <s v="ORD-01701"/>
    <d v="2024-01-04T00:00:00"/>
    <s v="CUST-0114"/>
    <s v="PROD-019"/>
    <s v="R027"/>
    <n v="10"/>
    <n v="2480"/>
    <n v="17.5"/>
    <n v="20460"/>
    <s v="Completed"/>
    <s v="Bengaluru"/>
    <s v="Apparel"/>
    <s v="West"/>
    <s v="Jan-24"/>
    <x v="1"/>
  </r>
  <r>
    <s v="ORD-01702"/>
    <d v="2024-10-01T00:00:00"/>
    <s v="CUST-0060"/>
    <s v="PROD-036"/>
    <s v="R019"/>
    <n v="9"/>
    <n v="3250"/>
    <n v="25.9"/>
    <n v="21674.25"/>
    <s v="Completed"/>
    <s v="Pune"/>
    <s v="Home"/>
    <s v="East"/>
    <s v="Oct-24"/>
    <x v="3"/>
  </r>
  <r>
    <s v="ORD-01703"/>
    <d v="2024-07-01T00:00:00"/>
    <s v="CUST-0039"/>
    <s v="PROD-058"/>
    <s v="R008"/>
    <n v="3"/>
    <n v="2400"/>
    <n v="17.5"/>
    <n v="5940"/>
    <s v="Completed"/>
    <s v="Bengaluru"/>
    <s v="Sports"/>
    <s v="North"/>
    <s v="Jul-24"/>
    <x v="0"/>
  </r>
  <r>
    <s v="ORD-01704"/>
    <d v="2024-03-21T00:00:00"/>
    <s v="CUST-0033"/>
    <s v="PROD-052"/>
    <s v="R006"/>
    <n v="8"/>
    <n v="5410"/>
    <n v="8.3000000000000007"/>
    <n v="39687.760000000002"/>
    <s v="Completed"/>
    <s v="Delhi"/>
    <s v="Sports"/>
    <s v="North"/>
    <s v="Mar-24"/>
    <x v="1"/>
  </r>
  <r>
    <s v="ORD-01705"/>
    <d v="2024-11-26T00:00:00"/>
    <s v="CUST-0037"/>
    <s v="PROD-002"/>
    <s v="R018"/>
    <n v="1"/>
    <n v="2600"/>
    <n v="5.9"/>
    <n v="2446.6"/>
    <s v="Completed"/>
    <s v="Bengaluru"/>
    <s v="Electronics"/>
    <s v="East"/>
    <s v="Nov-24"/>
    <x v="3"/>
  </r>
  <r>
    <s v="ORD-01706"/>
    <d v="2024-11-07T00:00:00"/>
    <s v="CUST-0081"/>
    <s v="PROD-025"/>
    <s v="R003"/>
    <n v="10"/>
    <n v="4060"/>
    <n v="2.2999999999999998"/>
    <n v="39666.199999999997"/>
    <s v="Completed"/>
    <s v="Mumbai"/>
    <s v="Grocery"/>
    <s v="North"/>
    <s v="Nov-24"/>
    <x v="3"/>
  </r>
  <r>
    <s v="ORD-01707"/>
    <d v="2024-03-01T00:00:00"/>
    <s v="CUST-0279"/>
    <s v="PROD-001"/>
    <s v="R020"/>
    <n v="9"/>
    <n v="5330"/>
    <n v="23.5"/>
    <n v="36697.050000000003"/>
    <s v="Completed"/>
    <s v="Mumbai"/>
    <s v="Electronics"/>
    <s v="East"/>
    <s v="Mar-24"/>
    <x v="1"/>
  </r>
  <r>
    <s v="ORD-01708"/>
    <d v="2024-11-04T00:00:00"/>
    <s v="CUST-0129"/>
    <s v="PROD-043"/>
    <s v="R025"/>
    <n v="7"/>
    <n v="3350"/>
    <n v="13.4"/>
    <n v="20307.7"/>
    <s v="Pending"/>
    <s v="Hyderabad"/>
    <s v="Beauty"/>
    <s v="West"/>
    <s v="Nov-24"/>
    <x v="3"/>
  </r>
  <r>
    <s v="ORD-01709"/>
    <d v="2024-12-05T00:00:00"/>
    <s v="CUST-0010"/>
    <s v="PROD-017"/>
    <s v="R014"/>
    <n v="4"/>
    <n v="2510"/>
    <n v="26.6"/>
    <n v="7369.36"/>
    <s v="Completed"/>
    <s v="Mumbai"/>
    <s v="Apparel"/>
    <s v="South"/>
    <s v="Dec-24"/>
    <x v="3"/>
  </r>
  <r>
    <s v="ORD-01710"/>
    <d v="2024-06-13T00:00:00"/>
    <s v="CUST-0006"/>
    <s v="PROD-045"/>
    <s v="R021"/>
    <n v="1"/>
    <n v="3020"/>
    <n v="15.2"/>
    <n v="2560.96"/>
    <s v="Cancelled"/>
    <s v="Pune"/>
    <s v="Beauty"/>
    <s v="East"/>
    <s v="Jun-24"/>
    <x v="2"/>
  </r>
  <r>
    <s v="ORD-01711"/>
    <d v="2024-09-04T00:00:00"/>
    <s v="CUST-0206"/>
    <s v="PROD-020"/>
    <s v="R029"/>
    <n v="1"/>
    <n v="820"/>
    <n v="6.3"/>
    <n v="768.34"/>
    <s v="Completed"/>
    <s v="Mumbai"/>
    <s v="Apparel"/>
    <s v="West"/>
    <s v="Sep-24"/>
    <x v="0"/>
  </r>
  <r>
    <s v="ORD-01712"/>
    <d v="2024-07-15T00:00:00"/>
    <s v="CUST-0034"/>
    <s v="PROD-012"/>
    <s v="R027"/>
    <n v="4"/>
    <n v="3160"/>
    <n v="3.6"/>
    <n v="12184.96"/>
    <s v="Pending"/>
    <s v="Delhi"/>
    <s v="Apparel"/>
    <s v="West"/>
    <s v="Jul-24"/>
    <x v="0"/>
  </r>
  <r>
    <s v="ORD-01713"/>
    <d v="2024-03-19T00:00:00"/>
    <s v="CUST-0121"/>
    <s v="PROD-028"/>
    <s v="R012"/>
    <n v="1"/>
    <n v="3660"/>
    <n v="28.2"/>
    <n v="2627.88"/>
    <s v="Pending"/>
    <s v="Delhi"/>
    <s v="Grocery"/>
    <s v="South"/>
    <s v="Mar-24"/>
    <x v="1"/>
  </r>
  <r>
    <s v="ORD-01714"/>
    <d v="2024-04-12T00:00:00"/>
    <s v="CUST-0098"/>
    <s v="PROD-020"/>
    <s v="R026"/>
    <n v="2"/>
    <n v="820"/>
    <n v="7"/>
    <n v="1525.2"/>
    <s v="Completed"/>
    <s v="Delhi"/>
    <s v="Apparel"/>
    <s v="West"/>
    <s v="Apr-24"/>
    <x v="2"/>
  </r>
  <r>
    <s v="ORD-01715"/>
    <d v="2024-06-03T00:00:00"/>
    <s v="CUST-0031"/>
    <s v="PROD-023"/>
    <s v="R022"/>
    <n v="5"/>
    <n v="2380"/>
    <n v="23"/>
    <n v="9163"/>
    <s v="Completed"/>
    <s v="Hyderabad"/>
    <s v="Grocery"/>
    <s v="East"/>
    <s v="Jun-24"/>
    <x v="2"/>
  </r>
  <r>
    <s v="ORD-01716"/>
    <d v="2024-11-16T00:00:00"/>
    <s v="CUST-0185"/>
    <s v="PROD-004"/>
    <s v="R013"/>
    <n v="1"/>
    <n v="3870"/>
    <n v="27.3"/>
    <n v="2813.49"/>
    <s v="Completed"/>
    <s v="Hyderabad"/>
    <s v="Electronics"/>
    <s v="South"/>
    <s v="Nov-24"/>
    <x v="3"/>
  </r>
  <r>
    <s v="ORD-01717"/>
    <d v="2024-01-10T00:00:00"/>
    <s v="CUST-0011"/>
    <s v="PROD-005"/>
    <s v="R007"/>
    <n v="10"/>
    <n v="300"/>
    <n v="14.1"/>
    <n v="2577"/>
    <s v="Cancelled"/>
    <s v="Chennai"/>
    <s v="Electronics"/>
    <s v="North"/>
    <s v="Jan-24"/>
    <x v="1"/>
  </r>
  <r>
    <s v="ORD-01718"/>
    <d v="2024-12-21T00:00:00"/>
    <s v="CUST-0223"/>
    <s v="PROD-048"/>
    <s v="R027"/>
    <n v="10"/>
    <n v="5100"/>
    <n v="12.7"/>
    <n v="44523"/>
    <s v="Completed"/>
    <s v="Bengaluru"/>
    <s v="Beauty"/>
    <s v="West"/>
    <s v="Dec-24"/>
    <x v="3"/>
  </r>
  <r>
    <s v="ORD-01719"/>
    <d v="2024-10-24T00:00:00"/>
    <s v="CUST-0126"/>
    <s v="PROD-021"/>
    <s v="R013"/>
    <n v="1"/>
    <n v="2760"/>
    <n v="17.8"/>
    <n v="2268.7199999999998"/>
    <s v="Refunded"/>
    <s v="Mumbai"/>
    <s v="Grocery"/>
    <s v="South"/>
    <s v="Oct-24"/>
    <x v="3"/>
  </r>
  <r>
    <s v="ORD-01720"/>
    <d v="2024-03-31T00:00:00"/>
    <s v="CUST-0284"/>
    <s v="PROD-001"/>
    <s v="R002"/>
    <n v="8"/>
    <n v="5330"/>
    <n v="16.399999999999999"/>
    <n v="35647.040000000001"/>
    <s v="Completed"/>
    <s v="Hyderabad"/>
    <s v="Electronics"/>
    <s v="North"/>
    <s v="Mar-24"/>
    <x v="1"/>
  </r>
  <r>
    <s v="ORD-01721"/>
    <d v="2024-06-14T00:00:00"/>
    <s v="CUST-0011"/>
    <s v="PROD-054"/>
    <s v="R016"/>
    <n v="1"/>
    <n v="1010"/>
    <n v="20.399999999999999"/>
    <n v="803.96"/>
    <s v="Cancelled"/>
    <s v="Chennai"/>
    <s v="Sports"/>
    <s v="South"/>
    <s v="Jun-24"/>
    <x v="2"/>
  </r>
  <r>
    <s v="ORD-01722"/>
    <d v="2024-03-25T00:00:00"/>
    <s v="CUST-0275"/>
    <s v="PROD-008"/>
    <s v="R019"/>
    <n v="10"/>
    <n v="2660"/>
    <n v="29.3"/>
    <n v="18806.2"/>
    <s v="Completed"/>
    <s v="Mumbai"/>
    <s v="Electronics"/>
    <s v="East"/>
    <s v="Mar-24"/>
    <x v="1"/>
  </r>
  <r>
    <s v="ORD-01723"/>
    <d v="2024-08-02T00:00:00"/>
    <s v="CUST-0259"/>
    <s v="PROD-006"/>
    <s v="R011"/>
    <n v="9"/>
    <n v="3970"/>
    <n v="10.4"/>
    <n v="32014.080000000002"/>
    <s v="Pending"/>
    <s v="Mumbai"/>
    <s v="Electronics"/>
    <s v="South"/>
    <s v="Aug-24"/>
    <x v="0"/>
  </r>
  <r>
    <s v="ORD-01724"/>
    <d v="2024-06-29T00:00:00"/>
    <s v="CUST-0089"/>
    <s v="PROD-014"/>
    <s v="R008"/>
    <n v="3"/>
    <n v="3620"/>
    <n v="22"/>
    <n v="8470.7999999999993"/>
    <s v="Completed"/>
    <s v="Mumbai"/>
    <s v="Apparel"/>
    <s v="North"/>
    <s v="Jun-24"/>
    <x v="2"/>
  </r>
  <r>
    <s v="ORD-01725"/>
    <d v="2024-04-01T00:00:00"/>
    <s v="CUST-0232"/>
    <s v="PROD-022"/>
    <s v="R018"/>
    <n v="6"/>
    <n v="2270"/>
    <n v="11.1"/>
    <n v="12108.18"/>
    <s v="Cancelled"/>
    <s v="Hyderabad"/>
    <s v="Grocery"/>
    <s v="East"/>
    <s v="Apr-24"/>
    <x v="2"/>
  </r>
  <r>
    <s v="ORD-01726"/>
    <d v="2024-09-08T00:00:00"/>
    <s v="CUST-0220"/>
    <s v="PROD-022"/>
    <s v="R014"/>
    <n v="4"/>
    <n v="2270"/>
    <n v="27.2"/>
    <n v="6610.24"/>
    <s v="Pending"/>
    <s v="Chennai"/>
    <s v="Grocery"/>
    <s v="South"/>
    <s v="Sep-24"/>
    <x v="0"/>
  </r>
  <r>
    <s v="ORD-01727"/>
    <d v="2024-10-11T00:00:00"/>
    <s v="CUST-0137"/>
    <s v="PROD-039"/>
    <s v="R012"/>
    <n v="8"/>
    <n v="4610"/>
    <n v="24.5"/>
    <n v="27844.400000000001"/>
    <s v="Completed"/>
    <s v="Mumbai"/>
    <s v="Home"/>
    <s v="South"/>
    <s v="Oct-24"/>
    <x v="3"/>
  </r>
  <r>
    <s v="ORD-01728"/>
    <d v="2024-03-15T00:00:00"/>
    <s v="CUST-0132"/>
    <s v="PROD-060"/>
    <s v="R020"/>
    <n v="6"/>
    <n v="190"/>
    <n v="8.6999999999999993"/>
    <n v="1040.82"/>
    <s v="Cancelled"/>
    <s v="Delhi"/>
    <s v="Sports"/>
    <s v="East"/>
    <s v="Mar-24"/>
    <x v="1"/>
  </r>
  <r>
    <s v="ORD-01729"/>
    <d v="2024-11-21T00:00:00"/>
    <s v="CUST-0226"/>
    <s v="PROD-033"/>
    <s v="R026"/>
    <n v="5"/>
    <n v="2030"/>
    <n v="0.9"/>
    <n v="10058.65"/>
    <s v="Cancelled"/>
    <s v="Chennai"/>
    <s v="Home"/>
    <s v="West"/>
    <s v="Nov-24"/>
    <x v="3"/>
  </r>
  <r>
    <s v="ORD-01730"/>
    <d v="2024-11-18T00:00:00"/>
    <s v="CUST-0080"/>
    <s v="PROD-026"/>
    <s v="R020"/>
    <n v="1"/>
    <n v="4070"/>
    <n v="9.3000000000000007"/>
    <n v="3691.49"/>
    <s v="Refunded"/>
    <s v="Pune"/>
    <s v="Grocery"/>
    <s v="East"/>
    <s v="Nov-24"/>
    <x v="3"/>
  </r>
  <r>
    <s v="ORD-01731"/>
    <d v="2024-06-17T00:00:00"/>
    <s v="CUST-0068"/>
    <s v="PROD-042"/>
    <s v="R001"/>
    <n v="3"/>
    <n v="2290"/>
    <n v="12.1"/>
    <n v="6038.73"/>
    <s v="Completed"/>
    <s v="Delhi"/>
    <s v="Beauty"/>
    <s v="North"/>
    <s v="Jun-24"/>
    <x v="2"/>
  </r>
  <r>
    <s v="ORD-01732"/>
    <d v="2024-08-10T00:00:00"/>
    <s v="CUST-0146"/>
    <s v="PROD-031"/>
    <s v="R020"/>
    <n v="7"/>
    <n v="3730"/>
    <n v="4.5"/>
    <n v="24935.05"/>
    <s v="Completed"/>
    <s v="Hyderabad"/>
    <s v="Home"/>
    <s v="East"/>
    <s v="Aug-24"/>
    <x v="0"/>
  </r>
  <r>
    <s v="ORD-01733"/>
    <d v="2024-01-15T00:00:00"/>
    <s v="CUST-0106"/>
    <s v="PROD-016"/>
    <s v="R005"/>
    <n v="5"/>
    <n v="620"/>
    <n v="7.5"/>
    <n v="2867.5"/>
    <s v="Completed"/>
    <s v="Pune"/>
    <s v="Apparel"/>
    <s v="North"/>
    <s v="Jan-24"/>
    <x v="1"/>
  </r>
  <r>
    <s v="ORD-01734"/>
    <d v="2024-06-12T00:00:00"/>
    <s v="CUST-0096"/>
    <s v="PROD-010"/>
    <s v="R010"/>
    <n v="8"/>
    <n v="2640"/>
    <n v="16.399999999999999"/>
    <n v="17656.32"/>
    <s v="Completed"/>
    <s v="Delhi"/>
    <s v="Electronics"/>
    <s v="South"/>
    <s v="Jun-24"/>
    <x v="2"/>
  </r>
  <r>
    <s v="ORD-01735"/>
    <d v="2024-09-29T00:00:00"/>
    <s v="CUST-0248"/>
    <s v="PROD-028"/>
    <s v="R004"/>
    <n v="6"/>
    <n v="3660"/>
    <n v="6.2"/>
    <n v="20598.48"/>
    <s v="Completed"/>
    <s v="Chennai"/>
    <s v="Grocery"/>
    <s v="North"/>
    <s v="Sep-24"/>
    <x v="0"/>
  </r>
  <r>
    <s v="ORD-01736"/>
    <d v="2024-08-03T00:00:00"/>
    <s v="CUST-0297"/>
    <s v="PROD-020"/>
    <s v="R020"/>
    <n v="2"/>
    <n v="820"/>
    <n v="25.4"/>
    <n v="1223.44"/>
    <s v="Completed"/>
    <s v="Hyderabad"/>
    <s v="Apparel"/>
    <s v="East"/>
    <s v="Aug-24"/>
    <x v="0"/>
  </r>
  <r>
    <s v="ORD-01737"/>
    <d v="2024-10-31T00:00:00"/>
    <s v="CUST-0120"/>
    <s v="PROD-019"/>
    <s v="R021"/>
    <n v="3"/>
    <n v="2480"/>
    <n v="28.7"/>
    <n v="5304.72"/>
    <s v="Pending"/>
    <s v="Mumbai"/>
    <s v="Apparel"/>
    <s v="East"/>
    <s v="Oct-24"/>
    <x v="3"/>
  </r>
  <r>
    <s v="ORD-01738"/>
    <d v="2024-08-30T00:00:00"/>
    <s v="CUST-0148"/>
    <s v="PROD-050"/>
    <s v="R028"/>
    <n v="10"/>
    <n v="6080"/>
    <n v="18.899999999999999"/>
    <n v="49308.800000000003"/>
    <s v="Completed"/>
    <s v="Chennai"/>
    <s v="Beauty"/>
    <s v="West"/>
    <s v="Aug-24"/>
    <x v="0"/>
  </r>
  <r>
    <s v="ORD-01739"/>
    <d v="2024-02-14T00:00:00"/>
    <s v="CUST-0008"/>
    <s v="PROD-060"/>
    <s v="R022"/>
    <n v="1"/>
    <n v="190"/>
    <n v="5.7"/>
    <n v="179.17"/>
    <s v="Completed"/>
    <s v="Pune"/>
    <s v="Sports"/>
    <s v="East"/>
    <s v="Feb-24"/>
    <x v="1"/>
  </r>
  <r>
    <s v="ORD-01740"/>
    <d v="2024-06-20T00:00:00"/>
    <s v="CUST-0013"/>
    <s v="PROD-059"/>
    <s v="R026"/>
    <n v="2"/>
    <n v="3780"/>
    <n v="11.8"/>
    <n v="6667.92"/>
    <s v="Completed"/>
    <s v="Delhi"/>
    <s v="Sports"/>
    <s v="West"/>
    <s v="Jun-24"/>
    <x v="2"/>
  </r>
  <r>
    <s v="ORD-01741"/>
    <d v="2024-11-06T00:00:00"/>
    <s v="CUST-0234"/>
    <s v="PROD-036"/>
    <s v="R001"/>
    <n v="5"/>
    <n v="3250"/>
    <n v="19.899999999999999"/>
    <n v="13016.25"/>
    <s v="Completed"/>
    <s v="Bengaluru"/>
    <s v="Home"/>
    <s v="North"/>
    <s v="Nov-24"/>
    <x v="3"/>
  </r>
  <r>
    <s v="ORD-01742"/>
    <d v="2024-03-14T00:00:00"/>
    <s v="CUST-0207"/>
    <s v="PROD-033"/>
    <s v="R008"/>
    <n v="7"/>
    <n v="2030"/>
    <n v="4.0999999999999996"/>
    <n v="13627.39"/>
    <s v="Completed"/>
    <s v="Hyderabad"/>
    <s v="Home"/>
    <s v="North"/>
    <s v="Mar-24"/>
    <x v="1"/>
  </r>
  <r>
    <s v="ORD-01743"/>
    <d v="2024-12-25T00:00:00"/>
    <s v="CUST-0245"/>
    <s v="PROD-046"/>
    <s v="R012"/>
    <n v="5"/>
    <n v="4880"/>
    <n v="22.9"/>
    <n v="18812.400000000001"/>
    <s v="Completed"/>
    <s v="Hyderabad"/>
    <s v="Beauty"/>
    <s v="South"/>
    <s v="Dec-24"/>
    <x v="3"/>
  </r>
  <r>
    <s v="ORD-01744"/>
    <d v="2024-01-06T00:00:00"/>
    <s v="CUST-0044"/>
    <s v="PROD-043"/>
    <s v="R020"/>
    <n v="3"/>
    <n v="3350"/>
    <n v="15.2"/>
    <n v="8522.4"/>
    <s v="Pending"/>
    <s v="Hyderabad"/>
    <s v="Beauty"/>
    <s v="East"/>
    <s v="Jan-24"/>
    <x v="1"/>
  </r>
  <r>
    <s v="ORD-01745"/>
    <d v="2024-05-13T00:00:00"/>
    <s v="CUST-0264"/>
    <s v="PROD-055"/>
    <s v="R029"/>
    <n v="10"/>
    <n v="2860"/>
    <n v="15"/>
    <n v="24310"/>
    <s v="Completed"/>
    <s v="Pune"/>
    <s v="Sports"/>
    <s v="West"/>
    <s v="May-24"/>
    <x v="2"/>
  </r>
  <r>
    <s v="ORD-01746"/>
    <d v="2024-06-01T00:00:00"/>
    <s v="CUST-0193"/>
    <s v="PROD-047"/>
    <s v="R018"/>
    <n v="5"/>
    <n v="3450"/>
    <n v="2.2999999999999998"/>
    <n v="16853.25"/>
    <s v="Completed"/>
    <s v="Bengaluru"/>
    <s v="Beauty"/>
    <s v="East"/>
    <s v="Jun-24"/>
    <x v="2"/>
  </r>
  <r>
    <s v="ORD-01747"/>
    <d v="2024-04-15T00:00:00"/>
    <s v="CUST-0006"/>
    <s v="PROD-024"/>
    <s v="R015"/>
    <n v="3"/>
    <n v="2270"/>
    <n v="2.8"/>
    <n v="6619.32"/>
    <s v="Pending"/>
    <s v="Pune"/>
    <s v="Grocery"/>
    <s v="South"/>
    <s v="Apr-24"/>
    <x v="2"/>
  </r>
  <r>
    <s v="ORD-01748"/>
    <d v="2024-03-03T00:00:00"/>
    <s v="CUST-0221"/>
    <s v="PROD-028"/>
    <s v="R007"/>
    <n v="8"/>
    <n v="3660"/>
    <n v="16.8"/>
    <n v="24360.959999999999"/>
    <s v="Completed"/>
    <s v="Delhi"/>
    <s v="Grocery"/>
    <s v="North"/>
    <s v="Mar-24"/>
    <x v="1"/>
  </r>
  <r>
    <s v="ORD-01749"/>
    <d v="2024-06-26T00:00:00"/>
    <s v="CUST-0151"/>
    <s v="PROD-045"/>
    <s v="R008"/>
    <n v="7"/>
    <n v="3020"/>
    <n v="17.8"/>
    <n v="17377.080000000002"/>
    <s v="Completed"/>
    <s v="Mumbai"/>
    <s v="Beauty"/>
    <s v="North"/>
    <s v="Jun-24"/>
    <x v="2"/>
  </r>
  <r>
    <s v="ORD-01750"/>
    <d v="2024-10-22T00:00:00"/>
    <s v="CUST-0188"/>
    <s v="PROD-040"/>
    <s v="R014"/>
    <n v="7"/>
    <n v="1080"/>
    <n v="12.9"/>
    <n v="6584.76"/>
    <s v="Completed"/>
    <s v="Bengaluru"/>
    <s v="Home"/>
    <s v="South"/>
    <s v="Oct-24"/>
    <x v="3"/>
  </r>
  <r>
    <s v="ORD-01751"/>
    <d v="2024-07-21T00:00:00"/>
    <s v="CUST-0010"/>
    <s v="PROD-022"/>
    <s v="R012"/>
    <n v="2"/>
    <n v="2270"/>
    <n v="8.6"/>
    <n v="4149.5600000000004"/>
    <s v="Cancelled"/>
    <s v="Mumbai"/>
    <s v="Grocery"/>
    <s v="South"/>
    <s v="Jul-24"/>
    <x v="0"/>
  </r>
  <r>
    <s v="ORD-01752"/>
    <d v="2024-06-02T00:00:00"/>
    <s v="CUST-0018"/>
    <s v="PROD-016"/>
    <s v="R012"/>
    <n v="10"/>
    <n v="620"/>
    <n v="26.1"/>
    <n v="4581.8"/>
    <s v="Completed"/>
    <s v="Pune"/>
    <s v="Apparel"/>
    <s v="South"/>
    <s v="Jun-24"/>
    <x v="2"/>
  </r>
  <r>
    <s v="ORD-01753"/>
    <d v="2024-09-26T00:00:00"/>
    <s v="CUST-0262"/>
    <s v="PROD-025"/>
    <s v="R015"/>
    <n v="2"/>
    <n v="4060"/>
    <n v="3.8"/>
    <n v="7811.44"/>
    <s v="Completed"/>
    <s v="Mumbai"/>
    <s v="Grocery"/>
    <s v="South"/>
    <s v="Sep-24"/>
    <x v="0"/>
  </r>
  <r>
    <s v="ORD-01754"/>
    <d v="2024-07-15T00:00:00"/>
    <s v="CUST-0282"/>
    <s v="PROD-027"/>
    <s v="R012"/>
    <n v="1"/>
    <n v="3780"/>
    <n v="27.9"/>
    <n v="2725.38"/>
    <s v="Completed"/>
    <s v="Hyderabad"/>
    <s v="Grocery"/>
    <s v="South"/>
    <s v="Jul-24"/>
    <x v="0"/>
  </r>
  <r>
    <s v="ORD-01755"/>
    <d v="2024-11-21T00:00:00"/>
    <s v="CUST-0194"/>
    <s v="PROD-023"/>
    <s v="R022"/>
    <n v="8"/>
    <n v="2380"/>
    <n v="3.8"/>
    <n v="18316.48"/>
    <s v="Completed"/>
    <s v="Delhi"/>
    <s v="Grocery"/>
    <s v="East"/>
    <s v="Nov-24"/>
    <x v="3"/>
  </r>
  <r>
    <s v="ORD-01756"/>
    <d v="2024-03-27T00:00:00"/>
    <s v="CUST-0161"/>
    <s v="PROD-026"/>
    <s v="R024"/>
    <n v="7"/>
    <n v="4070"/>
    <n v="0.3"/>
    <n v="28404.53"/>
    <s v="Completed"/>
    <s v="Chennai"/>
    <s v="Grocery"/>
    <s v="West"/>
    <s v="Mar-24"/>
    <x v="1"/>
  </r>
  <r>
    <s v="ORD-01757"/>
    <d v="2024-06-16T00:00:00"/>
    <s v="CUST-0120"/>
    <s v="PROD-010"/>
    <s v="R020"/>
    <n v="6"/>
    <n v="2640"/>
    <n v="3.4"/>
    <n v="15301.44"/>
    <s v="Completed"/>
    <s v="Mumbai"/>
    <s v="Electronics"/>
    <s v="East"/>
    <s v="Jun-24"/>
    <x v="2"/>
  </r>
  <r>
    <s v="ORD-01758"/>
    <d v="2024-03-26T00:00:00"/>
    <s v="CUST-0250"/>
    <s v="PROD-059"/>
    <s v="R030"/>
    <n v="10"/>
    <n v="3780"/>
    <n v="13.3"/>
    <n v="32772.6"/>
    <s v="Completed"/>
    <s v="Delhi"/>
    <s v="Sports"/>
    <s v="West"/>
    <s v="Mar-24"/>
    <x v="1"/>
  </r>
  <r>
    <s v="ORD-01759"/>
    <d v="2024-01-11T00:00:00"/>
    <s v="CUST-0054"/>
    <s v="PROD-043"/>
    <s v="R009"/>
    <n v="9"/>
    <n v="3350"/>
    <n v="12.8"/>
    <n v="26290.799999999999"/>
    <s v="Completed"/>
    <s v="Mumbai"/>
    <s v="Beauty"/>
    <s v="South"/>
    <s v="Jan-24"/>
    <x v="1"/>
  </r>
  <r>
    <s v="ORD-01760"/>
    <d v="2024-06-16T00:00:00"/>
    <s v="CUST-0247"/>
    <s v="PROD-012"/>
    <s v="R024"/>
    <n v="7"/>
    <n v="3160"/>
    <n v="15.3"/>
    <n v="18735.64"/>
    <s v="Completed"/>
    <s v="Pune"/>
    <s v="Apparel"/>
    <s v="West"/>
    <s v="Jun-24"/>
    <x v="2"/>
  </r>
  <r>
    <s v="ORD-01761"/>
    <d v="2024-05-16T00:00:00"/>
    <s v="CUST-0127"/>
    <s v="PROD-055"/>
    <s v="R004"/>
    <n v="6"/>
    <n v="2860"/>
    <n v="17.5"/>
    <n v="14157"/>
    <s v="Completed"/>
    <s v="Bengaluru"/>
    <s v="Sports"/>
    <s v="North"/>
    <s v="May-24"/>
    <x v="2"/>
  </r>
  <r>
    <s v="ORD-01762"/>
    <d v="2024-02-19T00:00:00"/>
    <s v="CUST-0030"/>
    <s v="PROD-005"/>
    <s v="R010"/>
    <n v="9"/>
    <n v="300"/>
    <n v="25.2"/>
    <n v="2019.6"/>
    <s v="Completed"/>
    <s v="Bengaluru"/>
    <s v="Electronics"/>
    <s v="South"/>
    <s v="Feb-24"/>
    <x v="1"/>
  </r>
  <r>
    <s v="ORD-01763"/>
    <d v="2024-01-05T00:00:00"/>
    <s v="CUST-0205"/>
    <s v="PROD-060"/>
    <s v="R020"/>
    <n v="5"/>
    <n v="190"/>
    <n v="1.8"/>
    <n v="932.9"/>
    <s v="Completed"/>
    <s v="Pune"/>
    <s v="Sports"/>
    <s v="East"/>
    <s v="Jan-24"/>
    <x v="1"/>
  </r>
  <r>
    <s v="ORD-01764"/>
    <d v="2024-08-29T00:00:00"/>
    <s v="CUST-0172"/>
    <s v="PROD-054"/>
    <s v="R021"/>
    <n v="7"/>
    <n v="1010"/>
    <n v="11.2"/>
    <n v="6278.16"/>
    <s v="Completed"/>
    <s v="Pune"/>
    <s v="Sports"/>
    <s v="East"/>
    <s v="Aug-24"/>
    <x v="0"/>
  </r>
  <r>
    <s v="ORD-01765"/>
    <d v="2024-08-11T00:00:00"/>
    <s v="CUST-0283"/>
    <s v="PROD-051"/>
    <s v="R001"/>
    <n v="8"/>
    <n v="3450"/>
    <n v="8.4"/>
    <n v="25281.599999999999"/>
    <s v="Completed"/>
    <s v="Delhi"/>
    <s v="Sports"/>
    <s v="North"/>
    <s v="Aug-24"/>
    <x v="0"/>
  </r>
  <r>
    <s v="ORD-01766"/>
    <d v="2024-11-01T00:00:00"/>
    <s v="CUST-0005"/>
    <s v="PROD-005"/>
    <s v="R001"/>
    <n v="3"/>
    <n v="300"/>
    <n v="7.5"/>
    <n v="832.5"/>
    <s v="Refunded"/>
    <s v="Chennai"/>
    <s v="Electronics"/>
    <s v="North"/>
    <s v="Nov-24"/>
    <x v="3"/>
  </r>
  <r>
    <s v="ORD-01767"/>
    <d v="2024-03-19T00:00:00"/>
    <s v="CUST-0095"/>
    <s v="PROD-031"/>
    <s v="R018"/>
    <n v="4"/>
    <n v="3730"/>
    <n v="24.8"/>
    <n v="11219.84"/>
    <s v="Completed"/>
    <s v="Mumbai"/>
    <s v="Home"/>
    <s v="East"/>
    <s v="Mar-24"/>
    <x v="1"/>
  </r>
  <r>
    <s v="ORD-01768"/>
    <d v="2024-06-19T00:00:00"/>
    <s v="CUST-0142"/>
    <s v="PROD-058"/>
    <s v="R020"/>
    <n v="5"/>
    <n v="2400"/>
    <n v="9.1999999999999993"/>
    <n v="10896"/>
    <s v="Completed"/>
    <s v="Chennai"/>
    <s v="Sports"/>
    <s v="East"/>
    <s v="Jun-24"/>
    <x v="2"/>
  </r>
  <r>
    <s v="ORD-01769"/>
    <d v="2024-11-13T00:00:00"/>
    <s v="CUST-0028"/>
    <s v="PROD-021"/>
    <s v="R001"/>
    <n v="3"/>
    <n v="2760"/>
    <n v="2.4"/>
    <n v="8081.28"/>
    <s v="Completed"/>
    <s v="Bengaluru"/>
    <s v="Grocery"/>
    <s v="North"/>
    <s v="Nov-24"/>
    <x v="3"/>
  </r>
  <r>
    <s v="ORD-01770"/>
    <d v="2024-09-13T00:00:00"/>
    <s v="CUST-0118"/>
    <s v="PROD-053"/>
    <s v="R009"/>
    <n v="8"/>
    <n v="470"/>
    <n v="24.8"/>
    <n v="2827.52"/>
    <s v="Pending"/>
    <s v="Hyderabad"/>
    <s v="Sports"/>
    <s v="South"/>
    <s v="Sep-24"/>
    <x v="0"/>
  </r>
  <r>
    <s v="ORD-01771"/>
    <d v="2024-12-07T00:00:00"/>
    <s v="CUST-0231"/>
    <s v="PROD-053"/>
    <s v="R027"/>
    <n v="3"/>
    <n v="470"/>
    <n v="18.600000000000001"/>
    <n v="1147.74"/>
    <s v="Completed"/>
    <s v="Chennai"/>
    <s v="Sports"/>
    <s v="West"/>
    <s v="Dec-24"/>
    <x v="3"/>
  </r>
  <r>
    <s v="ORD-01772"/>
    <d v="2024-10-15T00:00:00"/>
    <s v="CUST-0264"/>
    <s v="PROD-032"/>
    <s v="R028"/>
    <n v="2"/>
    <n v="370"/>
    <n v="24"/>
    <n v="562.4"/>
    <s v="Completed"/>
    <s v="Pune"/>
    <s v="Home"/>
    <s v="West"/>
    <s v="Oct-24"/>
    <x v="3"/>
  </r>
  <r>
    <s v="ORD-01773"/>
    <d v="2024-02-07T00:00:00"/>
    <s v="CUST-0120"/>
    <s v="PROD-029"/>
    <s v="R001"/>
    <n v="6"/>
    <n v="2210"/>
    <n v="28.3"/>
    <n v="9507.42"/>
    <s v="Cancelled"/>
    <s v="Mumbai"/>
    <s v="Grocery"/>
    <s v="North"/>
    <s v="Feb-24"/>
    <x v="1"/>
  </r>
  <r>
    <s v="ORD-01774"/>
    <d v="2024-09-14T00:00:00"/>
    <s v="CUST-0185"/>
    <s v="PROD-056"/>
    <s v="R002"/>
    <n v="3"/>
    <n v="6940"/>
    <n v="27.2"/>
    <n v="15156.96"/>
    <s v="Refunded"/>
    <s v="Hyderabad"/>
    <s v="Sports"/>
    <s v="North"/>
    <s v="Sep-24"/>
    <x v="0"/>
  </r>
  <r>
    <s v="ORD-01775"/>
    <d v="2024-05-11T00:00:00"/>
    <s v="CUST-0174"/>
    <s v="PROD-033"/>
    <s v="R018"/>
    <n v="10"/>
    <n v="2030"/>
    <n v="25.6"/>
    <n v="15103.2"/>
    <s v="Completed"/>
    <s v="Pune"/>
    <s v="Home"/>
    <s v="East"/>
    <s v="May-24"/>
    <x v="2"/>
  </r>
  <r>
    <s v="ORD-01776"/>
    <d v="2024-08-29T00:00:00"/>
    <s v="CUST-0174"/>
    <s v="PROD-054"/>
    <s v="R017"/>
    <n v="9"/>
    <n v="1010"/>
    <n v="9.3000000000000007"/>
    <n v="8244.6299999999992"/>
    <s v="Completed"/>
    <s v="Pune"/>
    <s v="Sports"/>
    <s v="East"/>
    <s v="Aug-24"/>
    <x v="0"/>
  </r>
  <r>
    <s v="ORD-01777"/>
    <d v="2024-10-06T00:00:00"/>
    <s v="CUST-0084"/>
    <s v="PROD-017"/>
    <s v="R002"/>
    <n v="5"/>
    <n v="2510"/>
    <n v="22.2"/>
    <n v="9763.9"/>
    <s v="Completed"/>
    <s v="Chennai"/>
    <s v="Apparel"/>
    <s v="North"/>
    <s v="Oct-24"/>
    <x v="3"/>
  </r>
  <r>
    <s v="ORD-01778"/>
    <d v="2024-05-29T00:00:00"/>
    <s v="CUST-0270"/>
    <s v="PROD-032"/>
    <s v="R002"/>
    <n v="10"/>
    <n v="370"/>
    <n v="29"/>
    <n v="2627"/>
    <s v="Completed"/>
    <s v="Bengaluru"/>
    <s v="Home"/>
    <s v="North"/>
    <s v="May-24"/>
    <x v="2"/>
  </r>
  <r>
    <s v="ORD-01779"/>
    <d v="2024-04-21T00:00:00"/>
    <s v="CUST-0178"/>
    <s v="PROD-019"/>
    <s v="R021"/>
    <n v="3"/>
    <n v="2480"/>
    <n v="9.6"/>
    <n v="6725.76"/>
    <s v="Completed"/>
    <s v="Hyderabad"/>
    <s v="Apparel"/>
    <s v="East"/>
    <s v="Apr-24"/>
    <x v="2"/>
  </r>
  <r>
    <s v="ORD-01780"/>
    <d v="2024-12-18T00:00:00"/>
    <s v="CUST-0019"/>
    <s v="PROD-010"/>
    <s v="R017"/>
    <n v="3"/>
    <n v="2640"/>
    <n v="10.199999999999999"/>
    <n v="7112.16"/>
    <s v="Cancelled"/>
    <s v="Chennai"/>
    <s v="Electronics"/>
    <s v="East"/>
    <s v="Dec-24"/>
    <x v="3"/>
  </r>
  <r>
    <s v="ORD-01781"/>
    <d v="2024-07-31T00:00:00"/>
    <s v="CUST-0276"/>
    <s v="PROD-035"/>
    <s v="R020"/>
    <n v="1"/>
    <n v="1090"/>
    <n v="21.6"/>
    <n v="854.56"/>
    <s v="Cancelled"/>
    <s v="Chennai"/>
    <s v="Home"/>
    <s v="East"/>
    <s v="Jul-24"/>
    <x v="0"/>
  </r>
  <r>
    <s v="ORD-01782"/>
    <d v="2024-11-10T00:00:00"/>
    <s v="CUST-0076"/>
    <s v="PROD-043"/>
    <s v="R002"/>
    <n v="10"/>
    <n v="3350"/>
    <n v="12.1"/>
    <n v="29446.5"/>
    <s v="Completed"/>
    <s v="Mumbai"/>
    <s v="Beauty"/>
    <s v="North"/>
    <s v="Nov-24"/>
    <x v="3"/>
  </r>
  <r>
    <s v="ORD-01783"/>
    <d v="2024-09-27T00:00:00"/>
    <s v="CUST-0085"/>
    <s v="PROD-050"/>
    <s v="R015"/>
    <n v="4"/>
    <n v="6080"/>
    <n v="26.7"/>
    <n v="17826.560000000001"/>
    <s v="Cancelled"/>
    <s v="Chennai"/>
    <s v="Beauty"/>
    <s v="South"/>
    <s v="Sep-24"/>
    <x v="0"/>
  </r>
  <r>
    <s v="ORD-01784"/>
    <d v="2024-03-21T00:00:00"/>
    <s v="CUST-0245"/>
    <s v="PROD-049"/>
    <s v="R002"/>
    <n v="3"/>
    <n v="960"/>
    <n v="13.2"/>
    <n v="2499.84"/>
    <s v="Completed"/>
    <s v="Hyderabad"/>
    <s v="Beauty"/>
    <s v="North"/>
    <s v="Mar-24"/>
    <x v="1"/>
  </r>
  <r>
    <s v="ORD-01785"/>
    <d v="2024-11-14T00:00:00"/>
    <s v="CUST-0135"/>
    <s v="PROD-028"/>
    <s v="R007"/>
    <n v="9"/>
    <n v="3660"/>
    <n v="9.3000000000000007"/>
    <n v="29876.58"/>
    <s v="Cancelled"/>
    <s v="Pune"/>
    <s v="Grocery"/>
    <s v="North"/>
    <s v="Nov-24"/>
    <x v="3"/>
  </r>
  <r>
    <s v="ORD-01786"/>
    <d v="2024-04-06T00:00:00"/>
    <s v="CUST-0224"/>
    <s v="PROD-047"/>
    <s v="R019"/>
    <n v="6"/>
    <n v="3450"/>
    <n v="8.1999999999999993"/>
    <n v="19002.599999999999"/>
    <s v="Completed"/>
    <s v="Chennai"/>
    <s v="Beauty"/>
    <s v="East"/>
    <s v="Apr-24"/>
    <x v="2"/>
  </r>
  <r>
    <s v="ORD-01787"/>
    <d v="2024-05-09T00:00:00"/>
    <s v="CUST-0036"/>
    <s v="PROD-039"/>
    <s v="R020"/>
    <n v="7"/>
    <n v="4610"/>
    <n v="10.4"/>
    <n v="28913.919999999998"/>
    <s v="Completed"/>
    <s v="Mumbai"/>
    <s v="Home"/>
    <s v="East"/>
    <s v="May-24"/>
    <x v="2"/>
  </r>
  <r>
    <s v="ORD-01788"/>
    <d v="2024-08-25T00:00:00"/>
    <s v="CUST-0197"/>
    <s v="PROD-057"/>
    <s v="R009"/>
    <n v="2"/>
    <n v="960"/>
    <n v="16.5"/>
    <n v="1603.2"/>
    <s v="Completed"/>
    <s v="Bengaluru"/>
    <s v="Sports"/>
    <s v="South"/>
    <s v="Aug-24"/>
    <x v="0"/>
  </r>
  <r>
    <s v="ORD-01789"/>
    <d v="2024-09-18T00:00:00"/>
    <s v="CUST-0111"/>
    <s v="PROD-032"/>
    <s v="R023"/>
    <n v="7"/>
    <n v="370"/>
    <n v="1.4"/>
    <n v="2553.7399999999998"/>
    <s v="Refunded"/>
    <s v="Chennai"/>
    <s v="Home"/>
    <s v="East"/>
    <s v="Sep-24"/>
    <x v="0"/>
  </r>
  <r>
    <s v="ORD-01790"/>
    <d v="2024-08-31T00:00:00"/>
    <s v="CUST-0198"/>
    <s v="PROD-024"/>
    <s v="R004"/>
    <n v="3"/>
    <n v="2270"/>
    <n v="12.6"/>
    <n v="5951.94"/>
    <s v="Completed"/>
    <s v="Chennai"/>
    <s v="Grocery"/>
    <s v="North"/>
    <s v="Aug-24"/>
    <x v="0"/>
  </r>
  <r>
    <s v="ORD-00268"/>
    <d v="2024-01-10T00:00:00"/>
    <s v="CUST-0049"/>
    <s v="PROD-036"/>
    <s v="R014"/>
    <n v="1"/>
    <n v="3250"/>
    <n v="17.8"/>
    <n v="2671.5"/>
    <s v="Completed"/>
    <s v="Mumbai"/>
    <s v="Home"/>
    <s v="South"/>
    <s v="Jan-24"/>
    <x v="1"/>
  </r>
  <r>
    <s v="ORD-01792"/>
    <d v="2024-04-22T00:00:00"/>
    <s v="CUST-0029"/>
    <s v="PROD-016"/>
    <s v="R018"/>
    <n v="5"/>
    <n v="620"/>
    <n v="19.399999999999999"/>
    <n v="2498.6"/>
    <s v="Pending"/>
    <s v="Chennai"/>
    <s v="Apparel"/>
    <s v="East"/>
    <s v="Apr-24"/>
    <x v="2"/>
  </r>
  <r>
    <s v="ORD-01793"/>
    <d v="2024-11-04T00:00:00"/>
    <s v="CUST-0018"/>
    <s v="PROD-008"/>
    <s v="R005"/>
    <n v="6"/>
    <n v="2660"/>
    <n v="14.9"/>
    <n v="13581.96"/>
    <s v="Completed"/>
    <s v="Pune"/>
    <s v="Electronics"/>
    <s v="North"/>
    <s v="Nov-24"/>
    <x v="3"/>
  </r>
  <r>
    <s v="ORD-01794"/>
    <d v="2024-08-22T00:00:00"/>
    <s v="CUST-0007"/>
    <s v="PROD-014"/>
    <s v="R001"/>
    <n v="5"/>
    <n v="3620"/>
    <n v="21"/>
    <n v="14299"/>
    <s v="Cancelled"/>
    <s v="Bengaluru"/>
    <s v="Apparel"/>
    <s v="North"/>
    <s v="Aug-24"/>
    <x v="0"/>
  </r>
  <r>
    <s v="ORD-01795"/>
    <d v="2024-10-15T00:00:00"/>
    <s v="CUST-0014"/>
    <s v="PROD-013"/>
    <s v="R021"/>
    <n v="1"/>
    <n v="3640"/>
    <n v="15.8"/>
    <n v="3064.88"/>
    <s v="Completed"/>
    <s v="Bengaluru"/>
    <s v="Apparel"/>
    <s v="East"/>
    <s v="Oct-24"/>
    <x v="3"/>
  </r>
  <r>
    <s v="ORD-01796"/>
    <d v="2024-06-01T00:00:00"/>
    <s v="CUST-0215"/>
    <s v="PROD-009"/>
    <s v="R007"/>
    <n v="1"/>
    <n v="1220"/>
    <n v="0.6"/>
    <n v="1212.68"/>
    <s v="Refunded"/>
    <s v="Hyderabad"/>
    <s v="Electronics"/>
    <s v="North"/>
    <s v="Jun-24"/>
    <x v="2"/>
  </r>
  <r>
    <s v="ORD-01797"/>
    <d v="2024-02-28T00:00:00"/>
    <s v="CUST-0056"/>
    <s v="PROD-019"/>
    <s v="R002"/>
    <n v="10"/>
    <n v="2480"/>
    <n v="0.6"/>
    <n v="24651.200000000001"/>
    <s v="Completed"/>
    <s v="Bengaluru"/>
    <s v="Apparel"/>
    <s v="North"/>
    <s v="Feb-24"/>
    <x v="1"/>
  </r>
  <r>
    <s v="ORD-01798"/>
    <d v="2024-12-08T00:00:00"/>
    <s v="CUST-0231"/>
    <s v="PROD-044"/>
    <s v="R027"/>
    <n v="9"/>
    <n v="1650"/>
    <n v="26.8"/>
    <n v="10870.2"/>
    <s v="Completed"/>
    <s v="Chennai"/>
    <s v="Beauty"/>
    <s v="West"/>
    <s v="Dec-24"/>
    <x v="3"/>
  </r>
  <r>
    <s v="ORD-01799"/>
    <d v="2024-09-25T00:00:00"/>
    <s v="CUST-0138"/>
    <s v="PROD-045"/>
    <s v="R008"/>
    <n v="10"/>
    <n v="3020"/>
    <n v="2.6"/>
    <n v="29414.799999999999"/>
    <s v="Completed"/>
    <s v="Chennai"/>
    <s v="Beauty"/>
    <s v="North"/>
    <s v="Sep-24"/>
    <x v="0"/>
  </r>
  <r>
    <s v="ORD-01800"/>
    <d v="2024-09-09T00:00:00"/>
    <s v="CUST-0007"/>
    <s v="PROD-011"/>
    <s v="R014"/>
    <n v="5"/>
    <n v="3450"/>
    <n v="25.3"/>
    <n v="12885.75"/>
    <s v="Completed"/>
    <s v="Bengaluru"/>
    <s v="Apparel"/>
    <s v="South"/>
    <s v="Sep-24"/>
    <x v="0"/>
  </r>
  <r>
    <s v="ORD-01801"/>
    <d v="2024-06-14T00:00:00"/>
    <s v="CUST-0118"/>
    <s v="PROD-009"/>
    <s v="R019"/>
    <n v="7"/>
    <n v="1220"/>
    <n v="13.1"/>
    <n v="7421.26"/>
    <s v="Completed"/>
    <s v="Hyderabad"/>
    <s v="Electronics"/>
    <s v="East"/>
    <s v="Jun-24"/>
    <x v="2"/>
  </r>
  <r>
    <s v="ORD-01802"/>
    <d v="2024-10-13T00:00:00"/>
    <s v="CUST-0064"/>
    <s v="PROD-027"/>
    <s v="R005"/>
    <n v="10"/>
    <n v="3780"/>
    <n v="23.7"/>
    <n v="28841.4"/>
    <s v="Completed"/>
    <s v="Hyderabad"/>
    <s v="Grocery"/>
    <s v="North"/>
    <s v="Oct-24"/>
    <x v="3"/>
  </r>
  <r>
    <s v="ORD-01803"/>
    <d v="2024-04-23T00:00:00"/>
    <s v="CUST-0298"/>
    <s v="PROD-008"/>
    <s v="R002"/>
    <n v="8"/>
    <n v="2660"/>
    <n v="16.100000000000001"/>
    <n v="17853.919999999998"/>
    <s v="Completed"/>
    <s v="Delhi"/>
    <s v="Electronics"/>
    <s v="North"/>
    <s v="Apr-24"/>
    <x v="2"/>
  </r>
  <r>
    <s v="ORD-01804"/>
    <d v="2024-02-16T00:00:00"/>
    <s v="CUST-0020"/>
    <s v="PROD-035"/>
    <s v="R008"/>
    <n v="6"/>
    <n v="1090"/>
    <n v="20"/>
    <n v="5232"/>
    <s v="Pending"/>
    <s v="Hyderabad"/>
    <s v="Home"/>
    <s v="North"/>
    <s v="Feb-24"/>
    <x v="1"/>
  </r>
  <r>
    <s v="ORD-01805"/>
    <d v="2024-02-02T00:00:00"/>
    <s v="CUST-9725"/>
    <s v="PROD-037"/>
    <s v="R016"/>
    <n v="2"/>
    <n v="660"/>
    <n v="18.7"/>
    <n v="1073.1600000000001"/>
    <s v="Completed"/>
    <s v="Mumbai"/>
    <s v="Home"/>
    <s v="South"/>
    <s v="Feb-24"/>
    <x v="1"/>
  </r>
  <r>
    <s v="ORD-01806"/>
    <d v="2024-02-10T00:00:00"/>
    <s v="CUST-0063"/>
    <s v="PROD-035"/>
    <s v="R015"/>
    <n v="7"/>
    <n v="1090"/>
    <n v="19.399999999999999"/>
    <n v="6149.78"/>
    <s v="Pending"/>
    <s v="Mumbai"/>
    <s v="Home"/>
    <s v="South"/>
    <s v="Feb-24"/>
    <x v="1"/>
  </r>
  <r>
    <s v="ORD-01807"/>
    <d v="2024-05-17T00:00:00"/>
    <s v="CUST-0193"/>
    <s v="PROD-029"/>
    <s v="R015"/>
    <n v="3"/>
    <n v="2210"/>
    <n v="11"/>
    <n v="5900.7"/>
    <s v="Completed"/>
    <s v="Bengaluru"/>
    <s v="Grocery"/>
    <s v="South"/>
    <s v="May-24"/>
    <x v="2"/>
  </r>
  <r>
    <s v="ORD-01808"/>
    <d v="2024-05-08T00:00:00"/>
    <s v="CUST-0142"/>
    <s v="PROD-006"/>
    <s v="R029"/>
    <n v="2"/>
    <n v="3970"/>
    <n v="24.9"/>
    <n v="5962.94"/>
    <s v="Completed"/>
    <s v="Chennai"/>
    <s v="Electronics"/>
    <s v="West"/>
    <s v="May-24"/>
    <x v="2"/>
  </r>
  <r>
    <s v="ORD-01809"/>
    <d v="2024-04-21T00:00:00"/>
    <s v="CUST-0264"/>
    <s v="PROD-039"/>
    <s v="R021"/>
    <n v="7"/>
    <n v="4610"/>
    <n v="6.3"/>
    <n v="30236.99"/>
    <s v="Completed"/>
    <s v="Pune"/>
    <s v="Home"/>
    <s v="East"/>
    <s v="Apr-24"/>
    <x v="2"/>
  </r>
  <r>
    <s v="ORD-01810"/>
    <d v="2024-04-21T00:00:00"/>
    <s v="CUST-0121"/>
    <s v="PROD-049"/>
    <s v="R026"/>
    <n v="10"/>
    <n v="960"/>
    <n v="14.6"/>
    <n v="8198.4"/>
    <s v="Completed"/>
    <s v="Delhi"/>
    <s v="Beauty"/>
    <s v="West"/>
    <s v="Apr-24"/>
    <x v="2"/>
  </r>
  <r>
    <s v="ORD-01811"/>
    <d v="2024-11-04T00:00:00"/>
    <s v="CUST-0152"/>
    <s v="PROD-045"/>
    <s v="R016"/>
    <n v="8"/>
    <n v="3020"/>
    <n v="14.5"/>
    <n v="20656.8"/>
    <s v="Completed"/>
    <s v="Bengaluru"/>
    <s v="Beauty"/>
    <s v="South"/>
    <s v="Nov-24"/>
    <x v="3"/>
  </r>
  <r>
    <s v="ORD-01812"/>
    <d v="2024-12-03T00:00:00"/>
    <s v="CUST-0008"/>
    <s v="PROD-019"/>
    <s v="R026"/>
    <n v="7"/>
    <n v="2480"/>
    <n v="17.3"/>
    <n v="14356.72"/>
    <s v="Completed"/>
    <s v="Pune"/>
    <s v="Apparel"/>
    <s v="West"/>
    <s v="Dec-24"/>
    <x v="3"/>
  </r>
  <r>
    <s v="ORD-01813"/>
    <d v="2024-02-08T00:00:00"/>
    <s v="CUST-0285"/>
    <s v="PROD-004"/>
    <s v="R013"/>
    <n v="10"/>
    <n v="3870"/>
    <n v="22.4"/>
    <n v="30031.200000000001"/>
    <s v="Pending"/>
    <s v="Hyderabad"/>
    <s v="Electronics"/>
    <s v="South"/>
    <s v="Feb-24"/>
    <x v="1"/>
  </r>
  <r>
    <s v="ORD-01814"/>
    <d v="2024-09-16T00:00:00"/>
    <s v="CUST-0072"/>
    <s v="PROD-037"/>
    <s v="R022"/>
    <n v="6"/>
    <n v="660"/>
    <n v="27.3"/>
    <n v="2878.92"/>
    <s v="Completed"/>
    <s v="Mumbai"/>
    <s v="Home"/>
    <s v="East"/>
    <s v="Sep-24"/>
    <x v="0"/>
  </r>
  <r>
    <s v="ORD-01815"/>
    <d v="2024-01-30T00:00:00"/>
    <s v="CUST-9630"/>
    <s v="PROD-004"/>
    <s v="R026"/>
    <n v="3"/>
    <n v="3870"/>
    <n v="7.6"/>
    <n v="10727.64"/>
    <s v="Cancelled"/>
    <s v="Chennai"/>
    <s v="Electronics"/>
    <s v="West"/>
    <s v="Jan-24"/>
    <x v="1"/>
  </r>
  <r>
    <s v="ORD-01816"/>
    <d v="2024-09-07T00:00:00"/>
    <s v="CUST-0243"/>
    <s v="PROD-019"/>
    <s v="R006"/>
    <n v="10"/>
    <n v="2480"/>
    <n v="21.5"/>
    <n v="19468"/>
    <s v="Pending"/>
    <s v="Pune"/>
    <s v="Apparel"/>
    <s v="North"/>
    <s v="Sep-24"/>
    <x v="0"/>
  </r>
  <r>
    <s v="ORD-01817"/>
    <d v="2024-12-17T00:00:00"/>
    <s v="CUST-0231"/>
    <s v="PROD-010"/>
    <s v="R001"/>
    <n v="8"/>
    <n v="2640"/>
    <n v="22.3"/>
    <n v="16410.240000000002"/>
    <s v="Completed"/>
    <s v="Chennai"/>
    <s v="Electronics"/>
    <s v="North"/>
    <s v="Dec-24"/>
    <x v="3"/>
  </r>
  <r>
    <s v="ORD-01818"/>
    <d v="2024-09-24T00:00:00"/>
    <s v="CUST-0229"/>
    <s v="PROD-030"/>
    <s v="R001"/>
    <n v="8"/>
    <n v="970"/>
    <n v="13.1"/>
    <n v="6743.44"/>
    <s v="Completed"/>
    <s v="Hyderabad"/>
    <s v="Grocery"/>
    <s v="North"/>
    <s v="Sep-24"/>
    <x v="0"/>
  </r>
  <r>
    <s v="ORD-01819"/>
    <d v="2024-05-04T00:00:00"/>
    <s v="CUST-0218"/>
    <s v="PROD-057"/>
    <s v="R001"/>
    <n v="6"/>
    <n v="960"/>
    <n v="3.2"/>
    <n v="5575.68"/>
    <s v="Completed"/>
    <s v="Mumbai"/>
    <s v="Sports"/>
    <s v="North"/>
    <s v="May-24"/>
    <x v="2"/>
  </r>
  <r>
    <s v="ORD-01820"/>
    <d v="2024-06-26T00:00:00"/>
    <s v="CUST-0015"/>
    <s v="PROD-033"/>
    <s v="R008"/>
    <n v="9"/>
    <n v="2030"/>
    <n v="12.6"/>
    <n v="15967.98"/>
    <s v="Cancelled"/>
    <s v="Chennai"/>
    <s v="Home"/>
    <s v="North"/>
    <s v="Jun-24"/>
    <x v="2"/>
  </r>
  <r>
    <s v="ORD-01821"/>
    <d v="2024-04-05T00:00:00"/>
    <s v="CUST-0291"/>
    <s v="PROD-042"/>
    <s v="R024"/>
    <n v="10"/>
    <n v="2290"/>
    <n v="22.2"/>
    <n v="17816.2"/>
    <s v="Completed"/>
    <s v="Pune"/>
    <s v="Beauty"/>
    <s v="West"/>
    <s v="Apr-24"/>
    <x v="2"/>
  </r>
  <r>
    <s v="ORD-01822"/>
    <d v="2024-03-22T00:00:00"/>
    <s v="CUST-0276"/>
    <s v="PROD-020"/>
    <s v="R027"/>
    <n v="7"/>
    <n v="820"/>
    <n v="6.4"/>
    <n v="5372.64"/>
    <s v="Refunded"/>
    <s v="Chennai"/>
    <s v="Apparel"/>
    <s v="West"/>
    <s v="Mar-24"/>
    <x v="1"/>
  </r>
  <r>
    <s v="ORD-01823"/>
    <d v="2024-11-18T00:00:00"/>
    <s v="CUST-0139"/>
    <s v="PROD-040"/>
    <s v="R030"/>
    <n v="5"/>
    <n v="1080"/>
    <n v="6"/>
    <n v="5076"/>
    <s v="Completed"/>
    <s v="Hyderabad"/>
    <s v="Home"/>
    <s v="West"/>
    <s v="Nov-24"/>
    <x v="3"/>
  </r>
  <r>
    <s v="ORD-01824"/>
    <d v="2024-01-19T00:00:00"/>
    <s v="CUST-0087"/>
    <s v="PROD-060"/>
    <s v="R028"/>
    <n v="4"/>
    <n v="190"/>
    <n v="6.3"/>
    <n v="712.12"/>
    <s v="Refunded"/>
    <s v="Pune"/>
    <s v="Sports"/>
    <s v="West"/>
    <s v="Jan-24"/>
    <x v="1"/>
  </r>
  <r>
    <s v="ORD-01825"/>
    <d v="2024-01-28T00:00:00"/>
    <s v="CUST-0203"/>
    <s v="PROD-017"/>
    <s v="R029"/>
    <n v="6"/>
    <n v="2510"/>
    <n v="11.5"/>
    <n v="13328.1"/>
    <s v="Completed"/>
    <s v="Chennai"/>
    <s v="Apparel"/>
    <s v="West"/>
    <s v="Jan-24"/>
    <x v="1"/>
  </r>
  <r>
    <s v="ORD-01826"/>
    <d v="2024-01-08T00:00:00"/>
    <s v="CUST-0180"/>
    <s v="PROD-018"/>
    <s v="R015"/>
    <n v="2"/>
    <n v="3560"/>
    <n v="10.5"/>
    <n v="6372.4"/>
    <s v="Completed"/>
    <s v="Chennai"/>
    <s v="Apparel"/>
    <s v="South"/>
    <s v="Jan-24"/>
    <x v="1"/>
  </r>
  <r>
    <s v="ORD-01827"/>
    <d v="2024-09-21T00:00:00"/>
    <s v="CUST-0130"/>
    <s v="PROD-020"/>
    <s v="R013"/>
    <n v="3"/>
    <n v="820"/>
    <n v="13"/>
    <n v="2140.1999999999998"/>
    <s v="Cancelled"/>
    <s v="Bengaluru"/>
    <s v="Apparel"/>
    <s v="South"/>
    <s v="Sep-24"/>
    <x v="0"/>
  </r>
  <r>
    <s v="ORD-01828"/>
    <d v="2024-07-27T00:00:00"/>
    <s v="CUST-0049"/>
    <s v="PROD-013"/>
    <s v="R003"/>
    <n v="6"/>
    <n v="3640"/>
    <n v="14"/>
    <n v="18782.400000000001"/>
    <s v="Completed"/>
    <s v="Mumbai"/>
    <s v="Apparel"/>
    <s v="North"/>
    <s v="Jul-24"/>
    <x v="0"/>
  </r>
  <r>
    <s v="ORD-01829"/>
    <d v="2024-03-19T00:00:00"/>
    <s v="CUST-0182"/>
    <s v="PROD-028"/>
    <s v="R019"/>
    <n v="5"/>
    <n v="3660"/>
    <n v="28.7"/>
    <n v="13047.9"/>
    <s v="Completed"/>
    <s v="Mumbai"/>
    <s v="Grocery"/>
    <s v="East"/>
    <s v="Mar-24"/>
    <x v="1"/>
  </r>
  <r>
    <s v="ORD-01830"/>
    <d v="2024-08-17T00:00:00"/>
    <s v="CUST-0291"/>
    <s v="PROD-055"/>
    <s v="R030"/>
    <n v="2"/>
    <n v="2860"/>
    <n v="21.1"/>
    <n v="4513.08"/>
    <s v="Completed"/>
    <s v="Pune"/>
    <s v="Sports"/>
    <s v="West"/>
    <s v="Aug-24"/>
    <x v="0"/>
  </r>
  <r>
    <s v="ORD-01831"/>
    <d v="2024-07-08T00:00:00"/>
    <s v="CUST-0167"/>
    <s v="PROD-015"/>
    <s v="R019"/>
    <n v="1"/>
    <n v="2720"/>
    <n v="22.1"/>
    <n v="2118.88"/>
    <s v="Completed"/>
    <s v="Delhi"/>
    <s v="Apparel"/>
    <s v="East"/>
    <s v="Jul-24"/>
    <x v="0"/>
  </r>
  <r>
    <s v="ORD-01832"/>
    <d v="2024-12-07T00:00:00"/>
    <s v="CUST-0223"/>
    <s v="PROD-055"/>
    <s v="R004"/>
    <n v="6"/>
    <n v="2860"/>
    <n v="10.5"/>
    <n v="15358.2"/>
    <s v="Cancelled"/>
    <s v="Bengaluru"/>
    <s v="Sports"/>
    <s v="North"/>
    <s v="Dec-24"/>
    <x v="3"/>
  </r>
  <r>
    <s v="ORD-01833"/>
    <d v="2024-01-14T00:00:00"/>
    <s v="CUST-0050"/>
    <s v="PROD-017"/>
    <s v="R020"/>
    <n v="1"/>
    <n v="2510"/>
    <n v="12"/>
    <n v="2208.8000000000002"/>
    <s v="Completed"/>
    <s v="Mumbai"/>
    <s v="Apparel"/>
    <s v="East"/>
    <s v="Jan-24"/>
    <x v="1"/>
  </r>
  <r>
    <s v="ORD-01834"/>
    <d v="2024-10-28T00:00:00"/>
    <s v="CUST-0242"/>
    <s v="PROD-017"/>
    <s v="R020"/>
    <n v="4"/>
    <n v="2510"/>
    <n v="23.2"/>
    <n v="7710.72"/>
    <s v="Completed"/>
    <s v="Chennai"/>
    <s v="Apparel"/>
    <s v="East"/>
    <s v="Oct-24"/>
    <x v="3"/>
  </r>
  <r>
    <s v="ORD-01835"/>
    <d v="2024-09-20T00:00:00"/>
    <s v="CUST-0144"/>
    <s v="PROD-049"/>
    <s v="R005"/>
    <n v="8"/>
    <n v="960"/>
    <n v="20.3"/>
    <n v="6120.96"/>
    <s v="Pending"/>
    <s v="Chennai"/>
    <s v="Beauty"/>
    <s v="North"/>
    <s v="Sep-24"/>
    <x v="0"/>
  </r>
  <r>
    <s v="ORD-01836"/>
    <d v="2024-04-24T00:00:00"/>
    <s v="CUST-0140"/>
    <s v="PROD-038"/>
    <s v="R010"/>
    <n v="3"/>
    <n v="5490"/>
    <n v="25.2"/>
    <n v="12319.56"/>
    <s v="Completed"/>
    <s v="Hyderabad"/>
    <s v="Home"/>
    <s v="South"/>
    <s v="Apr-24"/>
    <x v="2"/>
  </r>
  <r>
    <s v="ORD-01837"/>
    <d v="2024-12-21T00:00:00"/>
    <s v="CUST-0174"/>
    <s v="PROD-017"/>
    <s v="R006"/>
    <n v="2"/>
    <n v="2510"/>
    <n v="28.2"/>
    <n v="3604.36"/>
    <s v="Completed"/>
    <s v="Pune"/>
    <s v="Apparel"/>
    <s v="North"/>
    <s v="Dec-24"/>
    <x v="3"/>
  </r>
  <r>
    <s v="ORD-01838"/>
    <d v="2024-04-04T00:00:00"/>
    <s v="CUST-0290"/>
    <s v="PROD-020"/>
    <s v="R011"/>
    <n v="1"/>
    <n v="820"/>
    <n v="4.7"/>
    <n v="781.46"/>
    <s v="Completed"/>
    <s v="Delhi"/>
    <s v="Apparel"/>
    <s v="South"/>
    <s v="Apr-24"/>
    <x v="2"/>
  </r>
  <r>
    <s v="ORD-01839"/>
    <d v="2024-06-10T00:00:00"/>
    <s v="CUST-0170"/>
    <s v="PROD-005"/>
    <s v="R018"/>
    <n v="6"/>
    <n v="300"/>
    <n v="13.3"/>
    <n v="1560.6"/>
    <s v="Completed"/>
    <s v="Mumbai"/>
    <s v="Electronics"/>
    <s v="East"/>
    <s v="Jun-24"/>
    <x v="2"/>
  </r>
  <r>
    <s v="ORD-01840"/>
    <d v="2024-07-19T00:00:00"/>
    <s v="CUST-0180"/>
    <s v="PROD-043"/>
    <s v="R016"/>
    <n v="4"/>
    <n v="3350"/>
    <n v="5.8"/>
    <n v="12622.8"/>
    <s v="Pending"/>
    <s v="Chennai"/>
    <s v="Beauty"/>
    <s v="South"/>
    <s v="Jul-24"/>
    <x v="0"/>
  </r>
  <r>
    <s v="ORD-01841"/>
    <d v="2024-11-09T00:00:00"/>
    <s v="CUST-0286"/>
    <s v="PROD-036"/>
    <s v="R025"/>
    <n v="3"/>
    <n v="3250"/>
    <n v="19.600000000000001"/>
    <n v="7839"/>
    <s v="Pending"/>
    <s v="Delhi"/>
    <s v="Home"/>
    <s v="West"/>
    <s v="Nov-24"/>
    <x v="3"/>
  </r>
  <r>
    <s v="ORD-01842"/>
    <d v="2024-02-22T00:00:00"/>
    <s v="CUST-0056"/>
    <s v="PROD-044"/>
    <s v="R027"/>
    <n v="10"/>
    <n v="1650"/>
    <n v="22.5"/>
    <n v="12787.5"/>
    <s v="Cancelled"/>
    <s v="Bengaluru"/>
    <s v="Beauty"/>
    <s v="West"/>
    <s v="Feb-24"/>
    <x v="1"/>
  </r>
  <r>
    <s v="ORD-01843"/>
    <d v="2024-08-02T00:00:00"/>
    <s v="CUST-0292"/>
    <s v="PROD-009"/>
    <s v="R026"/>
    <n v="2"/>
    <n v="1220"/>
    <n v="10.5"/>
    <n v="2183.8000000000002"/>
    <s v="Completed"/>
    <s v="Bengaluru"/>
    <s v="Electronics"/>
    <s v="West"/>
    <s v="Aug-24"/>
    <x v="0"/>
  </r>
  <r>
    <s v="ORD-01844"/>
    <d v="2024-08-17T00:00:00"/>
    <s v="CUST-0020"/>
    <s v="PROD-049"/>
    <s v="R026"/>
    <n v="7"/>
    <n v="960"/>
    <n v="5.4"/>
    <n v="6357.12"/>
    <s v="Refunded"/>
    <s v="Hyderabad"/>
    <s v="Beauty"/>
    <s v="West"/>
    <s v="Aug-24"/>
    <x v="0"/>
  </r>
  <r>
    <s v="ORD-01845"/>
    <d v="2024-04-07T00:00:00"/>
    <s v="CUST-0089"/>
    <s v="PROD-046"/>
    <s v="R014"/>
    <n v="3"/>
    <n v="4880"/>
    <n v="17.100000000000001"/>
    <n v="12136.56"/>
    <s v="Completed"/>
    <s v="Mumbai"/>
    <s v="Beauty"/>
    <s v="South"/>
    <s v="Apr-24"/>
    <x v="2"/>
  </r>
  <r>
    <s v="ORD-01846"/>
    <d v="2024-04-08T00:00:00"/>
    <s v="CUST-0242"/>
    <s v="PROD-024"/>
    <s v="R028"/>
    <n v="5"/>
    <n v="2270"/>
    <n v="12.4"/>
    <n v="9942.6"/>
    <s v="Completed"/>
    <s v="Chennai"/>
    <s v="Grocery"/>
    <s v="West"/>
    <s v="Apr-24"/>
    <x v="2"/>
  </r>
  <r>
    <s v="ORD-01847"/>
    <d v="2024-05-01T00:00:00"/>
    <s v="CUST-0249"/>
    <s v="PROD-035"/>
    <s v="R028"/>
    <n v="1"/>
    <n v="1090"/>
    <n v="17.3"/>
    <n v="901.43"/>
    <s v="Completed"/>
    <s v="Mumbai"/>
    <s v="Home"/>
    <s v="West"/>
    <s v="May-24"/>
    <x v="2"/>
  </r>
  <r>
    <s v="ORD-01848"/>
    <d v="2024-08-31T00:00:00"/>
    <s v="CUST-0032"/>
    <s v="PROD-034"/>
    <s v="R029"/>
    <n v="8"/>
    <n v="5080"/>
    <n v="0.9"/>
    <n v="40274.239999999998"/>
    <s v="Completed"/>
    <s v="Hyderabad"/>
    <s v="Home"/>
    <s v="West"/>
    <s v="Aug-24"/>
    <x v="0"/>
  </r>
  <r>
    <s v="ORD-01849"/>
    <d v="2024-10-04T00:00:00"/>
    <s v="CUST-0217"/>
    <s v="PROD-039"/>
    <s v="R017"/>
    <n v="7"/>
    <n v="4610"/>
    <n v="0.9"/>
    <n v="31979.57"/>
    <s v="Completed"/>
    <s v="Pune"/>
    <s v="Home"/>
    <s v="East"/>
    <s v="Oct-24"/>
    <x v="3"/>
  </r>
  <r>
    <s v="ORD-01850"/>
    <d v="2024-08-23T00:00:00"/>
    <s v="CUST-0284"/>
    <s v="PROD-045"/>
    <s v="R028"/>
    <n v="1"/>
    <n v="3020"/>
    <n v="10.3"/>
    <n v="2708.94"/>
    <s v="Completed"/>
    <s v="Hyderabad"/>
    <s v="Beauty"/>
    <s v="West"/>
    <s v="Aug-24"/>
    <x v="0"/>
  </r>
  <r>
    <s v="ORD-01851"/>
    <d v="2024-06-10T00:00:00"/>
    <s v="CUST-0167"/>
    <s v="PROD-022"/>
    <s v="R028"/>
    <n v="6"/>
    <n v="2270"/>
    <n v="23.1"/>
    <n v="10473.780000000001"/>
    <s v="Completed"/>
    <s v="Delhi"/>
    <s v="Grocery"/>
    <s v="West"/>
    <s v="Jun-24"/>
    <x v="2"/>
  </r>
  <r>
    <s v="ORD-01852"/>
    <d v="2024-11-09T00:00:00"/>
    <s v="CUST-0008"/>
    <s v="PROD-026"/>
    <s v="R010"/>
    <n v="6"/>
    <n v="4070"/>
    <n v="28.9"/>
    <n v="17362.62"/>
    <s v="Completed"/>
    <s v="Pune"/>
    <s v="Grocery"/>
    <s v="South"/>
    <s v="Nov-24"/>
    <x v="3"/>
  </r>
  <r>
    <s v="ORD-01853"/>
    <d v="2024-12-24T00:00:00"/>
    <s v="CUST-0277"/>
    <s v="PROD-009"/>
    <s v="R017"/>
    <n v="5"/>
    <n v="1220"/>
    <n v="18.7"/>
    <n v="4959.3"/>
    <s v="Completed"/>
    <s v="Chennai"/>
    <s v="Electronics"/>
    <s v="East"/>
    <s v="Dec-24"/>
    <x v="3"/>
  </r>
  <r>
    <s v="ORD-01854"/>
    <d v="2024-04-30T00:00:00"/>
    <s v="CUST-0025"/>
    <s v="PROD-019"/>
    <s v="R024"/>
    <n v="8"/>
    <n v="2480"/>
    <n v="3.2"/>
    <n v="19205.12"/>
    <s v="Cancelled"/>
    <s v="Bengaluru"/>
    <s v="Apparel"/>
    <s v="West"/>
    <s v="Apr-24"/>
    <x v="2"/>
  </r>
  <r>
    <s v="ORD-01855"/>
    <d v="2024-09-19T00:00:00"/>
    <s v="CUST-0228"/>
    <s v="PROD-055"/>
    <s v="R007"/>
    <n v="7"/>
    <n v="2860"/>
    <n v="8.4"/>
    <n v="18338.32"/>
    <s v="Completed"/>
    <s v="Pune"/>
    <s v="Sports"/>
    <s v="North"/>
    <s v="Sep-24"/>
    <x v="0"/>
  </r>
  <r>
    <s v="ORD-01856"/>
    <d v="2024-03-14T00:00:00"/>
    <s v="CUST-0078"/>
    <s v="PROD-027"/>
    <s v="R024"/>
    <n v="1"/>
    <n v="3780"/>
    <n v="16.3"/>
    <n v="3163.86"/>
    <s v="Cancelled"/>
    <s v="Delhi"/>
    <s v="Grocery"/>
    <s v="West"/>
    <s v="Mar-24"/>
    <x v="1"/>
  </r>
  <r>
    <s v="ORD-01857"/>
    <d v="2024-07-31T00:00:00"/>
    <s v="CUST-0205"/>
    <s v="PROD-055"/>
    <s v="R025"/>
    <n v="6"/>
    <n v="2860"/>
    <n v="10.7"/>
    <n v="15323.88"/>
    <s v="Completed"/>
    <s v="Pune"/>
    <s v="Sports"/>
    <s v="West"/>
    <s v="Jul-24"/>
    <x v="0"/>
  </r>
  <r>
    <s v="ORD-01858"/>
    <d v="2024-12-26T00:00:00"/>
    <s v="CUST-0044"/>
    <s v="PROD-058"/>
    <s v="R027"/>
    <n v="3"/>
    <n v="2400"/>
    <n v="20.7"/>
    <n v="5709.6"/>
    <s v="Completed"/>
    <s v="Hyderabad"/>
    <s v="Sports"/>
    <s v="West"/>
    <s v="Dec-24"/>
    <x v="3"/>
  </r>
  <r>
    <s v="ORD-01859"/>
    <d v="2024-02-08T00:00:00"/>
    <s v="CUST-0188"/>
    <s v="PROD-023"/>
    <s v="R025"/>
    <n v="8"/>
    <n v="2380"/>
    <n v="22.3"/>
    <n v="14794.08"/>
    <s v="Refunded"/>
    <s v="Bengaluru"/>
    <s v="Grocery"/>
    <s v="West"/>
    <s v="Feb-24"/>
    <x v="1"/>
  </r>
  <r>
    <s v="ORD-01860"/>
    <d v="2024-08-29T00:00:00"/>
    <s v="CUST-0165"/>
    <s v="PROD-048"/>
    <s v="R006"/>
    <n v="7"/>
    <n v="5100"/>
    <n v="22.9"/>
    <n v="27524.7"/>
    <s v="Cancelled"/>
    <s v="Pune"/>
    <s v="Beauty"/>
    <s v="North"/>
    <s v="Aug-24"/>
    <x v="0"/>
  </r>
  <r>
    <s v="ORD-01861"/>
    <d v="2024-06-20T00:00:00"/>
    <s v="CUST-0059"/>
    <s v="PROD-005"/>
    <s v="R015"/>
    <n v="7"/>
    <n v="300"/>
    <n v="15.3"/>
    <n v="1778.7"/>
    <s v="Completed"/>
    <s v="Pune"/>
    <s v="Electronics"/>
    <s v="South"/>
    <s v="Jun-24"/>
    <x v="2"/>
  </r>
  <r>
    <s v="ORD-01862"/>
    <d v="2024-05-16T00:00:00"/>
    <s v="CUST-0280"/>
    <s v="PROD-051"/>
    <s v="R010"/>
    <n v="5"/>
    <n v="3450"/>
    <n v="16.8"/>
    <n v="14352"/>
    <s v="Completed"/>
    <s v="Delhi"/>
    <s v="Sports"/>
    <s v="South"/>
    <s v="May-24"/>
    <x v="2"/>
  </r>
  <r>
    <s v="ORD-01863"/>
    <d v="2024-12-08T00:00:00"/>
    <s v="CUST-0153"/>
    <s v="PROD-055"/>
    <s v="R014"/>
    <n v="4"/>
    <n v="2860"/>
    <n v="14.3"/>
    <n v="9804.08"/>
    <s v="Completed"/>
    <s v="Mumbai"/>
    <s v="Sports"/>
    <s v="South"/>
    <s v="Dec-24"/>
    <x v="3"/>
  </r>
  <r>
    <s v="ORD-01864"/>
    <d v="2024-12-01T00:00:00"/>
    <s v="CUST-0251"/>
    <s v="PROD-015"/>
    <s v="R001"/>
    <n v="6"/>
    <n v="2720"/>
    <n v="25.1"/>
    <n v="12223.68"/>
    <s v="Cancelled"/>
    <s v="Mumbai"/>
    <s v="Apparel"/>
    <s v="North"/>
    <s v="Dec-24"/>
    <x v="3"/>
  </r>
  <r>
    <s v="ORD-01865"/>
    <d v="2024-05-17T00:00:00"/>
    <s v="CUST-0255"/>
    <s v="PROD-031"/>
    <s v="R028"/>
    <n v="3"/>
    <n v="3730"/>
    <n v="24.8"/>
    <n v="8414.8799999999992"/>
    <s v="Completed"/>
    <s v="Chennai"/>
    <s v="Home"/>
    <s v="West"/>
    <s v="May-24"/>
    <x v="2"/>
  </r>
  <r>
    <s v="ORD-01866"/>
    <d v="2024-12-22T00:00:00"/>
    <s v="CUST-0076"/>
    <s v="PROD-025"/>
    <s v="R002"/>
    <n v="2"/>
    <n v="4060"/>
    <n v="11.3"/>
    <n v="7202.44"/>
    <s v="Completed"/>
    <s v="Mumbai"/>
    <s v="Grocery"/>
    <s v="North"/>
    <s v="Dec-24"/>
    <x v="3"/>
  </r>
  <r>
    <s v="ORD-01867"/>
    <d v="2024-01-04T00:00:00"/>
    <s v="CUST-0195"/>
    <s v="PROD-042"/>
    <s v="R018"/>
    <n v="6"/>
    <n v="2290"/>
    <n v="26.8"/>
    <n v="10057.68"/>
    <s v="Refunded"/>
    <s v="Bengaluru"/>
    <s v="Beauty"/>
    <s v="East"/>
    <s v="Jan-24"/>
    <x v="1"/>
  </r>
  <r>
    <s v="ORD-01868"/>
    <d v="2024-05-06T00:00:00"/>
    <s v="CUST-0164"/>
    <s v="PROD-056"/>
    <s v="R013"/>
    <n v="1"/>
    <n v="6940"/>
    <n v="15.7"/>
    <n v="5850.42"/>
    <s v="Completed"/>
    <s v="Chennai"/>
    <s v="Sports"/>
    <s v="South"/>
    <s v="May-24"/>
    <x v="2"/>
  </r>
  <r>
    <s v="ORD-01869"/>
    <d v="2024-11-27T00:00:00"/>
    <s v="CUST-0239"/>
    <s v="PROD-031"/>
    <s v="R009"/>
    <n v="3"/>
    <n v="3730"/>
    <n v="18.100000000000001"/>
    <n v="9164.61"/>
    <s v="Completed"/>
    <s v="Mumbai"/>
    <s v="Home"/>
    <s v="South"/>
    <s v="Nov-24"/>
    <x v="3"/>
  </r>
  <r>
    <s v="ORD-01870"/>
    <d v="2024-08-24T00:00:00"/>
    <s v="CUST-0133"/>
    <s v="PROD-031"/>
    <s v="R002"/>
    <n v="8"/>
    <n v="3730"/>
    <n v="12.5"/>
    <n v="26110"/>
    <s v="Completed"/>
    <s v="Chennai"/>
    <s v="Home"/>
    <s v="North"/>
    <s v="Aug-24"/>
    <x v="0"/>
  </r>
  <r>
    <s v="ORD-01871"/>
    <d v="2024-12-18T00:00:00"/>
    <s v="CUST-0286"/>
    <s v="PROD-023"/>
    <s v="R015"/>
    <n v="9"/>
    <n v="2380"/>
    <n v="8.1"/>
    <n v="19684.98"/>
    <s v="Cancelled"/>
    <s v="Delhi"/>
    <s v="Grocery"/>
    <s v="South"/>
    <s v="Dec-24"/>
    <x v="3"/>
  </r>
  <r>
    <s v="ORD-01872"/>
    <d v="2024-07-02T00:00:00"/>
    <s v="CUST-0122"/>
    <s v="PROD-040"/>
    <s v="R002"/>
    <n v="6"/>
    <n v="1080"/>
    <n v="8.8000000000000007"/>
    <n v="5909.76"/>
    <s v="Completed"/>
    <s v="Mumbai"/>
    <s v="Home"/>
    <s v="North"/>
    <s v="Jul-24"/>
    <x v="0"/>
  </r>
  <r>
    <s v="ORD-01712"/>
    <d v="2024-04-19T00:00:00"/>
    <s v="CUST-0285"/>
    <s v="PROD-053"/>
    <s v="R013"/>
    <n v="5"/>
    <n v="470"/>
    <n v="1.3"/>
    <n v="2319.4499999999998"/>
    <s v="Completed"/>
    <s v="Hyderabad"/>
    <s v="Sports"/>
    <s v="South"/>
    <s v="Apr-24"/>
    <x v="2"/>
  </r>
  <r>
    <s v="ORD-01874"/>
    <d v="2024-08-12T00:00:00"/>
    <s v="CUST-0174"/>
    <s v="PROD-032"/>
    <s v="R026"/>
    <n v="4"/>
    <n v="370"/>
    <n v="13.1"/>
    <n v="1286.1199999999999"/>
    <s v="Completed"/>
    <s v="Pune"/>
    <s v="Home"/>
    <s v="West"/>
    <s v="Aug-24"/>
    <x v="0"/>
  </r>
  <r>
    <s v="ORD-01875"/>
    <d v="2024-08-13T00:00:00"/>
    <s v="CUST-0115"/>
    <s v="PROD-012"/>
    <s v="R007"/>
    <n v="7"/>
    <n v="3160"/>
    <n v="12.3"/>
    <n v="19399.240000000002"/>
    <s v="Completed"/>
    <s v="Mumbai"/>
    <s v="Apparel"/>
    <s v="North"/>
    <s v="Aug-24"/>
    <x v="0"/>
  </r>
  <r>
    <s v="ORD-01876"/>
    <d v="2024-12-19T00:00:00"/>
    <s v="CUST-0028"/>
    <s v="PROD-018"/>
    <s v="R024"/>
    <n v="5"/>
    <n v="3560"/>
    <n v="24"/>
    <n v="13528"/>
    <s v="Completed"/>
    <s v="Bengaluru"/>
    <s v="Apparel"/>
    <s v="West"/>
    <s v="Dec-24"/>
    <x v="3"/>
  </r>
  <r>
    <s v="ORD-01877"/>
    <d v="2024-05-05T00:00:00"/>
    <s v="CUST-0111"/>
    <s v="PROD-033"/>
    <s v="R021"/>
    <n v="6"/>
    <n v="2030"/>
    <n v="20.5"/>
    <n v="9683.1"/>
    <s v="Completed"/>
    <s v="Chennai"/>
    <s v="Home"/>
    <s v="East"/>
    <s v="May-24"/>
    <x v="2"/>
  </r>
  <r>
    <s v="ORD-01878"/>
    <d v="2024-02-29T00:00:00"/>
    <s v="CUST-0240"/>
    <s v="PROD-010"/>
    <s v="R018"/>
    <n v="5"/>
    <n v="2640"/>
    <n v="21.3"/>
    <n v="10388.4"/>
    <s v="Pending"/>
    <s v="Chennai"/>
    <s v="Electronics"/>
    <s v="East"/>
    <s v="Feb-24"/>
    <x v="1"/>
  </r>
  <r>
    <s v="ORD-01879"/>
    <d v="2024-12-03T00:00:00"/>
    <s v="CUST-0222"/>
    <s v="PROD-022"/>
    <s v="R002"/>
    <n v="4"/>
    <n v="2270"/>
    <n v="15.8"/>
    <n v="7645.36"/>
    <s v="Completed"/>
    <s v="Chennai"/>
    <s v="Grocery"/>
    <s v="North"/>
    <s v="Dec-24"/>
    <x v="3"/>
  </r>
  <r>
    <s v="ORD-01880"/>
    <d v="2024-10-23T00:00:00"/>
    <s v="CUST-0251"/>
    <s v="PROD-032"/>
    <s v="R002"/>
    <n v="1"/>
    <n v="370"/>
    <n v="27"/>
    <n v="270.10000000000002"/>
    <s v="Pending"/>
    <s v="Mumbai"/>
    <s v="Home"/>
    <s v="North"/>
    <s v="Oct-24"/>
    <x v="3"/>
  </r>
  <r>
    <s v="ORD-01881"/>
    <d v="2024-03-15T00:00:00"/>
    <s v="CUST-0203"/>
    <s v="PROD-048"/>
    <s v="R017"/>
    <n v="9"/>
    <n v="5100"/>
    <n v="2.4"/>
    <n v="44798.400000000001"/>
    <s v="Completed"/>
    <s v="Chennai"/>
    <s v="Beauty"/>
    <s v="East"/>
    <s v="Mar-24"/>
    <x v="1"/>
  </r>
  <r>
    <s v="ORD-01882"/>
    <d v="2024-01-31T00:00:00"/>
    <s v="CUST-0285"/>
    <s v="PROD-032"/>
    <s v="R023"/>
    <n v="6"/>
    <n v="370"/>
    <n v="18.7"/>
    <n v="1804.86"/>
    <s v="Cancelled"/>
    <s v="Hyderabad"/>
    <s v="Home"/>
    <s v="East"/>
    <s v="Jan-24"/>
    <x v="1"/>
  </r>
  <r>
    <s v="ORD-01883"/>
    <d v="2024-06-22T00:00:00"/>
    <s v="CUST-0135"/>
    <s v="PROD-030"/>
    <s v="R004"/>
    <n v="6"/>
    <n v="970"/>
    <n v="21.6"/>
    <n v="4562.88"/>
    <s v="Completed"/>
    <s v="Pune"/>
    <s v="Grocery"/>
    <s v="North"/>
    <s v="Jun-24"/>
    <x v="2"/>
  </r>
  <r>
    <s v="ORD-01884"/>
    <d v="2024-11-26T00:00:00"/>
    <s v="CUST-9967"/>
    <s v="PROD-029"/>
    <s v="R029"/>
    <n v="3"/>
    <n v="2210"/>
    <n v="8.5"/>
    <n v="6066.45"/>
    <s v="Completed"/>
    <s v="Delhi"/>
    <s v="Grocery"/>
    <s v="West"/>
    <s v="Nov-24"/>
    <x v="3"/>
  </r>
  <r>
    <s v="ORD-01885"/>
    <d v="2024-06-14T00:00:00"/>
    <s v="CUST-0096"/>
    <s v="PROD-044"/>
    <s v="R002"/>
    <n v="1"/>
    <n v="1650"/>
    <n v="19.7"/>
    <n v="1324.95"/>
    <s v="Completed"/>
    <s v="Delhi"/>
    <s v="Beauty"/>
    <s v="North"/>
    <s v="Jun-24"/>
    <x v="2"/>
  </r>
  <r>
    <s v="ORD-01886"/>
    <d v="2024-07-07T00:00:00"/>
    <s v="CUST-0266"/>
    <s v="PROD-056"/>
    <s v="R003"/>
    <n v="5"/>
    <n v="6940"/>
    <n v="7.7"/>
    <n v="32028.1"/>
    <s v="Completed"/>
    <s v="Pune"/>
    <s v="Sports"/>
    <s v="North"/>
    <s v="Jul-24"/>
    <x v="0"/>
  </r>
  <r>
    <s v="ORD-01887"/>
    <d v="2024-04-10T00:00:00"/>
    <s v="CUST-0059"/>
    <s v="PROD-029"/>
    <s v="R022"/>
    <n v="2"/>
    <n v="2210"/>
    <n v="5.6"/>
    <n v="4172.4799999999996"/>
    <s v="Cancelled"/>
    <s v="Pune"/>
    <s v="Grocery"/>
    <s v="East"/>
    <s v="Apr-24"/>
    <x v="2"/>
  </r>
  <r>
    <s v="ORD-01888"/>
    <d v="2024-03-29T00:00:00"/>
    <s v="CUST-0094"/>
    <s v="PROD-002"/>
    <s v="R014"/>
    <n v="9"/>
    <n v="2600"/>
    <n v="3.1"/>
    <n v="22674.6"/>
    <s v="Completed"/>
    <s v="Pune"/>
    <s v="Electronics"/>
    <s v="South"/>
    <s v="Mar-24"/>
    <x v="1"/>
  </r>
  <r>
    <s v="ORD-01889"/>
    <d v="2024-07-21T00:00:00"/>
    <s v="CUST-0254"/>
    <s v="PROD-059"/>
    <s v="R003"/>
    <n v="7"/>
    <n v="3780"/>
    <n v="13.3"/>
    <n v="22940.82"/>
    <s v="Completed"/>
    <s v="Bengaluru"/>
    <s v="Sports"/>
    <s v="North"/>
    <s v="Jul-24"/>
    <x v="0"/>
  </r>
  <r>
    <s v="ORD-01890"/>
    <d v="2024-11-25T00:00:00"/>
    <s v="CUST-0022"/>
    <s v="PROD-058"/>
    <s v="R013"/>
    <n v="4"/>
    <n v="2400"/>
    <n v="16.600000000000001"/>
    <n v="8006.4"/>
    <s v="Pending"/>
    <s v="Bengaluru"/>
    <s v="Sports"/>
    <s v="South"/>
    <s v="Nov-24"/>
    <x v="3"/>
  </r>
  <r>
    <s v="ORD-01891"/>
    <d v="2024-11-07T00:00:00"/>
    <s v="CUST-0168"/>
    <s v="PROD-005"/>
    <s v="R005"/>
    <n v="10"/>
    <n v="300"/>
    <n v="23.9"/>
    <n v="2283"/>
    <s v="Completed"/>
    <s v="Pune"/>
    <s v="Electronics"/>
    <s v="North"/>
    <s v="Nov-24"/>
    <x v="3"/>
  </r>
  <r>
    <s v="ORD-01892"/>
    <d v="2024-12-14T00:00:00"/>
    <s v="CUST-0175"/>
    <s v="PROD-028"/>
    <s v="R010"/>
    <n v="1"/>
    <n v="3660"/>
    <n v="1.5"/>
    <n v="3605.1"/>
    <s v="Pending"/>
    <s v="Delhi"/>
    <s v="Grocery"/>
    <s v="South"/>
    <s v="Dec-24"/>
    <x v="3"/>
  </r>
  <r>
    <s v="ORD-01893"/>
    <d v="2024-08-30T00:00:00"/>
    <s v="CUST-0193"/>
    <s v="PROD-051"/>
    <s v="R011"/>
    <n v="9"/>
    <n v="3450"/>
    <n v="21.8"/>
    <n v="24281.1"/>
    <s v="Completed"/>
    <s v="Bengaluru"/>
    <s v="Sports"/>
    <s v="South"/>
    <s v="Aug-24"/>
    <x v="0"/>
  </r>
  <r>
    <s v="ORD-01894"/>
    <d v="2024-04-28T00:00:00"/>
    <s v="CUST-0284"/>
    <s v="PROD-011"/>
    <s v="R007"/>
    <n v="10"/>
    <n v="3450"/>
    <n v="15.7"/>
    <n v="29083.5"/>
    <s v="Cancelled"/>
    <s v="Hyderabad"/>
    <s v="Apparel"/>
    <s v="North"/>
    <s v="Apr-24"/>
    <x v="2"/>
  </r>
  <r>
    <s v="ORD-01895"/>
    <d v="2024-04-30T00:00:00"/>
    <s v="CUST-0071"/>
    <s v="PROD-026"/>
    <s v="R008"/>
    <n v="2"/>
    <n v="4070"/>
    <n v="10.8"/>
    <n v="7260.88"/>
    <s v="Completed"/>
    <s v="Delhi"/>
    <s v="Grocery"/>
    <s v="North"/>
    <s v="Apr-24"/>
    <x v="2"/>
  </r>
  <r>
    <s v="ORD-01896"/>
    <d v="2024-03-21T00:00:00"/>
    <s v="CUST-0102"/>
    <s v="PROD-059"/>
    <s v="R023"/>
    <n v="4"/>
    <n v="3780"/>
    <n v="17.100000000000001"/>
    <n v="12534.48"/>
    <s v="Completed"/>
    <s v="Chennai"/>
    <s v="Sports"/>
    <s v="East"/>
    <s v="Mar-24"/>
    <x v="1"/>
  </r>
  <r>
    <s v="ORD-01897"/>
    <d v="2024-11-26T00:00:00"/>
    <s v="CUST-0036"/>
    <s v="PROD-021"/>
    <s v="R004"/>
    <n v="1"/>
    <n v="2760"/>
    <n v="2.5"/>
    <n v="2691"/>
    <s v="Cancelled"/>
    <s v="Mumbai"/>
    <s v="Grocery"/>
    <s v="North"/>
    <s v="Nov-24"/>
    <x v="3"/>
  </r>
  <r>
    <s v="ORD-01898"/>
    <d v="2024-07-20T00:00:00"/>
    <s v="CUST-0273"/>
    <s v="PROD-046"/>
    <s v="R030"/>
    <n v="2"/>
    <n v="4880"/>
    <n v="11"/>
    <n v="8686.4"/>
    <s v="Completed"/>
    <s v="Hyderabad"/>
    <s v="Beauty"/>
    <s v="West"/>
    <s v="Jul-24"/>
    <x v="0"/>
  </r>
  <r>
    <s v="ORD-01899"/>
    <d v="2024-10-15T00:00:00"/>
    <s v="CUST-0262"/>
    <s v="PROD-023"/>
    <s v="R022"/>
    <n v="10"/>
    <n v="2380"/>
    <n v="28.3"/>
    <n v="17064.599999999999"/>
    <s v="Completed"/>
    <s v="Mumbai"/>
    <s v="Grocery"/>
    <s v="East"/>
    <s v="Oct-24"/>
    <x v="3"/>
  </r>
  <r>
    <s v="ORD-01900"/>
    <d v="2024-06-06T00:00:00"/>
    <s v="CUST-0083"/>
    <s v="PROD-042"/>
    <s v="R003"/>
    <n v="3"/>
    <n v="2290"/>
    <n v="11.1"/>
    <n v="6107.43"/>
    <s v="Cancelled"/>
    <s v="Bengaluru"/>
    <s v="Beauty"/>
    <s v="North"/>
    <s v="Jun-24"/>
    <x v="2"/>
  </r>
  <r>
    <s v="ORD-01901"/>
    <d v="2024-05-05T00:00:00"/>
    <s v="CUST-0273"/>
    <s v="PROD-021"/>
    <s v="R004"/>
    <n v="6"/>
    <n v="2760"/>
    <n v="16.5"/>
    <n v="13827.6"/>
    <s v="Completed"/>
    <s v="Hyderabad"/>
    <s v="Grocery"/>
    <s v="North"/>
    <s v="May-24"/>
    <x v="2"/>
  </r>
  <r>
    <s v="ORD-01902"/>
    <d v="2024-08-19T00:00:00"/>
    <s v="CUST-0047"/>
    <s v="PROD-025"/>
    <s v="R027"/>
    <n v="5"/>
    <n v="4060"/>
    <n v="22.5"/>
    <n v="15732.5"/>
    <s v="Completed"/>
    <s v="Pune"/>
    <s v="Grocery"/>
    <s v="West"/>
    <s v="Aug-24"/>
    <x v="0"/>
  </r>
  <r>
    <s v="ORD-01903"/>
    <d v="2024-03-16T00:00:00"/>
    <s v="CUST-0084"/>
    <s v="PROD-010"/>
    <s v="R006"/>
    <n v="8"/>
    <n v="2640"/>
    <n v="11.8"/>
    <n v="18627.84"/>
    <s v="Completed"/>
    <s v="Chennai"/>
    <s v="Electronics"/>
    <s v="North"/>
    <s v="Mar-24"/>
    <x v="1"/>
  </r>
  <r>
    <s v="ORD-01904"/>
    <d v="2024-01-18T00:00:00"/>
    <s v="CUST-0093"/>
    <s v="PROD-039"/>
    <s v="R005"/>
    <n v="2"/>
    <n v="4610"/>
    <n v="10.4"/>
    <n v="8261.1200000000008"/>
    <s v="Pending"/>
    <s v="Pune"/>
    <s v="Home"/>
    <s v="North"/>
    <s v="Jan-24"/>
    <x v="1"/>
  </r>
  <r>
    <s v="ORD-01905"/>
    <d v="2024-04-01T00:00:00"/>
    <s v="CUST-0282"/>
    <s v="PROD-029"/>
    <s v="R028"/>
    <n v="6"/>
    <n v="2210"/>
    <n v="22.5"/>
    <n v="10276.5"/>
    <s v="Cancelled"/>
    <s v="Hyderabad"/>
    <s v="Grocery"/>
    <s v="West"/>
    <s v="Apr-24"/>
    <x v="2"/>
  </r>
  <r>
    <s v="ORD-01906"/>
    <d v="2024-05-08T00:00:00"/>
    <s v="CUST-0246"/>
    <s v="PROD-029"/>
    <s v="R011"/>
    <n v="4"/>
    <n v="2210"/>
    <n v="21.5"/>
    <n v="6939.4"/>
    <s v="Pending"/>
    <s v="Delhi"/>
    <s v="Grocery"/>
    <s v="South"/>
    <s v="May-24"/>
    <x v="2"/>
  </r>
  <r>
    <s v="ORD-01907"/>
    <d v="2024-04-18T00:00:00"/>
    <s v="CUST-0243"/>
    <s v="PROD-035"/>
    <s v="R013"/>
    <n v="6"/>
    <n v="1090"/>
    <n v="28.3"/>
    <n v="4689.18"/>
    <s v="Completed"/>
    <s v="Pune"/>
    <s v="Home"/>
    <s v="South"/>
    <s v="Apr-24"/>
    <x v="2"/>
  </r>
  <r>
    <s v="ORD-01908"/>
    <d v="2024-11-29T00:00:00"/>
    <s v="CUST-0298"/>
    <s v="PROD-032"/>
    <s v="R003"/>
    <n v="9"/>
    <n v="370"/>
    <n v="13.8"/>
    <n v="2870.46"/>
    <s v="Completed"/>
    <s v="Delhi"/>
    <s v="Home"/>
    <s v="North"/>
    <s v="Nov-24"/>
    <x v="3"/>
  </r>
  <r>
    <s v="ORD-01909"/>
    <d v="2024-09-20T00:00:00"/>
    <s v="CUST-0124"/>
    <s v="PROD-003"/>
    <s v="R025"/>
    <n v="10"/>
    <n v="3570"/>
    <n v="3"/>
    <n v="34629"/>
    <s v="Cancelled"/>
    <s v="Pune"/>
    <s v="Electronics"/>
    <s v="West"/>
    <s v="Sep-24"/>
    <x v="0"/>
  </r>
  <r>
    <s v="ORD-01910"/>
    <d v="2024-08-05T00:00:00"/>
    <s v="CUST-0070"/>
    <s v="PROD-036"/>
    <s v="R016"/>
    <n v="10"/>
    <n v="3250"/>
    <n v="20.3"/>
    <n v="25902.5"/>
    <s v="Completed"/>
    <s v="Mumbai"/>
    <s v="Home"/>
    <s v="South"/>
    <s v="Aug-24"/>
    <x v="0"/>
  </r>
  <r>
    <s v="ORD-01911"/>
    <d v="2024-05-24T00:00:00"/>
    <s v="CUST-0054"/>
    <s v="PROD-036"/>
    <s v="R028"/>
    <n v="6"/>
    <n v="3250"/>
    <n v="25.8"/>
    <n v="14469"/>
    <s v="Pending"/>
    <s v="Mumbai"/>
    <s v="Home"/>
    <s v="West"/>
    <s v="May-24"/>
    <x v="2"/>
  </r>
  <r>
    <s v="ORD-01912"/>
    <d v="2024-11-14T00:00:00"/>
    <s v="CUST-0208"/>
    <s v="PROD-057"/>
    <s v="R024"/>
    <n v="9"/>
    <n v="960"/>
    <n v="29"/>
    <n v="6134.4"/>
    <s v="Completed"/>
    <s v="Mumbai"/>
    <s v="Sports"/>
    <s v="West"/>
    <s v="Nov-24"/>
    <x v="3"/>
  </r>
  <r>
    <s v="ORD-01913"/>
    <d v="2024-08-31T00:00:00"/>
    <s v="CUST-0181"/>
    <s v="PROD-050"/>
    <s v="R015"/>
    <n v="9"/>
    <n v="6080"/>
    <n v="21"/>
    <n v="43228.800000000003"/>
    <s v="Completed"/>
    <s v="Delhi"/>
    <s v="Beauty"/>
    <s v="South"/>
    <s v="Aug-24"/>
    <x v="0"/>
  </r>
  <r>
    <s v="ORD-01914"/>
    <d v="2024-03-15T00:00:00"/>
    <s v="CUST-0259"/>
    <s v="PROD-039"/>
    <s v="R020"/>
    <n v="6"/>
    <n v="4610"/>
    <n v="13.5"/>
    <n v="23925.9"/>
    <s v="Completed"/>
    <s v="Mumbai"/>
    <s v="Home"/>
    <s v="East"/>
    <s v="Mar-24"/>
    <x v="1"/>
  </r>
  <r>
    <s v="ORD-01915"/>
    <d v="2024-06-03T00:00:00"/>
    <s v="CUST-0277"/>
    <s v="PROD-034"/>
    <s v="R021"/>
    <n v="7"/>
    <n v="5080"/>
    <n v="25.4"/>
    <n v="26527.759999999998"/>
    <s v="Completed"/>
    <s v="Chennai"/>
    <s v="Home"/>
    <s v="East"/>
    <s v="Jun-24"/>
    <x v="2"/>
  </r>
  <r>
    <s v="ORD-01916"/>
    <d v="2024-09-15T00:00:00"/>
    <s v="CUST-0173"/>
    <s v="PROD-043"/>
    <s v="R017"/>
    <n v="5"/>
    <n v="3350"/>
    <n v="2.2000000000000002"/>
    <n v="16381.5"/>
    <s v="Completed"/>
    <s v="Mumbai"/>
    <s v="Beauty"/>
    <s v="East"/>
    <s v="Sep-24"/>
    <x v="0"/>
  </r>
  <r>
    <s v="ORD-01917"/>
    <d v="2024-11-04T00:00:00"/>
    <s v="CUST-0091"/>
    <s v="PROD-027"/>
    <s v="R014"/>
    <n v="1"/>
    <n v="3780"/>
    <n v="13.7"/>
    <n v="3262.14"/>
    <s v="Completed"/>
    <s v="Delhi"/>
    <s v="Grocery"/>
    <s v="South"/>
    <s v="Nov-24"/>
    <x v="3"/>
  </r>
  <r>
    <s v="ORD-01918"/>
    <d v="2024-03-01T00:00:00"/>
    <s v="CUST-0142"/>
    <s v="PROD-046"/>
    <s v="R020"/>
    <n v="4"/>
    <n v="4880"/>
    <n v="11.6"/>
    <n v="17255.68"/>
    <s v="Completed"/>
    <s v="Chennai"/>
    <s v="Beauty"/>
    <s v="East"/>
    <s v="Mar-24"/>
    <x v="1"/>
  </r>
  <r>
    <s v="ORD-01919"/>
    <d v="2024-04-03T00:00:00"/>
    <s v="CUST-0011"/>
    <s v="PROD-048"/>
    <s v="R029"/>
    <n v="3"/>
    <n v="5100"/>
    <n v="24.2"/>
    <n v="11597.4"/>
    <s v="Completed"/>
    <s v=" Chennai "/>
    <s v="Beauty"/>
    <s v="West"/>
    <s v="Apr-24"/>
    <x v="2"/>
  </r>
  <r>
    <s v="ORD-01920"/>
    <d v="2024-12-08T00:00:00"/>
    <s v="CUST-0074"/>
    <s v="PROD-008"/>
    <s v="R023"/>
    <n v="5"/>
    <n v="2660"/>
    <n v="4.7"/>
    <n v="12674.9"/>
    <s v="Completed"/>
    <s v="Bengaluru"/>
    <s v="Electronics"/>
    <s v="East"/>
    <s v="Dec-24"/>
    <x v="3"/>
  </r>
  <r>
    <s v="ORD-01921"/>
    <d v="2024-06-01T00:00:00"/>
    <s v="CUST-0131"/>
    <s v="PROD-023"/>
    <s v="R017"/>
    <n v="10"/>
    <n v="2380"/>
    <n v="1"/>
    <n v="23562"/>
    <s v="Completed"/>
    <s v="Delhi"/>
    <s v="Grocery"/>
    <s v="East"/>
    <s v="Jun-24"/>
    <x v="2"/>
  </r>
  <r>
    <s v="ORD-01922"/>
    <d v="2024-09-18T00:00:00"/>
    <s v="CUST-0093"/>
    <s v="PROD-046"/>
    <s v="R002"/>
    <n v="9"/>
    <n v="4880"/>
    <n v="7.2"/>
    <n v="40757.760000000002"/>
    <s v="Completed"/>
    <s v="Pune"/>
    <s v="Beauty"/>
    <s v="North"/>
    <s v="Sep-24"/>
    <x v="0"/>
  </r>
  <r>
    <s v="ORD-01923"/>
    <d v="2024-04-29T00:00:00"/>
    <s v="CUST-0229"/>
    <s v="PROD-031"/>
    <s v="R014"/>
    <n v="1"/>
    <n v="3730"/>
    <n v="15.3"/>
    <n v="3159.31"/>
    <s v="Completed"/>
    <s v="Hyderabad"/>
    <s v="Home"/>
    <s v="South"/>
    <s v="Apr-24"/>
    <x v="2"/>
  </r>
  <r>
    <s v="ORD-01924"/>
    <d v="2024-05-30T00:00:00"/>
    <s v="CUST-0293"/>
    <s v="PROD-059"/>
    <s v="R003"/>
    <n v="10"/>
    <n v="3780"/>
    <n v="2.7"/>
    <n v="36779.4"/>
    <s v="Completed"/>
    <s v="Bengaluru"/>
    <s v="Sports"/>
    <s v="North"/>
    <s v="May-24"/>
    <x v="2"/>
  </r>
  <r>
    <s v="ORD-01925"/>
    <d v="2024-03-30T00:00:00"/>
    <s v="CUST-0105"/>
    <s v="PROD-014"/>
    <s v="R023"/>
    <n v="2"/>
    <n v="3620"/>
    <n v="23"/>
    <n v="5574.8"/>
    <s v="Completed"/>
    <s v="Chennai"/>
    <s v="Apparel"/>
    <s v="East"/>
    <s v="Mar-24"/>
    <x v="1"/>
  </r>
  <r>
    <s v="ORD-01926"/>
    <d v="2024-09-01T00:00:00"/>
    <s v="CUST-0003"/>
    <s v="PROD-034"/>
    <s v="R021"/>
    <n v="9"/>
    <n v="5080"/>
    <n v="19.899999999999999"/>
    <n v="36621.72"/>
    <s v="Completed"/>
    <s v="Mumbai"/>
    <s v="Home"/>
    <s v="East"/>
    <s v="Sep-24"/>
    <x v="0"/>
  </r>
  <r>
    <s v="ORD-01927"/>
    <d v="2024-09-26T00:00:00"/>
    <s v="CUST-0092"/>
    <s v="PROD-018"/>
    <s v="R024"/>
    <n v="2"/>
    <n v="3560"/>
    <n v="5.5"/>
    <n v="6728.4"/>
    <s v="Completed"/>
    <s v="Bengaluru"/>
    <s v="Apparel"/>
    <s v="West"/>
    <s v="Sep-24"/>
    <x v="0"/>
  </r>
  <r>
    <s v="ORD-01928"/>
    <d v="2024-02-27T00:00:00"/>
    <s v="CUST-0050"/>
    <s v="PROD-030"/>
    <s v="R001"/>
    <n v="6"/>
    <n v="970"/>
    <n v="22.5"/>
    <n v="4510.5"/>
    <s v="Refunded"/>
    <s v="Mumbai"/>
    <s v="Grocery"/>
    <s v="North"/>
    <s v="Feb-24"/>
    <x v="1"/>
  </r>
  <r>
    <s v="ORD-01929"/>
    <d v="2024-12-24T00:00:00"/>
    <s v="CUST-0237"/>
    <s v="PROD-043"/>
    <s v="R014"/>
    <n v="9"/>
    <n v="3350"/>
    <n v="5.0999999999999996"/>
    <n v="28612.35"/>
    <s v="Completed"/>
    <s v="Mumbai"/>
    <s v="Beauty"/>
    <s v="South"/>
    <s v="Dec-24"/>
    <x v="3"/>
  </r>
  <r>
    <s v="ORD-01930"/>
    <d v="2024-08-21T00:00:00"/>
    <s v="CUST-9905"/>
    <s v="PROD-032"/>
    <s v="R011"/>
    <n v="6"/>
    <n v="370"/>
    <n v="17.8"/>
    <n v="1824.84"/>
    <s v="Completed"/>
    <s v="Mumbai"/>
    <s v="Home"/>
    <s v="South"/>
    <s v="Aug-24"/>
    <x v="0"/>
  </r>
  <r>
    <s v="ORD-01931"/>
    <d v="2024-03-14T00:00:00"/>
    <s v="CUST-0175"/>
    <s v="PROD-024"/>
    <s v="R011"/>
    <n v="3"/>
    <n v="2270"/>
    <n v="8.4"/>
    <n v="6237.96"/>
    <s v="Pending"/>
    <s v="Delhi"/>
    <s v="Grocery"/>
    <s v="South"/>
    <s v="Mar-24"/>
    <x v="1"/>
  </r>
  <r>
    <s v="ORD-01932"/>
    <d v="2024-06-21T00:00:00"/>
    <s v="CUST-0271"/>
    <s v="PROD-051"/>
    <s v="R021"/>
    <n v="3"/>
    <n v="3450"/>
    <n v="7.2"/>
    <n v="9604.7999999999993"/>
    <s v="Completed"/>
    <s v="Bengaluru"/>
    <s v="Sports"/>
    <s v="East"/>
    <s v="Jun-24"/>
    <x v="2"/>
  </r>
  <r>
    <s v="ORD-01933"/>
    <d v="2024-12-07T00:00:00"/>
    <s v="CUST-0129"/>
    <s v="PROD-054"/>
    <s v="R008"/>
    <n v="9"/>
    <n v="1010"/>
    <n v="17.8"/>
    <n v="7471.98"/>
    <s v="Completed"/>
    <s v="Hyderabad"/>
    <s v="Sports"/>
    <s v="North"/>
    <s v="Dec-24"/>
    <x v="3"/>
  </r>
  <r>
    <s v="ORD-01934"/>
    <d v="2024-03-22T00:00:00"/>
    <s v="CUST-0156"/>
    <s v="PROD-039"/>
    <s v="R003"/>
    <n v="5"/>
    <n v="4610"/>
    <n v="29.8"/>
    <n v="16181.1"/>
    <s v="Cancelled"/>
    <s v="Mumbai"/>
    <s v="Home"/>
    <s v="North"/>
    <s v="Mar-24"/>
    <x v="1"/>
  </r>
  <r>
    <s v="ORD-01935"/>
    <d v="2024-07-24T00:00:00"/>
    <s v="CUST-0048"/>
    <s v="PROD-032"/>
    <s v="R003"/>
    <n v="6"/>
    <n v="370"/>
    <n v="17.899999999999999"/>
    <n v="1822.62"/>
    <s v="Completed"/>
    <s v="Delhi"/>
    <s v="Home"/>
    <s v="North"/>
    <s v="Jul-24"/>
    <x v="0"/>
  </r>
  <r>
    <s v="ORD-01936"/>
    <d v="2024-03-01T00:00:00"/>
    <s v="CUST-0224"/>
    <s v="PROD-023"/>
    <s v="R026"/>
    <n v="6"/>
    <n v="2380"/>
    <n v="13.6"/>
    <n v="12337.92"/>
    <s v="Cancelled"/>
    <s v="Chennai"/>
    <s v="Grocery"/>
    <s v="West"/>
    <s v="Mar-24"/>
    <x v="1"/>
  </r>
  <r>
    <s v="ORD-01937"/>
    <d v="2024-03-28T00:00:00"/>
    <s v="CUST-0101"/>
    <s v="PROD-049"/>
    <s v="R023"/>
    <n v="6"/>
    <n v="960"/>
    <n v="15"/>
    <n v="4896"/>
    <s v="Pending"/>
    <s v="Hyderabad"/>
    <s v="Beauty"/>
    <s v="East"/>
    <s v="Mar-24"/>
    <x v="1"/>
  </r>
  <r>
    <s v="ORD-01938"/>
    <d v="2024-05-10T00:00:00"/>
    <s v="CUST-0269"/>
    <s v="PROD-057"/>
    <s v="R002"/>
    <n v="3"/>
    <n v="960"/>
    <n v="12.3"/>
    <n v="2525.7600000000002"/>
    <s v="Completed"/>
    <s v="Pune"/>
    <s v="Sports"/>
    <s v="North"/>
    <s v="May-24"/>
    <x v="2"/>
  </r>
  <r>
    <s v="ORD-01939"/>
    <d v="2024-05-01T00:00:00"/>
    <s v="CUST-0097"/>
    <s v="PROD-016"/>
    <s v="R029"/>
    <n v="7"/>
    <n v="620"/>
    <n v="5.8"/>
    <n v="4088.28"/>
    <s v="Completed"/>
    <s v="Mumbai"/>
    <s v="Apparel"/>
    <s v="West"/>
    <s v="May-24"/>
    <x v="2"/>
  </r>
  <r>
    <s v="ORD-01940"/>
    <d v="2024-06-24T00:00:00"/>
    <s v="CUST-0062"/>
    <s v="PROD-057"/>
    <s v="R020"/>
    <n v="1"/>
    <n v="960"/>
    <n v="4.5999999999999996"/>
    <n v="915.84"/>
    <s v="Completed"/>
    <s v="Pune"/>
    <s v="Sports"/>
    <s v="East"/>
    <s v="Jun-24"/>
    <x v="2"/>
  </r>
  <r>
    <s v="ORD-01941"/>
    <d v="2024-08-16T00:00:00"/>
    <s v="CUST-0124"/>
    <s v="PROD-047"/>
    <s v="R028"/>
    <n v="4"/>
    <n v="3450"/>
    <n v="13.3"/>
    <n v="11964.6"/>
    <s v="Completed"/>
    <s v="Pune"/>
    <s v="Beauty"/>
    <s v="West"/>
    <s v="Aug-24"/>
    <x v="0"/>
  </r>
  <r>
    <s v="ORD-01942"/>
    <d v="2024-11-30T00:00:00"/>
    <s v="CUST-0185"/>
    <s v="PROD-015"/>
    <s v="R019"/>
    <n v="10"/>
    <n v="2720"/>
    <n v="3.4"/>
    <n v="26275.200000000001"/>
    <s v="Completed"/>
    <s v="Hyderabad"/>
    <s v="Apparel"/>
    <s v="East"/>
    <s v="Nov-24"/>
    <x v="3"/>
  </r>
  <r>
    <s v="ORD-01943"/>
    <d v="2024-06-09T00:00:00"/>
    <s v="CUST-0115"/>
    <s v="PROD-047"/>
    <s v="R019"/>
    <n v="1"/>
    <n v="3450"/>
    <n v="29.4"/>
    <n v="2435.6999999999998"/>
    <s v="Completed"/>
    <s v="Mumbai"/>
    <s v="Beauty"/>
    <s v="East"/>
    <s v="Jun-24"/>
    <x v="2"/>
  </r>
  <r>
    <s v="ORD-01944"/>
    <d v="2024-08-25T00:00:00"/>
    <s v="CUST-0097"/>
    <s v="PROD-044"/>
    <s v="R024"/>
    <n v="5"/>
    <n v="1650"/>
    <n v="29.4"/>
    <n v="5824.5"/>
    <s v="Completed"/>
    <s v="Mumbai"/>
    <s v="Beauty"/>
    <s v="West"/>
    <s v="Aug-24"/>
    <x v="0"/>
  </r>
  <r>
    <s v="ORD-01945"/>
    <d v="2024-12-13T00:00:00"/>
    <s v="CUST-0221"/>
    <s v="PROD-014"/>
    <s v="R009"/>
    <n v="2"/>
    <n v="3620"/>
    <n v="15.6"/>
    <n v="6110.56"/>
    <s v="Completed"/>
    <s v="Delhi"/>
    <s v="Apparel"/>
    <s v="South"/>
    <s v="Dec-24"/>
    <x v="3"/>
  </r>
  <r>
    <s v="ORD-01946"/>
    <d v="2024-10-27T00:00:00"/>
    <s v="CUST-0098"/>
    <s v="PROD-005"/>
    <s v="R012"/>
    <n v="3"/>
    <n v="300"/>
    <n v="24.8"/>
    <n v="676.8"/>
    <s v="Completed"/>
    <s v="Delhi"/>
    <s v="Electronics"/>
    <s v="South"/>
    <s v="Oct-24"/>
    <x v="3"/>
  </r>
  <r>
    <s v="ORD-01947"/>
    <d v="2024-02-16T00:00:00"/>
    <s v="CUST-0203"/>
    <s v="PROD-041"/>
    <s v="R001"/>
    <n v="3"/>
    <n v="1540"/>
    <n v="29.5"/>
    <n v="3257.1"/>
    <s v="Completed"/>
    <s v="Chennai"/>
    <s v="Beauty"/>
    <s v="North"/>
    <s v="Feb-24"/>
    <x v="1"/>
  </r>
  <r>
    <s v="ORD-01948"/>
    <d v="2024-09-16T00:00:00"/>
    <s v="CUST-0074"/>
    <s v="PROD-024"/>
    <s v="R019"/>
    <n v="10"/>
    <n v="2270"/>
    <n v="5.5"/>
    <n v="21451.5"/>
    <s v="Cancelled"/>
    <s v="Bengaluru"/>
    <s v="Grocery"/>
    <s v="East"/>
    <s v="Sep-24"/>
    <x v="0"/>
  </r>
  <r>
    <s v="ORD-01949"/>
    <d v="2024-02-28T00:00:00"/>
    <s v="CUST-0217"/>
    <s v="PROD-010"/>
    <s v="R008"/>
    <n v="3"/>
    <n v="2640"/>
    <n v="28.2"/>
    <n v="5686.56"/>
    <s v="Refunded"/>
    <s v="Pune"/>
    <s v="Electronics"/>
    <s v="North"/>
    <s v="Feb-24"/>
    <x v="1"/>
  </r>
  <r>
    <s v="ORD-01950"/>
    <d v="2024-08-03T00:00:00"/>
    <s v="CUST-0021"/>
    <s v="PROD-010"/>
    <s v="R015"/>
    <n v="10"/>
    <n v="2640"/>
    <n v="25.9"/>
    <n v="19562.400000000001"/>
    <s v="Completed"/>
    <s v="Pune"/>
    <s v="Electronics"/>
    <s v="South"/>
    <s v="Aug-24"/>
    <x v="0"/>
  </r>
  <r>
    <s v="ORD-01951"/>
    <d v="2024-09-03T00:00:00"/>
    <s v="CUST-0004"/>
    <s v="PROD-007"/>
    <s v="R030"/>
    <n v="2"/>
    <n v="1430"/>
    <n v="5"/>
    <n v="2717"/>
    <s v="Cancelled"/>
    <s v="Delhi"/>
    <s v="Electronics"/>
    <s v="West"/>
    <s v="Sep-24"/>
    <x v="0"/>
  </r>
  <r>
    <s v="ORD-01952"/>
    <d v="2024-11-22T00:00:00"/>
    <s v="CUST-0080"/>
    <s v="PROD-003"/>
    <s v="R020"/>
    <n v="6"/>
    <n v="3570"/>
    <n v="28.5"/>
    <n v="15315.3"/>
    <s v="Cancelled"/>
    <s v="Pune"/>
    <s v="Electronics"/>
    <s v="East"/>
    <s v="Nov-24"/>
    <x v="3"/>
  </r>
  <r>
    <s v="ORD-01953"/>
    <d v="2024-06-01T00:00:00"/>
    <s v="CUST-0113"/>
    <s v="PROD-003"/>
    <s v="R024"/>
    <n v="1"/>
    <n v="3570"/>
    <n v="7.7"/>
    <n v="3295.11"/>
    <s v="Completed"/>
    <s v="Delhi"/>
    <s v="Electronics"/>
    <s v="West"/>
    <s v="Jun-24"/>
    <x v="2"/>
  </r>
  <r>
    <s v="ORD-01954"/>
    <d v="2024-03-26T00:00:00"/>
    <s v="CUST-0023"/>
    <s v="PROD-004"/>
    <s v="R030"/>
    <n v="9"/>
    <n v="3870"/>
    <n v="11.9"/>
    <n v="30685.23"/>
    <s v="Cancelled"/>
    <s v="Chennai"/>
    <s v="Electronics"/>
    <s v="West"/>
    <s v="Mar-24"/>
    <x v="1"/>
  </r>
  <r>
    <s v="ORD-01955"/>
    <d v="2024-08-11T00:00:00"/>
    <s v="CUST-0136"/>
    <s v="PROD-056"/>
    <s v="R014"/>
    <n v="5"/>
    <n v="6940"/>
    <n v="17.399999999999999"/>
    <n v="28662.2"/>
    <s v="Completed"/>
    <s v="Chennai"/>
    <s v="Sports"/>
    <s v="South"/>
    <s v="Aug-24"/>
    <x v="0"/>
  </r>
  <r>
    <s v="ORD-01956"/>
    <d v="2024-01-21T00:00:00"/>
    <s v="CUST-0031"/>
    <s v="PROD-032"/>
    <s v="R026"/>
    <n v="6"/>
    <n v="370"/>
    <n v="8.1"/>
    <n v="2040.18"/>
    <s v="Cancelled"/>
    <s v="Hyderabad"/>
    <s v="Home"/>
    <s v="West"/>
    <s v="Jan-24"/>
    <x v="1"/>
  </r>
  <r>
    <s v="ORD-01957"/>
    <d v="2024-09-14T00:00:00"/>
    <s v="CUST-0175"/>
    <s v="PROD-018"/>
    <s v="R027"/>
    <n v="8"/>
    <n v="3560"/>
    <n v="23.3"/>
    <n v="21844.16"/>
    <s v="Completed"/>
    <s v="Delhi"/>
    <s v="Apparel"/>
    <s v="West"/>
    <s v="Sep-24"/>
    <x v="0"/>
  </r>
  <r>
    <s v="ORD-01958"/>
    <d v="2024-12-07T00:00:00"/>
    <s v="CUST-0249"/>
    <s v="PROD-009"/>
    <s v="R028"/>
    <n v="4"/>
    <n v="1220"/>
    <n v="2.7"/>
    <n v="4748.24"/>
    <s v="Completed"/>
    <s v="Mumbai"/>
    <s v="Electronics"/>
    <s v="West"/>
    <s v="Dec-24"/>
    <x v="3"/>
  </r>
  <r>
    <s v="ORD-01959"/>
    <d v="2024-11-02T00:00:00"/>
    <s v="CUST-0138"/>
    <s v="PROD-026"/>
    <s v="R020"/>
    <n v="10"/>
    <n v="4070"/>
    <n v="11.6"/>
    <n v="35978.800000000003"/>
    <s v="Completed"/>
    <s v="Chennai"/>
    <s v="Grocery"/>
    <s v="East"/>
    <s v="Nov-24"/>
    <x v="3"/>
  </r>
  <r>
    <s v="ORD-01960"/>
    <d v="2024-02-14T00:00:00"/>
    <s v="CUST-0290"/>
    <s v="PROD-028"/>
    <s v="R019"/>
    <n v="10"/>
    <n v="3660"/>
    <n v="28.8"/>
    <n v="26059.200000000001"/>
    <s v="Completed"/>
    <s v="Delhi"/>
    <s v="Grocery"/>
    <s v="East"/>
    <s v="Feb-24"/>
    <x v="1"/>
  </r>
  <r>
    <s v="ORD-01961"/>
    <d v="2024-06-06T00:00:00"/>
    <s v="CUST-0151"/>
    <s v="PROD-034"/>
    <s v="R018"/>
    <n v="5"/>
    <n v="5080"/>
    <n v="12.1"/>
    <n v="22326.6"/>
    <s v="Completed"/>
    <s v="Mumbai"/>
    <s v="Home"/>
    <s v="East"/>
    <s v="Jun-24"/>
    <x v="2"/>
  </r>
  <r>
    <s v="ORD-01962"/>
    <d v="2024-02-16T00:00:00"/>
    <s v="CUST-0290"/>
    <s v="PROD-039"/>
    <s v="R013"/>
    <n v="10"/>
    <n v="4610"/>
    <n v="22.5"/>
    <n v="35727.5"/>
    <s v="Completed"/>
    <s v="Delhi"/>
    <s v="Home"/>
    <s v="South"/>
    <s v="Feb-24"/>
    <x v="1"/>
  </r>
  <r>
    <s v="ORD-01963"/>
    <d v="2024-01-26T00:00:00"/>
    <s v="CUST-0074"/>
    <s v="PROD-008"/>
    <s v="R007"/>
    <n v="3"/>
    <n v="2660"/>
    <n v="15"/>
    <n v="6783"/>
    <s v="Completed"/>
    <s v="Bengaluru"/>
    <s v="Electronics"/>
    <s v="North"/>
    <s v="Jan-24"/>
    <x v="1"/>
  </r>
  <r>
    <s v="ORD-01964"/>
    <d v="2024-04-02T00:00:00"/>
    <s v="CUST-0295"/>
    <s v="PROD-012"/>
    <s v="R006"/>
    <n v="5"/>
    <n v="3160"/>
    <n v="1.3"/>
    <n v="15594.6"/>
    <s v="Completed"/>
    <s v="Delhi"/>
    <s v="Apparel"/>
    <s v="North"/>
    <s v="Apr-24"/>
    <x v="2"/>
  </r>
  <r>
    <s v="ORD-01965"/>
    <d v="2024-02-03T00:00:00"/>
    <s v="CUST-0132"/>
    <s v="PROD-032"/>
    <s v="R004"/>
    <n v="10"/>
    <n v="370"/>
    <n v="29"/>
    <n v="2627"/>
    <s v="Completed"/>
    <s v="Delhi"/>
    <s v="Home"/>
    <s v="North"/>
    <s v="Feb-24"/>
    <x v="1"/>
  </r>
  <r>
    <s v="ORD-01966"/>
    <d v="2024-03-07T00:00:00"/>
    <s v="CUST-0289"/>
    <s v="PROD-054"/>
    <s v="R008"/>
    <n v="10"/>
    <n v="1010"/>
    <n v="14.1"/>
    <n v="8675.9"/>
    <s v="Refunded"/>
    <s v="Mumbai"/>
    <s v="Sports"/>
    <s v="North"/>
    <s v="Mar-24"/>
    <x v="1"/>
  </r>
  <r>
    <s v="ORD-01967"/>
    <d v="2024-10-21T00:00:00"/>
    <s v="CUST-0139"/>
    <s v="PROD-018"/>
    <s v="R030"/>
    <n v="3"/>
    <n v="3560"/>
    <n v="23.6"/>
    <n v="8159.52"/>
    <s v="Completed"/>
    <s v="Hyderabad"/>
    <s v="Apparel"/>
    <s v="West"/>
    <s v="Oct-24"/>
    <x v="3"/>
  </r>
  <r>
    <s v="ORD-01968"/>
    <d v="2024-02-18T00:00:00"/>
    <s v="CUST-0032"/>
    <s v="PROD-009"/>
    <s v="R028"/>
    <n v="9"/>
    <n v="1220"/>
    <n v="16.600000000000001"/>
    <n v="9157.32"/>
    <s v="Completed"/>
    <s v="Hyderabad"/>
    <s v="Electronics"/>
    <s v="West"/>
    <s v="Feb-24"/>
    <x v="1"/>
  </r>
  <r>
    <s v="ORD-01969"/>
    <d v="2024-02-21T00:00:00"/>
    <s v="CUST-0109"/>
    <s v="PROD-060"/>
    <s v="R008"/>
    <n v="8"/>
    <n v="190"/>
    <n v="22.3"/>
    <n v="1181.04"/>
    <s v="Completed"/>
    <s v="Pune"/>
    <s v="Sports"/>
    <s v="North"/>
    <s v="Feb-24"/>
    <x v="1"/>
  </r>
  <r>
    <s v="ORD-01970"/>
    <d v="2024-06-25T00:00:00"/>
    <s v="CUST-0224"/>
    <s v="PROD-054"/>
    <s v="R002"/>
    <n v="2"/>
    <n v="1010"/>
    <n v="3.8"/>
    <n v="1943.24"/>
    <s v="Completed"/>
    <s v="Chennai"/>
    <s v="Sports"/>
    <s v="North"/>
    <s v="Jun-24"/>
    <x v="2"/>
  </r>
  <r>
    <s v="ORD-01971"/>
    <d v="2024-05-27T00:00:00"/>
    <s v="CUST-0038"/>
    <s v="PROD-002"/>
    <s v="R009"/>
    <n v="4"/>
    <n v="2600"/>
    <n v="29.1"/>
    <n v="7373.6"/>
    <s v="Completed"/>
    <s v="Mumbai"/>
    <s v="Electronics"/>
    <s v="South"/>
    <s v="May-24"/>
    <x v="2"/>
  </r>
  <r>
    <s v="ORD-01972"/>
    <d v="2024-08-13T00:00:00"/>
    <s v="CUST-0132"/>
    <s v="PROD-011"/>
    <s v="R029"/>
    <n v="7"/>
    <n v="3450"/>
    <n v="4"/>
    <n v="23184"/>
    <s v="Completed"/>
    <s v="Delhi"/>
    <s v="Apparel"/>
    <s v="West"/>
    <s v="Aug-24"/>
    <x v="0"/>
  </r>
  <r>
    <s v="ORD-01973"/>
    <d v="2024-01-20T00:00:00"/>
    <s v="CUST-0226"/>
    <s v="PROD-017"/>
    <s v="R019"/>
    <n v="6"/>
    <n v="2510"/>
    <n v="12.7"/>
    <n v="13147.38"/>
    <s v="Completed"/>
    <s v="Chennai"/>
    <s v="Apparel"/>
    <s v="East"/>
    <s v="Jan-24"/>
    <x v="1"/>
  </r>
  <r>
    <s v="ORD-01974"/>
    <d v="2024-09-25T00:00:00"/>
    <s v="CUST-0275"/>
    <s v="PROD-060"/>
    <s v="R027"/>
    <n v="6"/>
    <n v="190"/>
    <n v="20"/>
    <n v="912"/>
    <s v="Cancelled"/>
    <s v="Mumbai"/>
    <s v="Sports"/>
    <s v="West"/>
    <s v="Sep-24"/>
    <x v="0"/>
  </r>
  <r>
    <s v="ORD-01975"/>
    <d v="2024-08-25T00:00:00"/>
    <s v="CUST-0109"/>
    <s v="PROD-044"/>
    <s v="R029"/>
    <n v="10"/>
    <n v="1650"/>
    <n v="21.5"/>
    <n v="12952.5"/>
    <s v="Completed"/>
    <s v="Pune"/>
    <s v="Beauty"/>
    <s v="West"/>
    <s v="Aug-24"/>
    <x v="0"/>
  </r>
  <r>
    <s v="ORD-01976"/>
    <d v="2024-02-22T00:00:00"/>
    <s v="CUST-0281"/>
    <s v="PROD-055"/>
    <s v="R009"/>
    <n v="4"/>
    <n v="2860"/>
    <n v="15.2"/>
    <n v="9701.1200000000008"/>
    <s v="Completed"/>
    <s v="Bengaluru"/>
    <s v="Sports"/>
    <s v="South"/>
    <s v="Feb-24"/>
    <x v="1"/>
  </r>
  <r>
    <s v="ORD-01977"/>
    <d v="2024-10-24T00:00:00"/>
    <s v="CUST-0174"/>
    <s v="PROD-053"/>
    <s v="R028"/>
    <n v="3"/>
    <n v="470"/>
    <n v="14.2"/>
    <n v="1209.78"/>
    <s v="Completed"/>
    <s v="Pune"/>
    <s v="Sports"/>
    <s v="West"/>
    <s v="Oct-24"/>
    <x v="3"/>
  </r>
  <r>
    <s v="ORD-01978"/>
    <d v="2024-06-26T00:00:00"/>
    <s v="CUST-0103"/>
    <s v="PROD-055"/>
    <s v="R030"/>
    <n v="2"/>
    <n v="2860"/>
    <n v="17.899999999999999"/>
    <n v="4696.12"/>
    <s v="Completed"/>
    <s v="Hyderabad"/>
    <s v="Sports"/>
    <s v="West"/>
    <s v="Jun-24"/>
    <x v="2"/>
  </r>
  <r>
    <s v="ORD-01979"/>
    <d v="2024-04-25T00:00:00"/>
    <s v="CUST-0076"/>
    <s v="PROD-019"/>
    <s v="R018"/>
    <n v="2"/>
    <n v="2480"/>
    <n v="11.5"/>
    <n v="4389.6000000000004"/>
    <s v="Cancelled"/>
    <s v="Mumbai"/>
    <s v="Apparel"/>
    <s v="East"/>
    <s v="Apr-24"/>
    <x v="2"/>
  </r>
  <r>
    <s v="ORD-01980"/>
    <d v="2024-12-09T00:00:00"/>
    <s v="CUST-0227"/>
    <s v="PROD-033"/>
    <s v="R006"/>
    <n v="10"/>
    <n v="2030"/>
    <n v="29.2"/>
    <n v="14372.4"/>
    <s v="Completed"/>
    <s v="Bengaluru"/>
    <s v="Home"/>
    <s v="North"/>
    <s v="Dec-24"/>
    <x v="3"/>
  </r>
  <r>
    <s v="ORD-01981"/>
    <d v="2024-07-16T00:00:00"/>
    <s v="CUST-0006"/>
    <s v="PROD-047"/>
    <s v="R012"/>
    <n v="6"/>
    <n v="3450"/>
    <n v="3.5"/>
    <n v="19975.5"/>
    <s v="Refunded"/>
    <s v="Pune"/>
    <s v="Beauty"/>
    <s v="South"/>
    <s v="Jul-24"/>
    <x v="0"/>
  </r>
  <r>
    <s v="ORD-01982"/>
    <d v="2024-03-05T00:00:00"/>
    <s v="CUST-0231"/>
    <s v="PROD-007"/>
    <s v="R011"/>
    <n v="10"/>
    <n v="1430"/>
    <n v="3.5"/>
    <n v="13799.5"/>
    <s v="Completed"/>
    <s v="Chennai"/>
    <s v="Electronics"/>
    <s v="South"/>
    <s v="Mar-24"/>
    <x v="1"/>
  </r>
  <r>
    <s v="ORD-01983"/>
    <d v="2024-05-10T00:00:00"/>
    <s v="CUST-0085"/>
    <s v="PROD-020"/>
    <s v="R017"/>
    <n v="1"/>
    <n v="820"/>
    <n v="14.5"/>
    <n v="701.1"/>
    <s v="Cancelled"/>
    <s v="Chennai"/>
    <s v="Apparel"/>
    <s v="East"/>
    <s v="May-24"/>
    <x v="2"/>
  </r>
  <r>
    <s v="ORD-01984"/>
    <d v="2024-02-11T00:00:00"/>
    <s v="CUST-0022"/>
    <s v="PROD-046"/>
    <s v="R023"/>
    <n v="5"/>
    <n v="4880"/>
    <n v="1.8"/>
    <n v="23960.799999999999"/>
    <s v="Completed"/>
    <s v="Bengaluru"/>
    <s v="Beauty"/>
    <s v="East"/>
    <s v="Feb-24"/>
    <x v="1"/>
  </r>
  <r>
    <s v="ORD-01985"/>
    <d v="2024-04-03T00:00:00"/>
    <s v="CUST-0275"/>
    <s v="PROD-043"/>
    <s v="R016"/>
    <n v="8"/>
    <n v="3350"/>
    <n v="26.3"/>
    <n v="19751.599999999999"/>
    <s v="Cancelled"/>
    <s v="Mumbai"/>
    <s v="Beauty"/>
    <s v="South"/>
    <s v="Apr-24"/>
    <x v="2"/>
  </r>
  <r>
    <s v="ORD-01986"/>
    <d v="2024-01-07T00:00:00"/>
    <s v="CUST-0159"/>
    <s v="PROD-019"/>
    <s v="R022"/>
    <n v="9"/>
    <n v="2480"/>
    <n v="24.3"/>
    <n v="16896.240000000002"/>
    <s v="Completed"/>
    <s v="Hyderabad"/>
    <s v="Apparel"/>
    <s v="East"/>
    <s v="Jan-24"/>
    <x v="1"/>
  </r>
  <r>
    <s v="ORD-01987"/>
    <d v="2024-07-27T00:00:00"/>
    <s v="CUST-0152"/>
    <s v="PROD-039"/>
    <s v="R024"/>
    <n v="9"/>
    <n v="4610"/>
    <n v="10"/>
    <n v="37341"/>
    <s v="Completed"/>
    <s v="Bengaluru"/>
    <s v="Home"/>
    <s v="West"/>
    <s v="Jul-24"/>
    <x v="0"/>
  </r>
  <r>
    <s v="ORD-01988"/>
    <d v="2024-04-27T00:00:00"/>
    <s v="CUST-0289"/>
    <s v="PROD-027"/>
    <s v="R004"/>
    <n v="1"/>
    <n v="3780"/>
    <n v="2.2000000000000002"/>
    <n v="3696.84"/>
    <s v="Completed"/>
    <s v="Mumbai"/>
    <s v="Grocery"/>
    <s v="North"/>
    <s v="Apr-24"/>
    <x v="2"/>
  </r>
  <r>
    <s v="ORD-01989"/>
    <d v="2024-04-19T00:00:00"/>
    <s v="CUST-0004"/>
    <s v="PROD-045"/>
    <s v="R026"/>
    <n v="3"/>
    <n v="3020"/>
    <n v="21.4"/>
    <n v="7121.16"/>
    <s v="Cancelled"/>
    <s v="Delhi"/>
    <s v="Beauty"/>
    <s v="West"/>
    <s v="Apr-24"/>
    <x v="2"/>
  </r>
  <r>
    <s v="ORD-01990"/>
    <d v="2024-12-19T00:00:00"/>
    <s v="CUST-0159"/>
    <s v="PROD-035"/>
    <s v="R006"/>
    <n v="10"/>
    <n v="1090"/>
    <n v="29.2"/>
    <n v="7717.2"/>
    <s v="Cancelled"/>
    <s v="Hyderabad"/>
    <s v="Home"/>
    <s v="North"/>
    <s v="Dec-24"/>
    <x v="3"/>
  </r>
  <r>
    <s v="ORD-01991"/>
    <d v="2024-11-20T00:00:00"/>
    <s v="CUST-0083"/>
    <s v="PROD-048"/>
    <s v="R013"/>
    <n v="5"/>
    <n v="5100"/>
    <n v="28.4"/>
    <n v="18258"/>
    <s v="Completed"/>
    <s v="Bengaluru"/>
    <s v="Beauty"/>
    <s v="South"/>
    <s v="Nov-24"/>
    <x v="3"/>
  </r>
  <r>
    <s v="ORD-01992"/>
    <d v="2024-03-01T00:00:00"/>
    <s v="CUST-0242"/>
    <s v="PROD-046"/>
    <s v="R008"/>
    <n v="6"/>
    <n v="4880"/>
    <n v="16.8"/>
    <n v="24360.959999999999"/>
    <s v="Completed"/>
    <s v="Chennai"/>
    <s v="Beauty"/>
    <s v="North"/>
    <s v="Mar-24"/>
    <x v="1"/>
  </r>
  <r>
    <s v="ORD-01993"/>
    <d v="2024-06-08T00:00:00"/>
    <s v="CUST-0245"/>
    <s v="PROD-001"/>
    <s v="R027"/>
    <n v="1"/>
    <n v="5330"/>
    <n v="27.5"/>
    <n v="3864.25"/>
    <s v="Completed"/>
    <s v="Hyderabad"/>
    <s v="Electronics"/>
    <s v="West"/>
    <s v="Jun-24"/>
    <x v="2"/>
  </r>
  <r>
    <s v="ORD-01994"/>
    <d v="2024-07-04T00:00:00"/>
    <s v="CUST-0008"/>
    <s v="PROD-033"/>
    <s v="R029"/>
    <n v="7"/>
    <n v="2030"/>
    <n v="5.3"/>
    <n v="13456.87"/>
    <s v="Cancelled"/>
    <s v="Pune"/>
    <s v="Home"/>
    <s v="West"/>
    <s v="Jul-24"/>
    <x v="0"/>
  </r>
  <r>
    <s v="ORD-01995"/>
    <d v="2024-03-09T00:00:00"/>
    <s v="CUST-0260"/>
    <s v="PROD-043"/>
    <s v="R024"/>
    <n v="7"/>
    <n v="3350"/>
    <n v="0.4"/>
    <n v="23356.2"/>
    <s v="Completed"/>
    <s v="Bengaluru"/>
    <s v="Beauty"/>
    <s v="West"/>
    <s v="Mar-24"/>
    <x v="1"/>
  </r>
  <r>
    <s v="ORD-01996"/>
    <d v="2024-01-01T00:00:00"/>
    <s v="CUST-0265"/>
    <s v="PROD-031"/>
    <s v="R015"/>
    <n v="6"/>
    <n v="3730"/>
    <n v="13.8"/>
    <n v="19291.560000000001"/>
    <s v="Completed"/>
    <s v="Chennai"/>
    <s v="Home"/>
    <s v="South"/>
    <s v="Jan-24"/>
    <x v="1"/>
  </r>
  <r>
    <s v="ORD-01997"/>
    <d v="2024-10-20T00:00:00"/>
    <s v="CUST-0135"/>
    <s v="PROD-006"/>
    <s v="R017"/>
    <n v="6"/>
    <n v="3970"/>
    <n v="5.8"/>
    <n v="22438.44"/>
    <s v="Pending"/>
    <s v="Pune"/>
    <s v="Electronics"/>
    <s v="East"/>
    <s v="Oct-24"/>
    <x v="3"/>
  </r>
  <r>
    <s v="ORD-01998"/>
    <d v="2024-10-27T00:00:00"/>
    <s v="CUST-0030"/>
    <s v="PROD-029"/>
    <s v="R011"/>
    <n v="4"/>
    <n v="2210"/>
    <n v="18.2"/>
    <n v="7231.12"/>
    <s v="Pending"/>
    <s v="Bengaluru"/>
    <s v="Grocery"/>
    <s v="South"/>
    <s v="Oct-24"/>
    <x v="3"/>
  </r>
  <r>
    <s v="ORD-01999"/>
    <d v="2024-03-19T00:00:00"/>
    <s v="CUST-0167"/>
    <s v="PROD-052"/>
    <s v="R008"/>
    <n v="6"/>
    <n v="5410"/>
    <n v="15.5"/>
    <n v="27428.7"/>
    <s v="Completed"/>
    <s v="Delhi"/>
    <s v="Sports"/>
    <s v="North"/>
    <s v="Mar-24"/>
    <x v="1"/>
  </r>
  <r>
    <s v="ORD-02000"/>
    <d v="2024-02-03T00:00:00"/>
    <s v="CUST-0238"/>
    <s v="PROD-034"/>
    <s v="R023"/>
    <n v="6"/>
    <n v="5080"/>
    <n v="28.1"/>
    <n v="21915.119999999999"/>
    <s v="Completed"/>
    <s v="Delhi"/>
    <s v="Home"/>
    <s v="East"/>
    <s v="Feb-24"/>
    <x v="1"/>
  </r>
  <r>
    <m/>
    <m/>
    <m/>
    <m/>
    <m/>
    <m/>
    <m/>
    <m/>
    <m/>
    <m/>
    <m/>
    <m/>
    <m/>
    <m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ORD-00001"/>
    <d v="2024-09-14T00:00:00"/>
    <s v="CUST-0243"/>
    <s v="PROD-014"/>
    <s v="R007"/>
    <n v="8"/>
    <n v="3620"/>
    <n v="15.4"/>
    <n v="24500.16"/>
    <s v="Completed"/>
    <x v="0"/>
    <s v="Apparel"/>
    <s v="North"/>
    <s v="Sep-24"/>
    <s v="Q3 2024"/>
    <n v="2509"/>
    <n v="0.3069060773480663"/>
  </r>
  <r>
    <s v="ORD-00002"/>
    <d v="2024-02-18T00:00:00"/>
    <s v="CUST-0202"/>
    <s v="PROD-020"/>
    <s v="R005"/>
    <n v="2"/>
    <n v="820"/>
    <n v="10.8"/>
    <n v="1462.88"/>
    <s v="Pending"/>
    <x v="1"/>
    <s v="Apparel"/>
    <s v="North"/>
    <s v="Feb-24"/>
    <s v="Q1 2024"/>
    <n v="391"/>
    <n v="0.52317073170731709"/>
  </r>
  <r>
    <s v="ORD-00003"/>
    <d v="2024-03-20T00:00:00"/>
    <s v="CUST-0098"/>
    <s v="PROD-053"/>
    <s v="R014"/>
    <n v="8"/>
    <n v="470"/>
    <n v="3.3"/>
    <n v="3635.92"/>
    <s v="Pending"/>
    <x v="2"/>
    <s v="Sports"/>
    <s v="South"/>
    <s v="Mar-24"/>
    <s v="Q1 2024"/>
    <n v="302"/>
    <n v="0.35744680851063831"/>
  </r>
  <r>
    <s v="ORD-00004"/>
    <d v="2024-05-01T00:00:00"/>
    <s v="CUST-0071"/>
    <s v="PROD-028"/>
    <s v="R006"/>
    <n v="1"/>
    <n v="3660"/>
    <n v="15.7"/>
    <n v="3085.38"/>
    <s v="Completed"/>
    <x v="2"/>
    <s v="Grocery"/>
    <s v="North"/>
    <s v="May-24"/>
    <s v="Q2 2024"/>
    <n v="2214"/>
    <n v="0.39508196721311473"/>
  </r>
  <r>
    <s v="ORD-00005"/>
    <d v="2024-11-15T00:00:00"/>
    <s v="CUST-0180"/>
    <s v="PROD-012"/>
    <s v="R008"/>
    <n v="1"/>
    <n v="3160"/>
    <n v="26"/>
    <n v="2338.4"/>
    <s v="Completed"/>
    <x v="1"/>
    <s v="Apparel"/>
    <s v="North"/>
    <s v="Nov-24"/>
    <s v="Q4 2024"/>
    <n v="1886"/>
    <n v="0.4031645569620253"/>
  </r>
  <r>
    <s v="ORD-00006"/>
    <d v="2024-04-24T00:00:00"/>
    <s v="CUST-0275"/>
    <s v="PROD-032"/>
    <s v="R025"/>
    <n v="4"/>
    <n v="370"/>
    <n v="29"/>
    <n v="1050.8"/>
    <s v="Completed"/>
    <x v="3"/>
    <s v="Home"/>
    <s v="West"/>
    <s v="Apr-24"/>
    <s v="Q2 2024"/>
    <n v="288"/>
    <n v="0.22162162162162163"/>
  </r>
  <r>
    <s v="ORD-00007"/>
    <d v="2024-06-12T00:00:00"/>
    <s v="CUST-0293"/>
    <s v="PROD-057"/>
    <s v="R024"/>
    <n v="3"/>
    <n v="960"/>
    <n v="5.8"/>
    <n v="2712.96"/>
    <s v="Completed"/>
    <x v="4"/>
    <s v="Sports"/>
    <s v="West"/>
    <s v="Jun-24"/>
    <s v="Q2 2024"/>
    <n v="705"/>
    <n v="0.265625"/>
  </r>
  <r>
    <s v="ORD-00008"/>
    <d v="2024-11-21T00:00:00"/>
    <s v="CUST-0281"/>
    <s v="PROD-007"/>
    <s v="R019"/>
    <n v="8"/>
    <n v="1430"/>
    <n v="2.4"/>
    <n v="11165.44"/>
    <s v="Completed"/>
    <x v="4"/>
    <s v="Electronics"/>
    <s v="East"/>
    <s v="Nov-24"/>
    <s v="Q4 2024"/>
    <n v="861"/>
    <n v="0.39790209790209791"/>
  </r>
  <r>
    <s v="ORD-00009"/>
    <d v="2024-09-14T00:00:00"/>
    <s v="CUST-0260"/>
    <s v="PROD-038"/>
    <s v="R008"/>
    <n v="3"/>
    <n v="5490"/>
    <n v="14.2"/>
    <n v="14131.26"/>
    <s v="Completed"/>
    <x v="4"/>
    <s v="Home"/>
    <s v="North"/>
    <s v="Sep-24"/>
    <s v="Q3 2024"/>
    <n v="2549"/>
    <n v="0.53570127504553733"/>
  </r>
  <r>
    <s v="ORD-00010"/>
    <d v="2024-04-14T00:00:00"/>
    <s v="CUST-0147"/>
    <s v="PROD-030"/>
    <s v="R028"/>
    <n v="3"/>
    <n v="970"/>
    <n v="1.2"/>
    <n v="2875.08"/>
    <s v="Completed"/>
    <x v="0"/>
    <s v="Grocery"/>
    <s v="West"/>
    <s v="Apr-24"/>
    <s v="Q2 2024"/>
    <n v="434"/>
    <n v="0.5525773195876289"/>
  </r>
  <r>
    <s v="ORD-00011"/>
    <d v="2024-09-25T00:00:00"/>
    <s v="CUST-0204"/>
    <s v="PROD-024"/>
    <s v="R010"/>
    <n v="7"/>
    <n v="2270"/>
    <n v="7.1"/>
    <n v="14761.81"/>
    <s v="Pending"/>
    <x v="5"/>
    <s v="Grocery"/>
    <s v="South"/>
    <s v="Sep-24"/>
    <s v="Q3 2024"/>
    <n v="1203"/>
    <n v="0.47004405286343615"/>
  </r>
  <r>
    <s v="ORD-00012"/>
    <d v="2024-02-10T00:00:00"/>
    <s v="CUST-0147"/>
    <s v="PROD-010"/>
    <s v="R024"/>
    <n v="9"/>
    <n v="2640"/>
    <n v="21.7"/>
    <n v="18604.080000000002"/>
    <s v="Completed"/>
    <x v="0"/>
    <s v="Electronics"/>
    <s v="West"/>
    <s v="Feb-24"/>
    <s v="Q1 2024"/>
    <n v="1149"/>
    <n v="0.56477272727272732"/>
  </r>
  <r>
    <s v="ORD-00013"/>
    <d v="2024-08-03T00:00:00"/>
    <s v="CUST-0280"/>
    <s v="PROD-002"/>
    <s v="R004"/>
    <n v="3"/>
    <n v="2600"/>
    <n v="4.3"/>
    <n v="7464.6"/>
    <s v="Cancelled"/>
    <x v="2"/>
    <s v="Electronics"/>
    <s v="North"/>
    <s v="Aug-24"/>
    <s v="Q3 2024"/>
    <n v="1052"/>
    <n v="0.5953846153846154"/>
  </r>
  <r>
    <s v="ORD-00014"/>
    <d v="2024-06-23T00:00:00"/>
    <s v="CUST-0008"/>
    <s v="PROD-036"/>
    <s v="R025"/>
    <n v="3"/>
    <n v="3250"/>
    <n v="14.1"/>
    <n v="8375.25"/>
    <s v="Refunded"/>
    <x v="0"/>
    <s v="Home"/>
    <s v="West"/>
    <s v="Jun-24"/>
    <s v="Q2 2024"/>
    <n v="1556"/>
    <n v="0.52123076923076928"/>
  </r>
  <r>
    <s v="ORD-00015"/>
    <d v="2024-03-14T00:00:00"/>
    <s v="CUST-0052"/>
    <s v="PROD-060"/>
    <s v="R003"/>
    <n v="1"/>
    <n v="190"/>
    <n v="20.7"/>
    <n v="150.66999999999999"/>
    <s v="Completed"/>
    <x v="0"/>
    <s v="Sports"/>
    <s v="North"/>
    <s v="Mar-24"/>
    <s v="Q1 2024"/>
    <n v="147"/>
    <n v="0.22631578947368422"/>
  </r>
  <r>
    <s v="ORD-00016"/>
    <d v="2024-09-11T00:00:00"/>
    <s v="CUST-0184"/>
    <s v="PROD-058"/>
    <s v="R014"/>
    <n v="7"/>
    <n v="2400"/>
    <n v="10.199999999999999"/>
    <n v="15086.4"/>
    <s v="Pending"/>
    <x v="0"/>
    <s v="Sports"/>
    <s v="South"/>
    <s v="Sep-24"/>
    <s v="Q3 2024"/>
    <n v="974"/>
    <n v="0.59416666666666662"/>
  </r>
  <r>
    <s v="ORD-00017"/>
    <d v="2024-08-08T00:00:00"/>
    <s v="CUST-0056"/>
    <s v="PROD-028"/>
    <s v="R023"/>
    <n v="4"/>
    <n v="3660"/>
    <n v="2.6"/>
    <n v="14259.36"/>
    <s v="Completed"/>
    <x v="4"/>
    <s v="Grocery"/>
    <s v="East"/>
    <s v="Aug-24"/>
    <s v="Q3 2024"/>
    <n v="2214"/>
    <n v="0.39508196721311473"/>
  </r>
  <r>
    <s v="ORD-00018"/>
    <d v="2024-12-28T00:00:00"/>
    <s v="CUST-0273"/>
    <s v="PROD-047"/>
    <s v="R021"/>
    <n v="8"/>
    <n v="3450"/>
    <n v="18.5"/>
    <n v="22494"/>
    <s v="Completed"/>
    <x v="5"/>
    <s v="Beauty"/>
    <s v="East"/>
    <s v="Dec-24"/>
    <s v="Q4 2024"/>
    <n v="2420"/>
    <n v="0.29855072463768118"/>
  </r>
  <r>
    <s v="ORD-00019"/>
    <d v="2024-11-30T00:00:00"/>
    <s v="CUST-0182"/>
    <s v="PROD-051"/>
    <s v="R023"/>
    <n v="5"/>
    <n v="3450"/>
    <n v="7.3"/>
    <n v="15990.75"/>
    <s v="Completed"/>
    <x v="3"/>
    <s v="Sports"/>
    <s v="East"/>
    <s v="Nov-24"/>
    <s v="Q4 2024"/>
    <n v="2467"/>
    <n v="0.28492753623188405"/>
  </r>
  <r>
    <s v="ORD-00020"/>
    <d v="2024-04-12T00:00:00"/>
    <s v="CUST-0265"/>
    <s v="PROD-040"/>
    <s v="R023"/>
    <n v="8"/>
    <n v="1080"/>
    <n v="2.2000000000000002"/>
    <n v="8449.92"/>
    <s v="Completed"/>
    <x v="1"/>
    <s v="Home"/>
    <s v="East"/>
    <s v="Apr-24"/>
    <s v="Q2 2024"/>
    <n v="519"/>
    <n v="0.51944444444444449"/>
  </r>
  <r>
    <s v="ORD-00021"/>
    <d v="2024-06-27T00:00:00"/>
    <s v="CUST-0159"/>
    <s v="PROD-019"/>
    <s v="R006"/>
    <n v="7"/>
    <n v="2480"/>
    <n v="28.7"/>
    <n v="12377.68"/>
    <s v="Completed"/>
    <x v="5"/>
    <s v="Apparel"/>
    <s v="North"/>
    <s v="Jun-24"/>
    <s v="Q2 2024"/>
    <n v="1173"/>
    <n v="0.52701612903225803"/>
  </r>
  <r>
    <s v="ORD-00022"/>
    <d v="2024-03-03T00:00:00"/>
    <s v="CUST-0259"/>
    <s v="PROD-036"/>
    <s v="R030"/>
    <n v="4"/>
    <n v="3250"/>
    <n v="24.6"/>
    <n v="9802"/>
    <s v="Completed"/>
    <x v="3"/>
    <s v="Home"/>
    <s v="West"/>
    <s v="Mar-24"/>
    <s v="Q1 2024"/>
    <n v="1556"/>
    <n v="0.52123076923076928"/>
  </r>
  <r>
    <s v="ORD-00023"/>
    <d v="2024-08-26T00:00:00"/>
    <s v="CUST-0107"/>
    <s v="PROD-015"/>
    <s v="R030"/>
    <n v="9"/>
    <n v="2720"/>
    <n v="26.2"/>
    <n v="18066.240000000002"/>
    <s v="Completed"/>
    <x v="0"/>
    <s v="Apparel"/>
    <s v="West"/>
    <s v="Aug-24"/>
    <s v="Q3 2024"/>
    <n v="1962"/>
    <n v="0.2786764705882353"/>
  </r>
  <r>
    <s v="ORD-00024"/>
    <d v="2024-06-29T00:00:00"/>
    <s v="CUST-0101"/>
    <s v="PROD-044"/>
    <s v="R003"/>
    <n v="2"/>
    <n v="1650"/>
    <n v="9.4"/>
    <n v="2989.8"/>
    <s v="Completed"/>
    <x v="5"/>
    <s v="Beauty"/>
    <s v="North"/>
    <s v="Jun-24"/>
    <s v="Q2 2024"/>
    <n v="1222"/>
    <n v="0.2593939393939394"/>
  </r>
  <r>
    <s v="ORD-00025"/>
    <d v="2024-04-12T00:00:00"/>
    <s v="CUST-0142"/>
    <s v="PROD-043"/>
    <s v="R023"/>
    <n v="6"/>
    <n v="3350"/>
    <n v="6.1"/>
    <n v="18873.900000000001"/>
    <s v="Pending"/>
    <x v="1"/>
    <s v="Beauty"/>
    <s v="East"/>
    <s v="Apr-24"/>
    <s v="Q2 2024"/>
    <n v="1728"/>
    <n v="0.48417910447761192"/>
  </r>
  <r>
    <s v="ORD-00026"/>
    <d v="2024-10-05T00:00:00"/>
    <s v="CUST-0250"/>
    <s v="PROD-054"/>
    <s v="R019"/>
    <n v="2"/>
    <n v="1010"/>
    <n v="16.5"/>
    <n v="1686.7"/>
    <s v="Cancelled"/>
    <x v="2"/>
    <s v="Sports"/>
    <s v="East"/>
    <s v="Oct-24"/>
    <s v="Q4 2024"/>
    <n v="516"/>
    <n v="0.4891089108910891"/>
  </r>
  <r>
    <s v="ORD-00027"/>
    <d v="2024-04-19T00:00:00"/>
    <s v="CUST-0098"/>
    <s v="PROD-046"/>
    <s v="R006"/>
    <n v="5"/>
    <n v="4880"/>
    <n v="23.6"/>
    <n v="18641.599999999999"/>
    <s v="Completed"/>
    <x v="2"/>
    <s v="Beauty"/>
    <s v="North"/>
    <s v="Apr-24"/>
    <s v="Q2 2024"/>
    <n v="2768"/>
    <n v="0.43278688524590164"/>
  </r>
  <r>
    <s v="ORD-00028"/>
    <d v="2024-08-13T00:00:00"/>
    <s v="CUST-0143"/>
    <s v="PROD-003"/>
    <s v="R015"/>
    <n v="7"/>
    <n v="3570"/>
    <n v="5.8"/>
    <n v="23540.58"/>
    <s v="Cancelled"/>
    <x v="1"/>
    <s v="Electronics"/>
    <s v="South"/>
    <s v="Aug-24"/>
    <s v="Q3 2024"/>
    <n v="1665"/>
    <n v="0.53361344537815125"/>
  </r>
  <r>
    <s v="ORD-00029"/>
    <d v="2024-03-12T00:00:00"/>
    <s v="CUST-0086"/>
    <s v="PROD-048"/>
    <s v="R020"/>
    <n v="9"/>
    <n v="5100"/>
    <n v="16.7"/>
    <n v="38234.699999999997"/>
    <s v="Completed"/>
    <x v="5"/>
    <s v="Beauty"/>
    <s v="East"/>
    <s v="Mar-24"/>
    <s v="Q1 2024"/>
    <n v="2237"/>
    <n v="0.56137254901960787"/>
  </r>
  <r>
    <s v="ORD-00030"/>
    <d v="2024-03-16T00:00:00"/>
    <s v="CUST-0006"/>
    <s v="PROD-055"/>
    <s v="R005"/>
    <n v="3"/>
    <n v="2860"/>
    <n v="25.8"/>
    <n v="6366.36"/>
    <s v="Completed"/>
    <x v="0"/>
    <s v="Sports"/>
    <s v="North"/>
    <s v="Mar-24"/>
    <s v="Q1 2024"/>
    <n v="2028"/>
    <n v="0.29090909090909089"/>
  </r>
  <r>
    <s v="ORD-00031"/>
    <d v="2024-10-04T00:00:00"/>
    <s v="CUST-0241"/>
    <s v="PROD-030"/>
    <s v="R006"/>
    <n v="7"/>
    <n v="970"/>
    <n v="29.8"/>
    <n v="4766.58"/>
    <s v="Completed"/>
    <x v="0"/>
    <s v="Grocery"/>
    <s v="North"/>
    <s v="Oct-24"/>
    <s v="Q4 2024"/>
    <n v="434"/>
    <n v="0.5525773195876289"/>
  </r>
  <r>
    <s v="ORD-00032"/>
    <d v="2024-12-15T00:00:00"/>
    <s v="CUST-0035"/>
    <s v="PROD-021"/>
    <s v="R026"/>
    <n v="4"/>
    <n v="2760"/>
    <n v="5.9"/>
    <n v="10388.64"/>
    <s v="Completed"/>
    <x v="5"/>
    <s v="Grocery"/>
    <s v="West"/>
    <s v="Dec-24"/>
    <s v="Q4 2024"/>
    <n v="1435"/>
    <n v="0.48007246376811596"/>
  </r>
  <r>
    <s v="ORD-00033"/>
    <d v="2024-02-21T00:00:00"/>
    <s v="CUST-0273"/>
    <s v="PROD-037"/>
    <s v="R009"/>
    <n v="10"/>
    <n v="660"/>
    <n v="18.3"/>
    <n v="5392.2"/>
    <s v="Pending"/>
    <x v="5"/>
    <s v="Home"/>
    <s v="South"/>
    <s v="Feb-24"/>
    <s v="Q1 2024"/>
    <n v="329"/>
    <n v="0.50151515151515147"/>
  </r>
  <r>
    <s v="ORD-00034"/>
    <d v="2024-10-11T00:00:00"/>
    <s v="CUST-0064"/>
    <s v="PROD-036"/>
    <s v="R019"/>
    <n v="1"/>
    <n v="3250"/>
    <n v="10.7"/>
    <n v="2902.25"/>
    <s v="Completed"/>
    <x v="5"/>
    <s v="Home"/>
    <s v="East"/>
    <s v="Oct-24"/>
    <s v="Q4 2024"/>
    <n v="1556"/>
    <n v="0.52123076923076928"/>
  </r>
  <r>
    <s v="ORD-00035"/>
    <d v="2024-06-19T00:00:00"/>
    <s v="CUST-0118"/>
    <s v="PROD-048"/>
    <s v="R019"/>
    <n v="8"/>
    <n v="5100"/>
    <n v="26.4"/>
    <n v="30028.799999999999"/>
    <s v="Cancelled"/>
    <x v="5"/>
    <s v="Beauty"/>
    <s v="East"/>
    <s v="Jun-24"/>
    <s v="Q2 2024"/>
    <n v="2237"/>
    <n v="0.56137254901960787"/>
  </r>
  <r>
    <s v="ORD-00036"/>
    <d v="2024-05-30T00:00:00"/>
    <s v="CUST-0013"/>
    <s v="PROD-040"/>
    <s v="R021"/>
    <n v="1"/>
    <n v="1080"/>
    <n v="5.0999999999999996"/>
    <n v="1024.92"/>
    <s v="Completed"/>
    <x v="2"/>
    <s v="Home"/>
    <s v="East"/>
    <s v="May-24"/>
    <s v="Q2 2024"/>
    <n v="519"/>
    <n v="0.51944444444444449"/>
  </r>
  <r>
    <s v="ORD-00037"/>
    <d v="2024-12-20T00:00:00"/>
    <s v="CUST-0177"/>
    <s v="PROD-038"/>
    <s v="R009"/>
    <n v="2"/>
    <n v="5490"/>
    <n v="21.1"/>
    <n v="8663.2199999999993"/>
    <s v="Cancelled"/>
    <x v="3"/>
    <s v="Home"/>
    <s v="South"/>
    <s v="Dec-24"/>
    <s v="Q4 2024"/>
    <n v="2549"/>
    <n v="0.53570127504553733"/>
  </r>
  <r>
    <s v="ORD-00038"/>
    <d v="2024-07-05T00:00:00"/>
    <s v="CUST-0186"/>
    <s v="PROD-060"/>
    <s v="R001"/>
    <n v="7"/>
    <n v="190"/>
    <n v="28.7"/>
    <n v="948.29"/>
    <s v="Completed"/>
    <x v="4"/>
    <s v="Sports"/>
    <s v="North"/>
    <s v="Jul-24"/>
    <s v="Q3 2024"/>
    <n v="147"/>
    <n v="0.22631578947368422"/>
  </r>
  <r>
    <s v="ORD-00039"/>
    <d v="2024-03-04T00:00:00"/>
    <s v="CUST-0069"/>
    <s v="PROD-058"/>
    <s v="R015"/>
    <n v="6"/>
    <n v="2400"/>
    <n v="2.7"/>
    <n v="14011.2"/>
    <s v="Completed"/>
    <x v="1"/>
    <s v="Sports"/>
    <s v="South"/>
    <s v="Mar-24"/>
    <s v="Q1 2024"/>
    <n v="974"/>
    <n v="0.59416666666666662"/>
  </r>
  <r>
    <s v="ORD-00040"/>
    <d v="2024-11-03T00:00:00"/>
    <s v="CUST-0283"/>
    <s v="PROD-044"/>
    <s v="R023"/>
    <n v="9"/>
    <n v="1650"/>
    <n v="11.6"/>
    <n v="13127.4"/>
    <s v="Completed"/>
    <x v="2"/>
    <s v="Beauty"/>
    <s v="East"/>
    <s v="Nov-24"/>
    <s v="Q4 2024"/>
    <n v="1222"/>
    <n v="0.2593939393939394"/>
  </r>
  <r>
    <s v="ORD-00041"/>
    <d v="2024-11-10T00:00:00"/>
    <s v="CUST-9507"/>
    <s v="PROD-038"/>
    <s v="R006"/>
    <n v="4"/>
    <n v="5490"/>
    <n v="12.8"/>
    <n v="19149.12"/>
    <s v="Cancelled"/>
    <x v="1"/>
    <s v="Home"/>
    <s v="North"/>
    <s v="Nov-24"/>
    <s v="Q4 2024"/>
    <n v="2549"/>
    <n v="0.53570127504553733"/>
  </r>
  <r>
    <s v="ORD-00042"/>
    <d v="2024-05-20T00:00:00"/>
    <s v="CUST-0053"/>
    <s v="PROD-046"/>
    <s v="R014"/>
    <n v="10"/>
    <n v="4880"/>
    <n v="12.7"/>
    <n v="42602.400000000001"/>
    <s v="Completed"/>
    <x v="2"/>
    <s v="Beauty"/>
    <s v="South"/>
    <s v="May-24"/>
    <s v="Q2 2024"/>
    <n v="2768"/>
    <n v="0.43278688524590164"/>
  </r>
  <r>
    <s v="ORD-00043"/>
    <d v="2024-04-10T00:00:00"/>
    <s v="CUST-0222"/>
    <s v="PROD-031"/>
    <s v="R019"/>
    <n v="2"/>
    <n v="3730"/>
    <n v="25.8"/>
    <n v="5535.32"/>
    <s v="Completed"/>
    <x v="1"/>
    <s v="Home"/>
    <s v="East"/>
    <s v="Apr-24"/>
    <s v="Q2 2024"/>
    <n v="2135"/>
    <n v="0.42761394101876676"/>
  </r>
  <r>
    <s v="ORD-00044"/>
    <d v="2024-04-14T00:00:00"/>
    <s v="CUST-0095"/>
    <s v="PROD-047"/>
    <s v="R029"/>
    <n v="4"/>
    <n v="3450"/>
    <n v="20.7"/>
    <n v="10943.4"/>
    <s v="Completed"/>
    <x v="3"/>
    <s v="Beauty"/>
    <s v="West"/>
    <s v="Apr-24"/>
    <s v="Q2 2024"/>
    <n v="2420"/>
    <n v="0.29855072463768118"/>
  </r>
  <r>
    <s v="ORD-00045"/>
    <d v="2024-03-22T00:00:00"/>
    <s v="CUST-0152"/>
    <s v="PROD-019"/>
    <s v="R019"/>
    <n v="2"/>
    <n v="2480"/>
    <n v="17.3"/>
    <n v="4101.92"/>
    <s v="Completed"/>
    <x v="4"/>
    <s v="Apparel"/>
    <s v="East"/>
    <s v="Mar-24"/>
    <s v="Q1 2024"/>
    <n v="1173"/>
    <n v="0.52701612903225803"/>
  </r>
  <r>
    <s v="ORD-00046"/>
    <d v="2024-01-21T00:00:00"/>
    <s v="CUST-0291"/>
    <s v="PROD-027"/>
    <s v="R015"/>
    <n v="9"/>
    <n v="3780"/>
    <n v="8.6999999999999993"/>
    <n v="31060.26"/>
    <s v="Pending"/>
    <x v="0"/>
    <s v="Grocery"/>
    <s v="South"/>
    <s v="Jan-24"/>
    <s v="Q1 2024"/>
    <n v="2436"/>
    <n v="0.35555555555555557"/>
  </r>
  <r>
    <s v="ORD-00047"/>
    <d v="2024-02-18T00:00:00"/>
    <s v="CUST-0112"/>
    <s v="PROD-013"/>
    <s v="R017"/>
    <n v="4"/>
    <n v="3640"/>
    <n v="20.7"/>
    <n v="11546.08"/>
    <s v="Completed"/>
    <x v="5"/>
    <s v="Apparel"/>
    <s v="East"/>
    <s v="Feb-24"/>
    <s v="Q1 2024"/>
    <n v="2611"/>
    <n v="0.28269230769230769"/>
  </r>
  <r>
    <s v="ORD-00048"/>
    <d v="2024-03-19T00:00:00"/>
    <s v="CUST-9800"/>
    <s v="PROD-050"/>
    <s v="R003"/>
    <n v="8"/>
    <n v="6080"/>
    <n v="24.4"/>
    <n v="36771.839999999997"/>
    <s v="Completed"/>
    <x v="0"/>
    <s v="Beauty"/>
    <s v="North"/>
    <s v="Mar-24"/>
    <s v="Q1 2024"/>
    <n v="2617"/>
    <n v="0.56957236842105263"/>
  </r>
  <r>
    <s v="ORD-00049"/>
    <d v="2024-04-07T00:00:00"/>
    <s v="CUST-0143"/>
    <s v="PROD-030"/>
    <s v="R007"/>
    <n v="10"/>
    <n v="970"/>
    <n v="0.6"/>
    <n v="9641.7999999999993"/>
    <s v="Cancelled"/>
    <x v="1"/>
    <s v="Grocery"/>
    <s v="North"/>
    <s v="Apr-24"/>
    <s v="Q2 2024"/>
    <n v="434"/>
    <n v="0.5525773195876289"/>
  </r>
  <r>
    <s v="ORD-00050"/>
    <d v="2024-09-30T00:00:00"/>
    <s v="CUST-0226"/>
    <s v="PROD-022"/>
    <s v="R028"/>
    <n v="1"/>
    <n v="2270"/>
    <n v="11.5"/>
    <n v="2008.95"/>
    <s v="Pending"/>
    <x v="1"/>
    <s v="Grocery"/>
    <s v="West"/>
    <s v="Sep-24"/>
    <s v="Q3 2024"/>
    <n v="1412"/>
    <n v="0.37797356828193834"/>
  </r>
  <r>
    <s v="ORD-00051"/>
    <d v="2024-02-01T00:00:00"/>
    <s v="CUST-0234"/>
    <s v="PROD-004"/>
    <s v="R023"/>
    <n v="7"/>
    <n v="3870"/>
    <n v="0.3"/>
    <n v="27008.73"/>
    <s v="Cancelled"/>
    <x v="4"/>
    <s v="Electronics"/>
    <s v="East"/>
    <s v="Feb-24"/>
    <s v="Q1 2024"/>
    <n v="1559"/>
    <n v="0.59715762273901807"/>
  </r>
  <r>
    <s v="ORD-00052"/>
    <d v="2024-08-02T00:00:00"/>
    <s v="CUST-0176"/>
    <s v="PROD-046"/>
    <s v="R009"/>
    <n v="1"/>
    <n v="4880"/>
    <n v="23.9"/>
    <n v="3713.68"/>
    <s v="Pending"/>
    <x v="4"/>
    <s v="Beauty"/>
    <s v="South"/>
    <s v="Aug-24"/>
    <s v="Q3 2024"/>
    <n v="2768"/>
    <n v="0.43278688524590164"/>
  </r>
  <r>
    <s v="ORD-00053"/>
    <d v="2024-11-20T00:00:00"/>
    <s v="CUST-0180"/>
    <s v="PROD-027"/>
    <s v="R013"/>
    <n v="5"/>
    <n v="3780"/>
    <n v="18.5"/>
    <n v="15403.5"/>
    <s v="Completed"/>
    <x v="1"/>
    <s v="Grocery"/>
    <s v="South"/>
    <s v="Nov-24"/>
    <s v="Q4 2024"/>
    <n v="2436"/>
    <n v="0.35555555555555557"/>
  </r>
  <r>
    <s v="ORD-00054"/>
    <d v="2024-05-16T00:00:00"/>
    <s v="CUST-0088"/>
    <s v="PROD-036"/>
    <s v="R020"/>
    <n v="10"/>
    <n v="3250"/>
    <n v="25.5"/>
    <n v="24212.5"/>
    <s v="Completed"/>
    <x v="1"/>
    <s v="Home"/>
    <s v="East"/>
    <s v="May-24"/>
    <s v="Q2 2024"/>
    <n v="1556"/>
    <n v="0.52123076923076928"/>
  </r>
  <r>
    <s v="ORD-00055"/>
    <d v="2024-08-11T00:00:00"/>
    <s v="CUST-0267"/>
    <s v="PROD-013"/>
    <s v="R007"/>
    <n v="4"/>
    <n v="3640"/>
    <n v="9.9"/>
    <n v="13118.56"/>
    <s v="Refunded"/>
    <x v="5"/>
    <s v="Apparel"/>
    <s v="North"/>
    <s v="Aug-24"/>
    <s v="Q3 2024"/>
    <n v="2611"/>
    <n v="0.28269230769230769"/>
  </r>
  <r>
    <s v="ORD-00056"/>
    <d v="2024-12-23T00:00:00"/>
    <s v="CUST-0194"/>
    <s v="PROD-041"/>
    <s v="R023"/>
    <n v="4"/>
    <n v="1540"/>
    <n v="28.8"/>
    <n v="4385.92"/>
    <s v="Completed"/>
    <x v="2"/>
    <s v="Beauty"/>
    <s v="East"/>
    <s v="Dec-24"/>
    <s v="Q4 2024"/>
    <n v="647"/>
    <n v="0.57987012987012987"/>
  </r>
  <r>
    <s v="ORD-00057"/>
    <d v="2024-11-20T00:00:00"/>
    <s v="CUST-0261"/>
    <s v="PROD-040"/>
    <s v="R017"/>
    <n v="1"/>
    <n v="1080"/>
    <n v="23"/>
    <n v="831.6"/>
    <s v="Cancelled"/>
    <x v="2"/>
    <s v="Home"/>
    <s v="East"/>
    <s v="Nov-24"/>
    <s v="Q4 2024"/>
    <n v="519"/>
    <n v="0.51944444444444449"/>
  </r>
  <r>
    <s v="ORD-00058"/>
    <d v="2024-10-08T00:00:00"/>
    <s v="CUST-0031"/>
    <s v="PROD-026"/>
    <s v="R007"/>
    <n v="1"/>
    <n v="4070"/>
    <n v="6.7"/>
    <n v="3797.31"/>
    <s v="Completed"/>
    <x v="5"/>
    <s v="Grocery"/>
    <s v="North"/>
    <s v="Oct-24"/>
    <s v="Q4 2024"/>
    <n v="2027"/>
    <n v="0.50196560196560192"/>
  </r>
  <r>
    <s v="ORD-00059"/>
    <d v="2024-05-05T00:00:00"/>
    <s v="CUST-0175"/>
    <s v="PROD-009"/>
    <s v="R030"/>
    <n v="2"/>
    <n v="1220"/>
    <n v="11.7"/>
    <n v="2154.52"/>
    <s v="Cancelled"/>
    <x v="2"/>
    <s v="Electronics"/>
    <s v="West"/>
    <s v="May-24"/>
    <s v="Q2 2024"/>
    <n v="517"/>
    <n v="0.57622950819672136"/>
  </r>
  <r>
    <s v="ORD-00060"/>
    <d v="2024-05-13T00:00:00"/>
    <s v="CUST-0263"/>
    <s v="PROD-039"/>
    <s v="R029"/>
    <n v="4"/>
    <n v="4610"/>
    <n v="26.9"/>
    <n v="13479.64"/>
    <s v="Pending"/>
    <x v="3"/>
    <s v="Home"/>
    <s v="West"/>
    <s v="May-24"/>
    <s v="Q2 2024"/>
    <n v="1850"/>
    <n v="0.59869848156182215"/>
  </r>
  <r>
    <s v="ORD-00061"/>
    <d v="2024-10-24T00:00:00"/>
    <s v="CUST-0203"/>
    <s v="PROD-040"/>
    <s v="R011"/>
    <n v="8"/>
    <n v="1080"/>
    <n v="28.4"/>
    <n v="6186.24"/>
    <s v="Completed"/>
    <x v="1"/>
    <s v="Home"/>
    <s v="South"/>
    <s v="Oct-24"/>
    <s v="Q4 2024"/>
    <n v="519"/>
    <n v="0.51944444444444449"/>
  </r>
  <r>
    <s v="ORD-00062"/>
    <d v="2024-07-15T00:00:00"/>
    <s v="CUST-0258"/>
    <s v="PROD-045"/>
    <s v="R006"/>
    <n v="10"/>
    <n v="3020"/>
    <n v="25.4"/>
    <n v="22529.200000000001"/>
    <s v="Completed"/>
    <x v="0"/>
    <s v="Beauty"/>
    <s v="North"/>
    <s v="Jul-24"/>
    <s v="Q3 2024"/>
    <n v="1626"/>
    <n v="0.46158940397350995"/>
  </r>
  <r>
    <s v="ORD-00063"/>
    <d v="2024-06-22T00:00:00"/>
    <s v="CUST-0282"/>
    <s v="PROD-008"/>
    <s v="R017"/>
    <n v="7"/>
    <n v="2660"/>
    <n v="5.3"/>
    <n v="17633.14"/>
    <s v="Completed"/>
    <x v="5"/>
    <s v="Electronics"/>
    <s v="East"/>
    <s v="Jun-24"/>
    <s v="Q2 2024"/>
    <n v="1259"/>
    <n v="0.52669172932330832"/>
  </r>
  <r>
    <s v="ORD-00064"/>
    <d v="2024-11-03T00:00:00"/>
    <s v="CUST-0168"/>
    <s v="PROD-005"/>
    <s v="R003"/>
    <n v="9"/>
    <n v="300"/>
    <n v="25.3"/>
    <n v="2016.9"/>
    <s v="Completed"/>
    <x v="0"/>
    <s v="Electronics"/>
    <s v="North"/>
    <s v="Nov-24"/>
    <s v="Q4 2024"/>
    <n v="128"/>
    <n v="0.57333333333333336"/>
  </r>
  <r>
    <s v="ORD-00065"/>
    <d v="2024-01-26T00:00:00"/>
    <s v="CUST-0040"/>
    <s v="PROD-010"/>
    <s v="R022"/>
    <n v="10"/>
    <n v="2640"/>
    <n v="18.7"/>
    <n v="21463.200000000001"/>
    <s v="Cancelled"/>
    <x v="1"/>
    <s v="Electronics"/>
    <s v="East"/>
    <s v="Jan-24"/>
    <s v="Q1 2024"/>
    <n v="1149"/>
    <n v="0.56477272727272732"/>
  </r>
  <r>
    <s v="ORD-00066"/>
    <d v="2024-06-19T00:00:00"/>
    <s v="CUST-0283"/>
    <s v="PROD-020"/>
    <s v="R020"/>
    <n v="8"/>
    <n v="820"/>
    <n v="24"/>
    <n v="4985.6000000000004"/>
    <s v="Completed"/>
    <x v="2"/>
    <s v="Apparel"/>
    <s v="East"/>
    <s v="Jun-24"/>
    <s v="Q2 2024"/>
    <n v="391"/>
    <n v="0.52317073170731709"/>
  </r>
  <r>
    <s v="ORD-00067"/>
    <d v="2024-07-26T00:00:00"/>
    <s v="CUST-0202"/>
    <s v="PROD-021"/>
    <s v="R028"/>
    <n v="1"/>
    <n v="2760"/>
    <n v="4.8"/>
    <n v="2627.52"/>
    <s v="Completed"/>
    <x v="1"/>
    <s v="Grocery"/>
    <s v="West"/>
    <s v="Jul-24"/>
    <s v="Q3 2024"/>
    <n v="1435"/>
    <n v="0.48007246376811596"/>
  </r>
  <r>
    <s v="ORD-00068"/>
    <d v="2024-02-06T00:00:00"/>
    <s v="CUST-0161"/>
    <s v="PROD-014"/>
    <s v="R017"/>
    <n v="2"/>
    <n v="3620"/>
    <n v="19.100000000000001"/>
    <n v="5857.16"/>
    <s v="Completed"/>
    <x v="1"/>
    <s v="Apparel"/>
    <s v="East"/>
    <s v="Feb-24"/>
    <s v="Q1 2024"/>
    <n v="2509"/>
    <n v="0.3069060773480663"/>
  </r>
  <r>
    <s v="ORD-00069"/>
    <d v="2024-06-16T00:00:00"/>
    <s v="CUST-0033"/>
    <s v="PROD-016"/>
    <s v="R025"/>
    <n v="1"/>
    <n v="620"/>
    <n v="1"/>
    <n v="613.79999999999995"/>
    <s v="Completed"/>
    <x v="2"/>
    <s v="Apparel"/>
    <s v="West"/>
    <s v="Jun-24"/>
    <s v="Q2 2024"/>
    <n v="396"/>
    <n v="0.36129032258064514"/>
  </r>
  <r>
    <s v="ORD-00070"/>
    <d v="2024-04-16T00:00:00"/>
    <s v="CUST-0191"/>
    <s v="PROD-033"/>
    <s v="R030"/>
    <n v="1"/>
    <n v="2030"/>
    <n v="3.3"/>
    <n v="1963.01"/>
    <s v="Completed"/>
    <x v="5"/>
    <s v="Home"/>
    <s v="West"/>
    <s v="Apr-24"/>
    <s v="Q2 2024"/>
    <n v="1143"/>
    <n v="0.43694581280788175"/>
  </r>
  <r>
    <s v="ORD-00071"/>
    <d v="2024-06-27T00:00:00"/>
    <s v="CUST-0180"/>
    <s v="PROD-012"/>
    <s v="R002"/>
    <n v="10"/>
    <n v="3160"/>
    <n v="15.8"/>
    <n v="26607.200000000001"/>
    <s v="Completed"/>
    <x v="1"/>
    <s v="Apparel"/>
    <s v="North"/>
    <s v="Jun-24"/>
    <s v="Q2 2024"/>
    <n v="1886"/>
    <n v="0.4031645569620253"/>
  </r>
  <r>
    <s v="ORD-00072"/>
    <d v="2024-02-24T00:00:00"/>
    <s v="CUST-0129"/>
    <s v="PROD-030"/>
    <s v="R001"/>
    <n v="5"/>
    <n v="970"/>
    <n v="12.2"/>
    <n v="4258.3"/>
    <s v="Completed"/>
    <x v="5"/>
    <s v="Grocery"/>
    <s v="North"/>
    <s v="Feb-24"/>
    <s v="Q1 2024"/>
    <n v="434"/>
    <n v="0.5525773195876289"/>
  </r>
  <r>
    <s v="ORD-00073"/>
    <d v="2024-07-10T00:00:00"/>
    <s v="CUST-0189"/>
    <s v="PROD-043"/>
    <s v="R003"/>
    <n v="9"/>
    <n v="3350"/>
    <n v="25.8"/>
    <n v="22371.3"/>
    <s v="Pending"/>
    <x v="1"/>
    <s v="Beauty"/>
    <s v="North"/>
    <s v="Jul-24"/>
    <s v="Q3 2024"/>
    <n v="1728"/>
    <n v="0.48417910447761192"/>
  </r>
  <r>
    <s v="ORD-00074"/>
    <d v="2024-10-20T00:00:00"/>
    <s v="CUST-0194"/>
    <s v="PROD-032"/>
    <s v="R018"/>
    <n v="1"/>
    <n v="370"/>
    <n v="28.9"/>
    <n v="263.07"/>
    <s v="Completed"/>
    <x v="2"/>
    <s v="Home"/>
    <s v="East"/>
    <s v="Oct-24"/>
    <s v="Q4 2024"/>
    <n v="288"/>
    <n v="0.22162162162162163"/>
  </r>
  <r>
    <s v="ORD-00075"/>
    <d v="2024-07-27T00:00:00"/>
    <s v="CUST-0200"/>
    <s v="PROD-030"/>
    <s v="R010"/>
    <n v="3"/>
    <n v="970"/>
    <n v="4.3"/>
    <n v="2784.87"/>
    <s v="Cancelled"/>
    <x v="5"/>
    <s v="Grocery"/>
    <s v="South"/>
    <s v="Jul-24"/>
    <s v="Q3 2024"/>
    <n v="434"/>
    <n v="0.5525773195876289"/>
  </r>
  <r>
    <s v="ORD-00076"/>
    <d v="2024-03-24T00:00:00"/>
    <s v="CUST-0008"/>
    <s v="PROD-021"/>
    <s v="R022"/>
    <n v="6"/>
    <n v="2760"/>
    <n v="19.899999999999999"/>
    <n v="13264.56"/>
    <s v="Pending"/>
    <x v="0"/>
    <s v="Grocery"/>
    <s v="East"/>
    <s v="Mar-24"/>
    <s v="Q1 2024"/>
    <n v="1435"/>
    <n v="0.48007246376811596"/>
  </r>
  <r>
    <s v="ORD-00077"/>
    <d v="2024-05-31T00:00:00"/>
    <s v="CUST-0051"/>
    <s v="PROD-021"/>
    <s v="R019"/>
    <n v="7"/>
    <n v="2760"/>
    <n v="25.2"/>
    <n v="14451.36"/>
    <s v="Completed"/>
    <x v="0"/>
    <s v="Grocery"/>
    <s v="East"/>
    <s v="May-24"/>
    <s v="Q2 2024"/>
    <n v="1435"/>
    <n v="0.48007246376811596"/>
  </r>
  <r>
    <s v="ORD-00078"/>
    <d v="2024-04-08T00:00:00"/>
    <s v="CUST-0193"/>
    <s v="PROD-009"/>
    <s v="R022"/>
    <n v="4"/>
    <n v="1220"/>
    <n v="8.4"/>
    <n v="4470.08"/>
    <s v="Completed"/>
    <x v="4"/>
    <s v="Electronics"/>
    <s v="East"/>
    <s v="Apr-24"/>
    <s v="Q2 2024"/>
    <n v="517"/>
    <n v="0.57622950819672136"/>
  </r>
  <r>
    <s v="ORD-00079"/>
    <d v="2024-11-19T00:00:00"/>
    <s v="CUST-0020"/>
    <s v="PROD-002"/>
    <s v="R028"/>
    <n v="2"/>
    <n v="2600"/>
    <n v="1.9"/>
    <n v="5101.2"/>
    <s v="Pending"/>
    <x v="5"/>
    <s v="Electronics"/>
    <s v="West"/>
    <s v="Nov-24"/>
    <s v="Q4 2024"/>
    <n v="1052"/>
    <n v="0.5953846153846154"/>
  </r>
  <r>
    <s v="ORD-00080"/>
    <d v="2024-07-25T00:00:00"/>
    <s v="CUST-0230"/>
    <s v="PROD-026"/>
    <s v="R030"/>
    <n v="9"/>
    <n v="4070"/>
    <n v="28.8"/>
    <n v="26080.560000000001"/>
    <s v="Completed"/>
    <x v="0"/>
    <s v="Grocery"/>
    <s v="West"/>
    <s v="Jul-24"/>
    <s v="Q3 2024"/>
    <n v="2027"/>
    <n v="0.50196560196560192"/>
  </r>
  <r>
    <s v="ORD-00081"/>
    <d v="2024-08-11T00:00:00"/>
    <s v="CUST-0094"/>
    <s v="PROD-024"/>
    <s v="R005"/>
    <n v="2"/>
    <n v="2270"/>
    <n v="18"/>
    <n v="3722.8"/>
    <s v="Refunded"/>
    <x v="0"/>
    <s v="Grocery"/>
    <s v="North"/>
    <s v="Aug-24"/>
    <s v="Q3 2024"/>
    <n v="1203"/>
    <n v="0.47004405286343615"/>
  </r>
  <r>
    <s v="ORD-00082"/>
    <d v="2024-08-24T00:00:00"/>
    <s v="CUST-0248"/>
    <s v="PROD-012"/>
    <s v="R017"/>
    <n v="2"/>
    <n v="3160"/>
    <n v="18.3"/>
    <n v="5163.4399999999996"/>
    <s v="Completed"/>
    <x v="1"/>
    <s v="Apparel"/>
    <s v="East"/>
    <s v="Aug-24"/>
    <s v="Q3 2024"/>
    <n v="1886"/>
    <n v="0.4031645569620253"/>
  </r>
  <r>
    <s v="ORD-00083"/>
    <d v="2024-04-20T00:00:00"/>
    <s v="CUST-0082"/>
    <s v="PROD-019"/>
    <s v="R007"/>
    <n v="4"/>
    <n v="2480"/>
    <n v="1.1000000000000001"/>
    <n v="9810.8799999999992"/>
    <s v="Pending"/>
    <x v="5"/>
    <s v="Apparel"/>
    <s v="North"/>
    <s v="Apr-24"/>
    <s v="Q2 2024"/>
    <n v="1173"/>
    <n v="0.52701612903225803"/>
  </r>
  <r>
    <s v="ORD-00084"/>
    <d v="2024-09-12T00:00:00"/>
    <s v="CUST-0078"/>
    <s v="PROD-008"/>
    <s v="R026"/>
    <n v="1"/>
    <n v="2660"/>
    <n v="21"/>
    <n v="2101.4"/>
    <s v="Completed"/>
    <x v="2"/>
    <s v="Electronics"/>
    <s v="West"/>
    <s v="Sep-24"/>
    <s v="Q3 2024"/>
    <n v="1259"/>
    <n v="0.52669172932330832"/>
  </r>
  <r>
    <s v="ORD-00085"/>
    <d v="2024-05-12T00:00:00"/>
    <s v="CUST-0032"/>
    <s v="PROD-045"/>
    <s v="R012"/>
    <n v="5"/>
    <n v="3020"/>
    <n v="22.2"/>
    <n v="11747.8"/>
    <s v="Completed"/>
    <x v="5"/>
    <s v="Beauty"/>
    <s v="South"/>
    <s v="May-24"/>
    <s v="Q2 2024"/>
    <n v="1626"/>
    <n v="0.46158940397350995"/>
  </r>
  <r>
    <s v="ORD-00086"/>
    <d v="2024-06-18T00:00:00"/>
    <s v="CUST-0006"/>
    <s v="PROD-016"/>
    <s v="R030"/>
    <n v="9"/>
    <n v="620"/>
    <n v="23.3"/>
    <n v="4279.8599999999997"/>
    <s v="Completed"/>
    <x v="0"/>
    <s v="Apparel"/>
    <s v="West"/>
    <s v="Jun-24"/>
    <s v="Q2 2024"/>
    <n v="396"/>
    <n v="0.36129032258064514"/>
  </r>
  <r>
    <s v="ORD-00087"/>
    <d v="2024-11-04T00:00:00"/>
    <s v="CUST-0084"/>
    <s v="PROD-053"/>
    <s v="R026"/>
    <n v="2"/>
    <n v="470"/>
    <n v="5.4"/>
    <n v="889.24"/>
    <s v="Completed"/>
    <x v="1"/>
    <s v="Sports"/>
    <s v="West"/>
    <s v="Nov-24"/>
    <s v="Q4 2024"/>
    <n v="302"/>
    <n v="0.35744680851063831"/>
  </r>
  <r>
    <s v="ORD-00088"/>
    <d v="2024-10-22T00:00:00"/>
    <s v="CUST-0107"/>
    <s v="PROD-007"/>
    <s v="R010"/>
    <n v="3"/>
    <n v="1430"/>
    <n v="6.5"/>
    <n v="4011.15"/>
    <s v="Completed"/>
    <x v="0"/>
    <s v="Electronics"/>
    <s v="South"/>
    <s v="Oct-24"/>
    <s v="Q4 2024"/>
    <n v="861"/>
    <n v="0.39790209790209791"/>
  </r>
  <r>
    <s v="ORD-00089"/>
    <d v="2024-08-14T00:00:00"/>
    <s v="CUST-0108"/>
    <s v="PROD-016"/>
    <s v="R004"/>
    <n v="6"/>
    <n v="620"/>
    <n v="2.6"/>
    <n v="3623.28"/>
    <s v="Completed"/>
    <x v="4"/>
    <s v="Apparel"/>
    <s v="North"/>
    <s v="Aug-24"/>
    <s v="Q3 2024"/>
    <n v="396"/>
    <n v="0.36129032258064514"/>
  </r>
  <r>
    <s v="ORD-00090"/>
    <d v="2024-08-29T00:00:00"/>
    <s v="CUST-0139"/>
    <s v="PROD-003"/>
    <s v="R012"/>
    <n v="4"/>
    <n v="3570"/>
    <n v="4.5"/>
    <n v="13637.4"/>
    <s v="Pending"/>
    <x v="5"/>
    <s v="Electronics"/>
    <s v="South"/>
    <s v="Aug-24"/>
    <s v="Q3 2024"/>
    <n v="1665"/>
    <n v="0.53361344537815125"/>
  </r>
  <r>
    <s v="ORD-00091"/>
    <d v="2024-11-26T00:00:00"/>
    <s v="CUST-0200"/>
    <s v="PROD-022"/>
    <s v="R010"/>
    <n v="6"/>
    <n v="2270"/>
    <n v="2"/>
    <n v="13347.6"/>
    <s v="Completed"/>
    <x v="5"/>
    <s v="Grocery"/>
    <s v="South"/>
    <s v="Nov-24"/>
    <s v="Q4 2024"/>
    <n v="1412"/>
    <n v="0.37797356828193834"/>
  </r>
  <r>
    <s v="ORD-00092"/>
    <d v="2024-02-06T00:00:00"/>
    <s v="CUST-0208"/>
    <s v="PROD-015"/>
    <s v="R014"/>
    <n v="7"/>
    <n v="2720"/>
    <n v="15.4"/>
    <n v="16107.84"/>
    <s v="Completed"/>
    <x v="3"/>
    <s v="Apparel"/>
    <s v="South"/>
    <s v="Feb-24"/>
    <s v="Q1 2024"/>
    <n v="1962"/>
    <n v="0.2786764705882353"/>
  </r>
  <r>
    <s v="ORD-00093"/>
    <d v="2024-03-29T00:00:00"/>
    <s v="CUST-0161"/>
    <s v="PROD-029"/>
    <s v="R001"/>
    <n v="9"/>
    <n v="2210"/>
    <n v="12.4"/>
    <n v="17423.64"/>
    <s v="Completed"/>
    <x v="1"/>
    <s v="Grocery"/>
    <s v="North"/>
    <s v="Mar-24"/>
    <s v="Q1 2024"/>
    <n v="1010"/>
    <n v="0.54298642533936647"/>
  </r>
  <r>
    <s v="ORD-00094"/>
    <d v="2024-12-22T00:00:00"/>
    <s v="CUST-0042"/>
    <s v="PROD-060"/>
    <s v="R026"/>
    <n v="6"/>
    <n v="190"/>
    <n v="19.2"/>
    <n v="921.12"/>
    <s v="Completed"/>
    <x v="0"/>
    <s v="Sports"/>
    <s v="West"/>
    <s v="Dec-24"/>
    <s v="Q4 2024"/>
    <n v="147"/>
    <n v="0.22631578947368422"/>
  </r>
  <r>
    <s v="ORD-00095"/>
    <d v="2024-11-11T00:00:00"/>
    <s v="CUST-0133"/>
    <s v="PROD-048"/>
    <s v="R027"/>
    <n v="10"/>
    <n v="5100"/>
    <n v="25.4"/>
    <n v="38046"/>
    <s v="Refunded"/>
    <x v="1"/>
    <s v="Beauty"/>
    <s v="West"/>
    <s v="Nov-24"/>
    <s v="Q4 2024"/>
    <n v="2237"/>
    <n v="0.56137254901960787"/>
  </r>
  <r>
    <s v="ORD-00096"/>
    <d v="2024-05-02T00:00:00"/>
    <s v="CUST-0219"/>
    <s v="PROD-054"/>
    <s v="R016"/>
    <n v="5"/>
    <n v="1010"/>
    <n v="1.6"/>
    <n v="4969.2"/>
    <s v="Completed"/>
    <x v="1"/>
    <s v="Sports"/>
    <s v="South"/>
    <s v="May-24"/>
    <s v="Q2 2024"/>
    <n v="516"/>
    <n v="0.4891089108910891"/>
  </r>
  <r>
    <s v="ORD-00097"/>
    <d v="2024-02-06T00:00:00"/>
    <s v="CUST-0031"/>
    <s v="PROD-031"/>
    <s v="R025"/>
    <n v="1"/>
    <n v="3730"/>
    <n v="22.7"/>
    <n v="2883.29"/>
    <s v="Completed"/>
    <x v="5"/>
    <s v="Home"/>
    <s v="West"/>
    <s v="Feb-24"/>
    <s v="Q1 2024"/>
    <n v="2135"/>
    <n v="0.42761394101876676"/>
  </r>
  <r>
    <s v="ORD-00098"/>
    <d v="2024-03-22T00:00:00"/>
    <s v="CUST-0189"/>
    <s v="PROD-002"/>
    <s v="R028"/>
    <n v="10"/>
    <n v="2600"/>
    <n v="20.7"/>
    <n v="20618"/>
    <s v="Completed"/>
    <x v="1"/>
    <s v="Electronics"/>
    <s v="West"/>
    <s v="Mar-24"/>
    <s v="Q1 2024"/>
    <n v="1052"/>
    <n v="0.5953846153846154"/>
  </r>
  <r>
    <s v="ORD-00099"/>
    <d v="2024-06-15T00:00:00"/>
    <s v="CUST-0170"/>
    <s v="PROD-025"/>
    <s v="R006"/>
    <n v="4"/>
    <n v="4060"/>
    <n v="13.9"/>
    <n v="13982.64"/>
    <s v="Completed"/>
    <x v="3"/>
    <s v="Grocery"/>
    <s v="North"/>
    <s v="Jun-24"/>
    <s v="Q2 2024"/>
    <n v="2911"/>
    <n v="0.28300492610837441"/>
  </r>
  <r>
    <s v="ORD-00100"/>
    <d v="2024-05-14T00:00:00"/>
    <s v="CUST-0164"/>
    <s v="PROD-050"/>
    <s v="R027"/>
    <n v="6"/>
    <n v="6080"/>
    <n v="16.5"/>
    <n v="30460.799999999999"/>
    <s v="Completed"/>
    <x v="1"/>
    <s v="Beauty"/>
    <s v="West"/>
    <s v="May-24"/>
    <s v="Q2 2024"/>
    <n v="2617"/>
    <n v="0.56957236842105263"/>
  </r>
  <r>
    <s v="ORD-00101"/>
    <d v="2024-09-22T00:00:00"/>
    <s v="CUST-0006"/>
    <s v="PROD-017"/>
    <s v="R028"/>
    <n v="6"/>
    <n v="2510"/>
    <n v="11.7"/>
    <n v="13297.98"/>
    <s v="Completed"/>
    <x v="0"/>
    <s v="Apparel"/>
    <s v="West"/>
    <s v="Sep-24"/>
    <s v="Q3 2024"/>
    <n v="1075"/>
    <n v="0.57171314741035861"/>
  </r>
  <r>
    <s v="ORD-00102"/>
    <d v="2024-08-05T00:00:00"/>
    <s v="CUST-0181"/>
    <s v="PROD-036"/>
    <s v="R026"/>
    <n v="5"/>
    <n v="3250"/>
    <n v="18.399999999999999"/>
    <n v="13260"/>
    <s v="Completed"/>
    <x v="2"/>
    <s v="Home"/>
    <s v="West"/>
    <s v="Aug-24"/>
    <s v="Q3 2024"/>
    <n v="1556"/>
    <n v="0.52123076923076928"/>
  </r>
  <r>
    <s v="ORD-00103"/>
    <d v="2024-02-07T00:00:00"/>
    <s v="CUST-0131"/>
    <s v="PROD-052"/>
    <s v="R005"/>
    <n v="4"/>
    <n v="5410"/>
    <n v="9.8000000000000007"/>
    <n v="19519.28"/>
    <s v="Cancelled"/>
    <x v="2"/>
    <s v="Sports"/>
    <s v="North"/>
    <s v="Feb-24"/>
    <s v="Q1 2024"/>
    <n v="2265"/>
    <n v="0.58133086876155271"/>
  </r>
  <r>
    <s v="ORD-00104"/>
    <d v="2024-04-29T00:00:00"/>
    <s v="CUST-0255"/>
    <s v="PROD-003"/>
    <s v="R018"/>
    <n v="8"/>
    <n v="3570"/>
    <n v="11.1"/>
    <n v="25389.84"/>
    <s v="Completed"/>
    <x v="1"/>
    <s v="Electronics"/>
    <s v="East"/>
    <s v="Apr-24"/>
    <s v="Q2 2024"/>
    <n v="1665"/>
    <n v="0.53361344537815125"/>
  </r>
  <r>
    <s v="ORD-00105"/>
    <d v="2024-01-06T00:00:00"/>
    <s v="CUST-0170"/>
    <s v="PROD-001"/>
    <s v="R003"/>
    <n v="10"/>
    <n v="5330"/>
    <n v="21.2"/>
    <n v="42000.4"/>
    <s v="Completed"/>
    <x v="3"/>
    <s v="Electronics"/>
    <s v="North"/>
    <s v="Jan-24"/>
    <s v="Q1 2024"/>
    <n v="2405"/>
    <n v="0.54878048780487809"/>
  </r>
  <r>
    <s v="ORD-00106"/>
    <d v="2024-12-14T00:00:00"/>
    <s v="CUST-0081"/>
    <s v="PROD-023"/>
    <s v="R017"/>
    <n v="4"/>
    <n v="2380"/>
    <n v="26.2"/>
    <n v="7025.76"/>
    <s v="Completed"/>
    <x v="3"/>
    <s v="Grocery"/>
    <s v="East"/>
    <s v="Dec-24"/>
    <s v="Q4 2024"/>
    <n v="1182"/>
    <n v="0.50336134453781511"/>
  </r>
  <r>
    <s v="ORD-00107"/>
    <d v="2024-01-31T00:00:00"/>
    <s v="CUST-0102"/>
    <s v="PROD-054"/>
    <s v="R027"/>
    <n v="1"/>
    <n v="1010"/>
    <n v="19.5"/>
    <n v="813.05"/>
    <s v="Cancelled"/>
    <x v="1"/>
    <s v="Sports"/>
    <s v="West"/>
    <s v="Jan-24"/>
    <s v="Q1 2024"/>
    <n v="516"/>
    <n v="0.4891089108910891"/>
  </r>
  <r>
    <s v="ORD-00108"/>
    <d v="2024-05-02T00:00:00"/>
    <s v="CUST-0070"/>
    <s v="PROD-028"/>
    <s v="R025"/>
    <n v="1"/>
    <n v="3660"/>
    <n v="1.3"/>
    <n v="3612.42"/>
    <s v="Completed"/>
    <x v="3"/>
    <s v="Grocery"/>
    <s v="West"/>
    <s v="May-24"/>
    <s v="Q2 2024"/>
    <n v="2214"/>
    <n v="0.39508196721311473"/>
  </r>
  <r>
    <s v="ORD-00109"/>
    <d v="2024-10-27T00:00:00"/>
    <s v="CUST-0012"/>
    <s v="PROD-026"/>
    <s v="R013"/>
    <n v="2"/>
    <n v="4070"/>
    <n v="29"/>
    <n v="5779.4"/>
    <s v="Cancelled"/>
    <x v="0"/>
    <s v="Grocery"/>
    <s v="South"/>
    <s v="Oct-24"/>
    <s v="Q4 2024"/>
    <n v="2027"/>
    <n v="0.50196560196560192"/>
  </r>
  <r>
    <s v="ORD-00110"/>
    <d v="2024-05-27T00:00:00"/>
    <s v="CUST-0086"/>
    <s v="PROD-037"/>
    <s v="R029"/>
    <n v="6"/>
    <n v="660"/>
    <n v="20.2"/>
    <n v="3160.08"/>
    <s v="Pending"/>
    <x v="5"/>
    <s v="Home"/>
    <s v="West"/>
    <s v="May-24"/>
    <s v="Q2 2024"/>
    <n v="329"/>
    <n v="0.50151515151515147"/>
  </r>
  <r>
    <s v="ORD-00111"/>
    <d v="2024-07-13T00:00:00"/>
    <s v="CUST-0145"/>
    <s v="PROD-040"/>
    <s v="R024"/>
    <n v="3"/>
    <n v="1080"/>
    <n v="29.7"/>
    <n v="2277.7199999999998"/>
    <s v="Completed"/>
    <x v="4"/>
    <s v="Home"/>
    <s v="West"/>
    <s v="Jul-24"/>
    <s v="Q3 2024"/>
    <n v="519"/>
    <n v="0.51944444444444449"/>
  </r>
  <r>
    <s v="ORD-00112"/>
    <d v="2024-12-03T00:00:00"/>
    <s v="CUST-0287"/>
    <s v="PROD-020"/>
    <s v="R006"/>
    <n v="7"/>
    <n v="820"/>
    <n v="13.5"/>
    <n v="4965.1000000000004"/>
    <s v="Cancelled"/>
    <x v="1"/>
    <s v="Apparel"/>
    <s v="North"/>
    <s v="Dec-24"/>
    <s v="Q4 2024"/>
    <n v="391"/>
    <n v="0.52317073170731709"/>
  </r>
  <r>
    <s v="ORD-00113"/>
    <d v="2024-04-12T00:00:00"/>
    <s v="CUST-0280"/>
    <s v="PROD-049"/>
    <s v="R027"/>
    <n v="4"/>
    <n v="960"/>
    <n v="26"/>
    <n v="2841.6"/>
    <s v="Completed"/>
    <x v="2"/>
    <s v="Beauty"/>
    <s v="West"/>
    <s v="Apr-24"/>
    <s v="Q2 2024"/>
    <n v="675"/>
    <n v="0.296875"/>
  </r>
  <r>
    <s v="ORD-00114"/>
    <d v="2024-06-10T00:00:00"/>
    <s v="CUST-0096"/>
    <s v="PROD-002"/>
    <s v="R014"/>
    <n v="3"/>
    <n v="2600"/>
    <n v="18.2"/>
    <n v="6380.4"/>
    <s v="Completed"/>
    <x v="2"/>
    <s v="Electronics"/>
    <s v="South"/>
    <s v="Jun-24"/>
    <s v="Q2 2024"/>
    <n v="1052"/>
    <n v="0.5953846153846154"/>
  </r>
  <r>
    <s v="ORD-00115"/>
    <d v="2024-03-19T00:00:00"/>
    <s v="CUST-0184"/>
    <s v="PROD-033"/>
    <s v="R029"/>
    <n v="9"/>
    <n v="2030"/>
    <n v="26.1"/>
    <n v="13501.53"/>
    <s v="Completed"/>
    <x v="0"/>
    <s v="Home"/>
    <s v="West"/>
    <s v="Mar-24"/>
    <s v="Q1 2024"/>
    <n v="1143"/>
    <n v="0.43694581280788175"/>
  </r>
  <r>
    <s v="ORD-00116"/>
    <d v="2024-11-01T00:00:00"/>
    <s v="CUST-0025"/>
    <s v="PROD-042"/>
    <s v="R028"/>
    <n v="8"/>
    <n v="2290"/>
    <n v="20.8"/>
    <n v="14509.44"/>
    <s v="Completed"/>
    <x v="4"/>
    <s v="Beauty"/>
    <s v="West"/>
    <s v="Nov-24"/>
    <s v="Q4 2024"/>
    <n v="1219"/>
    <n v="0.46768558951965067"/>
  </r>
  <r>
    <s v="ORD-00117"/>
    <d v="2024-08-27T00:00:00"/>
    <s v="CUST-0149"/>
    <s v="PROD-031"/>
    <s v="R029"/>
    <n v="3"/>
    <n v="3730"/>
    <n v="7.9"/>
    <n v="10305.99"/>
    <s v="Completed"/>
    <x v="5"/>
    <s v="Home"/>
    <s v="West"/>
    <s v="Aug-24"/>
    <s v="Q3 2024"/>
    <n v="2135"/>
    <n v="0.42761394101876676"/>
  </r>
  <r>
    <s v="ORD-00118"/>
    <d v="2024-10-31T00:00:00"/>
    <s v="CUST-0018"/>
    <s v="PROD-005"/>
    <s v="R014"/>
    <n v="1"/>
    <n v="300"/>
    <n v="16.899999999999999"/>
    <n v="249.3"/>
    <s v="Pending"/>
    <x v="0"/>
    <s v="Electronics"/>
    <s v="South"/>
    <s v="Oct-24"/>
    <s v="Q4 2024"/>
    <n v="128"/>
    <n v="0.57333333333333336"/>
  </r>
  <r>
    <s v="ORD-00119"/>
    <d v="2024-05-08T00:00:00"/>
    <s v="CUST-0216"/>
    <s v="PROD-005"/>
    <s v="R012"/>
    <n v="3"/>
    <n v="300"/>
    <n v="0.6"/>
    <n v="894.6"/>
    <s v="Completed"/>
    <x v="3"/>
    <s v="Electronics"/>
    <s v="South"/>
    <s v="May-24"/>
    <s v="Q2 2024"/>
    <n v="128"/>
    <n v="0.57333333333333336"/>
  </r>
  <r>
    <s v="ORD-00120"/>
    <d v="2024-02-07T00:00:00"/>
    <s v="CUST-0092"/>
    <s v="PROD-043"/>
    <s v="R007"/>
    <n v="6"/>
    <n v="3350"/>
    <n v="2.2999999999999998"/>
    <n v="19637.7"/>
    <s v="Cancelled"/>
    <x v="4"/>
    <s v="Beauty"/>
    <s v="North"/>
    <s v="Feb-24"/>
    <s v="Q1 2024"/>
    <n v="1728"/>
    <n v="0.48417910447761192"/>
  </r>
  <r>
    <s v="ORD-00121"/>
    <d v="2024-05-04T00:00:00"/>
    <s v="CUST-0056"/>
    <s v="PROD-001"/>
    <s v="R003"/>
    <n v="4"/>
    <n v="5330"/>
    <n v="29.3"/>
    <n v="15073.24"/>
    <s v="Completed"/>
    <x v="4"/>
    <s v="Electronics"/>
    <s v="North"/>
    <s v="May-24"/>
    <s v="Q2 2024"/>
    <n v="2405"/>
    <n v="0.54878048780487809"/>
  </r>
  <r>
    <s v="ORD-00122"/>
    <d v="2024-11-18T00:00:00"/>
    <s v="CUST-0113"/>
    <s v="PROD-014"/>
    <s v="R002"/>
    <n v="6"/>
    <n v="3620"/>
    <n v="10.8"/>
    <n v="19374.240000000002"/>
    <s v="Completed"/>
    <x v="2"/>
    <s v="Apparel"/>
    <s v="North"/>
    <s v="Nov-24"/>
    <s v="Q4 2024"/>
    <n v="2509"/>
    <n v="0.3069060773480663"/>
  </r>
  <r>
    <s v="ORD-00123"/>
    <d v="2024-10-28T00:00:00"/>
    <s v="CUST-0253"/>
    <s v="PROD-014"/>
    <s v="R005"/>
    <n v="6"/>
    <n v="3620"/>
    <n v="21.7"/>
    <n v="17006.759999999998"/>
    <s v="Completed"/>
    <x v="2"/>
    <s v="Apparel"/>
    <s v="North"/>
    <s v="Oct-24"/>
    <s v="Q4 2024"/>
    <n v="2509"/>
    <n v="0.3069060773480663"/>
  </r>
  <r>
    <s v="ORD-00124"/>
    <d v="2024-03-09T00:00:00"/>
    <s v="CUST-0187"/>
    <s v="PROD-057"/>
    <s v="R008"/>
    <n v="8"/>
    <n v="960"/>
    <n v="27.9"/>
    <n v="5537.28"/>
    <s v="Completed"/>
    <x v="1"/>
    <s v="Sports"/>
    <s v="North"/>
    <s v="Mar-24"/>
    <s v="Q1 2024"/>
    <n v="705"/>
    <n v="0.265625"/>
  </r>
  <r>
    <s v="ORD-00125"/>
    <d v="2024-12-02T00:00:00"/>
    <s v="CUST-0028"/>
    <s v="PROD-044"/>
    <s v="R025"/>
    <n v="5"/>
    <n v="1650"/>
    <n v="4.9000000000000004"/>
    <n v="7845.75"/>
    <s v="Completed"/>
    <x v="4"/>
    <s v="Beauty"/>
    <s v="West"/>
    <s v="Dec-24"/>
    <s v="Q4 2024"/>
    <n v="1222"/>
    <n v="0.2593939393939394"/>
  </r>
  <r>
    <s v="ORD-00126"/>
    <d v="2024-10-27T00:00:00"/>
    <s v="CUST-0224"/>
    <s v="PROD-049"/>
    <s v="R010"/>
    <n v="9"/>
    <n v="960"/>
    <n v="25.1"/>
    <n v="6471.36"/>
    <s v="Refunded"/>
    <x v="1"/>
    <s v="Beauty"/>
    <s v="South"/>
    <s v="Oct-24"/>
    <s v="Q4 2024"/>
    <n v="675"/>
    <n v="0.296875"/>
  </r>
  <r>
    <s v="ORD-00127"/>
    <d v="2024-06-10T00:00:00"/>
    <s v="CUST-0150"/>
    <s v="PROD-006"/>
    <s v="R003"/>
    <n v="7"/>
    <n v="3970"/>
    <n v="13.8"/>
    <n v="23954.98"/>
    <s v="Pending"/>
    <x v="0"/>
    <s v="Electronics"/>
    <s v="North"/>
    <s v="Jun-24"/>
    <s v="Q2 2024"/>
    <n v="2865"/>
    <n v="0.27833753148614609"/>
  </r>
  <r>
    <s v="ORD-00128"/>
    <d v="2024-11-16T00:00:00"/>
    <s v="CUST-0129"/>
    <s v="PROD-030"/>
    <s v="R005"/>
    <n v="7"/>
    <n v="970"/>
    <n v="21.6"/>
    <n v="5323.36"/>
    <s v="Pending"/>
    <x v="5"/>
    <s v="Grocery"/>
    <s v="North"/>
    <s v="Nov-24"/>
    <s v="Q4 2024"/>
    <n v="434"/>
    <n v="0.5525773195876289"/>
  </r>
  <r>
    <s v="ORD-00129"/>
    <d v="2024-09-06T00:00:00"/>
    <s v="CUST-0239"/>
    <s v="PROD-033"/>
    <s v="R001"/>
    <n v="10"/>
    <n v="2030"/>
    <n v="1.2"/>
    <n v="20056.400000000001"/>
    <s v="Completed"/>
    <x v="3"/>
    <s v="Home"/>
    <s v="North"/>
    <s v="Sep-24"/>
    <s v="Q3 2024"/>
    <n v="1143"/>
    <n v="0.43694581280788175"/>
  </r>
  <r>
    <s v="ORD-00130"/>
    <d v="2024-12-14T00:00:00"/>
    <s v="CUST-0106"/>
    <s v="PROD-024"/>
    <s v="R021"/>
    <n v="9"/>
    <n v="2270"/>
    <n v="13.2"/>
    <n v="17733.240000000002"/>
    <s v="Pending"/>
    <x v="0"/>
    <s v="Grocery"/>
    <s v="East"/>
    <s v="Dec-24"/>
    <s v="Q4 2024"/>
    <n v="1203"/>
    <n v="0.47004405286343615"/>
  </r>
  <r>
    <s v="ORD-00131"/>
    <d v="2024-08-20T00:00:00"/>
    <s v="CUST-0273"/>
    <s v="PROD-046"/>
    <s v="R003"/>
    <n v="8"/>
    <n v="4880"/>
    <n v="13.4"/>
    <n v="33808.639999999999"/>
    <s v="Completed"/>
    <x v="5"/>
    <s v="Beauty"/>
    <s v="North"/>
    <s v="Aug-24"/>
    <s v="Q3 2024"/>
    <n v="2768"/>
    <n v="0.43278688524590164"/>
  </r>
  <r>
    <s v="ORD-00132"/>
    <d v="2024-02-22T00:00:00"/>
    <s v="CUST-0114"/>
    <s v="PROD-004"/>
    <s v="R011"/>
    <n v="10"/>
    <n v="3870"/>
    <n v="23.9"/>
    <n v="29450.7"/>
    <s v="Completed"/>
    <x v="4"/>
    <s v="Electronics"/>
    <s v="South"/>
    <s v="Feb-24"/>
    <s v="Q1 2024"/>
    <n v="1559"/>
    <n v="0.59715762273901807"/>
  </r>
  <r>
    <s v="ORD-00133"/>
    <d v="2024-06-20T00:00:00"/>
    <s v="CUST-0146"/>
    <s v="PROD-042"/>
    <s v="R002"/>
    <n v="4"/>
    <n v="2290"/>
    <n v="15.2"/>
    <n v="7767.68"/>
    <s v="Completed"/>
    <x v="5"/>
    <s v="Beauty"/>
    <s v="North"/>
    <s v="Jun-24"/>
    <s v="Q2 2024"/>
    <n v="1219"/>
    <n v="0.46768558951965067"/>
  </r>
  <r>
    <s v="ORD-00134"/>
    <d v="2024-05-31T00:00:00"/>
    <s v="CUST-0298"/>
    <s v="PROD-023"/>
    <s v="R020"/>
    <n v="8"/>
    <n v="2380"/>
    <n v="4.2"/>
    <n v="18240.32"/>
    <s v="Completed"/>
    <x v="2"/>
    <s v="Grocery"/>
    <s v="East"/>
    <s v="May-24"/>
    <s v="Q2 2024"/>
    <n v="1182"/>
    <n v="0.50336134453781511"/>
  </r>
  <r>
    <s v="ORD-00135"/>
    <d v="2024-01-10T00:00:00"/>
    <s v="CUST-0111"/>
    <s v="PROD-029"/>
    <s v="R013"/>
    <n v="8"/>
    <n v="2210"/>
    <n v="11.5"/>
    <n v="15646.8"/>
    <s v="Completed"/>
    <x v="1"/>
    <s v="Grocery"/>
    <s v="South"/>
    <s v="Jan-24"/>
    <s v="Q1 2024"/>
    <n v="1010"/>
    <n v="0.54298642533936647"/>
  </r>
  <r>
    <s v="ORD-01445"/>
    <d v="2024-03-09T00:00:00"/>
    <s v="CUST-0291"/>
    <s v="PROD-001"/>
    <s v="R022"/>
    <n v="4"/>
    <n v="5330"/>
    <n v="22.6"/>
    <n v="16501.68"/>
    <s v="Pending"/>
    <x v="0"/>
    <s v="Electronics"/>
    <s v="East"/>
    <s v="Mar-24"/>
    <s v="Q1 2024"/>
    <n v="2405"/>
    <n v="0.54878048780487809"/>
  </r>
  <r>
    <s v="ORD-00137"/>
    <d v="2024-09-24T00:00:00"/>
    <s v="CUST-0024"/>
    <s v="PROD-006"/>
    <s v="R022"/>
    <n v="8"/>
    <n v="3970"/>
    <n v="21.8"/>
    <n v="24836.32"/>
    <s v="Completed"/>
    <x v="1"/>
    <s v="Electronics"/>
    <s v="East"/>
    <s v="Sep-24"/>
    <s v="Q3 2024"/>
    <n v="2865"/>
    <n v="0.27833753148614609"/>
  </r>
  <r>
    <s v="ORD-00138"/>
    <d v="2024-09-11T00:00:00"/>
    <s v="CUST-0210"/>
    <s v="PROD-012"/>
    <s v="R020"/>
    <n v="10"/>
    <n v="3160"/>
    <n v="16.100000000000001"/>
    <n v="26512.400000000001"/>
    <s v="Cancelled"/>
    <x v="0"/>
    <s v="Apparel"/>
    <s v="East"/>
    <s v="Sep-24"/>
    <s v="Q3 2024"/>
    <n v="1886"/>
    <n v="0.4031645569620253"/>
  </r>
  <r>
    <s v="ORD-00139"/>
    <d v="2024-05-13T00:00:00"/>
    <s v="CUST-0192"/>
    <s v="PROD-060"/>
    <s v="R009"/>
    <n v="5"/>
    <n v="190"/>
    <n v="14.8"/>
    <n v="809.4"/>
    <s v="Completed"/>
    <x v="4"/>
    <s v="Sports"/>
    <s v="South"/>
    <s v="May-24"/>
    <s v="Q2 2024"/>
    <n v="147"/>
    <n v="0.22631578947368422"/>
  </r>
  <r>
    <s v="ORD-00140"/>
    <d v="2024-02-29T00:00:00"/>
    <s v="CUST-0078"/>
    <s v="PROD-021"/>
    <s v="R007"/>
    <n v="6"/>
    <n v="2760"/>
    <n v="19.8"/>
    <n v="13281.12"/>
    <s v="Completed"/>
    <x v="2"/>
    <s v="Grocery"/>
    <s v="North"/>
    <s v="Feb-24"/>
    <s v="Q1 2024"/>
    <n v="1435"/>
    <n v="0.48007246376811596"/>
  </r>
  <r>
    <s v="ORD-00141"/>
    <d v="2024-11-08T00:00:00"/>
    <s v="CUST-0070"/>
    <s v="PROD-022"/>
    <s v="R019"/>
    <n v="9"/>
    <n v="2270"/>
    <n v="20.8"/>
    <n v="16180.56"/>
    <s v="Cancelled"/>
    <x v="3"/>
    <s v="Grocery"/>
    <s v="East"/>
    <s v="Nov-24"/>
    <s v="Q4 2024"/>
    <n v="1412"/>
    <n v="0.37797356828193834"/>
  </r>
  <r>
    <s v="ORD-00142"/>
    <d v="2024-02-06T00:00:00"/>
    <s v="CUST-0159"/>
    <s v="PROD-052"/>
    <s v="R001"/>
    <n v="8"/>
    <n v="5410"/>
    <n v="12.9"/>
    <n v="37696.879999999997"/>
    <s v="Completed"/>
    <x v="5"/>
    <s v="Sports"/>
    <s v="North"/>
    <s v="Feb-24"/>
    <s v="Q1 2024"/>
    <n v="2265"/>
    <n v="0.58133086876155271"/>
  </r>
  <r>
    <s v="ORD-00143"/>
    <d v="2024-08-04T00:00:00"/>
    <s v="CUST-0294"/>
    <s v="PROD-024"/>
    <s v="R009"/>
    <n v="9"/>
    <n v="2270"/>
    <n v="6.8"/>
    <n v="19040.759999999998"/>
    <s v="Completed"/>
    <x v="2"/>
    <s v="Grocery"/>
    <s v="South"/>
    <s v="Aug-24"/>
    <s v="Q3 2024"/>
    <n v="1203"/>
    <n v="0.47004405286343615"/>
  </r>
  <r>
    <s v="ORD-00144"/>
    <d v="2024-01-18T00:00:00"/>
    <s v="CUST-0280"/>
    <s v="PROD-012"/>
    <s v="R001"/>
    <n v="3"/>
    <n v="3160"/>
    <n v="12.8"/>
    <n v="8266.56"/>
    <s v="Completed"/>
    <x v="2"/>
    <s v="Apparel"/>
    <s v="North"/>
    <s v="Jan-24"/>
    <s v="Q1 2024"/>
    <n v="1886"/>
    <n v="0.4031645569620253"/>
  </r>
  <r>
    <s v="ORD-00145"/>
    <d v="2024-06-05T00:00:00"/>
    <s v="CUST-0291"/>
    <s v="PROD-025"/>
    <s v="R028"/>
    <n v="8"/>
    <n v="4060"/>
    <n v="20.9"/>
    <n v="25691.68"/>
    <s v="Completed"/>
    <x v="0"/>
    <s v="Grocery"/>
    <s v="West"/>
    <s v="Jun-24"/>
    <s v="Q2 2024"/>
    <n v="2911"/>
    <n v="0.28300492610837441"/>
  </r>
  <r>
    <s v="ORD-00146"/>
    <d v="2024-06-06T00:00:00"/>
    <s v="CUST-9657"/>
    <s v="PROD-020"/>
    <s v="R018"/>
    <n v="5"/>
    <n v="820"/>
    <n v="9.1"/>
    <n v="3726.9"/>
    <s v="Refunded"/>
    <x v="0"/>
    <s v="Apparel"/>
    <s v="East"/>
    <s v="Jun-24"/>
    <s v="Q2 2024"/>
    <n v="391"/>
    <n v="0.52317073170731709"/>
  </r>
  <r>
    <s v="ORD-00147"/>
    <d v="2024-09-20T00:00:00"/>
    <s v="CUST-0080"/>
    <s v="PROD-032"/>
    <s v="R007"/>
    <n v="5"/>
    <n v="370"/>
    <n v="11.5"/>
    <n v="1637.25"/>
    <s v="Completed"/>
    <x v="0"/>
    <s v="Home"/>
    <s v="North"/>
    <s v="Sep-24"/>
    <s v="Q3 2024"/>
    <n v="288"/>
    <n v="0.22162162162162163"/>
  </r>
  <r>
    <s v="ORD-00148"/>
    <d v="2024-02-19T00:00:00"/>
    <s v="CUST-0172"/>
    <s v="PROD-034"/>
    <s v="R002"/>
    <n v="9"/>
    <n v="5080"/>
    <n v="27.5"/>
    <n v="33147"/>
    <s v="Completed"/>
    <x v="0"/>
    <s v="Home"/>
    <s v="North"/>
    <s v="Feb-24"/>
    <s v="Q1 2024"/>
    <n v="2459"/>
    <n v="0.51594488188976373"/>
  </r>
  <r>
    <s v="ORD-00149"/>
    <d v="2024-05-10T00:00:00"/>
    <s v="CUST-0051"/>
    <s v="PROD-026"/>
    <s v="R012"/>
    <n v="6"/>
    <n v="4070"/>
    <n v="12.5"/>
    <n v="21367.5"/>
    <s v="Completed"/>
    <x v="0"/>
    <s v="Grocery"/>
    <s v="South"/>
    <s v="May-24"/>
    <s v="Q2 2024"/>
    <n v="2027"/>
    <n v="0.50196560196560192"/>
  </r>
  <r>
    <s v="ORD-00150"/>
    <d v="2024-02-24T00:00:00"/>
    <s v="CUST-0080"/>
    <s v="PROD-005"/>
    <s v="R024"/>
    <n v="5"/>
    <n v="300"/>
    <n v="25.8"/>
    <n v="1113"/>
    <s v="Completed"/>
    <x v="0"/>
    <s v="Electronics"/>
    <s v="West"/>
    <s v="Feb-24"/>
    <s v="Q1 2024"/>
    <n v="128"/>
    <n v="0.57333333333333336"/>
  </r>
  <r>
    <s v="ORD-00151"/>
    <d v="2024-01-27T00:00:00"/>
    <s v="CUST-0137"/>
    <s v="PROD-048"/>
    <s v="R011"/>
    <n v="7"/>
    <n v="5100"/>
    <n v="28.8"/>
    <n v="25418.400000000001"/>
    <s v="Completed"/>
    <x v="3"/>
    <s v="Beauty"/>
    <s v="South"/>
    <s v="Jan-24"/>
    <s v="Q1 2024"/>
    <n v="2237"/>
    <n v="0.56137254901960787"/>
  </r>
  <r>
    <s v="ORD-00152"/>
    <d v="2024-08-17T00:00:00"/>
    <s v="CUST-0222"/>
    <s v="PROD-038"/>
    <s v="R012"/>
    <n v="2"/>
    <n v="5490"/>
    <n v="5.5"/>
    <n v="10376.1"/>
    <s v="Completed"/>
    <x v="1"/>
    <s v="Home"/>
    <s v="South"/>
    <s v="Aug-24"/>
    <s v="Q3 2024"/>
    <n v="2549"/>
    <n v="0.53570127504553733"/>
  </r>
  <r>
    <s v="ORD-00153"/>
    <d v="2024-10-30T00:00:00"/>
    <s v="CUST-0117"/>
    <s v="PROD-011"/>
    <s v="R015"/>
    <n v="2"/>
    <n v="3450"/>
    <n v="1.2"/>
    <n v="6817.2"/>
    <s v="Completed"/>
    <x v="2"/>
    <s v="Apparel"/>
    <s v="South"/>
    <s v="Oct-24"/>
    <s v="Q4 2024"/>
    <n v="1748"/>
    <n v="0.49333333333333335"/>
  </r>
  <r>
    <s v="ORD-00154"/>
    <d v="2024-08-26T00:00:00"/>
    <s v="CUST-0104"/>
    <s v="PROD-029"/>
    <s v="R002"/>
    <n v="10"/>
    <n v="2210"/>
    <n v="18.8"/>
    <n v="17945.2"/>
    <s v="Completed"/>
    <x v="5"/>
    <s v="Grocery"/>
    <s v="North"/>
    <s v="Aug-24"/>
    <s v="Q3 2024"/>
    <n v="1010"/>
    <n v="0.54298642533936647"/>
  </r>
  <r>
    <s v="ORD-00155"/>
    <d v="2024-12-18T00:00:00"/>
    <s v="CUST-0082"/>
    <s v="PROD-036"/>
    <s v="R013"/>
    <n v="2"/>
    <n v="3250"/>
    <n v="26.2"/>
    <n v="4797"/>
    <s v="Completed"/>
    <x v="5"/>
    <s v="Home"/>
    <s v="South"/>
    <s v="Dec-24"/>
    <s v="Q4 2024"/>
    <n v="1556"/>
    <n v="0.52123076923076928"/>
  </r>
  <r>
    <s v="ORD-00156"/>
    <d v="2024-01-07T00:00:00"/>
    <s v="CUST-0165"/>
    <s v="PROD-012"/>
    <s v="R001"/>
    <n v="5"/>
    <n v="3160"/>
    <n v="0.9"/>
    <n v="15657.8"/>
    <s v="Completed"/>
    <x v="0"/>
    <s v="Apparel"/>
    <s v="North"/>
    <s v="Jan-24"/>
    <s v="Q1 2024"/>
    <n v="1886"/>
    <n v="0.4031645569620253"/>
  </r>
  <r>
    <s v="ORD-00157"/>
    <d v="2024-06-04T00:00:00"/>
    <s v="CUST-0150"/>
    <s v="PROD-004"/>
    <s v="R030"/>
    <n v="4"/>
    <n v="3870"/>
    <n v="29.6"/>
    <n v="10897.92"/>
    <s v="Cancelled"/>
    <x v="0"/>
    <s v="Electronics"/>
    <s v="West"/>
    <s v="Jun-24"/>
    <s v="Q2 2024"/>
    <n v="1559"/>
    <n v="0.59715762273901807"/>
  </r>
  <r>
    <s v="ORD-00158"/>
    <d v="2024-11-05T00:00:00"/>
    <s v="CUST-0228"/>
    <s v="PROD-059"/>
    <s v="R022"/>
    <n v="4"/>
    <n v="3780"/>
    <n v="3.5"/>
    <n v="14590.8"/>
    <s v="Cancelled"/>
    <x v="0"/>
    <s v="Sports"/>
    <s v="East"/>
    <s v="Nov-24"/>
    <s v="Q4 2024"/>
    <n v="1860"/>
    <n v="0.50793650793650791"/>
  </r>
  <r>
    <s v="ORD-00159"/>
    <d v="2024-05-16T00:00:00"/>
    <s v="CUST-0197"/>
    <s v="PROD-045"/>
    <s v="R021"/>
    <n v="4"/>
    <n v="3020"/>
    <n v="18.899999999999999"/>
    <n v="9796.8799999999992"/>
    <s v="Completed"/>
    <x v="4"/>
    <s v="Beauty"/>
    <s v="East"/>
    <s v="May-24"/>
    <s v="Q2 2024"/>
    <n v="1626"/>
    <n v="0.46158940397350995"/>
  </r>
  <r>
    <s v="ORD-00160"/>
    <d v="2024-04-27T00:00:00"/>
    <s v="CUST-0009"/>
    <s v="PROD-031"/>
    <s v="R015"/>
    <n v="1"/>
    <n v="3730"/>
    <n v="10.8"/>
    <n v="3327.16"/>
    <s v="Refunded"/>
    <x v="3"/>
    <s v="Home"/>
    <s v="South"/>
    <s v="Apr-24"/>
    <s v="Q2 2024"/>
    <n v="2135"/>
    <n v="0.42761394101876676"/>
  </r>
  <r>
    <s v="ORD-00161"/>
    <d v="2024-04-12T00:00:00"/>
    <s v="CUST-0139"/>
    <s v="PROD-046"/>
    <s v="R018"/>
    <n v="8"/>
    <n v="4880"/>
    <n v="20.3"/>
    <n v="31114.880000000001"/>
    <s v="Completed"/>
    <x v="5"/>
    <s v="Beauty"/>
    <s v="East"/>
    <s v="Apr-24"/>
    <s v="Q2 2024"/>
    <n v="2768"/>
    <n v="0.43278688524590164"/>
  </r>
  <r>
    <s v="ORD-00162"/>
    <d v="2024-10-14T00:00:00"/>
    <s v="CUST-0184"/>
    <s v="PROD-030"/>
    <s v="R026"/>
    <n v="9"/>
    <n v="970"/>
    <n v="18.2"/>
    <n v="7141.14"/>
    <s v="Completed"/>
    <x v="0"/>
    <s v="Grocery"/>
    <s v="West"/>
    <s v="Oct-24"/>
    <s v="Q4 2024"/>
    <n v="434"/>
    <n v="0.5525773195876289"/>
  </r>
  <r>
    <s v="ORD-00163"/>
    <d v="2024-05-30T00:00:00"/>
    <s v="CUST-0119"/>
    <s v="PROD-008"/>
    <s v="R017"/>
    <n v="8"/>
    <n v="2660"/>
    <n v="17.600000000000001"/>
    <n v="17534.72"/>
    <s v="Completed"/>
    <x v="4"/>
    <s v="Electronics"/>
    <s v="East"/>
    <s v="May-24"/>
    <s v="Q2 2024"/>
    <n v="1259"/>
    <n v="0.52669172932330832"/>
  </r>
  <r>
    <s v="ORD-00164"/>
    <d v="2024-05-02T00:00:00"/>
    <s v="CUST-0280"/>
    <s v="PROD-020"/>
    <s v="R015"/>
    <n v="2"/>
    <n v="820"/>
    <n v="18.100000000000001"/>
    <n v="1343.16"/>
    <s v="Cancelled"/>
    <x v="2"/>
    <s v="Apparel"/>
    <s v="South"/>
    <s v="May-24"/>
    <s v="Q2 2024"/>
    <n v="391"/>
    <n v="0.52317073170731709"/>
  </r>
  <r>
    <s v="ORD-00165"/>
    <d v="2024-02-27T00:00:00"/>
    <s v="CUST-0240"/>
    <s v="PROD-033"/>
    <s v="R009"/>
    <n v="7"/>
    <n v="2030"/>
    <n v="23.7"/>
    <n v="10842.23"/>
    <s v="Pending"/>
    <x v="1"/>
    <s v="Home"/>
    <s v="South"/>
    <s v="Feb-24"/>
    <s v="Q1 2024"/>
    <n v="1143"/>
    <n v="0.43694581280788175"/>
  </r>
  <r>
    <s v="ORD-00166"/>
    <d v="2024-08-29T00:00:00"/>
    <s v="CUST-0067"/>
    <s v="PROD-016"/>
    <s v="R009"/>
    <n v="5"/>
    <n v="620"/>
    <n v="13.8"/>
    <n v="2672.2"/>
    <s v="Completed"/>
    <x v="2"/>
    <s v="Apparel"/>
    <s v="South"/>
    <s v="Aug-24"/>
    <s v="Q3 2024"/>
    <n v="396"/>
    <n v="0.36129032258064514"/>
  </r>
  <r>
    <s v="ORD-00167"/>
    <d v="2024-07-16T00:00:00"/>
    <s v="CUST-0117"/>
    <s v="PROD-022"/>
    <s v="R022"/>
    <n v="7"/>
    <n v="2270"/>
    <n v="5.5"/>
    <n v="15016.05"/>
    <s v="Completed"/>
    <x v="2"/>
    <s v="Grocery"/>
    <s v="East"/>
    <s v="Jul-24"/>
    <s v="Q3 2024"/>
    <n v="1412"/>
    <n v="0.37797356828193834"/>
  </r>
  <r>
    <s v="ORD-00168"/>
    <d v="2024-06-14T00:00:00"/>
    <s v="CUST-0101"/>
    <s v="PROD-053"/>
    <s v="R016"/>
    <n v="1"/>
    <n v="470"/>
    <n v="13.7"/>
    <n v="405.61"/>
    <s v="Pending"/>
    <x v="5"/>
    <s v="Sports"/>
    <s v="South"/>
    <s v="Jun-24"/>
    <s v="Q2 2024"/>
    <n v="302"/>
    <n v="0.35744680851063831"/>
  </r>
  <r>
    <s v="ORD-00169"/>
    <d v="2024-11-05T00:00:00"/>
    <s v="CUST-0184"/>
    <s v="PROD-001"/>
    <s v="R007"/>
    <n v="6"/>
    <n v="5330"/>
    <n v="17.899999999999999"/>
    <n v="26255.58"/>
    <s v="Completed"/>
    <x v="0"/>
    <s v="Electronics"/>
    <s v="North"/>
    <s v="Nov-24"/>
    <s v="Q4 2024"/>
    <n v="2405"/>
    <n v="0.54878048780487809"/>
  </r>
  <r>
    <s v="ORD-00170"/>
    <d v="2024-01-03T00:00:00"/>
    <s v="CUST-0087"/>
    <s v="PROD-050"/>
    <s v="R002"/>
    <n v="1"/>
    <n v="6080"/>
    <n v="25.5"/>
    <n v="4529.6000000000004"/>
    <s v="Completed"/>
    <x v="0"/>
    <s v="Beauty"/>
    <s v="North"/>
    <s v="Jan-24"/>
    <s v="Q1 2024"/>
    <n v="2617"/>
    <n v="0.56957236842105263"/>
  </r>
  <r>
    <s v="ORD-00171"/>
    <d v="2024-02-23T00:00:00"/>
    <s v="CUST-0261"/>
    <s v="PROD-027"/>
    <s v="R022"/>
    <n v="5"/>
    <n v="3780"/>
    <n v="28.6"/>
    <n v="13494.6"/>
    <s v="Completed"/>
    <x v="2"/>
    <s v="Grocery"/>
    <s v="East"/>
    <s v="Feb-24"/>
    <s v="Q1 2024"/>
    <n v="2436"/>
    <n v="0.35555555555555557"/>
  </r>
  <r>
    <s v="ORD-00172"/>
    <d v="2024-04-09T00:00:00"/>
    <s v="CUST-0027"/>
    <s v="PROD-016"/>
    <s v="R010"/>
    <n v="5"/>
    <n v="620"/>
    <n v="6.9"/>
    <n v="2886.1"/>
    <s v="Cancelled"/>
    <x v="5"/>
    <s v="Apparel"/>
    <s v="South"/>
    <s v="Apr-24"/>
    <s v="Q2 2024"/>
    <n v="396"/>
    <n v="0.36129032258064514"/>
  </r>
  <r>
    <s v="ORD-00173"/>
    <d v="2024-05-07T00:00:00"/>
    <s v="CUST-0210"/>
    <s v="PROD-017"/>
    <s v="R027"/>
    <n v="8"/>
    <n v="2510"/>
    <n v="0.7"/>
    <n v="19939.439999999999"/>
    <s v="Completed"/>
    <x v="0"/>
    <s v="Apparel"/>
    <s v="West"/>
    <s v="May-24"/>
    <s v="Q2 2024"/>
    <n v="1075"/>
    <n v="0.57171314741035861"/>
  </r>
  <r>
    <s v="ORD-00174"/>
    <d v="2024-01-15T00:00:00"/>
    <s v="CUST-0163"/>
    <s v="PROD-015"/>
    <s v="R020"/>
    <n v="1"/>
    <n v="2720"/>
    <n v="13.7"/>
    <n v="2347.36"/>
    <s v="Completed"/>
    <x v="0"/>
    <s v="Apparel"/>
    <s v="East"/>
    <s v="Jan-24"/>
    <s v="Q1 2024"/>
    <n v="1962"/>
    <n v="0.2786764705882353"/>
  </r>
  <r>
    <s v="ORD-00175"/>
    <d v="2024-09-11T00:00:00"/>
    <s v="CUST-0059"/>
    <s v="PROD-053"/>
    <s v="R018"/>
    <n v="9"/>
    <n v="470"/>
    <n v="23.6"/>
    <n v="3231.72"/>
    <s v="Completed"/>
    <x v="0"/>
    <s v="Sports"/>
    <s v="East"/>
    <s v="Sep-24"/>
    <s v="Q3 2024"/>
    <n v="302"/>
    <n v="0.35744680851063831"/>
  </r>
  <r>
    <s v="ORD-00176"/>
    <d v="2024-12-07T00:00:00"/>
    <s v="CUST-0020"/>
    <s v="PROD-036"/>
    <s v="R018"/>
    <n v="10"/>
    <n v="3250"/>
    <n v="21"/>
    <n v="25675"/>
    <s v="Cancelled"/>
    <x v="5"/>
    <s v="Home"/>
    <s v="East"/>
    <s v="Dec-24"/>
    <s v="Q4 2024"/>
    <n v="1556"/>
    <n v="0.52123076923076928"/>
  </r>
  <r>
    <s v="ORD-00177"/>
    <d v="2024-12-23T00:00:00"/>
    <s v="CUST-0048"/>
    <s v="PROD-034"/>
    <s v="R028"/>
    <n v="6"/>
    <n v="5080"/>
    <n v="16.8"/>
    <n v="25359.360000000001"/>
    <s v="Pending"/>
    <x v="2"/>
    <s v="Home"/>
    <s v="West"/>
    <s v="Dec-24"/>
    <s v="Q4 2024"/>
    <n v="2459"/>
    <n v="0.51594488188976373"/>
  </r>
  <r>
    <s v="ORD-00178"/>
    <d v="2024-01-21T00:00:00"/>
    <s v="CUST-0172"/>
    <s v="PROD-003"/>
    <s v="R012"/>
    <n v="2"/>
    <n v="3570"/>
    <n v="6.7"/>
    <n v="6661.62"/>
    <s v="Cancelled"/>
    <x v="0"/>
    <s v="Electronics"/>
    <s v="South"/>
    <s v="Jan-24"/>
    <s v="Q1 2024"/>
    <n v="1665"/>
    <n v="0.53361344537815125"/>
  </r>
  <r>
    <s v="ORD-00179"/>
    <d v="2024-03-31T00:00:00"/>
    <s v="CUST-0124"/>
    <s v="PROD-013"/>
    <s v="R012"/>
    <n v="4"/>
    <n v="3640"/>
    <n v="18.399999999999999"/>
    <n v="11880.96"/>
    <s v="Completed"/>
    <x v="0"/>
    <s v="Apparel"/>
    <s v="South"/>
    <s v="Mar-24"/>
    <s v="Q1 2024"/>
    <n v="2611"/>
    <n v="0.28269230769230769"/>
  </r>
  <r>
    <s v="ORD-00180"/>
    <d v="2024-08-20T00:00:00"/>
    <s v="CUST-0184"/>
    <s v="PROD-026"/>
    <s v="R001"/>
    <n v="8"/>
    <n v="4070"/>
    <n v="6.6"/>
    <n v="30411.040000000001"/>
    <s v="Completed"/>
    <x v="0"/>
    <s v="Grocery"/>
    <s v="North"/>
    <s v="Aug-24"/>
    <s v="Q3 2024"/>
    <n v="2027"/>
    <n v="0.50196560196560192"/>
  </r>
  <r>
    <s v="ORD-00181"/>
    <d v="2024-04-10T00:00:00"/>
    <s v="CUST-0259"/>
    <s v="PROD-011"/>
    <s v="R012"/>
    <n v="6"/>
    <n v="3450"/>
    <n v="14.4"/>
    <n v="17719.2"/>
    <s v="Pending"/>
    <x v="3"/>
    <s v="Apparel"/>
    <s v="South"/>
    <s v="Apr-24"/>
    <s v="Q2 2024"/>
    <n v="1748"/>
    <n v="0.49333333333333335"/>
  </r>
  <r>
    <s v="ORD-00182"/>
    <d v="2024-05-31T00:00:00"/>
    <s v="CUST-0204"/>
    <s v="PROD-034"/>
    <s v="R029"/>
    <n v="7"/>
    <n v="5080"/>
    <n v="25.4"/>
    <n v="26527.759999999998"/>
    <s v="Pending"/>
    <x v="5"/>
    <s v="Home"/>
    <s v="West"/>
    <s v="May-24"/>
    <s v="Q2 2024"/>
    <n v="2459"/>
    <n v="0.51594488188976373"/>
  </r>
  <r>
    <s v="ORD-00183"/>
    <d v="2024-02-11T00:00:00"/>
    <s v="CUST-0032"/>
    <s v="PROD-021"/>
    <s v="R028"/>
    <n v="10"/>
    <n v="2760"/>
    <n v="20.100000000000001"/>
    <n v="22052.400000000001"/>
    <s v="Completed"/>
    <x v="5"/>
    <s v="Grocery"/>
    <s v="West"/>
    <s v="Feb-24"/>
    <s v="Q1 2024"/>
    <n v="1435"/>
    <n v="0.48007246376811596"/>
  </r>
  <r>
    <s v="ORD-00184"/>
    <d v="2024-06-13T00:00:00"/>
    <s v="CUST-0239"/>
    <s v="PROD-044"/>
    <s v="R016"/>
    <n v="6"/>
    <n v="1650"/>
    <n v="11.3"/>
    <n v="8781.2999999999993"/>
    <s v="Pending"/>
    <x v="3"/>
    <s v="Beauty"/>
    <s v="South"/>
    <s v="Jun-24"/>
    <s v="Q2 2024"/>
    <n v="1222"/>
    <n v="0.2593939393939394"/>
  </r>
  <r>
    <s v="ORD-00185"/>
    <d v="2024-01-04T00:00:00"/>
    <s v="CUST-0191"/>
    <s v="PROD-004"/>
    <s v="R007"/>
    <n v="9"/>
    <n v="3870"/>
    <n v="27.5"/>
    <n v="25251.75"/>
    <s v="Completed"/>
    <x v="5"/>
    <s v="Electronics"/>
    <s v="North"/>
    <s v="Jan-24"/>
    <s v="Q1 2024"/>
    <n v="1559"/>
    <n v="0.59715762273901807"/>
  </r>
  <r>
    <s v="ORD-00186"/>
    <d v="2024-08-28T00:00:00"/>
    <s v="CUST-0284"/>
    <s v="PROD-035"/>
    <s v="R022"/>
    <n v="2"/>
    <n v="1090"/>
    <n v="18.7"/>
    <n v="1772.34"/>
    <s v="Refunded"/>
    <x v="5"/>
    <s v="Home"/>
    <s v="East"/>
    <s v="Aug-24"/>
    <s v="Q3 2024"/>
    <n v="464"/>
    <n v="0.57431192660550456"/>
  </r>
  <r>
    <s v="ORD-00187"/>
    <d v="2024-09-29T00:00:00"/>
    <s v="CUST-0274"/>
    <s v="PROD-049"/>
    <s v="R025"/>
    <n v="4"/>
    <n v="960"/>
    <n v="23.4"/>
    <n v="2941.44"/>
    <s v="Completed"/>
    <x v="4"/>
    <s v="Beauty"/>
    <s v="West"/>
    <s v="Sep-24"/>
    <s v="Q3 2024"/>
    <n v="675"/>
    <n v="0.296875"/>
  </r>
  <r>
    <s v="ORD-00188"/>
    <d v="2024-09-04T00:00:00"/>
    <s v="CUST-0234"/>
    <s v="PROD-043"/>
    <s v="R021"/>
    <n v="3"/>
    <n v="3350"/>
    <n v="17.899999999999999"/>
    <n v="8251.0499999999993"/>
    <s v="Completed"/>
    <x v="4"/>
    <s v="Beauty"/>
    <s v="East"/>
    <s v="Sep-24"/>
    <s v="Q3 2024"/>
    <n v="1728"/>
    <n v="0.48417910447761192"/>
  </r>
  <r>
    <s v="ORD-00189"/>
    <d v="2024-11-09T00:00:00"/>
    <s v="CUST-0264"/>
    <s v="PROD-022"/>
    <s v="R005"/>
    <n v="4"/>
    <n v="2270"/>
    <n v="29"/>
    <n v="6446.8"/>
    <s v="Completed"/>
    <x v="0"/>
    <s v="Grocery"/>
    <s v="North"/>
    <s v="Nov-24"/>
    <s v="Q4 2024"/>
    <n v="1412"/>
    <n v="0.37797356828193834"/>
  </r>
  <r>
    <s v="ORD-00190"/>
    <d v="2024-06-17T00:00:00"/>
    <s v="CUST-0192"/>
    <s v="PROD-039"/>
    <s v="R023"/>
    <n v="9"/>
    <n v="4610"/>
    <n v="28.3"/>
    <n v="29748.33"/>
    <s v="Pending"/>
    <x v="4"/>
    <s v="Home"/>
    <s v="East"/>
    <s v="Jun-24"/>
    <s v="Q2 2024"/>
    <n v="1850"/>
    <n v="0.59869848156182215"/>
  </r>
  <r>
    <s v="ORD-00191"/>
    <d v="2024-09-03T00:00:00"/>
    <s v="CUST-0041"/>
    <s v="PROD-012"/>
    <s v="R009"/>
    <n v="3"/>
    <n v="3160"/>
    <n v="7.3"/>
    <n v="8787.9599999999991"/>
    <s v="Completed"/>
    <x v="4"/>
    <s v="Apparel"/>
    <s v="South"/>
    <s v="Sep-24"/>
    <s v="Q3 2024"/>
    <n v="1886"/>
    <n v="0.4031645569620253"/>
  </r>
  <r>
    <s v="ORD-00192"/>
    <d v="2024-10-08T00:00:00"/>
    <s v="CUST-0043"/>
    <s v="PROD-022"/>
    <s v="R004"/>
    <n v="8"/>
    <n v="2270"/>
    <n v="15.6"/>
    <n v="15327.04"/>
    <s v="Completed"/>
    <x v="5"/>
    <s v="Grocery"/>
    <s v="North"/>
    <s v="Oct-24"/>
    <s v="Q4 2024"/>
    <n v="1412"/>
    <n v="0.37797356828193834"/>
  </r>
  <r>
    <s v="ORD-00193"/>
    <d v="2024-07-10T00:00:00"/>
    <s v="CUST-0147"/>
    <s v="PROD-045"/>
    <s v="R028"/>
    <n v="8"/>
    <n v="3020"/>
    <n v="16.3"/>
    <n v="20221.919999999998"/>
    <s v="Cancelled"/>
    <x v="0"/>
    <s v="Beauty"/>
    <s v="West"/>
    <s v="Jul-24"/>
    <s v="Q3 2024"/>
    <n v="1626"/>
    <n v="0.46158940397350995"/>
  </r>
  <r>
    <s v="ORD-00194"/>
    <d v="2024-11-21T00:00:00"/>
    <s v="CUST-0056"/>
    <s v="PROD-056"/>
    <s v="R030"/>
    <n v="7"/>
    <n v="6940"/>
    <n v="8.5"/>
    <n v="44450.7"/>
    <s v="Completed"/>
    <x v="4"/>
    <s v="Sports"/>
    <s v="West"/>
    <s v="Nov-24"/>
    <s v="Q4 2024"/>
    <n v="2827"/>
    <n v="0.5926512968299712"/>
  </r>
  <r>
    <s v="ORD-00195"/>
    <d v="2024-09-11T00:00:00"/>
    <s v="CUST-0059"/>
    <s v="PROD-041"/>
    <s v="R012"/>
    <n v="8"/>
    <n v="1540"/>
    <n v="21"/>
    <n v="9732.7999999999993"/>
    <s v="Completed"/>
    <x v="0"/>
    <s v="Beauty"/>
    <s v="South"/>
    <s v="Sep-24"/>
    <s v="Q3 2024"/>
    <n v="647"/>
    <n v="0.57987012987012987"/>
  </r>
  <r>
    <s v="ORD-00196"/>
    <d v="2024-03-29T00:00:00"/>
    <s v="CUST-0047"/>
    <s v="PROD-019"/>
    <s v="R029"/>
    <n v="6"/>
    <n v="2480"/>
    <n v="27.9"/>
    <n v="10728.48"/>
    <s v="Completed"/>
    <x v="0"/>
    <s v="Apparel"/>
    <s v="West"/>
    <s v="Mar-24"/>
    <s v="Q1 2024"/>
    <n v="1173"/>
    <n v="0.52701612903225803"/>
  </r>
  <r>
    <s v="ORD-00197"/>
    <d v="2024-01-29T00:00:00"/>
    <s v="CUST-0162"/>
    <s v="PROD-060"/>
    <s v="R022"/>
    <n v="4"/>
    <n v="190"/>
    <n v="21.5"/>
    <n v="596.6"/>
    <s v="Completed"/>
    <x v="3"/>
    <s v="Sports"/>
    <s v="East"/>
    <s v="Jan-24"/>
    <s v="Q1 2024"/>
    <n v="147"/>
    <n v="0.22631578947368422"/>
  </r>
  <r>
    <s v="ORD-00198"/>
    <d v="2024-03-04T00:00:00"/>
    <s v="CUST-0121"/>
    <s v="PROD-055"/>
    <s v="R014"/>
    <n v="1"/>
    <n v="2860"/>
    <n v="15.3"/>
    <n v="2422.42"/>
    <s v="Completed"/>
    <x v="2"/>
    <s v="Sports"/>
    <s v="South"/>
    <s v="Mar-24"/>
    <s v="Q1 2024"/>
    <n v="2028"/>
    <n v="0.29090909090909089"/>
  </r>
  <r>
    <s v="ORD-00199"/>
    <d v="2024-02-28T00:00:00"/>
    <s v="CUST-0075"/>
    <s v="PROD-017"/>
    <s v="R015"/>
    <n v="4"/>
    <n v="2510"/>
    <n v="10.1"/>
    <n v="9025.9599999999991"/>
    <s v="Refunded"/>
    <x v="3"/>
    <s v="Apparel"/>
    <s v="South"/>
    <s v="Feb-24"/>
    <s v="Q1 2024"/>
    <n v="1075"/>
    <n v="0.57171314741035861"/>
  </r>
  <r>
    <s v="ORD-00200"/>
    <d v="2024-10-22T00:00:00"/>
    <s v="CUST-0025"/>
    <s v="PROD-003"/>
    <s v="R003"/>
    <n v="2"/>
    <n v="3570"/>
    <n v="11.6"/>
    <n v="6311.76"/>
    <s v="Pending"/>
    <x v="4"/>
    <s v="Electronics"/>
    <s v="North"/>
    <s v="Oct-24"/>
    <s v="Q4 2024"/>
    <n v="1665"/>
    <n v="0.53361344537815125"/>
  </r>
  <r>
    <s v="ORD-00201"/>
    <d v="2024-02-22T00:00:00"/>
    <s v="CUST-0048"/>
    <s v="PROD-031"/>
    <s v="R016"/>
    <n v="7"/>
    <n v="3730"/>
    <n v="2.5"/>
    <n v="25457.25"/>
    <s v="Cancelled"/>
    <x v="2"/>
    <s v="Home"/>
    <s v="South"/>
    <s v="Feb-24"/>
    <s v="Q1 2024"/>
    <n v="2135"/>
    <n v="0.42761394101876676"/>
  </r>
  <r>
    <s v="ORD-00202"/>
    <d v="2024-07-19T00:00:00"/>
    <s v="CUST-0251"/>
    <s v="PROD-032"/>
    <s v="R030"/>
    <n v="6"/>
    <n v="370"/>
    <n v="9.9"/>
    <n v="2000.22"/>
    <s v="Completed"/>
    <x v="3"/>
    <s v="Home"/>
    <s v="West"/>
    <s v="Jul-24"/>
    <s v="Q3 2024"/>
    <n v="288"/>
    <n v="0.22162162162162163"/>
  </r>
  <r>
    <s v="ORD-00203"/>
    <d v="2024-07-17T00:00:00"/>
    <s v="CUST-0125"/>
    <s v="PROD-008"/>
    <s v="R014"/>
    <n v="4"/>
    <n v="2660"/>
    <n v="29.7"/>
    <n v="7479.92"/>
    <s v="Completed"/>
    <x v="2"/>
    <s v="Electronics"/>
    <s v="South"/>
    <s v="Jul-24"/>
    <s v="Q3 2024"/>
    <n v="1259"/>
    <n v="0.52669172932330832"/>
  </r>
  <r>
    <s v="ORD-00204"/>
    <d v="2024-09-03T00:00:00"/>
    <s v="CUST-0025"/>
    <s v="PROD-021"/>
    <s v="R015"/>
    <n v="6"/>
    <n v="2760"/>
    <n v="0.9"/>
    <n v="16410.96"/>
    <s v="Completed"/>
    <x v="4"/>
    <s v="Grocery"/>
    <s v="South"/>
    <s v="Sep-24"/>
    <s v="Q3 2024"/>
    <n v="1435"/>
    <n v="0.48007246376811596"/>
  </r>
  <r>
    <s v="ORD-00205"/>
    <d v="2024-10-26T00:00:00"/>
    <s v="CUST-0068"/>
    <s v="PROD-043"/>
    <s v="R009"/>
    <n v="6"/>
    <n v="3350"/>
    <n v="17.899999999999999"/>
    <n v="16502.099999999999"/>
    <s v="Completed"/>
    <x v="2"/>
    <s v="Beauty"/>
    <s v="South"/>
    <s v="Oct-24"/>
    <s v="Q4 2024"/>
    <n v="1728"/>
    <n v="0.48417910447761192"/>
  </r>
  <r>
    <s v="ORD-00206"/>
    <d v="2024-01-28T00:00:00"/>
    <s v="CUST-0080"/>
    <s v="PROD-005"/>
    <s v="R017"/>
    <n v="8"/>
    <n v="300"/>
    <n v="20.6"/>
    <n v="1905.6"/>
    <s v="Refunded"/>
    <x v="0"/>
    <s v="Electronics"/>
    <s v="East"/>
    <s v="Jan-24"/>
    <s v="Q1 2024"/>
    <n v="128"/>
    <n v="0.57333333333333336"/>
  </r>
  <r>
    <s v="ORD-00207"/>
    <d v="2024-08-23T00:00:00"/>
    <s v="CUST-0251"/>
    <s v="PROD-015"/>
    <s v="R002"/>
    <n v="5"/>
    <n v="2720"/>
    <n v="17.100000000000001"/>
    <n v="11274.4"/>
    <s v="Pending"/>
    <x v="3"/>
    <s v="Apparel"/>
    <s v="North"/>
    <s v="Aug-24"/>
    <s v="Q3 2024"/>
    <n v="1962"/>
    <n v="0.2786764705882353"/>
  </r>
  <r>
    <s v="ORD-00208"/>
    <d v="2024-10-07T00:00:00"/>
    <s v="CUST-0077"/>
    <s v="PROD-004"/>
    <s v="R015"/>
    <n v="1"/>
    <n v="3870"/>
    <n v="23.5"/>
    <n v="2960.55"/>
    <s v="Pending"/>
    <x v="5"/>
    <s v="Electronics"/>
    <s v="South"/>
    <s v="Oct-24"/>
    <s v="Q4 2024"/>
    <n v="1559"/>
    <n v="0.59715762273901807"/>
  </r>
  <r>
    <s v="ORD-00209"/>
    <d v="2024-12-11T00:00:00"/>
    <s v="CUST-0232"/>
    <s v="PROD-031"/>
    <s v="R012"/>
    <n v="3"/>
    <n v="3730"/>
    <n v="0.7"/>
    <n v="11111.67"/>
    <s v="Pending"/>
    <x v="5"/>
    <s v="Home"/>
    <s v="South"/>
    <s v="Dec-24"/>
    <s v="Q4 2024"/>
    <n v="2135"/>
    <n v="0.42761394101876676"/>
  </r>
  <r>
    <s v="ORD-00210"/>
    <d v="2024-01-24T00:00:00"/>
    <s v="CUST-0277"/>
    <s v="PROD-019"/>
    <s v="R012"/>
    <n v="8"/>
    <n v="2480"/>
    <n v="18.2"/>
    <n v="16229.12"/>
    <s v="Cancelled"/>
    <x v="1"/>
    <s v="Apparel"/>
    <s v="South"/>
    <s v="Jan-24"/>
    <s v="Q1 2024"/>
    <n v="1173"/>
    <n v="0.52701612903225803"/>
  </r>
  <r>
    <s v="ORD-00211"/>
    <d v="2024-03-23T00:00:00"/>
    <s v="CUST-0149"/>
    <s v="PROD-057"/>
    <s v="R019"/>
    <n v="2"/>
    <n v="960"/>
    <n v="2.2000000000000002"/>
    <n v="1877.76"/>
    <s v="Completed"/>
    <x v="5"/>
    <s v="Sports"/>
    <s v="East"/>
    <s v="Mar-24"/>
    <s v="Q1 2024"/>
    <n v="705"/>
    <n v="0.265625"/>
  </r>
  <r>
    <s v="ORD-00212"/>
    <d v="2024-02-13T00:00:00"/>
    <s v="CUST-0178"/>
    <s v="PROD-046"/>
    <s v="R018"/>
    <n v="8"/>
    <n v="4880"/>
    <n v="11.9"/>
    <n v="34394.239999999998"/>
    <s v="Completed"/>
    <x v="5"/>
    <s v="Beauty"/>
    <s v="East"/>
    <s v="Feb-24"/>
    <s v="Q1 2024"/>
    <n v="2768"/>
    <n v="0.43278688524590164"/>
  </r>
  <r>
    <s v="ORD-00213"/>
    <d v="2024-12-30T00:00:00"/>
    <s v="CUST-0246"/>
    <s v="PROD-014"/>
    <s v="R030"/>
    <n v="2"/>
    <n v="3620"/>
    <n v="1.1000000000000001"/>
    <n v="7160.36"/>
    <s v="Pending"/>
    <x v="2"/>
    <s v="Apparel"/>
    <s v="West"/>
    <s v="Dec-24"/>
    <s v="Q4 2024"/>
    <n v="2509"/>
    <n v="0.3069060773480663"/>
  </r>
  <r>
    <s v="ORD-00214"/>
    <d v="2024-10-08T00:00:00"/>
    <s v="CUST-0033"/>
    <s v="PROD-006"/>
    <s v="R008"/>
    <n v="8"/>
    <n v="3970"/>
    <n v="18.100000000000001"/>
    <n v="26011.439999999999"/>
    <s v="Completed"/>
    <x v="2"/>
    <s v="Electronics"/>
    <s v="North"/>
    <s v="Oct-24"/>
    <s v="Q4 2024"/>
    <n v="2865"/>
    <n v="0.27833753148614609"/>
  </r>
  <r>
    <s v="ORD-00215"/>
    <d v="2024-08-30T00:00:00"/>
    <s v="CUST-0159"/>
    <s v="PROD-022"/>
    <s v="R026"/>
    <n v="8"/>
    <n v="2270"/>
    <n v="19.600000000000001"/>
    <n v="14600.64"/>
    <s v="Completed"/>
    <x v="5"/>
    <s v="Grocery"/>
    <s v="West"/>
    <s v="Aug-24"/>
    <s v="Q3 2024"/>
    <n v="1412"/>
    <n v="0.37797356828193834"/>
  </r>
  <r>
    <s v="ORD-00216"/>
    <d v="2024-12-13T00:00:00"/>
    <s v="CUST-0175"/>
    <s v="PROD-027"/>
    <s v="R013"/>
    <n v="1"/>
    <n v="3780"/>
    <n v="22.6"/>
    <n v="2925.72"/>
    <s v="Completed"/>
    <x v="2"/>
    <s v="Grocery"/>
    <s v="South"/>
    <s v="Dec-24"/>
    <s v="Q4 2024"/>
    <n v="2436"/>
    <n v="0.35555555555555557"/>
  </r>
  <r>
    <s v="ORD-00217"/>
    <d v="2024-12-27T00:00:00"/>
    <s v="CUST-0079"/>
    <s v="PROD-026"/>
    <s v="R022"/>
    <n v="9"/>
    <n v="4070"/>
    <n v="28.2"/>
    <n v="26300.34"/>
    <s v="Completed"/>
    <x v="3"/>
    <s v="Grocery"/>
    <s v="East"/>
    <s v="Dec-24"/>
    <s v="Q4 2024"/>
    <n v="2027"/>
    <n v="0.50196560196560192"/>
  </r>
  <r>
    <s v="ORD-00218"/>
    <d v="2024-05-12T00:00:00"/>
    <s v="CUST-0173"/>
    <s v="PROD-008"/>
    <s v="R006"/>
    <n v="9"/>
    <n v="2660"/>
    <n v="13.1"/>
    <n v="20803.86"/>
    <s v="Pending"/>
    <x v="3"/>
    <s v="Electronics"/>
    <s v="North"/>
    <s v="May-24"/>
    <s v="Q2 2024"/>
    <n v="1259"/>
    <n v="0.52669172932330832"/>
  </r>
  <r>
    <s v="ORD-00219"/>
    <d v="2024-04-18T00:00:00"/>
    <s v="CUST-0050"/>
    <s v="PROD-003"/>
    <s v="R004"/>
    <n v="4"/>
    <n v="3570"/>
    <n v="1.5"/>
    <n v="14065.8"/>
    <s v="Cancelled"/>
    <x v="3"/>
    <s v="Electronics"/>
    <s v="North"/>
    <s v="Apr-24"/>
    <s v="Q2 2024"/>
    <n v="1665"/>
    <n v="0.53361344537815125"/>
  </r>
  <r>
    <s v="ORD-00220"/>
    <d v="2024-08-27T00:00:00"/>
    <s v="CUST-0097"/>
    <s v="PROD-049"/>
    <s v="R001"/>
    <n v="2"/>
    <n v="960"/>
    <n v="18.600000000000001"/>
    <n v="1562.88"/>
    <s v="Completed"/>
    <x v="3"/>
    <s v="Beauty"/>
    <s v="North"/>
    <s v="Aug-24"/>
    <s v="Q3 2024"/>
    <n v="675"/>
    <n v="0.296875"/>
  </r>
  <r>
    <s v="ORD-00221"/>
    <d v="2024-09-11T00:00:00"/>
    <s v="CUST-0026"/>
    <s v="PROD-047"/>
    <s v="R018"/>
    <n v="2"/>
    <n v="3450"/>
    <n v="3.7"/>
    <n v="6644.7"/>
    <s v="Completed"/>
    <x v="0"/>
    <s v="Beauty"/>
    <s v="East"/>
    <s v="Sep-24"/>
    <s v="Q3 2024"/>
    <n v="2420"/>
    <n v="0.29855072463768118"/>
  </r>
  <r>
    <s v="ORD-00222"/>
    <d v="2024-11-12T00:00:00"/>
    <s v="CUST-0185"/>
    <s v="PROD-048"/>
    <s v="R007"/>
    <n v="6"/>
    <n v="5100"/>
    <n v="1.2"/>
    <n v="30232.799999999999"/>
    <s v="Completed"/>
    <x v="5"/>
    <s v="Beauty"/>
    <s v="North"/>
    <s v="Nov-24"/>
    <s v="Q4 2024"/>
    <n v="2237"/>
    <n v="0.56137254901960787"/>
  </r>
  <r>
    <s v="ORD-00223"/>
    <d v="2024-11-18T00:00:00"/>
    <s v="CUST-0135"/>
    <s v="PROD-005"/>
    <s v="R005"/>
    <n v="9"/>
    <n v="300"/>
    <n v="25.4"/>
    <n v="2014.2"/>
    <s v="Cancelled"/>
    <x v="0"/>
    <s v="Electronics"/>
    <s v="North"/>
    <s v="Nov-24"/>
    <s v="Q4 2024"/>
    <n v="128"/>
    <n v="0.57333333333333336"/>
  </r>
  <r>
    <s v="ORD-00224"/>
    <d v="2024-04-23T00:00:00"/>
    <s v="CUST-0010"/>
    <s v="PROD-046"/>
    <s v="R020"/>
    <n v="7"/>
    <n v="4880"/>
    <n v="16.899999999999999"/>
    <n v="28386.959999999999"/>
    <s v="Pending"/>
    <x v="3"/>
    <s v="Beauty"/>
    <s v="East"/>
    <s v="Apr-24"/>
    <s v="Q2 2024"/>
    <n v="2768"/>
    <n v="0.43278688524590164"/>
  </r>
  <r>
    <s v="ORD-00225"/>
    <d v="2024-07-31T00:00:00"/>
    <s v="CUST-0271"/>
    <s v="PROD-036"/>
    <s v="R023"/>
    <n v="9"/>
    <n v="3250"/>
    <n v="10.8"/>
    <n v="26091"/>
    <s v="Cancelled"/>
    <x v="4"/>
    <s v="Home"/>
    <s v="East"/>
    <s v="Jul-24"/>
    <s v="Q3 2024"/>
    <n v="1556"/>
    <n v="0.52123076923076928"/>
  </r>
  <r>
    <s v="ORD-00226"/>
    <d v="2024-01-07T00:00:00"/>
    <s v="CUST-0172"/>
    <s v="PROD-047"/>
    <s v="R006"/>
    <n v="3"/>
    <n v="3450"/>
    <n v="5.4"/>
    <n v="9791.1"/>
    <s v="Pending"/>
    <x v="0"/>
    <s v="Beauty"/>
    <s v="North"/>
    <s v="Jan-24"/>
    <s v="Q1 2024"/>
    <n v="2420"/>
    <n v="0.29855072463768118"/>
  </r>
  <r>
    <s v="ORD-00227"/>
    <d v="2024-02-24T00:00:00"/>
    <s v="CUST-0296"/>
    <s v="PROD-050"/>
    <s v="R021"/>
    <n v="5"/>
    <n v="6080"/>
    <n v="18"/>
    <n v="24928"/>
    <s v="Completed"/>
    <x v="2"/>
    <s v="Beauty"/>
    <s v="East"/>
    <s v="Feb-24"/>
    <s v="Q1 2024"/>
    <n v="2617"/>
    <n v="0.56957236842105263"/>
  </r>
  <r>
    <s v="ORD-00228"/>
    <d v="2024-07-14T00:00:00"/>
    <s v="CUST-0080"/>
    <s v="PROD-050"/>
    <s v="R022"/>
    <n v="7"/>
    <n v="6080"/>
    <n v="9.1999999999999993"/>
    <n v="38644.480000000003"/>
    <s v="Completed"/>
    <x v="0"/>
    <s v="Beauty"/>
    <s v="East"/>
    <s v="Jul-24"/>
    <s v="Q3 2024"/>
    <n v="2617"/>
    <n v="0.56957236842105263"/>
  </r>
  <r>
    <s v="ORD-00229"/>
    <d v="2024-10-20T00:00:00"/>
    <s v="CUST-0232"/>
    <s v="PROD-024"/>
    <s v="R014"/>
    <n v="5"/>
    <n v="2270"/>
    <n v="0.4"/>
    <n v="11304.6"/>
    <s v="Cancelled"/>
    <x v="5"/>
    <s v="Grocery"/>
    <s v="South"/>
    <s v="Oct-24"/>
    <s v="Q4 2024"/>
    <n v="1203"/>
    <n v="0.47004405286343615"/>
  </r>
  <r>
    <s v="ORD-00230"/>
    <d v="2024-03-22T00:00:00"/>
    <s v="CUST-0070"/>
    <s v="PROD-046"/>
    <s v="R016"/>
    <n v="10"/>
    <n v="4880"/>
    <n v="24.5"/>
    <n v="36844"/>
    <s v="Refunded"/>
    <x v="3"/>
    <s v="Beauty"/>
    <s v="South"/>
    <s v="Mar-24"/>
    <s v="Q1 2024"/>
    <n v="2768"/>
    <n v="0.43278688524590164"/>
  </r>
  <r>
    <s v="ORD-00231"/>
    <d v="2024-01-02T00:00:00"/>
    <s v="CUST-0142"/>
    <s v="PROD-023"/>
    <s v="R002"/>
    <n v="2"/>
    <n v="2380"/>
    <n v="2.2999999999999998"/>
    <n v="4650.5200000000004"/>
    <s v="Completed"/>
    <x v="1"/>
    <s v="Grocery"/>
    <s v="North"/>
    <s v="Jan-24"/>
    <s v="Q1 2024"/>
    <n v="1182"/>
    <n v="0.50336134453781511"/>
  </r>
  <r>
    <s v="ORD-00232"/>
    <d v="2024-07-25T00:00:00"/>
    <s v="CUST-0161"/>
    <s v="PROD-054"/>
    <s v="R025"/>
    <n v="1"/>
    <n v="1010"/>
    <n v="29.9"/>
    <n v="708.01"/>
    <s v="Completed"/>
    <x v="1"/>
    <s v="Sports"/>
    <s v="West"/>
    <s v="Jul-24"/>
    <s v="Q3 2024"/>
    <n v="516"/>
    <n v="0.4891089108910891"/>
  </r>
  <r>
    <s v="ORD-00233"/>
    <d v="2024-12-17T00:00:00"/>
    <s v="CUST-0020"/>
    <s v="PROD-056"/>
    <s v="R029"/>
    <n v="7"/>
    <n v="6940"/>
    <n v="25.8"/>
    <n v="36046.36"/>
    <s v="Completed"/>
    <x v="5"/>
    <s v="Sports"/>
    <s v="West"/>
    <s v="Dec-24"/>
    <s v="Q4 2024"/>
    <n v="2827"/>
    <n v="0.5926512968299712"/>
  </r>
  <r>
    <s v="ORD-00234"/>
    <d v="2024-09-07T00:00:00"/>
    <s v="CUST-0173"/>
    <s v="PROD-042"/>
    <s v="R024"/>
    <n v="6"/>
    <n v="2290"/>
    <n v="25.9"/>
    <n v="10181.34"/>
    <s v="Pending"/>
    <x v="3"/>
    <s v="Beauty"/>
    <s v="West"/>
    <s v="Sep-24"/>
    <s v="Q3 2024"/>
    <n v="1219"/>
    <n v="0.46768558951965067"/>
  </r>
  <r>
    <s v="ORD-00235"/>
    <d v="2024-08-04T00:00:00"/>
    <s v="CUST-0280"/>
    <s v="PROD-032"/>
    <s v="R014"/>
    <n v="2"/>
    <n v="370"/>
    <n v="3.9"/>
    <n v="711.14"/>
    <s v="Completed"/>
    <x v="2"/>
    <s v="Home"/>
    <s v="South"/>
    <s v="Aug-24"/>
    <s v="Q3 2024"/>
    <n v="288"/>
    <n v="0.22162162162162163"/>
  </r>
  <r>
    <s v="ORD-00236"/>
    <d v="2024-03-02T00:00:00"/>
    <s v="CUST-0073"/>
    <s v="PROD-022"/>
    <s v="R020"/>
    <n v="1"/>
    <n v="2270"/>
    <n v="25.3"/>
    <n v="1695.69"/>
    <s v="Completed"/>
    <x v="0"/>
    <s v="Grocery"/>
    <s v="East"/>
    <s v="Mar-24"/>
    <s v="Q1 2024"/>
    <n v="1412"/>
    <n v="0.37797356828193834"/>
  </r>
  <r>
    <s v="ORD-00237"/>
    <d v="2024-02-22T00:00:00"/>
    <s v="CUST-0242"/>
    <s v="PROD-050"/>
    <s v="R002"/>
    <n v="4"/>
    <n v="6080"/>
    <n v="28.8"/>
    <n v="17315.84"/>
    <s v="Pending"/>
    <x v="1"/>
    <s v="Beauty"/>
    <s v="North"/>
    <s v="Feb-24"/>
    <s v="Q1 2024"/>
    <n v="2617"/>
    <n v="0.56957236842105263"/>
  </r>
  <r>
    <s v="ORD-00238"/>
    <d v="2024-04-07T00:00:00"/>
    <s v="CUST-0234"/>
    <s v="PROD-001"/>
    <s v="R018"/>
    <n v="2"/>
    <n v="5330"/>
    <n v="23.8"/>
    <n v="8122.92"/>
    <s v="Pending"/>
    <x v="4"/>
    <s v="Electronics"/>
    <s v="East"/>
    <s v="Apr-24"/>
    <s v="Q2 2024"/>
    <n v="2405"/>
    <n v="0.54878048780487809"/>
  </r>
  <r>
    <s v="ORD-00239"/>
    <d v="2024-02-22T00:00:00"/>
    <s v="CUST-0085"/>
    <s v="PROD-026"/>
    <s v="R024"/>
    <n v="2"/>
    <n v="4070"/>
    <n v="4.3"/>
    <n v="7789.98"/>
    <s v="Completed"/>
    <x v="1"/>
    <s v="Grocery"/>
    <s v="West"/>
    <s v="Feb-24"/>
    <s v="Q1 2024"/>
    <n v="2027"/>
    <n v="0.50196560196560192"/>
  </r>
  <r>
    <s v="ORD-00240"/>
    <d v="2024-07-07T00:00:00"/>
    <s v="CUST-0228"/>
    <s v="PROD-005"/>
    <s v="R004"/>
    <n v="6"/>
    <n v="300"/>
    <n v="17.399999999999999"/>
    <n v="1486.8"/>
    <s v="Cancelled"/>
    <x v="0"/>
    <s v="Electronics"/>
    <s v="North"/>
    <s v="Jul-24"/>
    <s v="Q3 2024"/>
    <n v="128"/>
    <n v="0.57333333333333336"/>
  </r>
  <r>
    <s v="ORD-00241"/>
    <d v="2024-07-15T00:00:00"/>
    <s v="CUST-0147"/>
    <s v="PROD-046"/>
    <s v="R014"/>
    <n v="1"/>
    <n v="4880"/>
    <n v="17.5"/>
    <n v="4026"/>
    <s v="Completed"/>
    <x v="0"/>
    <s v="Beauty"/>
    <s v="South"/>
    <s v="Jul-24"/>
    <s v="Q3 2024"/>
    <n v="2768"/>
    <n v="0.43278688524590164"/>
  </r>
  <r>
    <s v="ORD-00242"/>
    <d v="2024-02-04T00:00:00"/>
    <s v="CUST-0171"/>
    <s v="PROD-055"/>
    <s v="R027"/>
    <n v="3"/>
    <n v="2860"/>
    <n v="20.100000000000001"/>
    <n v="6855.42"/>
    <s v="Completed"/>
    <x v="1"/>
    <s v="Sports"/>
    <s v="West"/>
    <s v="Feb-24"/>
    <s v="Q1 2024"/>
    <n v="2028"/>
    <n v="0.29090909090909089"/>
  </r>
  <r>
    <s v="ORD-00243"/>
    <d v="2024-12-01T00:00:00"/>
    <s v="CUST-0051"/>
    <s v="PROD-041"/>
    <s v="R002"/>
    <n v="3"/>
    <n v="1540"/>
    <n v="20.9"/>
    <n v="3654.42"/>
    <s v="Completed"/>
    <x v="0"/>
    <s v="Beauty"/>
    <s v="North"/>
    <s v="Dec-24"/>
    <s v="Q4 2024"/>
    <n v="647"/>
    <n v="0.57987012987012987"/>
  </r>
  <r>
    <s v="ORD-00244"/>
    <d v="2024-10-11T00:00:00"/>
    <s v="CUST-0285"/>
    <s v="PROD-010"/>
    <s v="R010"/>
    <n v="10"/>
    <n v="2640"/>
    <n v="11.2"/>
    <n v="23443.200000000001"/>
    <s v="Pending"/>
    <x v="5"/>
    <s v="Electronics"/>
    <s v="South"/>
    <s v="Oct-24"/>
    <s v="Q4 2024"/>
    <n v="1149"/>
    <n v="0.56477272727272732"/>
  </r>
  <r>
    <s v="ORD-00245"/>
    <d v="2024-01-26T00:00:00"/>
    <s v="CUST-0114"/>
    <s v="PROD-012"/>
    <s v="R013"/>
    <n v="1"/>
    <n v="3160"/>
    <n v="11.5"/>
    <n v="2796.6"/>
    <s v="Completed"/>
    <x v="4"/>
    <s v="Apparel"/>
    <s v="South"/>
    <s v="Jan-24"/>
    <s v="Q1 2024"/>
    <n v="1886"/>
    <n v="0.4031645569620253"/>
  </r>
  <r>
    <s v="ORD-00246"/>
    <d v="2024-12-24T00:00:00"/>
    <s v="CUST-0295"/>
    <s v="PROD-040"/>
    <s v="R007"/>
    <n v="4"/>
    <n v="1080"/>
    <n v="20.7"/>
    <n v="3425.76"/>
    <s v="Pending"/>
    <x v="2"/>
    <s v="Home"/>
    <s v="North"/>
    <s v="Dec-24"/>
    <s v="Q4 2024"/>
    <n v="519"/>
    <n v="0.51944444444444449"/>
  </r>
  <r>
    <s v="ORD-00247"/>
    <d v="2024-10-20T00:00:00"/>
    <s v="CUST-0218"/>
    <s v="PROD-054"/>
    <s v="R013"/>
    <n v="4"/>
    <n v="1010"/>
    <n v="29.5"/>
    <n v="2848.2"/>
    <s v="Pending"/>
    <x v="3"/>
    <s v="Sports"/>
    <s v="South"/>
    <s v="Oct-24"/>
    <s v="Q4 2024"/>
    <n v="516"/>
    <n v="0.4891089108910891"/>
  </r>
  <r>
    <s v="ORD-00248"/>
    <d v="2024-09-10T00:00:00"/>
    <s v="CUST-0090"/>
    <s v="PROD-002"/>
    <s v="R027"/>
    <n v="7"/>
    <n v="2600"/>
    <n v="6.6"/>
    <n v="16998.8"/>
    <s v="Completed"/>
    <x v="4"/>
    <s v="Electronics"/>
    <s v="West"/>
    <s v="Sep-24"/>
    <s v="Q3 2024"/>
    <n v="1052"/>
    <n v="0.5953846153846154"/>
  </r>
  <r>
    <s v="ORD-00249"/>
    <d v="2024-04-13T00:00:00"/>
    <s v="CUST-0194"/>
    <s v="PROD-017"/>
    <s v="R009"/>
    <n v="4"/>
    <n v="2510"/>
    <n v="1"/>
    <n v="9939.6"/>
    <s v="Completed"/>
    <x v="2"/>
    <s v="Apparel"/>
    <s v="South"/>
    <s v="Apr-24"/>
    <s v="Q2 2024"/>
    <n v="1075"/>
    <n v="0.57171314741035861"/>
  </r>
  <r>
    <s v="ORD-00250"/>
    <d v="2024-12-10T00:00:00"/>
    <s v="CUST-0231"/>
    <s v="PROD-026"/>
    <s v="R022"/>
    <n v="9"/>
    <n v="4070"/>
    <n v="6.7"/>
    <n v="34175.79"/>
    <s v="Cancelled"/>
    <x v="1"/>
    <s v="Grocery"/>
    <s v="East"/>
    <s v="Dec-24"/>
    <s v="Q4 2024"/>
    <n v="2027"/>
    <n v="0.50196560196560192"/>
  </r>
  <r>
    <s v="ORD-00251"/>
    <d v="2024-11-16T00:00:00"/>
    <s v="CUST-0055"/>
    <s v="PROD-020"/>
    <s v="R010"/>
    <n v="6"/>
    <n v="820"/>
    <n v="14"/>
    <n v="4231.2"/>
    <s v="Completed"/>
    <x v="4"/>
    <s v="Apparel"/>
    <s v="South"/>
    <s v="Nov-24"/>
    <s v="Q4 2024"/>
    <n v="391"/>
    <n v="0.52317073170731709"/>
  </r>
  <r>
    <s v="ORD-00252"/>
    <d v="2024-07-22T00:00:00"/>
    <s v="CUST-0262"/>
    <s v="PROD-030"/>
    <s v="R005"/>
    <n v="2"/>
    <n v="970"/>
    <n v="23.8"/>
    <n v="1478.28"/>
    <s v="Completed"/>
    <x v="3"/>
    <s v="Grocery"/>
    <s v="North"/>
    <s v="Jul-24"/>
    <s v="Q3 2024"/>
    <n v="434"/>
    <n v="0.5525773195876289"/>
  </r>
  <r>
    <s v="ORD-00253"/>
    <d v="2024-02-15T00:00:00"/>
    <s v="CUST-0155"/>
    <s v="PROD-026"/>
    <s v="R012"/>
    <n v="4"/>
    <n v="4070"/>
    <n v="19"/>
    <n v="13186.8"/>
    <s v="Pending"/>
    <x v="0"/>
    <s v="Grocery"/>
    <s v="South"/>
    <s v="Feb-24"/>
    <s v="Q1 2024"/>
    <n v="2027"/>
    <n v="0.50196560196560192"/>
  </r>
  <r>
    <s v="ORD-00254"/>
    <d v="2024-02-11T00:00:00"/>
    <s v="CUST-0169"/>
    <s v="PROD-047"/>
    <s v="R017"/>
    <n v="3"/>
    <n v="3450"/>
    <n v="4.4000000000000004"/>
    <n v="9894.6"/>
    <s v="Cancelled"/>
    <x v="4"/>
    <s v="Beauty"/>
    <s v="East"/>
    <s v="Feb-24"/>
    <s v="Q1 2024"/>
    <n v="2420"/>
    <n v="0.29855072463768118"/>
  </r>
  <r>
    <s v="ORD-00255"/>
    <d v="2024-08-07T00:00:00"/>
    <s v="CUST-0208"/>
    <s v="PROD-027"/>
    <s v="R010"/>
    <n v="5"/>
    <n v="3780"/>
    <n v="13.5"/>
    <n v="16348.5"/>
    <s v="Completed"/>
    <x v="3"/>
    <s v="Grocery"/>
    <s v="South"/>
    <s v="Aug-24"/>
    <s v="Q3 2024"/>
    <n v="2436"/>
    <n v="0.35555555555555557"/>
  </r>
  <r>
    <s v="ORD-00256"/>
    <d v="2024-10-30T00:00:00"/>
    <s v="CUST-0249"/>
    <s v="PROD-057"/>
    <s v="R004"/>
    <n v="1"/>
    <n v="960"/>
    <n v="29.2"/>
    <n v="679.68"/>
    <s v="Completed"/>
    <x v="3"/>
    <s v="Sports"/>
    <s v="North"/>
    <s v="Oct-24"/>
    <s v="Q4 2024"/>
    <n v="705"/>
    <n v="0.265625"/>
  </r>
  <r>
    <s v="ORD-00257"/>
    <d v="2024-01-30T00:00:00"/>
    <s v="CUST-0151"/>
    <s v="PROD-003"/>
    <s v="R022"/>
    <n v="10"/>
    <n v="3570"/>
    <n v="10.7"/>
    <n v="31880.1"/>
    <s v="Completed"/>
    <x v="3"/>
    <s v="Electronics"/>
    <s v="East"/>
    <s v="Jan-24"/>
    <s v="Q1 2024"/>
    <n v="1665"/>
    <n v="0.53361344537815125"/>
  </r>
  <r>
    <s v="ORD-00258"/>
    <d v="2024-08-07T00:00:00"/>
    <s v="CUST-0115"/>
    <s v="PROD-003"/>
    <s v="R024"/>
    <n v="7"/>
    <n v="3570"/>
    <n v="12.2"/>
    <n v="21941.22"/>
    <s v="Completed"/>
    <x v="3"/>
    <s v="Electronics"/>
    <s v="West"/>
    <s v="Aug-24"/>
    <s v="Q3 2024"/>
    <n v="1665"/>
    <n v="0.53361344537815125"/>
  </r>
  <r>
    <s v="ORD-00259"/>
    <d v="2024-10-10T00:00:00"/>
    <s v="CUST-0041"/>
    <s v="PROD-040"/>
    <s v="R014"/>
    <n v="6"/>
    <n v="1080"/>
    <n v="19.8"/>
    <n v="5196.96"/>
    <s v="Completed"/>
    <x v="4"/>
    <s v="Home"/>
    <s v="South"/>
    <s v="Oct-24"/>
    <s v="Q4 2024"/>
    <n v="519"/>
    <n v="0.51944444444444449"/>
  </r>
  <r>
    <s v="ORD-00260"/>
    <d v="2024-12-23T00:00:00"/>
    <s v="CUST-0101"/>
    <s v="PROD-011"/>
    <s v="R010"/>
    <n v="8"/>
    <n v="3450"/>
    <n v="19"/>
    <n v="22356"/>
    <s v="Completed"/>
    <x v="5"/>
    <s v="Apparel"/>
    <s v="South"/>
    <s v="Dec-24"/>
    <s v="Q4 2024"/>
    <n v="1748"/>
    <n v="0.49333333333333335"/>
  </r>
  <r>
    <s v="ORD-00261"/>
    <d v="2024-03-20T00:00:00"/>
    <s v="CUST-0198"/>
    <s v="PROD-008"/>
    <s v="R023"/>
    <n v="4"/>
    <n v="2660"/>
    <n v="18.8"/>
    <n v="8639.68"/>
    <s v="Pending"/>
    <x v="1"/>
    <s v="Electronics"/>
    <s v="East"/>
    <s v="Mar-24"/>
    <s v="Q1 2024"/>
    <n v="1259"/>
    <n v="0.52669172932330832"/>
  </r>
  <r>
    <s v="ORD-00262"/>
    <d v="2024-08-18T00:00:00"/>
    <s v="CUST-0200"/>
    <s v="PROD-058"/>
    <s v="R009"/>
    <n v="4"/>
    <n v="2400"/>
    <n v="5.6"/>
    <n v="9062.4"/>
    <s v="Completed"/>
    <x v="5"/>
    <s v="Sports"/>
    <s v="South"/>
    <s v="Aug-24"/>
    <s v="Q3 2024"/>
    <n v="974"/>
    <n v="0.59416666666666662"/>
  </r>
  <r>
    <s v="ORD-00263"/>
    <d v="2024-08-09T00:00:00"/>
    <s v="CUST-0110"/>
    <s v="PROD-002"/>
    <s v="R003"/>
    <n v="10"/>
    <n v="2600"/>
    <n v="24.7"/>
    <n v="19578"/>
    <s v="Completed"/>
    <x v="0"/>
    <s v="Electronics"/>
    <s v="North"/>
    <s v="Aug-24"/>
    <s v="Q3 2024"/>
    <n v="1052"/>
    <n v="0.5953846153846154"/>
  </r>
  <r>
    <s v="ORD-00264"/>
    <d v="2024-08-09T00:00:00"/>
    <s v="CUST-0134"/>
    <s v="PROD-025"/>
    <s v="R004"/>
    <n v="3"/>
    <n v="4060"/>
    <n v="6.9"/>
    <n v="11339.58"/>
    <s v="Completed"/>
    <x v="2"/>
    <s v="Grocery"/>
    <s v="North"/>
    <s v="Aug-24"/>
    <s v="Q3 2024"/>
    <n v="2911"/>
    <n v="0.28300492610837441"/>
  </r>
  <r>
    <s v="ORD-00265"/>
    <d v="2024-06-22T00:00:00"/>
    <s v="CUST-0141"/>
    <s v="PROD-038"/>
    <s v="R023"/>
    <n v="6"/>
    <n v="5490"/>
    <n v="8.4"/>
    <n v="30173.040000000001"/>
    <s v="Completed"/>
    <x v="5"/>
    <s v="Home"/>
    <s v="East"/>
    <s v="Jun-24"/>
    <s v="Q2 2024"/>
    <n v="2549"/>
    <n v="0.53570127504553733"/>
  </r>
  <r>
    <s v="ORD-00266"/>
    <d v="2024-04-25T00:00:00"/>
    <s v="CUST-0163"/>
    <s v="PROD-032"/>
    <s v="R018"/>
    <n v="6"/>
    <n v="370"/>
    <n v="15.1"/>
    <n v="1884.78"/>
    <s v="Completed"/>
    <x v="0"/>
    <s v="Home"/>
    <s v="East"/>
    <s v="Apr-24"/>
    <s v="Q2 2024"/>
    <n v="288"/>
    <n v="0.22162162162162163"/>
  </r>
  <r>
    <s v="ORD-00267"/>
    <d v="2024-04-23T00:00:00"/>
    <s v="CUST-0181"/>
    <s v="PROD-016"/>
    <s v="R023"/>
    <n v="5"/>
    <n v="620"/>
    <n v="13.1"/>
    <n v="2693.9"/>
    <s v="Cancelled"/>
    <x v="2"/>
    <s v="Apparel"/>
    <s v="East"/>
    <s v="Apr-24"/>
    <s v="Q2 2024"/>
    <n v="396"/>
    <n v="0.36129032258064514"/>
  </r>
  <r>
    <s v="ORD-00268"/>
    <d v="2024-02-10T00:00:00"/>
    <s v="CUST-0133"/>
    <s v="PROD-036"/>
    <s v="R029"/>
    <n v="9"/>
    <n v="3250"/>
    <n v="16.5"/>
    <n v="24423.75"/>
    <s v="Completed"/>
    <x v="1"/>
    <s v="Home"/>
    <s v="West"/>
    <s v="Feb-24"/>
    <s v="Q1 2024"/>
    <n v="1556"/>
    <n v="0.52123076923076928"/>
  </r>
  <r>
    <s v="ORD-00269"/>
    <d v="2024-01-08T00:00:00"/>
    <s v="CUST-0095"/>
    <s v="PROD-050"/>
    <s v="R011"/>
    <n v="1"/>
    <n v="6080"/>
    <n v="0.1"/>
    <n v="6073.92"/>
    <s v="Completed"/>
    <x v="3"/>
    <s v="Beauty"/>
    <s v="South"/>
    <s v="Jan-24"/>
    <s v="Q1 2024"/>
    <n v="2617"/>
    <n v="0.56957236842105263"/>
  </r>
  <r>
    <s v="ORD-00270"/>
    <d v="2024-04-04T00:00:00"/>
    <s v="CUST-0171"/>
    <s v="PROD-013"/>
    <s v="R014"/>
    <n v="8"/>
    <n v="3640"/>
    <n v="13.5"/>
    <n v="25188.799999999999"/>
    <s v="Completed"/>
    <x v="1"/>
    <s v="Apparel"/>
    <s v="South"/>
    <s v="Apr-24"/>
    <s v="Q2 2024"/>
    <n v="2611"/>
    <n v="0.28269230769230769"/>
  </r>
  <r>
    <s v="ORD-00271"/>
    <d v="2024-06-29T00:00:00"/>
    <s v="CUST-0238"/>
    <s v="PROD-012"/>
    <s v="R005"/>
    <n v="9"/>
    <n v="3160"/>
    <n v="29.7"/>
    <n v="19993.32"/>
    <s v="Completed"/>
    <x v="2"/>
    <s v="Apparel"/>
    <s v="North"/>
    <s v="Jun-24"/>
    <s v="Q2 2024"/>
    <n v="1886"/>
    <n v="0.4031645569620253"/>
  </r>
  <r>
    <s v="ORD-00272"/>
    <d v="2024-05-16T00:00:00"/>
    <s v="CUST-0185"/>
    <s v="PROD-004"/>
    <s v="R007"/>
    <n v="2"/>
    <n v="3870"/>
    <n v="18.100000000000001"/>
    <n v="6339.06"/>
    <s v="Cancelled"/>
    <x v="5"/>
    <s v="Electronics"/>
    <s v="North"/>
    <s v="May-24"/>
    <s v="Q2 2024"/>
    <n v="1559"/>
    <n v="0.59715762273901807"/>
  </r>
  <r>
    <s v="ORD-00273"/>
    <d v="2024-05-18T00:00:00"/>
    <s v="CUST-0167"/>
    <s v="PROD-037"/>
    <s v="R030"/>
    <n v="3"/>
    <n v="660"/>
    <n v="9.1999999999999993"/>
    <n v="1797.84"/>
    <s v="Completed"/>
    <x v="2"/>
    <s v="Home"/>
    <s v="West"/>
    <s v="May-24"/>
    <s v="Q2 2024"/>
    <n v="329"/>
    <n v="0.50151515151515147"/>
  </r>
  <r>
    <s v="ORD-00274"/>
    <d v="2024-05-06T00:00:00"/>
    <s v="CUST-0224"/>
    <s v="PROD-025"/>
    <s v="R013"/>
    <n v="4"/>
    <n v="4060"/>
    <n v="28"/>
    <n v="11692.8"/>
    <s v="Completed"/>
    <x v="1"/>
    <s v="Grocery"/>
    <s v="South"/>
    <s v="May-24"/>
    <s v="Q2 2024"/>
    <n v="2911"/>
    <n v="0.28300492610837441"/>
  </r>
  <r>
    <s v="ORD-00275"/>
    <d v="2024-03-09T00:00:00"/>
    <s v="CUST-0181"/>
    <s v="PROD-034"/>
    <s v="R016"/>
    <n v="2"/>
    <n v="5080"/>
    <n v="7.7"/>
    <n v="9377.68"/>
    <s v="Refunded"/>
    <x v="2"/>
    <s v="Home"/>
    <s v="South"/>
    <s v="Mar-24"/>
    <s v="Q1 2024"/>
    <n v="2459"/>
    <n v="0.51594488188976373"/>
  </r>
  <r>
    <s v="ORD-00276"/>
    <d v="2024-01-05T00:00:00"/>
    <s v="CUST-0020"/>
    <s v="PROD-003"/>
    <s v="R005"/>
    <n v="3"/>
    <n v="3570"/>
    <n v="9.5"/>
    <n v="9692.5499999999993"/>
    <s v="Completed"/>
    <x v="5"/>
    <s v="Electronics"/>
    <s v="North"/>
    <s v="Jan-24"/>
    <s v="Q1 2024"/>
    <n v="1665"/>
    <n v="0.53361344537815125"/>
  </r>
  <r>
    <s v="ORD-00277"/>
    <d v="2024-06-17T00:00:00"/>
    <s v="CUST-0183"/>
    <s v="PROD-016"/>
    <s v="R020"/>
    <n v="2"/>
    <n v="620"/>
    <n v="29.5"/>
    <n v="874.2"/>
    <s v="Completed"/>
    <x v="3"/>
    <s v="Apparel"/>
    <s v="East"/>
    <s v="Jun-24"/>
    <s v="Q2 2024"/>
    <n v="396"/>
    <n v="0.36129032258064514"/>
  </r>
  <r>
    <s v="ORD-00278"/>
    <d v="2024-12-12T00:00:00"/>
    <s v="CUST-0028"/>
    <s v="PROD-011"/>
    <s v="R013"/>
    <n v="3"/>
    <n v="3450"/>
    <n v="3"/>
    <n v="10039.5"/>
    <s v="Completed"/>
    <x v="4"/>
    <s v="Apparel"/>
    <s v="South"/>
    <s v="Dec-24"/>
    <s v="Q4 2024"/>
    <n v="1748"/>
    <n v="0.49333333333333335"/>
  </r>
  <r>
    <s v="ORD-00279"/>
    <d v="2024-04-26T00:00:00"/>
    <s v="CUST-0121"/>
    <s v="PROD-048"/>
    <s v="R006"/>
    <n v="7"/>
    <n v="5100"/>
    <n v="4.3"/>
    <n v="34164.9"/>
    <s v="Completed"/>
    <x v="2"/>
    <s v="Beauty"/>
    <s v="North"/>
    <s v="Apr-24"/>
    <s v="Q2 2024"/>
    <n v="2237"/>
    <n v="0.56137254901960787"/>
  </r>
  <r>
    <s v="ORD-00280"/>
    <d v="2024-09-06T00:00:00"/>
    <s v="CUST-0192"/>
    <s v="PROD-004"/>
    <s v="R003"/>
    <n v="9"/>
    <n v="3870"/>
    <n v="4.8"/>
    <n v="33158.160000000003"/>
    <s v="Completed"/>
    <x v="4"/>
    <s v="Electronics"/>
    <s v="North"/>
    <s v="Sep-24"/>
    <s v="Q3 2024"/>
    <n v="1559"/>
    <n v="0.59715762273901807"/>
  </r>
  <r>
    <s v="ORD-00281"/>
    <d v="2024-12-07T00:00:00"/>
    <s v="CUST-0155"/>
    <s v="PROD-009"/>
    <s v="R029"/>
    <n v="5"/>
    <n v="1220"/>
    <n v="4"/>
    <n v="5856"/>
    <s v="Cancelled"/>
    <x v="0"/>
    <s v="Electronics"/>
    <s v="West"/>
    <s v="Dec-24"/>
    <s v="Q4 2024"/>
    <n v="517"/>
    <n v="0.57622950819672136"/>
  </r>
  <r>
    <s v="ORD-00282"/>
    <d v="2024-02-16T00:00:00"/>
    <s v="CUST-0159"/>
    <s v="PROD-038"/>
    <s v="R023"/>
    <n v="5"/>
    <n v="5490"/>
    <n v="19.8"/>
    <n v="22014.9"/>
    <s v="Completed"/>
    <x v="5"/>
    <s v="Home"/>
    <s v="East"/>
    <s v="Feb-24"/>
    <s v="Q1 2024"/>
    <n v="2549"/>
    <n v="0.53570127504553733"/>
  </r>
  <r>
    <s v="ORD-00283"/>
    <d v="2024-08-25T00:00:00"/>
    <s v="CUST-0025"/>
    <s v="PROD-044"/>
    <s v="R001"/>
    <n v="1"/>
    <n v="1650"/>
    <n v="26.2"/>
    <n v="1217.7"/>
    <s v="Completed"/>
    <x v="4"/>
    <s v="Beauty"/>
    <s v="North"/>
    <s v="Aug-24"/>
    <s v="Q3 2024"/>
    <n v="1222"/>
    <n v="0.2593939393939394"/>
  </r>
  <r>
    <s v="ORD-00284"/>
    <d v="2024-06-17T00:00:00"/>
    <s v="CUST-0297"/>
    <s v="PROD-008"/>
    <s v="R003"/>
    <n v="1"/>
    <n v="2660"/>
    <n v="21"/>
    <n v="2101.4"/>
    <s v="Completed"/>
    <x v="5"/>
    <s v="Electronics"/>
    <s v="North"/>
    <s v="Jun-24"/>
    <s v="Q2 2024"/>
    <n v="1259"/>
    <n v="0.52669172932330832"/>
  </r>
  <r>
    <s v="ORD-00285"/>
    <d v="2024-03-24T00:00:00"/>
    <s v="CUST-0108"/>
    <s v="PROD-029"/>
    <s v="R003"/>
    <n v="6"/>
    <n v="2210"/>
    <n v="9.8000000000000007"/>
    <n v="11960.52"/>
    <s v="Pending"/>
    <x v="4"/>
    <s v="Grocery"/>
    <s v="North"/>
    <s v="Mar-24"/>
    <s v="Q1 2024"/>
    <n v="1010"/>
    <n v="0.54298642533936647"/>
  </r>
  <r>
    <s v="ORD-00286"/>
    <d v="2024-01-19T00:00:00"/>
    <s v="CUST-0121"/>
    <s v="PROD-002"/>
    <s v="R001"/>
    <n v="9"/>
    <n v="2600"/>
    <n v="15.7"/>
    <n v="19726.2"/>
    <s v="Completed"/>
    <x v="2"/>
    <s v="Electronics"/>
    <s v="North"/>
    <s v="Jan-24"/>
    <s v="Q1 2024"/>
    <n v="1052"/>
    <n v="0.5953846153846154"/>
  </r>
  <r>
    <s v="ORD-00287"/>
    <d v="2024-01-23T00:00:00"/>
    <s v="CUST-0160"/>
    <s v="PROD-045"/>
    <s v="R025"/>
    <n v="3"/>
    <n v="3020"/>
    <n v="22.6"/>
    <n v="7012.44"/>
    <s v="Completed"/>
    <x v="5"/>
    <s v="Beauty"/>
    <s v="West"/>
    <s v="Jan-24"/>
    <s v="Q1 2024"/>
    <n v="1626"/>
    <n v="0.46158940397350995"/>
  </r>
  <r>
    <s v="ORD-00288"/>
    <d v="2024-06-16T00:00:00"/>
    <s v="CUST-0230"/>
    <s v="PROD-032"/>
    <s v="R005"/>
    <n v="6"/>
    <n v="370"/>
    <n v="12.4"/>
    <n v="1944.72"/>
    <s v="Completed"/>
    <x v="0"/>
    <s v="Home"/>
    <s v="North"/>
    <s v="Jun-24"/>
    <s v="Q2 2024"/>
    <n v="288"/>
    <n v="0.22162162162162163"/>
  </r>
  <r>
    <s v="ORD-00289"/>
    <d v="2024-01-21T00:00:00"/>
    <s v="CUST-0151"/>
    <s v="PROD-001"/>
    <s v="R006"/>
    <n v="8"/>
    <n v="5330"/>
    <n v="16.2"/>
    <n v="35732.32"/>
    <s v="Completed"/>
    <x v="3"/>
    <s v="Electronics"/>
    <s v="North"/>
    <s v="Jan-24"/>
    <s v="Q1 2024"/>
    <n v="2405"/>
    <n v="0.54878048780487809"/>
  </r>
  <r>
    <s v="ORD-00290"/>
    <d v="2024-07-27T00:00:00"/>
    <s v="CUST-0222"/>
    <s v="PROD-018"/>
    <s v="R030"/>
    <n v="4"/>
    <n v="3560"/>
    <n v="10.5"/>
    <n v="12744.8"/>
    <s v="Completed"/>
    <x v="1"/>
    <s v="Apparel"/>
    <s v="West"/>
    <s v="Jul-24"/>
    <s v="Q3 2024"/>
    <n v="2629"/>
    <n v="0.26151685393258428"/>
  </r>
  <r>
    <s v="ORD-00291"/>
    <d v="2024-04-07T00:00:00"/>
    <s v="CUST-0055"/>
    <s v="PROD-054"/>
    <s v="R030"/>
    <n v="10"/>
    <n v="1010"/>
    <n v="10.8"/>
    <n v="9009.2000000000007"/>
    <s v="Completed"/>
    <x v="4"/>
    <s v="Sports"/>
    <s v="West"/>
    <s v="Apr-24"/>
    <s v="Q2 2024"/>
    <n v="516"/>
    <n v="0.4891089108910891"/>
  </r>
  <r>
    <s v="ORD-00292"/>
    <d v="2024-11-23T00:00:00"/>
    <s v="CUST-0011"/>
    <s v="PROD-056"/>
    <s v="R006"/>
    <n v="8"/>
    <n v="6940"/>
    <n v="3.2"/>
    <n v="53743.360000000001"/>
    <s v="Cancelled"/>
    <x v="1"/>
    <s v="Sports"/>
    <s v="North"/>
    <s v="Nov-24"/>
    <s v="Q4 2024"/>
    <n v="2827"/>
    <n v="0.5926512968299712"/>
  </r>
  <r>
    <s v="ORD-00335"/>
    <d v="2024-11-21T00:00:00"/>
    <s v="CUST-0020"/>
    <s v="PROD-012"/>
    <s v="R015"/>
    <n v="7"/>
    <n v="3160"/>
    <n v="3.6"/>
    <n v="21323.68"/>
    <s v="Completed"/>
    <x v="5"/>
    <s v="Apparel"/>
    <s v="South"/>
    <s v="Nov-24"/>
    <s v="Q4 2024"/>
    <n v="1886"/>
    <n v="0.4031645569620253"/>
  </r>
  <r>
    <s v="ORD-00294"/>
    <d v="2024-12-14T00:00:00"/>
    <s v="CUST-0163"/>
    <s v="PROD-028"/>
    <s v="R008"/>
    <n v="2"/>
    <n v="3660"/>
    <n v="30"/>
    <n v="5124"/>
    <s v="Pending"/>
    <x v="0"/>
    <s v="Grocery"/>
    <s v="North"/>
    <s v="Dec-24"/>
    <s v="Q4 2024"/>
    <n v="2214"/>
    <n v="0.39508196721311473"/>
  </r>
  <r>
    <s v="ORD-00295"/>
    <d v="2024-04-19T00:00:00"/>
    <s v="CUST-0081"/>
    <s v="PROD-024"/>
    <s v="R005"/>
    <n v="1"/>
    <n v="2270"/>
    <n v="4.8"/>
    <n v="2161.04"/>
    <s v="Cancelled"/>
    <x v="3"/>
    <s v="Grocery"/>
    <s v="North"/>
    <s v="Apr-24"/>
    <s v="Q2 2024"/>
    <n v="1203"/>
    <n v="0.47004405286343615"/>
  </r>
  <r>
    <s v="ORD-00296"/>
    <d v="2024-04-23T00:00:00"/>
    <s v="CUST-0053"/>
    <s v="PROD-059"/>
    <s v="R025"/>
    <n v="8"/>
    <n v="3780"/>
    <n v="13"/>
    <n v="26308.799999999999"/>
    <s v="Completed"/>
    <x v="2"/>
    <s v="Sports"/>
    <s v="West"/>
    <s v="Apr-24"/>
    <s v="Q2 2024"/>
    <n v="1860"/>
    <n v="0.50793650793650791"/>
  </r>
  <r>
    <s v="ORD-01770"/>
    <d v="2024-09-02T00:00:00"/>
    <s v="CUST-0115"/>
    <s v="PROD-013"/>
    <s v="R012"/>
    <n v="1"/>
    <n v="3640"/>
    <n v="15.3"/>
    <n v="3083.08"/>
    <s v="Pending"/>
    <x v="3"/>
    <s v="Apparel"/>
    <s v="South"/>
    <s v="Sep-24"/>
    <s v="Q3 2024"/>
    <n v="2611"/>
    <n v="0.28269230769230769"/>
  </r>
  <r>
    <s v="ORD-00298"/>
    <d v="2024-07-02T00:00:00"/>
    <s v="CUST-0166"/>
    <s v="PROD-009"/>
    <s v="R009"/>
    <n v="8"/>
    <n v="1220"/>
    <n v="28.2"/>
    <n v="7007.68"/>
    <s v="Completed"/>
    <x v="5"/>
    <s v="Electronics"/>
    <s v="South"/>
    <s v="Jul-24"/>
    <s v="Q3 2024"/>
    <n v="517"/>
    <n v="0.57622950819672136"/>
  </r>
  <r>
    <s v="ORD-00299"/>
    <d v="2024-11-28T00:00:00"/>
    <s v="CUST-0263"/>
    <s v="PROD-017"/>
    <s v="R030"/>
    <n v="3"/>
    <n v="2510"/>
    <n v="17.399999999999999"/>
    <n v="6219.78"/>
    <s v="Completed"/>
    <x v="3"/>
    <s v="Apparel"/>
    <s v="West"/>
    <s v="Nov-24"/>
    <s v="Q4 2024"/>
    <n v="1075"/>
    <n v="0.57171314741035861"/>
  </r>
  <r>
    <s v="ORD-00300"/>
    <d v="2024-12-09T00:00:00"/>
    <s v="CUST-0010"/>
    <s v="PROD-040"/>
    <s v="R004"/>
    <n v="1"/>
    <n v="1080"/>
    <n v="13.9"/>
    <n v="929.88"/>
    <s v="Completed"/>
    <x v="3"/>
    <s v="Home"/>
    <s v="North"/>
    <s v="Dec-24"/>
    <s v="Q4 2024"/>
    <n v="519"/>
    <n v="0.51944444444444449"/>
  </r>
  <r>
    <s v="ORD-00301"/>
    <d v="2024-04-13T00:00:00"/>
    <s v="CUST-0036"/>
    <s v="PROD-033"/>
    <s v="R016"/>
    <n v="7"/>
    <n v="2030"/>
    <n v="29.2"/>
    <n v="10060.68"/>
    <s v="Completed"/>
    <x v="3"/>
    <s v="Home"/>
    <s v="South"/>
    <s v="Apr-24"/>
    <s v="Q2 2024"/>
    <n v="1143"/>
    <n v="0.43694581280788175"/>
  </r>
  <r>
    <s v="ORD-00302"/>
    <d v="2024-05-03T00:00:00"/>
    <s v="CUST-0259"/>
    <s v="PROD-059"/>
    <s v="R020"/>
    <n v="6"/>
    <n v="3780"/>
    <n v="20.9"/>
    <n v="17939.88"/>
    <s v="Refunded"/>
    <x v="3"/>
    <s v="Sports"/>
    <s v="East"/>
    <s v="May-24"/>
    <s v="Q2 2024"/>
    <n v="1860"/>
    <n v="0.50793650793650791"/>
  </r>
  <r>
    <s v="ORD-00303"/>
    <d v="2024-12-27T00:00:00"/>
    <s v="CUST-0247"/>
    <s v="PROD-012"/>
    <s v="R016"/>
    <n v="1"/>
    <n v="3160"/>
    <n v="10.7"/>
    <n v="2821.88"/>
    <s v="Completed"/>
    <x v="0"/>
    <s v="Apparel"/>
    <s v="South"/>
    <s v="Dec-24"/>
    <s v="Q4 2024"/>
    <n v="1886"/>
    <n v="0.4031645569620253"/>
  </r>
  <r>
    <s v="ORD-00881"/>
    <d v="2024-09-29T00:00:00"/>
    <s v="CUST-0191"/>
    <s v="PROD-046"/>
    <s v="R010"/>
    <n v="5"/>
    <n v="4880"/>
    <n v="11.4"/>
    <n v="21618.400000000001"/>
    <s v="Completed"/>
    <x v="5"/>
    <s v="Beauty"/>
    <s v="South"/>
    <s v="Sep-24"/>
    <s v="Q3 2024"/>
    <n v="2768"/>
    <n v="0.43278688524590164"/>
  </r>
  <r>
    <s v="ORD-00305"/>
    <d v="2024-12-07T00:00:00"/>
    <s v="CUST-0167"/>
    <s v="PROD-031"/>
    <s v="R009"/>
    <n v="9"/>
    <n v="3730"/>
    <n v="10"/>
    <n v="30213"/>
    <s v="Completed"/>
    <x v="2"/>
    <s v="Home"/>
    <s v="South"/>
    <s v="Dec-24"/>
    <s v="Q4 2024"/>
    <n v="2135"/>
    <n v="0.42761394101876676"/>
  </r>
  <r>
    <s v="ORD-00306"/>
    <d v="2024-01-18T00:00:00"/>
    <s v="CUST-0196"/>
    <s v="PROD-034"/>
    <s v="R004"/>
    <n v="5"/>
    <n v="5080"/>
    <n v="15.3"/>
    <n v="21513.8"/>
    <s v="Completed"/>
    <x v="1"/>
    <s v="Home"/>
    <s v="North"/>
    <s v="Jan-24"/>
    <s v="Q1 2024"/>
    <n v="2459"/>
    <n v="0.51594488188976373"/>
  </r>
  <r>
    <s v="ORD-00307"/>
    <d v="2024-04-21T00:00:00"/>
    <s v="CUST-0182"/>
    <s v="PROD-042"/>
    <s v="R013"/>
    <n v="9"/>
    <n v="2290"/>
    <n v="3.3"/>
    <n v="19929.87"/>
    <s v="Pending"/>
    <x v="3"/>
    <s v="Beauty"/>
    <s v="South"/>
    <s v="Apr-24"/>
    <s v="Q2 2024"/>
    <n v="1219"/>
    <n v="0.46768558951965067"/>
  </r>
  <r>
    <s v="ORD-00308"/>
    <d v="2024-09-19T00:00:00"/>
    <s v="CUST-0246"/>
    <s v="PROD-008"/>
    <s v="R010"/>
    <n v="5"/>
    <n v="2660"/>
    <n v="8.3000000000000007"/>
    <n v="12196.1"/>
    <s v="Completed"/>
    <x v="2"/>
    <s v="Electronics"/>
    <s v="South"/>
    <s v="Sep-24"/>
    <s v="Q3 2024"/>
    <n v="1259"/>
    <n v="0.52669172932330832"/>
  </r>
  <r>
    <s v="ORD-00309"/>
    <d v="2024-08-25T00:00:00"/>
    <s v="CUST-0132"/>
    <s v="PROD-027"/>
    <s v="R025"/>
    <n v="6"/>
    <n v="3780"/>
    <n v="28.3"/>
    <n v="16261.56"/>
    <s v="Completed"/>
    <x v="2"/>
    <s v="Grocery"/>
    <s v="West"/>
    <s v="Aug-24"/>
    <s v="Q3 2024"/>
    <n v="2436"/>
    <n v="0.35555555555555557"/>
  </r>
  <r>
    <s v="ORD-00310"/>
    <d v="2024-01-09T00:00:00"/>
    <s v="CUST-0153"/>
    <s v="PROD-021"/>
    <s v="R028"/>
    <n v="5"/>
    <n v="2760"/>
    <n v="4.9000000000000004"/>
    <n v="13123.8"/>
    <s v="Completed"/>
    <x v="3"/>
    <s v="Grocery"/>
    <s v="West"/>
    <s v="Jan-24"/>
    <s v="Q1 2024"/>
    <n v="1435"/>
    <n v="0.48007246376811596"/>
  </r>
  <r>
    <s v="ORD-00311"/>
    <d v="2024-03-17T00:00:00"/>
    <s v="CUST-0139"/>
    <s v="PROD-041"/>
    <s v="R006"/>
    <n v="8"/>
    <n v="1540"/>
    <n v="29.4"/>
    <n v="8697.92"/>
    <s v="Cancelled"/>
    <x v="5"/>
    <s v="Beauty"/>
    <s v="North"/>
    <s v="Mar-24"/>
    <s v="Q1 2024"/>
    <n v="647"/>
    <n v="0.57987012987012987"/>
  </r>
  <r>
    <s v="ORD-00312"/>
    <d v="2024-03-23T00:00:00"/>
    <s v="CUST-0256"/>
    <s v="PROD-046"/>
    <s v="R022"/>
    <n v="1"/>
    <n v="4880"/>
    <n v="18.100000000000001"/>
    <n v="3996.72"/>
    <s v="Completed"/>
    <x v="5"/>
    <s v="Beauty"/>
    <s v="East"/>
    <s v="Mar-24"/>
    <s v="Q1 2024"/>
    <n v="2768"/>
    <n v="0.43278688524590164"/>
  </r>
  <r>
    <s v="ORD-00313"/>
    <d v="2024-10-27T00:00:00"/>
    <s v="CUST-0027"/>
    <s v="PROD-024"/>
    <s v="R015"/>
    <n v="8"/>
    <n v="2270"/>
    <n v="19.8"/>
    <n v="14564.32"/>
    <s v="Pending"/>
    <x v="5"/>
    <s v="Grocery"/>
    <s v="South"/>
    <s v="Oct-24"/>
    <s v="Q4 2024"/>
    <n v="1203"/>
    <n v="0.47004405286343615"/>
  </r>
  <r>
    <s v="ORD-00314"/>
    <d v="2024-08-04T00:00:00"/>
    <s v="CUST-0151"/>
    <s v="PROD-019"/>
    <s v="R010"/>
    <n v="10"/>
    <n v="2480"/>
    <n v="24.4"/>
    <n v="18748.8"/>
    <s v="Pending"/>
    <x v="3"/>
    <s v="Apparel"/>
    <s v="South"/>
    <s v="Aug-24"/>
    <s v="Q3 2024"/>
    <n v="1173"/>
    <n v="0.52701612903225803"/>
  </r>
  <r>
    <s v="ORD-00315"/>
    <d v="2024-07-08T00:00:00"/>
    <s v="CUST-0204"/>
    <s v="PROD-045"/>
    <s v="R014"/>
    <n v="8"/>
    <n v="3020"/>
    <n v="15.2"/>
    <n v="20487.68"/>
    <s v="Pending"/>
    <x v="5"/>
    <s v="Beauty"/>
    <s v="South"/>
    <s v="Jul-24"/>
    <s v="Q3 2024"/>
    <n v="1626"/>
    <n v="0.46158940397350995"/>
  </r>
  <r>
    <s v="ORD-00316"/>
    <d v="2024-08-13T00:00:00"/>
    <s v="CUST-0084"/>
    <s v="PROD-041"/>
    <s v="R019"/>
    <n v="10"/>
    <n v="1540"/>
    <n v="0.6"/>
    <n v="15307.6"/>
    <s v="Completed"/>
    <x v="1"/>
    <s v="Beauty"/>
    <s v="East"/>
    <s v="Aug-24"/>
    <s v="Q3 2024"/>
    <n v="647"/>
    <n v="0.57987012987012987"/>
  </r>
  <r>
    <s v="ORD-00317"/>
    <d v="2024-12-06T00:00:00"/>
    <s v="CUST-0048"/>
    <s v="PROD-012"/>
    <s v="R001"/>
    <n v="7"/>
    <n v="3160"/>
    <n v="8.9"/>
    <n v="20151.32"/>
    <s v="Completed"/>
    <x v="2"/>
    <s v="Apparel"/>
    <s v="North"/>
    <s v="Dec-24"/>
    <s v="Q4 2024"/>
    <n v="1886"/>
    <n v="0.4031645569620253"/>
  </r>
  <r>
    <s v="ORD-00318"/>
    <d v="2024-10-27T00:00:00"/>
    <s v="CUST-0013"/>
    <s v="PROD-054"/>
    <s v="R013"/>
    <n v="6"/>
    <n v="1010"/>
    <n v="12.9"/>
    <n v="5278.26"/>
    <s v="Completed"/>
    <x v="2"/>
    <s v="Sports"/>
    <s v="South"/>
    <s v="Oct-24"/>
    <s v="Q4 2024"/>
    <n v="516"/>
    <n v="0.4891089108910891"/>
  </r>
  <r>
    <s v="ORD-00319"/>
    <d v="2024-06-07T00:00:00"/>
    <s v="CUST-0245"/>
    <s v="PROD-039"/>
    <s v="R020"/>
    <n v="4"/>
    <n v="4610"/>
    <n v="18.2"/>
    <n v="15083.92"/>
    <s v="Completed"/>
    <x v="5"/>
    <s v="Home"/>
    <s v="East"/>
    <s v="Jun-24"/>
    <s v="Q2 2024"/>
    <n v="1850"/>
    <n v="0.59869848156182215"/>
  </r>
  <r>
    <s v="ORD-00320"/>
    <d v="2024-02-21T00:00:00"/>
    <s v="CUST-0031"/>
    <s v="PROD-025"/>
    <s v="R029"/>
    <n v="6"/>
    <n v="4060"/>
    <n v="24.3"/>
    <n v="18440.52"/>
    <s v="Completed"/>
    <x v="5"/>
    <s v="Grocery"/>
    <s v="West"/>
    <s v="Feb-24"/>
    <s v="Q1 2024"/>
    <n v="2911"/>
    <n v="0.28300492610837441"/>
  </r>
  <r>
    <s v="ORD-00321"/>
    <d v="2024-08-05T00:00:00"/>
    <s v="CUST-0212"/>
    <s v="PROD-016"/>
    <s v="R001"/>
    <n v="5"/>
    <n v="620"/>
    <n v="10.7"/>
    <n v="2768.3"/>
    <s v="Refunded"/>
    <x v="1"/>
    <s v="Apparel"/>
    <s v="North"/>
    <s v="Aug-24"/>
    <s v="Q3 2024"/>
    <n v="396"/>
    <n v="0.36129032258064514"/>
  </r>
  <r>
    <s v="ORD-00322"/>
    <d v="2024-08-09T00:00:00"/>
    <s v="CUST-0104"/>
    <s v="PROD-018"/>
    <s v="R003"/>
    <n v="3"/>
    <n v="3560"/>
    <n v="4.0999999999999996"/>
    <n v="10242.120000000001"/>
    <s v="Completed"/>
    <x v="5"/>
    <s v="Apparel"/>
    <s v="North"/>
    <s v="Aug-24"/>
    <s v="Q3 2024"/>
    <n v="2629"/>
    <n v="0.26151685393258428"/>
  </r>
  <r>
    <s v="ORD-00323"/>
    <d v="2024-07-27T00:00:00"/>
    <s v="CUST-0157"/>
    <s v="PROD-058"/>
    <s v="R012"/>
    <n v="2"/>
    <n v="2400"/>
    <n v="13"/>
    <n v="4176"/>
    <s v="Completed"/>
    <x v="0"/>
    <s v="Sports"/>
    <s v="South"/>
    <s v="Jul-24"/>
    <s v="Q3 2024"/>
    <n v="974"/>
    <n v="0.59416666666666662"/>
  </r>
  <r>
    <s v="ORD-00324"/>
    <d v="2024-04-25T00:00:00"/>
    <s v="CUST-0004"/>
    <s v="PROD-056"/>
    <s v="R006"/>
    <n v="9"/>
    <n v="6940"/>
    <n v="26.2"/>
    <n v="46095.48"/>
    <s v="Completed"/>
    <x v="2"/>
    <s v="Sports"/>
    <s v="North"/>
    <s v="Apr-24"/>
    <s v="Q2 2024"/>
    <n v="2827"/>
    <n v="0.5926512968299712"/>
  </r>
  <r>
    <s v="ORD-00325"/>
    <d v="2024-04-03T00:00:00"/>
    <s v="CUST-0003"/>
    <s v="PROD-023"/>
    <s v="R025"/>
    <n v="9"/>
    <n v="2380"/>
    <n v="22.7"/>
    <n v="16557.66"/>
    <s v="Completed"/>
    <x v="3"/>
    <s v="Grocery"/>
    <s v="West"/>
    <s v="Apr-24"/>
    <s v="Q2 2024"/>
    <n v="1182"/>
    <n v="0.50336134453781511"/>
  </r>
  <r>
    <s v="ORD-00326"/>
    <d v="2024-09-07T00:00:00"/>
    <s v="CUST-0175"/>
    <s v="PROD-014"/>
    <s v="R028"/>
    <n v="6"/>
    <n v="3620"/>
    <n v="9.1999999999999993"/>
    <n v="19721.759999999998"/>
    <s v="Completed"/>
    <x v="2"/>
    <s v="Apparel"/>
    <s v="West"/>
    <s v="Sep-24"/>
    <s v="Q3 2024"/>
    <n v="2509"/>
    <n v="0.3069060773480663"/>
  </r>
  <r>
    <s v="ORD-00327"/>
    <d v="2024-05-10T00:00:00"/>
    <s v="CUST-0104"/>
    <s v="PROD-050"/>
    <s v="R004"/>
    <n v="1"/>
    <n v="6080"/>
    <n v="29.4"/>
    <n v="4292.4799999999996"/>
    <s v="Cancelled"/>
    <x v="5"/>
    <s v="Beauty"/>
    <s v="North"/>
    <s v="May-24"/>
    <s v="Q2 2024"/>
    <n v="2617"/>
    <n v="0.56957236842105263"/>
  </r>
  <r>
    <s v="ORD-00328"/>
    <d v="2024-02-21T00:00:00"/>
    <s v="CUST-0196"/>
    <s v="PROD-020"/>
    <s v="R018"/>
    <n v="6"/>
    <n v="820"/>
    <n v="29.1"/>
    <n v="3488.28"/>
    <s v="Completed"/>
    <x v="1"/>
    <s v="Apparel"/>
    <s v="East"/>
    <s v="Feb-24"/>
    <s v="Q1 2024"/>
    <n v="391"/>
    <n v="0.52317073170731709"/>
  </r>
  <r>
    <s v="ORD-00329"/>
    <d v="2024-12-20T00:00:00"/>
    <s v="CUST-0299"/>
    <s v="PROD-045"/>
    <s v="R024"/>
    <n v="9"/>
    <n v="3020"/>
    <n v="7.9"/>
    <n v="25032.78"/>
    <s v="Completed"/>
    <x v="3"/>
    <s v="Beauty"/>
    <s v="West"/>
    <s v="Dec-24"/>
    <s v="Q4 2024"/>
    <n v="1626"/>
    <n v="0.46158940397350995"/>
  </r>
  <r>
    <s v="ORD-00330"/>
    <d v="2024-12-19T00:00:00"/>
    <s v="CUST-0066"/>
    <s v="PROD-004"/>
    <s v="R029"/>
    <n v="8"/>
    <n v="3870"/>
    <n v="11.9"/>
    <n v="27275.759999999998"/>
    <s v="Completed"/>
    <x v="2"/>
    <s v="Electronics"/>
    <s v="West"/>
    <s v="Dec-24"/>
    <s v="Q4 2024"/>
    <n v="1559"/>
    <n v="0.59715762273901807"/>
  </r>
  <r>
    <s v="ORD-00331"/>
    <d v="2024-08-24T00:00:00"/>
    <s v="CUST-0080"/>
    <s v="PROD-047"/>
    <s v="R030"/>
    <n v="6"/>
    <n v="3450"/>
    <n v="13.9"/>
    <n v="17822.7"/>
    <s v="Completed"/>
    <x v="0"/>
    <s v="Beauty"/>
    <s v="West"/>
    <s v="Aug-24"/>
    <s v="Q3 2024"/>
    <n v="2420"/>
    <n v="0.29855072463768118"/>
  </r>
  <r>
    <s v="ORD-00332"/>
    <d v="2024-12-29T00:00:00"/>
    <s v="CUST-0138"/>
    <s v="PROD-048"/>
    <s v="R008"/>
    <n v="9"/>
    <n v="5100"/>
    <n v="2.1"/>
    <n v="44936.1"/>
    <s v="Completed"/>
    <x v="1"/>
    <s v="Beauty"/>
    <s v="North"/>
    <s v="Dec-24"/>
    <s v="Q4 2024"/>
    <n v="2237"/>
    <n v="0.56137254901960787"/>
  </r>
  <r>
    <s v="ORD-00333"/>
    <d v="2024-08-14T00:00:00"/>
    <s v="CUST-0253"/>
    <s v="PROD-026"/>
    <s v="R008"/>
    <n v="2"/>
    <n v="4070"/>
    <n v="28.6"/>
    <n v="5811.96"/>
    <s v="Completed"/>
    <x v="2"/>
    <s v="Grocery"/>
    <s v="North"/>
    <s v="Aug-24"/>
    <s v="Q3 2024"/>
    <n v="2027"/>
    <n v="0.50196560196560192"/>
  </r>
  <r>
    <s v="ORD-00334"/>
    <d v="2024-02-17T00:00:00"/>
    <s v="CUST-0247"/>
    <s v="PROD-001"/>
    <s v="R007"/>
    <n v="9"/>
    <n v="5330"/>
    <n v="6.2"/>
    <n v="44995.86"/>
    <s v="Completed"/>
    <x v="0"/>
    <s v="Electronics"/>
    <s v="North"/>
    <s v="Feb-24"/>
    <s v="Q1 2024"/>
    <n v="2405"/>
    <n v="0.54878048780487809"/>
  </r>
  <r>
    <s v="ORD-00335"/>
    <d v="2024-01-28T00:00:00"/>
    <s v="CUST-0269"/>
    <s v="PROD-024"/>
    <s v="R020"/>
    <n v="6"/>
    <n v="2270"/>
    <n v="23.7"/>
    <n v="10392.06"/>
    <s v="Completed"/>
    <x v="0"/>
    <s v="Grocery"/>
    <s v="East"/>
    <s v="Jan-24"/>
    <s v="Q1 2024"/>
    <n v="1203"/>
    <n v="0.47004405286343615"/>
  </r>
  <r>
    <s v="ORD-00336"/>
    <d v="2024-11-22T00:00:00"/>
    <s v="CUST-0008"/>
    <s v="PROD-017"/>
    <s v="R024"/>
    <n v="5"/>
    <n v="2510"/>
    <n v="25"/>
    <n v="9412.5"/>
    <s v="Completed"/>
    <x v="0"/>
    <s v="Apparel"/>
    <s v="West"/>
    <s v="Nov-24"/>
    <s v="Q4 2024"/>
    <n v="1075"/>
    <n v="0.57171314741035861"/>
  </r>
  <r>
    <s v="ORD-00337"/>
    <d v="2024-02-13T00:00:00"/>
    <s v="CUST-0134"/>
    <s v="PROD-023"/>
    <s v="R019"/>
    <n v="9"/>
    <n v="2380"/>
    <n v="16.8"/>
    <n v="17821.439999999999"/>
    <s v="Completed"/>
    <x v="2"/>
    <s v="Grocery"/>
    <s v="East"/>
    <s v="Feb-24"/>
    <s v="Q1 2024"/>
    <n v="1182"/>
    <n v="0.50336134453781511"/>
  </r>
  <r>
    <s v="ORD-00338"/>
    <d v="2024-05-08T00:00:00"/>
    <s v="CUST-0016"/>
    <s v="PROD-011"/>
    <s v="R008"/>
    <n v="1"/>
    <n v="3450"/>
    <n v="1.5"/>
    <n v="3398.25"/>
    <s v="Refunded"/>
    <x v="2"/>
    <s v="Apparel"/>
    <s v="North"/>
    <s v="May-24"/>
    <s v="Q2 2024"/>
    <n v="1748"/>
    <n v="0.49333333333333335"/>
  </r>
  <r>
    <s v="ORD-00339"/>
    <d v="2024-01-04T00:00:00"/>
    <s v="CUST-0281"/>
    <s v="PROD-003"/>
    <s v="R002"/>
    <n v="5"/>
    <n v="3570"/>
    <n v="12.8"/>
    <n v="15565.2"/>
    <s v="Completed"/>
    <x v="4"/>
    <s v="Electronics"/>
    <s v="North"/>
    <s v="Jan-24"/>
    <s v="Q1 2024"/>
    <n v="1665"/>
    <n v="0.53361344537815125"/>
  </r>
  <r>
    <s v="ORD-00340"/>
    <d v="2024-10-25T00:00:00"/>
    <s v="CUST-0267"/>
    <s v="PROD-001"/>
    <s v="R029"/>
    <n v="3"/>
    <n v="5330"/>
    <n v="16.2"/>
    <n v="13399.62"/>
    <s v="Completed"/>
    <x v="5"/>
    <s v="Electronics"/>
    <s v="West"/>
    <s v="Oct-24"/>
    <s v="Q4 2024"/>
    <n v="2405"/>
    <n v="0.54878048780487809"/>
  </r>
  <r>
    <s v="ORD-00341"/>
    <d v="2024-02-19T00:00:00"/>
    <s v="CUST-0279"/>
    <s v="PROD-028"/>
    <s v="R027"/>
    <n v="3"/>
    <n v="3660"/>
    <n v="25.3"/>
    <n v="8202.06"/>
    <s v="Completed"/>
    <x v="3"/>
    <s v="Grocery"/>
    <s v="West"/>
    <s v="Feb-24"/>
    <s v="Q1 2024"/>
    <n v="2214"/>
    <n v="0.39508196721311473"/>
  </r>
  <r>
    <s v="ORD-00342"/>
    <d v="2024-11-04T00:00:00"/>
    <s v="CUST-0036"/>
    <s v="PROD-054"/>
    <s v="R015"/>
    <n v="2"/>
    <n v="1010"/>
    <n v="29.2"/>
    <n v="1430.16"/>
    <s v="Completed"/>
    <x v="3"/>
    <s v="Sports"/>
    <s v="South"/>
    <s v="Nov-24"/>
    <s v="Q4 2024"/>
    <n v="516"/>
    <n v="0.4891089108910891"/>
  </r>
  <r>
    <s v="ORD-00343"/>
    <d v="2024-08-02T00:00:00"/>
    <s v="CUST-0295"/>
    <s v="PROD-040"/>
    <s v="R015"/>
    <n v="1"/>
    <n v="1080"/>
    <n v="1.8"/>
    <n v="1060.56"/>
    <s v="Completed"/>
    <x v="2"/>
    <s v="Home"/>
    <s v="South"/>
    <s v="Aug-24"/>
    <s v="Q3 2024"/>
    <n v="519"/>
    <n v="0.51944444444444449"/>
  </r>
  <r>
    <s v="ORD-00344"/>
    <d v="2024-05-02T00:00:00"/>
    <s v="CUST-0106"/>
    <s v="PROD-051"/>
    <s v="R010"/>
    <n v="8"/>
    <n v="3450"/>
    <n v="20.399999999999999"/>
    <n v="21969.599999999999"/>
    <s v="Completed"/>
    <x v="0"/>
    <s v="Sports"/>
    <s v="South"/>
    <s v="May-24"/>
    <s v="Q2 2024"/>
    <n v="2467"/>
    <n v="0.28492753623188405"/>
  </r>
  <r>
    <s v="ORD-00593"/>
    <d v="2024-09-18T00:00:00"/>
    <s v="CUST-0070"/>
    <s v="PROD-056"/>
    <s v="R015"/>
    <n v="8"/>
    <n v="6940"/>
    <n v="19.399999999999999"/>
    <n v="44749.120000000003"/>
    <s v="Completed"/>
    <x v="3"/>
    <s v="Sports"/>
    <s v="South"/>
    <s v="Sep-24"/>
    <s v="Q3 2024"/>
    <n v="2827"/>
    <n v="0.5926512968299712"/>
  </r>
  <r>
    <s v="ORD-00346"/>
    <d v="2024-05-22T00:00:00"/>
    <s v="CUST-0062"/>
    <s v="PROD-041"/>
    <s v="R003"/>
    <n v="2"/>
    <n v="1540"/>
    <n v="9.3000000000000007"/>
    <n v="2793.56"/>
    <s v="Completed"/>
    <x v="0"/>
    <s v="Beauty"/>
    <s v="North"/>
    <s v="May-24"/>
    <s v="Q2 2024"/>
    <n v="647"/>
    <n v="0.57987012987012987"/>
  </r>
  <r>
    <s v="ORD-00347"/>
    <d v="2024-06-03T00:00:00"/>
    <s v="CUST-0241"/>
    <s v="PROD-010"/>
    <s v="R015"/>
    <n v="4"/>
    <n v="2640"/>
    <n v="23.2"/>
    <n v="8110.08"/>
    <s v="Refunded"/>
    <x v="0"/>
    <s v="Electronics"/>
    <s v="South"/>
    <s v="Jun-24"/>
    <s v="Q2 2024"/>
    <n v="1149"/>
    <n v="0.56477272727272732"/>
  </r>
  <r>
    <s v="ORD-00348"/>
    <d v="2024-11-30T00:00:00"/>
    <s v="CUST-0001"/>
    <s v="PROD-052"/>
    <s v="R024"/>
    <n v="6"/>
    <n v="5410"/>
    <n v="29.4"/>
    <n v="22916.76"/>
    <s v="Completed"/>
    <x v="0"/>
    <s v="Sports"/>
    <s v="West"/>
    <s v="Nov-24"/>
    <s v="Q4 2024"/>
    <n v="2265"/>
    <n v="0.58133086876155271"/>
  </r>
  <r>
    <s v="ORD-00349"/>
    <d v="2024-06-16T00:00:00"/>
    <s v="CUST-0181"/>
    <s v="PROD-003"/>
    <s v="R027"/>
    <n v="1"/>
    <n v="3570"/>
    <n v="4.3"/>
    <n v="3416.49"/>
    <s v="Completed"/>
    <x v="2"/>
    <s v="Electronics"/>
    <s v="West"/>
    <s v="Jun-24"/>
    <s v="Q2 2024"/>
    <n v="1665"/>
    <n v="0.53361344537815125"/>
  </r>
  <r>
    <s v="ORD-00350"/>
    <d v="2024-08-16T00:00:00"/>
    <s v="CUST-0044"/>
    <s v="PROD-032"/>
    <s v="R028"/>
    <n v="2"/>
    <n v="370"/>
    <n v="7.2"/>
    <n v="686.72"/>
    <s v="Completed"/>
    <x v="5"/>
    <s v="Home"/>
    <s v="West"/>
    <s v="Aug-24"/>
    <s v="Q3 2024"/>
    <n v="288"/>
    <n v="0.22162162162162163"/>
  </r>
  <r>
    <s v="ORD-00351"/>
    <d v="2024-01-23T00:00:00"/>
    <s v="CUST-0218"/>
    <s v="PROD-017"/>
    <s v="R017"/>
    <n v="1"/>
    <n v="2510"/>
    <n v="2.4"/>
    <n v="2449.7600000000002"/>
    <s v="Completed"/>
    <x v="3"/>
    <s v="Apparel"/>
    <s v="East"/>
    <s v="Jan-24"/>
    <s v="Q1 2024"/>
    <n v="1075"/>
    <n v="0.57171314741035861"/>
  </r>
  <r>
    <s v="ORD-00352"/>
    <d v="2024-07-07T00:00:00"/>
    <s v="CUST-0061"/>
    <s v="PROD-013"/>
    <s v="R022"/>
    <n v="8"/>
    <n v="3640"/>
    <n v="28.7"/>
    <n v="20762.560000000001"/>
    <s v="Pending"/>
    <x v="5"/>
    <s v="Apparel"/>
    <s v="East"/>
    <s v="Jul-24"/>
    <s v="Q3 2024"/>
    <n v="2611"/>
    <n v="0.28269230769230769"/>
  </r>
  <r>
    <s v="ORD-00353"/>
    <d v="2024-08-16T00:00:00"/>
    <s v="CUST-0143"/>
    <s v="PROD-044"/>
    <s v="R029"/>
    <n v="5"/>
    <n v="1650"/>
    <n v="13.4"/>
    <n v="7144.5"/>
    <s v="Pending"/>
    <x v="1"/>
    <s v="Beauty"/>
    <s v="West"/>
    <s v="Aug-24"/>
    <s v="Q3 2024"/>
    <n v="1222"/>
    <n v="0.2593939393939394"/>
  </r>
  <r>
    <s v="ORD-00354"/>
    <d v="2024-03-09T00:00:00"/>
    <s v="CUST-0164"/>
    <s v="PROD-049"/>
    <s v="R024"/>
    <n v="9"/>
    <n v="960"/>
    <n v="28.6"/>
    <n v="6168.96"/>
    <s v="Pending"/>
    <x v="1"/>
    <s v="Beauty"/>
    <s v="West"/>
    <s v="Mar-24"/>
    <s v="Q1 2024"/>
    <n v="675"/>
    <n v="0.296875"/>
  </r>
  <r>
    <s v="ORD-00355"/>
    <d v="2024-07-13T00:00:00"/>
    <s v="CUST-0152"/>
    <s v="PROD-027"/>
    <s v="R021"/>
    <n v="4"/>
    <n v="3780"/>
    <n v="25.3"/>
    <n v="11294.64"/>
    <s v="Completed"/>
    <x v="4"/>
    <s v="Grocery"/>
    <s v="East"/>
    <s v="Jul-24"/>
    <s v="Q3 2024"/>
    <n v="2436"/>
    <n v="0.35555555555555557"/>
  </r>
  <r>
    <s v="ORD-00356"/>
    <d v="2024-09-09T00:00:00"/>
    <s v="CUST-0143"/>
    <s v="PROD-044"/>
    <s v="R014"/>
    <n v="4"/>
    <n v="1650"/>
    <n v="13.7"/>
    <n v="5695.8"/>
    <s v="Cancelled"/>
    <x v="1"/>
    <s v="Beauty"/>
    <s v="South"/>
    <s v="Sep-24"/>
    <s v="Q3 2024"/>
    <n v="1222"/>
    <n v="0.2593939393939394"/>
  </r>
  <r>
    <s v="ORD-00357"/>
    <d v="2024-10-15T00:00:00"/>
    <s v="CUST-0232"/>
    <s v="PROD-014"/>
    <s v="R012"/>
    <n v="6"/>
    <n v="3620"/>
    <n v="21.3"/>
    <n v="17093.64"/>
    <s v="Pending"/>
    <x v="5"/>
    <s v="Apparel"/>
    <s v="South"/>
    <s v="Oct-24"/>
    <s v="Q4 2024"/>
    <n v="2509"/>
    <n v="0.3069060773480663"/>
  </r>
  <r>
    <s v="ORD-00358"/>
    <d v="2024-01-21T00:00:00"/>
    <s v="CUST-0067"/>
    <s v="PROD-022"/>
    <s v="R030"/>
    <n v="10"/>
    <n v="2270"/>
    <n v="17.7"/>
    <n v="18682.099999999999"/>
    <s v="Completed"/>
    <x v="2"/>
    <s v="Grocery"/>
    <s v="West"/>
    <s v="Jan-24"/>
    <s v="Q1 2024"/>
    <n v="1412"/>
    <n v="0.37797356828193834"/>
  </r>
  <r>
    <s v="ORD-00359"/>
    <d v="2024-06-04T00:00:00"/>
    <s v="CUST-0292"/>
    <s v="PROD-041"/>
    <s v="R013"/>
    <n v="9"/>
    <n v="1540"/>
    <n v="10.7"/>
    <n v="12376.98"/>
    <s v="Completed"/>
    <x v="4"/>
    <s v="Beauty"/>
    <s v="South"/>
    <s v="Jun-24"/>
    <s v="Q2 2024"/>
    <n v="647"/>
    <n v="0.57987012987012987"/>
  </r>
  <r>
    <s v="ORD-00360"/>
    <d v="2024-11-11T00:00:00"/>
    <s v="CUST-0118"/>
    <s v="PROD-055"/>
    <s v="R021"/>
    <n v="9"/>
    <n v="2860"/>
    <n v="12.9"/>
    <n v="22419.54"/>
    <s v="Completed"/>
    <x v="5"/>
    <s v="Sports"/>
    <s v="East"/>
    <s v="Nov-24"/>
    <s v="Q4 2024"/>
    <n v="2028"/>
    <n v="0.29090909090909089"/>
  </r>
  <r>
    <s v="ORD-00361"/>
    <d v="2024-03-28T00:00:00"/>
    <s v="CUST-0212"/>
    <s v="PROD-029"/>
    <s v="R016"/>
    <n v="5"/>
    <n v="2210"/>
    <n v="5.0999999999999996"/>
    <n v="10486.45"/>
    <s v="Completed"/>
    <x v="1"/>
    <s v="Grocery"/>
    <s v="South"/>
    <s v="Mar-24"/>
    <s v="Q1 2024"/>
    <n v="1010"/>
    <n v="0.54298642533936647"/>
  </r>
  <r>
    <s v="ORD-00362"/>
    <d v="2024-10-26T00:00:00"/>
    <s v="CUST-0287"/>
    <s v="PROD-009"/>
    <s v="R029"/>
    <n v="1"/>
    <n v="1220"/>
    <n v="16.100000000000001"/>
    <n v="1023.58"/>
    <s v="Completed"/>
    <x v="1"/>
    <s v="Electronics"/>
    <s v="West"/>
    <s v="Oct-24"/>
    <s v="Q4 2024"/>
    <n v="517"/>
    <n v="0.57622950819672136"/>
  </r>
  <r>
    <s v="ORD-00363"/>
    <d v="2024-09-26T00:00:00"/>
    <s v="CUST-0030"/>
    <s v="PROD-003"/>
    <s v="R006"/>
    <n v="2"/>
    <n v="3570"/>
    <n v="1.1000000000000001"/>
    <n v="7061.46"/>
    <s v="Completed"/>
    <x v="4"/>
    <s v="Electronics"/>
    <s v="North"/>
    <s v="Sep-24"/>
    <s v="Q3 2024"/>
    <n v="1665"/>
    <n v="0.53361344537815125"/>
  </r>
  <r>
    <s v="ORD-00364"/>
    <d v="2024-01-17T00:00:00"/>
    <s v="CUST-0270"/>
    <s v="PROD-011"/>
    <s v="R016"/>
    <n v="10"/>
    <n v="3450"/>
    <n v="12.6"/>
    <n v="30153"/>
    <s v="Completed"/>
    <x v="4"/>
    <s v="Apparel"/>
    <s v="South"/>
    <s v="Jan-24"/>
    <s v="Q1 2024"/>
    <n v="1748"/>
    <n v="0.49333333333333335"/>
  </r>
  <r>
    <s v="ORD-00365"/>
    <d v="2024-09-28T00:00:00"/>
    <s v="CUST-0001"/>
    <s v="PROD-029"/>
    <s v="R021"/>
    <n v="4"/>
    <n v="2210"/>
    <n v="5.4"/>
    <n v="8362.64"/>
    <s v="Completed"/>
    <x v="0"/>
    <s v="Grocery"/>
    <s v="East"/>
    <s v="Sep-24"/>
    <s v="Q3 2024"/>
    <n v="1010"/>
    <n v="0.54298642533936647"/>
  </r>
  <r>
    <s v="ORD-00366"/>
    <d v="2024-07-03T00:00:00"/>
    <s v="CUST-0215"/>
    <s v="PROD-035"/>
    <s v="R014"/>
    <n v="6"/>
    <n v="1090"/>
    <n v="2.9"/>
    <n v="6350.34"/>
    <s v="Cancelled"/>
    <x v="5"/>
    <s v="Home"/>
    <s v="South"/>
    <s v="Jul-24"/>
    <s v="Q3 2024"/>
    <n v="464"/>
    <n v="0.57431192660550456"/>
  </r>
  <r>
    <s v="ORD-00367"/>
    <d v="2024-03-13T00:00:00"/>
    <s v="CUST-0225"/>
    <s v="PROD-041"/>
    <s v="R017"/>
    <n v="8"/>
    <n v="1540"/>
    <n v="17.899999999999999"/>
    <n v="10114.719999999999"/>
    <s v="Pending"/>
    <x v="1"/>
    <s v="Beauty"/>
    <s v="East"/>
    <s v="Mar-24"/>
    <s v="Q1 2024"/>
    <n v="647"/>
    <n v="0.57987012987012987"/>
  </r>
  <r>
    <s v="ORD-00368"/>
    <d v="2024-03-20T00:00:00"/>
    <s v="CUST-0163"/>
    <s v="PROD-002"/>
    <s v="R028"/>
    <n v="9"/>
    <n v="2600"/>
    <n v="4.0999999999999996"/>
    <n v="22440.6"/>
    <s v="Completed"/>
    <x v="0"/>
    <s v="Electronics"/>
    <s v="West"/>
    <s v="Mar-24"/>
    <s v="Q1 2024"/>
    <n v="1052"/>
    <n v="0.5953846153846154"/>
  </r>
  <r>
    <s v="ORD-00369"/>
    <d v="2024-11-27T00:00:00"/>
    <s v="CUST-0196"/>
    <s v="PROD-060"/>
    <s v="R007"/>
    <n v="2"/>
    <n v="190"/>
    <n v="4.8"/>
    <n v="361.76"/>
    <s v="Completed"/>
    <x v="1"/>
    <s v="Sports"/>
    <s v="North"/>
    <s v="Nov-24"/>
    <s v="Q4 2024"/>
    <n v="147"/>
    <n v="0.22631578947368422"/>
  </r>
  <r>
    <s v="ORD-00370"/>
    <d v="2024-05-29T00:00:00"/>
    <s v="CUST-0002"/>
    <s v="PROD-019"/>
    <s v="R014"/>
    <n v="9"/>
    <n v="2480"/>
    <n v="28.3"/>
    <n v="16003.44"/>
    <s v="Completed"/>
    <x v="0"/>
    <s v="Apparel"/>
    <s v="South"/>
    <s v="May-24"/>
    <s v="Q2 2024"/>
    <n v="1173"/>
    <n v="0.52701612903225803"/>
  </r>
  <r>
    <s v="ORD-00371"/>
    <d v="2024-05-30T00:00:00"/>
    <s v="CUST-0057"/>
    <s v="PROD-042"/>
    <s v="R006"/>
    <n v="7"/>
    <n v="2290"/>
    <n v="25"/>
    <n v="12022.5"/>
    <s v="Cancelled"/>
    <x v="0"/>
    <s v="Beauty"/>
    <s v="North"/>
    <s v="May-24"/>
    <s v="Q2 2024"/>
    <n v="1219"/>
    <n v="0.46768558951965067"/>
  </r>
  <r>
    <s v="ORD-00372"/>
    <d v="2024-10-02T00:00:00"/>
    <s v="CUST-0112"/>
    <s v="PROD-041"/>
    <s v="R015"/>
    <n v="9"/>
    <n v="1540"/>
    <n v="23.3"/>
    <n v="10630.62"/>
    <s v="Completed"/>
    <x v="5"/>
    <s v="Beauty"/>
    <s v="South"/>
    <s v="Oct-24"/>
    <s v="Q4 2024"/>
    <n v="647"/>
    <n v="0.57987012987012987"/>
  </r>
  <r>
    <s v="ORD-00373"/>
    <d v="2024-12-27T00:00:00"/>
    <s v="CUST-0131"/>
    <s v="PROD-034"/>
    <s v="R025"/>
    <n v="2"/>
    <n v="5080"/>
    <n v="2.5"/>
    <n v="9906"/>
    <s v="Cancelled"/>
    <x v="2"/>
    <s v="Home"/>
    <s v="West"/>
    <s v="Dec-24"/>
    <s v="Q4 2024"/>
    <n v="2459"/>
    <n v="0.51594488188976373"/>
  </r>
  <r>
    <s v="ORD-00374"/>
    <d v="2024-02-09T00:00:00"/>
    <s v="CUST-0124"/>
    <s v="PROD-017"/>
    <s v="R016"/>
    <n v="4"/>
    <n v="2510"/>
    <n v="23.6"/>
    <n v="7670.56"/>
    <s v="Completed"/>
    <x v="0"/>
    <s v="Apparel"/>
    <s v="South"/>
    <s v="Feb-24"/>
    <s v="Q1 2024"/>
    <n v="1075"/>
    <n v="0.57171314741035861"/>
  </r>
  <r>
    <s v="ORD-00375"/>
    <d v="2024-02-10T00:00:00"/>
    <s v="CUST-0131"/>
    <s v="PROD-042"/>
    <s v="R011"/>
    <n v="5"/>
    <n v="2290"/>
    <n v="17"/>
    <n v="9503.5"/>
    <s v="Completed"/>
    <x v="2"/>
    <s v="Beauty"/>
    <s v="South"/>
    <s v="Feb-24"/>
    <s v="Q1 2024"/>
    <n v="1219"/>
    <n v="0.46768558951965067"/>
  </r>
  <r>
    <s v="ORD-00376"/>
    <d v="2024-02-18T00:00:00"/>
    <s v="CUST-0084"/>
    <s v="PROD-053"/>
    <s v="R006"/>
    <n v="8"/>
    <n v="470"/>
    <n v="9.3000000000000007"/>
    <n v="3410.32"/>
    <s v="Completed"/>
    <x v="1"/>
    <s v="Sports"/>
    <s v="North"/>
    <s v="Feb-24"/>
    <s v="Q1 2024"/>
    <n v="302"/>
    <n v="0.35744680851063831"/>
  </r>
  <r>
    <s v="ORD-00377"/>
    <d v="2024-09-29T00:00:00"/>
    <s v="CUST-0082"/>
    <s v="PROD-048"/>
    <s v="R009"/>
    <n v="8"/>
    <n v="5100"/>
    <n v="4.5999999999999996"/>
    <n v="38923.199999999997"/>
    <s v="Completed"/>
    <x v="5"/>
    <s v="Beauty"/>
    <s v="South"/>
    <s v="Sep-24"/>
    <s v="Q3 2024"/>
    <n v="2237"/>
    <n v="0.56137254901960787"/>
  </r>
  <r>
    <s v="ORD-00378"/>
    <d v="2024-01-05T00:00:00"/>
    <s v="CUST-0242"/>
    <s v="PROD-001"/>
    <s v="R010"/>
    <n v="7"/>
    <n v="5330"/>
    <n v="2.5"/>
    <n v="36377.25"/>
    <s v="Completed"/>
    <x v="1"/>
    <s v="Electronics"/>
    <s v="South"/>
    <s v="Jan-24"/>
    <s v="Q1 2024"/>
    <n v="2405"/>
    <n v="0.54878048780487809"/>
  </r>
  <r>
    <s v="ORD-00379"/>
    <d v="2024-03-13T00:00:00"/>
    <s v="CUST-0074"/>
    <s v="PROD-033"/>
    <s v="R028"/>
    <n v="10"/>
    <n v="2030"/>
    <n v="8.5"/>
    <n v="18574.5"/>
    <s v="Completed"/>
    <x v="4"/>
    <s v="Home"/>
    <s v="West"/>
    <s v="Mar-24"/>
    <s v="Q1 2024"/>
    <n v="1143"/>
    <n v="0.43694581280788175"/>
  </r>
  <r>
    <s v="ORD-00380"/>
    <d v="2024-09-25T00:00:00"/>
    <s v="CUST-0221"/>
    <s v="PROD-034"/>
    <s v="R003"/>
    <n v="8"/>
    <n v="5080"/>
    <n v="9.6"/>
    <n v="36738.559999999998"/>
    <s v="Cancelled"/>
    <x v="2"/>
    <s v="Home"/>
    <s v="North"/>
    <s v="Sep-24"/>
    <s v="Q3 2024"/>
    <n v="2459"/>
    <n v="0.51594488188976373"/>
  </r>
  <r>
    <s v="ORD-00381"/>
    <d v="2024-03-27T00:00:00"/>
    <s v="CUST-0101"/>
    <s v="PROD-023"/>
    <s v="R014"/>
    <n v="1"/>
    <n v="2380"/>
    <n v="11.6"/>
    <n v="2103.92"/>
    <s v="Pending"/>
    <x v="5"/>
    <s v="Grocery"/>
    <s v="South"/>
    <s v="Mar-24"/>
    <s v="Q1 2024"/>
    <n v="1182"/>
    <n v="0.50336134453781511"/>
  </r>
  <r>
    <s v="ORD-00382"/>
    <d v="2024-10-25T00:00:00"/>
    <s v="CUST-0203"/>
    <s v="PROD-041"/>
    <s v="R027"/>
    <n v="8"/>
    <n v="1540"/>
    <n v="27.8"/>
    <n v="8895.0400000000009"/>
    <s v="Completed"/>
    <x v="1"/>
    <s v="Beauty"/>
    <s v="West"/>
    <s v="Oct-24"/>
    <s v="Q4 2024"/>
    <n v="647"/>
    <n v="0.57987012987012987"/>
  </r>
  <r>
    <s v="ORD-00383"/>
    <d v="2024-10-26T00:00:00"/>
    <s v="CUST-0209"/>
    <s v="PROD-024"/>
    <s v="R024"/>
    <n v="1"/>
    <n v="2270"/>
    <n v="6.5"/>
    <n v="2122.4499999999998"/>
    <s v="Pending"/>
    <x v="0"/>
    <s v="Grocery"/>
    <s v="West"/>
    <s v="Oct-24"/>
    <s v="Q4 2024"/>
    <n v="1203"/>
    <n v="0.47004405286343615"/>
  </r>
  <r>
    <s v="ORD-00384"/>
    <d v="2024-07-30T00:00:00"/>
    <s v="CUST-0094"/>
    <s v="PROD-019"/>
    <s v="R028"/>
    <n v="6"/>
    <n v="2480"/>
    <n v="25.9"/>
    <n v="11026.08"/>
    <s v="Completed"/>
    <x v="0"/>
    <s v="Apparel"/>
    <s v="West"/>
    <s v="Jul-24"/>
    <s v="Q3 2024"/>
    <n v="1173"/>
    <n v="0.52701612903225803"/>
  </r>
  <r>
    <s v="ORD-00385"/>
    <d v="2024-11-12T00:00:00"/>
    <s v="CUST-0248"/>
    <s v="PROD-018"/>
    <s v="R019"/>
    <n v="3"/>
    <n v="3560"/>
    <n v="0.4"/>
    <n v="10637.28"/>
    <s v="Refunded"/>
    <x v="1"/>
    <s v="Apparel"/>
    <s v="East"/>
    <s v="Nov-24"/>
    <s v="Q4 2024"/>
    <n v="2629"/>
    <n v="0.26151685393258428"/>
  </r>
  <r>
    <s v="ORD-00386"/>
    <d v="2024-05-10T00:00:00"/>
    <s v="CUST-0297"/>
    <s v="PROD-008"/>
    <s v="R006"/>
    <n v="4"/>
    <n v="2660"/>
    <n v="19.7"/>
    <n v="8543.92"/>
    <s v="Cancelled"/>
    <x v="5"/>
    <s v="Electronics"/>
    <s v="North"/>
    <s v="May-24"/>
    <s v="Q2 2024"/>
    <n v="1259"/>
    <n v="0.52669172932330832"/>
  </r>
  <r>
    <s v="ORD-00387"/>
    <d v="2024-04-04T00:00:00"/>
    <s v="CUST-0107"/>
    <s v="PROD-009"/>
    <s v="R013"/>
    <n v="10"/>
    <n v="1220"/>
    <n v="10.1"/>
    <n v="10967.8"/>
    <s v="Cancelled"/>
    <x v="0"/>
    <s v="Electronics"/>
    <s v="South"/>
    <s v="Apr-24"/>
    <s v="Q2 2024"/>
    <n v="517"/>
    <n v="0.57622950819672136"/>
  </r>
  <r>
    <s v="ORD-00388"/>
    <d v="2024-10-19T00:00:00"/>
    <s v="CUST-0247"/>
    <s v="PROD-002"/>
    <s v="R014"/>
    <n v="8"/>
    <n v="2600"/>
    <n v="26.7"/>
    <n v="15246.4"/>
    <s v="Completed"/>
    <x v="0"/>
    <s v="Electronics"/>
    <s v="South"/>
    <s v="Oct-24"/>
    <s v="Q4 2024"/>
    <n v="1052"/>
    <n v="0.5953846153846154"/>
  </r>
  <r>
    <s v="ORD-00389"/>
    <d v="2024-05-28T00:00:00"/>
    <s v="CUST-0047"/>
    <s v="PROD-011"/>
    <s v="R020"/>
    <n v="10"/>
    <n v="3450"/>
    <n v="20.399999999999999"/>
    <n v="27462"/>
    <s v="Completed"/>
    <x v="0"/>
    <s v="Apparel"/>
    <s v="East"/>
    <s v="May-24"/>
    <s v="Q2 2024"/>
    <n v="1748"/>
    <n v="0.49333333333333335"/>
  </r>
  <r>
    <s v="ORD-00390"/>
    <d v="2024-05-28T00:00:00"/>
    <s v="CUST-0118"/>
    <s v="PROD-056"/>
    <s v="R019"/>
    <n v="1"/>
    <n v="6940"/>
    <n v="9.6999999999999993"/>
    <n v="6266.82"/>
    <s v="Completed"/>
    <x v="5"/>
    <s v="Sports"/>
    <s v="East"/>
    <s v="May-24"/>
    <s v="Q2 2024"/>
    <n v="2827"/>
    <n v="0.5926512968299712"/>
  </r>
  <r>
    <s v="ORD-00391"/>
    <d v="2024-03-07T00:00:00"/>
    <s v="CUST-0019"/>
    <s v="PROD-043"/>
    <s v="R006"/>
    <n v="10"/>
    <n v="3350"/>
    <n v="3.2"/>
    <n v="32428"/>
    <s v="Completed"/>
    <x v="1"/>
    <s v="Beauty"/>
    <s v="North"/>
    <s v="Mar-24"/>
    <s v="Q1 2024"/>
    <n v="1728"/>
    <n v="0.48417910447761192"/>
  </r>
  <r>
    <s v="ORD-00392"/>
    <d v="2024-04-05T00:00:00"/>
    <s v="CUST-0290"/>
    <s v="PROD-041"/>
    <s v="R026"/>
    <n v="7"/>
    <n v="1540"/>
    <n v="0.5"/>
    <n v="10726.1"/>
    <s v="Completed"/>
    <x v="2"/>
    <s v="Beauty"/>
    <s v="West"/>
    <s v="Apr-24"/>
    <s v="Q2 2024"/>
    <n v="647"/>
    <n v="0.57987012987012987"/>
  </r>
  <r>
    <s v="ORD-00393"/>
    <d v="2024-12-29T00:00:00"/>
    <s v="CUST-9557"/>
    <s v="PROD-014"/>
    <s v="R026"/>
    <n v="10"/>
    <n v="3620"/>
    <n v="22"/>
    <n v="28236"/>
    <s v="Completed"/>
    <x v="0"/>
    <s v="Apparel"/>
    <s v="West"/>
    <s v="Dec-24"/>
    <s v="Q4 2024"/>
    <n v="2509"/>
    <n v="0.3069060773480663"/>
  </r>
  <r>
    <s v="ORD-00394"/>
    <d v="2024-12-03T00:00:00"/>
    <s v="CUST-0291"/>
    <s v="PROD-053"/>
    <s v="R026"/>
    <n v="2"/>
    <n v="470"/>
    <n v="26.5"/>
    <n v="690.9"/>
    <s v="Pending"/>
    <x v="0"/>
    <s v="Sports"/>
    <s v="West"/>
    <s v="Dec-24"/>
    <s v="Q4 2024"/>
    <n v="302"/>
    <n v="0.35744680851063831"/>
  </r>
  <r>
    <s v="ORD-00395"/>
    <d v="2024-02-01T00:00:00"/>
    <s v="CUST-0045"/>
    <s v="PROD-028"/>
    <s v="R010"/>
    <n v="6"/>
    <n v="3660"/>
    <n v="1.5"/>
    <n v="21630.6"/>
    <s v="Completed"/>
    <x v="1"/>
    <s v="Grocery"/>
    <s v="South"/>
    <s v="Feb-24"/>
    <s v="Q1 2024"/>
    <n v="2214"/>
    <n v="0.39508196721311473"/>
  </r>
  <r>
    <s v="ORD-00396"/>
    <d v="2024-05-20T00:00:00"/>
    <s v="CUST-0281"/>
    <s v="PROD-056"/>
    <s v="R017"/>
    <n v="10"/>
    <n v="6940"/>
    <n v="1.9"/>
    <n v="68081.399999999994"/>
    <s v="Completed"/>
    <x v="4"/>
    <s v="Sports"/>
    <s v="East"/>
    <s v="May-24"/>
    <s v="Q2 2024"/>
    <n v="2827"/>
    <n v="0.5926512968299712"/>
  </r>
  <r>
    <s v="ORD-00397"/>
    <d v="2024-04-15T00:00:00"/>
    <s v="CUST-0073"/>
    <s v="PROD-042"/>
    <s v="R005"/>
    <n v="8"/>
    <n v="2290"/>
    <n v="27.9"/>
    <n v="13208.72"/>
    <s v="Completed"/>
    <x v="0"/>
    <s v="Beauty"/>
    <s v="North"/>
    <s v="Apr-24"/>
    <s v="Q2 2024"/>
    <n v="1219"/>
    <n v="0.46768558951965067"/>
  </r>
  <r>
    <s v="ORD-00398"/>
    <d v="2024-10-08T00:00:00"/>
    <s v="CUST-0043"/>
    <s v="PROD-012"/>
    <s v="R024"/>
    <n v="9"/>
    <n v="3160"/>
    <n v="10.199999999999999"/>
    <n v="25539.119999999999"/>
    <s v="Completed"/>
    <x v="5"/>
    <s v="Apparel"/>
    <s v="West"/>
    <s v="Oct-24"/>
    <s v="Q4 2024"/>
    <n v="1886"/>
    <n v="0.4031645569620253"/>
  </r>
  <r>
    <s v="ORD-00399"/>
    <d v="2024-01-16T00:00:00"/>
    <s v="CUST-0154"/>
    <s v="PROD-034"/>
    <s v="R028"/>
    <n v="6"/>
    <n v="5080"/>
    <n v="25.4"/>
    <n v="22738.080000000002"/>
    <s v="Completed"/>
    <x v="0"/>
    <s v="Home"/>
    <s v="West"/>
    <s v="Jan-24"/>
    <s v="Q1 2024"/>
    <n v="2459"/>
    <n v="0.51594488188976373"/>
  </r>
  <r>
    <s v="ORD-00400"/>
    <d v="2024-11-24T00:00:00"/>
    <s v="CUST-0061"/>
    <s v="PROD-021"/>
    <s v="R012"/>
    <n v="6"/>
    <n v="2760"/>
    <n v="21.3"/>
    <n v="13032.72"/>
    <s v="Completed"/>
    <x v="5"/>
    <s v="Grocery"/>
    <s v="South"/>
    <s v="Nov-24"/>
    <s v="Q4 2024"/>
    <n v="1435"/>
    <n v="0.48007246376811596"/>
  </r>
  <r>
    <s v="ORD-00401"/>
    <d v="2024-06-19T00:00:00"/>
    <s v="CUST-9654"/>
    <s v="PROD-009"/>
    <s v="R012"/>
    <n v="5"/>
    <n v="1220"/>
    <n v="7.6"/>
    <n v="5636.4"/>
    <s v="Completed"/>
    <x v="3"/>
    <s v="Electronics"/>
    <s v="South"/>
    <s v="Jun-24"/>
    <s v="Q2 2024"/>
    <n v="517"/>
    <n v="0.57622950819672136"/>
  </r>
  <r>
    <s v="ORD-00402"/>
    <d v="2024-11-26T00:00:00"/>
    <s v="CUST-0189"/>
    <s v="PROD-046"/>
    <s v="R028"/>
    <n v="5"/>
    <n v="4880"/>
    <n v="8.5"/>
    <n v="22326"/>
    <s v="Completed"/>
    <x v="1"/>
    <s v="Beauty"/>
    <s v="West"/>
    <s v="Nov-24"/>
    <s v="Q4 2024"/>
    <n v="2768"/>
    <n v="0.43278688524590164"/>
  </r>
  <r>
    <s v="ORD-00403"/>
    <d v="2024-10-31T00:00:00"/>
    <s v="CUST-0152"/>
    <s v="PROD-026"/>
    <s v="R022"/>
    <n v="7"/>
    <n v="4070"/>
    <n v="28"/>
    <n v="20512.8"/>
    <s v="Completed"/>
    <x v="4"/>
    <s v="Grocery"/>
    <s v="East"/>
    <s v="Oct-24"/>
    <s v="Q4 2024"/>
    <n v="2027"/>
    <n v="0.50196560196560192"/>
  </r>
  <r>
    <s v="ORD-00404"/>
    <d v="2024-08-02T00:00:00"/>
    <s v="CUST-0284"/>
    <s v="PROD-006"/>
    <s v="R028"/>
    <n v="2"/>
    <n v="3970"/>
    <n v="14"/>
    <n v="6828.4"/>
    <s v="Completed"/>
    <x v="5"/>
    <s v="Electronics"/>
    <s v="West"/>
    <s v="Aug-24"/>
    <s v="Q3 2024"/>
    <n v="2865"/>
    <n v="0.27833753148614609"/>
  </r>
  <r>
    <s v="ORD-00405"/>
    <d v="2024-02-27T00:00:00"/>
    <s v="CUST-0175"/>
    <s v="PROD-008"/>
    <s v="R018"/>
    <n v="9"/>
    <n v="2660"/>
    <n v="10.1"/>
    <n v="21522.06"/>
    <s v="Completed"/>
    <x v="2"/>
    <s v="Electronics"/>
    <s v="East"/>
    <s v="Feb-24"/>
    <s v="Q1 2024"/>
    <n v="1259"/>
    <n v="0.52669172932330832"/>
  </r>
  <r>
    <s v="ORD-00406"/>
    <d v="2024-04-25T00:00:00"/>
    <s v="CUST-0093"/>
    <s v="PROD-055"/>
    <s v="R022"/>
    <n v="9"/>
    <n v="2860"/>
    <n v="10.1"/>
    <n v="23140.26"/>
    <s v="Refunded"/>
    <x v="0"/>
    <s v="Sports"/>
    <s v="East"/>
    <s v="Apr-24"/>
    <s v="Q2 2024"/>
    <n v="2028"/>
    <n v="0.29090909090909089"/>
  </r>
  <r>
    <s v="ORD-00407"/>
    <d v="2024-10-26T00:00:00"/>
    <s v="CUST-0033"/>
    <s v="PROD-009"/>
    <s v="R007"/>
    <n v="7"/>
    <n v="1220"/>
    <n v="23.5"/>
    <n v="6533.1"/>
    <s v="Refunded"/>
    <x v="2"/>
    <s v="Electronics"/>
    <s v="North"/>
    <s v="Oct-24"/>
    <s v="Q4 2024"/>
    <n v="517"/>
    <n v="0.57622950819672136"/>
  </r>
  <r>
    <s v="ORD-00408"/>
    <d v="2024-10-19T00:00:00"/>
    <s v="CUST-0294"/>
    <s v="PROD-022"/>
    <s v="R026"/>
    <n v="1"/>
    <n v="2270"/>
    <n v="5.8"/>
    <n v="2138.34"/>
    <s v="Cancelled"/>
    <x v="2"/>
    <s v="Grocery"/>
    <s v="West"/>
    <s v="Oct-24"/>
    <s v="Q4 2024"/>
    <n v="1412"/>
    <n v="0.37797356828193834"/>
  </r>
  <r>
    <s v="ORD-00409"/>
    <d v="2024-10-16T00:00:00"/>
    <s v="CUST-0115"/>
    <s v="PROD-037"/>
    <s v="R002"/>
    <n v="2"/>
    <n v="660"/>
    <n v="2.2999999999999998"/>
    <n v="1289.6400000000001"/>
    <s v="Completed"/>
    <x v="3"/>
    <s v="Home"/>
    <s v="North"/>
    <s v="Oct-24"/>
    <s v="Q4 2024"/>
    <n v="329"/>
    <n v="0.50151515151515147"/>
  </r>
  <r>
    <s v="ORD-00410"/>
    <d v="2024-05-29T00:00:00"/>
    <s v="CUST-0219"/>
    <s v="PROD-012"/>
    <s v="R014"/>
    <n v="1"/>
    <n v="3160"/>
    <n v="5.6"/>
    <n v="2983.04"/>
    <s v="Completed"/>
    <x v="1"/>
    <s v="Apparel"/>
    <s v="South"/>
    <s v="May-24"/>
    <s v="Q2 2024"/>
    <n v="1886"/>
    <n v="0.4031645569620253"/>
  </r>
  <r>
    <s v="ORD-00411"/>
    <d v="2024-04-26T00:00:00"/>
    <s v="CUST-0180"/>
    <s v="PROD-002"/>
    <s v="R013"/>
    <n v="1"/>
    <n v="2600"/>
    <n v="1"/>
    <n v="2574"/>
    <s v="Completed"/>
    <x v="1"/>
    <s v="Electronics"/>
    <s v="South"/>
    <s v="Apr-24"/>
    <s v="Q2 2024"/>
    <n v="1052"/>
    <n v="0.5953846153846154"/>
  </r>
  <r>
    <s v="ORD-00412"/>
    <d v="2024-08-11T00:00:00"/>
    <s v="CUST-0148"/>
    <s v="PROD-039"/>
    <s v="R014"/>
    <n v="4"/>
    <n v="4610"/>
    <n v="18.7"/>
    <n v="14991.72"/>
    <s v="Completed"/>
    <x v="1"/>
    <s v="Home"/>
    <s v="South"/>
    <s v="Aug-24"/>
    <s v="Q3 2024"/>
    <n v="1850"/>
    <n v="0.59869848156182215"/>
  </r>
  <r>
    <s v="ORD-00413"/>
    <d v="2024-04-30T00:00:00"/>
    <s v="CUST-0026"/>
    <s v="PROD-013"/>
    <s v="R018"/>
    <n v="3"/>
    <n v="3640"/>
    <n v="9.6999999999999993"/>
    <n v="9860.76"/>
    <s v="Cancelled"/>
    <x v="0"/>
    <s v="Apparel"/>
    <s v="East"/>
    <s v="Apr-24"/>
    <s v="Q2 2024"/>
    <n v="2611"/>
    <n v="0.28269230769230769"/>
  </r>
  <r>
    <s v="ORD-00414"/>
    <d v="2024-06-05T00:00:00"/>
    <s v="CUST-0246"/>
    <s v="PROD-015"/>
    <s v="R004"/>
    <n v="6"/>
    <n v="2720"/>
    <n v="13"/>
    <n v="14198.4"/>
    <s v="Pending"/>
    <x v="2"/>
    <s v="Apparel"/>
    <s v="North"/>
    <s v="Jun-24"/>
    <s v="Q2 2024"/>
    <n v="1962"/>
    <n v="0.2786764705882353"/>
  </r>
  <r>
    <s v="ORD-00415"/>
    <d v="2024-12-18T00:00:00"/>
    <s v="CUST-0125"/>
    <s v="PROD-059"/>
    <s v="R008"/>
    <n v="5"/>
    <n v="3780"/>
    <n v="15.2"/>
    <n v="16027.2"/>
    <s v="Completed"/>
    <x v="2"/>
    <s v="Sports"/>
    <s v="North"/>
    <s v="Dec-24"/>
    <s v="Q4 2024"/>
    <n v="1860"/>
    <n v="0.50793650793650791"/>
  </r>
  <r>
    <s v="ORD-00416"/>
    <d v="2024-04-25T00:00:00"/>
    <s v="CUST-0190"/>
    <s v="PROD-035"/>
    <s v="R030"/>
    <n v="9"/>
    <n v="1090"/>
    <n v="28.5"/>
    <n v="7014.15"/>
    <s v="Completed"/>
    <x v="5"/>
    <s v="Home"/>
    <s v="West"/>
    <s v="Apr-24"/>
    <s v="Q2 2024"/>
    <n v="464"/>
    <n v="0.57431192660550456"/>
  </r>
  <r>
    <s v="ORD-00417"/>
    <d v="2024-10-16T00:00:00"/>
    <s v="CUST-0085"/>
    <s v="PROD-035"/>
    <s v="R028"/>
    <n v="6"/>
    <n v="1090"/>
    <n v="28.7"/>
    <n v="4663.0200000000004"/>
    <s v="Completed"/>
    <x v="1"/>
    <s v="Home"/>
    <s v="West"/>
    <s v="Oct-24"/>
    <s v="Q4 2024"/>
    <n v="464"/>
    <n v="0.57431192660550456"/>
  </r>
  <r>
    <s v="ORD-00418"/>
    <d v="2024-03-15T00:00:00"/>
    <s v="CUST-0249"/>
    <s v="PROD-017"/>
    <s v="R030"/>
    <n v="5"/>
    <n v="2510"/>
    <n v="25"/>
    <n v="9412.5"/>
    <s v="Completed"/>
    <x v="3"/>
    <s v="Apparel"/>
    <s v="West"/>
    <s v="Mar-24"/>
    <s v="Q1 2024"/>
    <n v="1075"/>
    <n v="0.57171314741035861"/>
  </r>
  <r>
    <s v="ORD-00419"/>
    <d v="2024-10-12T00:00:00"/>
    <s v="CUST-0012"/>
    <s v="PROD-006"/>
    <s v="R010"/>
    <n v="5"/>
    <n v="3970"/>
    <n v="26"/>
    <n v="14689"/>
    <s v="Completed"/>
    <x v="0"/>
    <s v="Electronics"/>
    <s v="South"/>
    <s v="Oct-24"/>
    <s v="Q4 2024"/>
    <n v="2865"/>
    <n v="0.27833753148614609"/>
  </r>
  <r>
    <s v="ORD-00420"/>
    <d v="2024-02-11T00:00:00"/>
    <s v="CUST-0251"/>
    <s v="PROD-026"/>
    <s v="R001"/>
    <n v="9"/>
    <n v="4070"/>
    <n v="15.7"/>
    <n v="30879.09"/>
    <s v="Completed"/>
    <x v="3"/>
    <s v="Grocery"/>
    <s v="North"/>
    <s v="Feb-24"/>
    <s v="Q1 2024"/>
    <n v="2027"/>
    <n v="0.50196560196560192"/>
  </r>
  <r>
    <s v="ORD-00421"/>
    <d v="2024-05-06T00:00:00"/>
    <s v="CUST-0088"/>
    <s v="PROD-038"/>
    <s v="R004"/>
    <n v="6"/>
    <n v="5490"/>
    <n v="8.5"/>
    <n v="30140.1"/>
    <s v="Refunded"/>
    <x v="1"/>
    <s v="Home"/>
    <s v="North"/>
    <s v="May-24"/>
    <s v="Q2 2024"/>
    <n v="2549"/>
    <n v="0.53570127504553733"/>
  </r>
  <r>
    <s v="ORD-00422"/>
    <d v="2024-11-19T00:00:00"/>
    <s v="CUST-0037"/>
    <s v="PROD-054"/>
    <s v="R022"/>
    <n v="9"/>
    <n v="1010"/>
    <n v="3.6"/>
    <n v="8762.76"/>
    <s v="Completed"/>
    <x v="4"/>
    <s v="Sports"/>
    <s v="East"/>
    <s v="Nov-24"/>
    <s v="Q4 2024"/>
    <n v="516"/>
    <n v="0.4891089108910891"/>
  </r>
  <r>
    <s v="ORD-00423"/>
    <d v="2024-12-05T00:00:00"/>
    <s v="CUST-0039"/>
    <s v="PROD-028"/>
    <s v="R008"/>
    <n v="6"/>
    <n v="3660"/>
    <n v="10.8"/>
    <n v="19588.32"/>
    <s v="Completed"/>
    <x v="4"/>
    <s v="Grocery"/>
    <s v="North"/>
    <s v="Dec-24"/>
    <s v="Q4 2024"/>
    <n v="2214"/>
    <n v="0.39508196721311473"/>
  </r>
  <r>
    <s v="ORD-00424"/>
    <d v="2024-08-20T00:00:00"/>
    <s v="CUST-0106"/>
    <s v="PROD-047"/>
    <s v="R016"/>
    <n v="6"/>
    <n v="3450"/>
    <n v="10.7"/>
    <n v="18485.099999999999"/>
    <s v="Completed"/>
    <x v="0"/>
    <s v="Beauty"/>
    <s v="South"/>
    <s v="Aug-24"/>
    <s v="Q3 2024"/>
    <n v="2420"/>
    <n v="0.29855072463768118"/>
  </r>
  <r>
    <s v="ORD-00425"/>
    <d v="2024-03-28T00:00:00"/>
    <s v="CUST-0222"/>
    <s v="PROD-026"/>
    <s v="R011"/>
    <n v="10"/>
    <n v="4070"/>
    <n v="23.4"/>
    <n v="31176.2"/>
    <s v="Refunded"/>
    <x v="1"/>
    <s v="Grocery"/>
    <s v="South"/>
    <s v="Mar-24"/>
    <s v="Q1 2024"/>
    <n v="2027"/>
    <n v="0.50196560196560192"/>
  </r>
  <r>
    <s v="ORD-00426"/>
    <d v="2024-06-11T00:00:00"/>
    <s v="CUST-0130"/>
    <s v="PROD-003"/>
    <s v="R025"/>
    <n v="9"/>
    <n v="3570"/>
    <n v="15.2"/>
    <n v="27246.240000000002"/>
    <s v="Completed"/>
    <x v="4"/>
    <s v="Electronics"/>
    <s v="West"/>
    <s v="Jun-24"/>
    <s v="Q2 2024"/>
    <n v="1665"/>
    <n v="0.53361344537815125"/>
  </r>
  <r>
    <s v="ORD-00427"/>
    <d v="2024-09-27T00:00:00"/>
    <s v="CUST-0281"/>
    <s v="PROD-056"/>
    <s v="R005"/>
    <n v="10"/>
    <n v="6940"/>
    <n v="21.8"/>
    <n v="54270.8"/>
    <s v="Pending"/>
    <x v="4"/>
    <s v="Sports"/>
    <s v="North"/>
    <s v="Sep-24"/>
    <s v="Q3 2024"/>
    <n v="2827"/>
    <n v="0.5926512968299712"/>
  </r>
  <r>
    <s v="ORD-00428"/>
    <d v="2024-07-16T00:00:00"/>
    <s v="CUST-0094"/>
    <s v="PROD-044"/>
    <s v="R014"/>
    <n v="9"/>
    <n v="1650"/>
    <n v="24.3"/>
    <n v="11241.45"/>
    <s v="Completed"/>
    <x v="0"/>
    <s v="Beauty"/>
    <s v="South"/>
    <s v="Jul-24"/>
    <s v="Q3 2024"/>
    <n v="1222"/>
    <n v="0.2593939393939394"/>
  </r>
  <r>
    <s v="ORD-00429"/>
    <d v="2024-11-28T00:00:00"/>
    <s v="CUST-0271"/>
    <s v="PROD-007"/>
    <s v="R014"/>
    <n v="10"/>
    <n v="1430"/>
    <n v="25.2"/>
    <n v="10696.4"/>
    <s v="Completed"/>
    <x v="4"/>
    <s v="Electronics"/>
    <s v="South"/>
    <s v="Nov-24"/>
    <s v="Q4 2024"/>
    <n v="861"/>
    <n v="0.39790209790209791"/>
  </r>
  <r>
    <s v="ORD-00430"/>
    <d v="2024-07-07T00:00:00"/>
    <s v="CUST-0110"/>
    <s v="PROD-025"/>
    <s v="R010"/>
    <n v="4"/>
    <n v="4060"/>
    <n v="1.6"/>
    <n v="15980.16"/>
    <s v="Completed"/>
    <x v="0"/>
    <s v="Grocery"/>
    <s v="South"/>
    <s v="Jul-24"/>
    <s v="Q3 2024"/>
    <n v="2911"/>
    <n v="0.28300492610837441"/>
  </r>
  <r>
    <s v="ORD-00431"/>
    <d v="2024-05-08T00:00:00"/>
    <s v="CUST-0262"/>
    <s v="PROD-032"/>
    <s v="R005"/>
    <n v="9"/>
    <n v="370"/>
    <n v="17"/>
    <n v="2763.9"/>
    <s v="Completed"/>
    <x v="3"/>
    <s v="Home"/>
    <s v="North"/>
    <s v="May-24"/>
    <s v="Q2 2024"/>
    <n v="288"/>
    <n v="0.22162162162162163"/>
  </r>
  <r>
    <s v="ORD-00432"/>
    <d v="2024-01-31T00:00:00"/>
    <s v="CUST-0157"/>
    <s v="PROD-041"/>
    <s v="R010"/>
    <n v="1"/>
    <n v="1540"/>
    <n v="24"/>
    <n v="1170.4000000000001"/>
    <s v="Cancelled"/>
    <x v="0"/>
    <s v="Beauty"/>
    <s v="South"/>
    <s v="Jan-24"/>
    <s v="Q1 2024"/>
    <n v="647"/>
    <n v="0.57987012987012987"/>
  </r>
  <r>
    <s v="ORD-00433"/>
    <d v="2024-03-31T00:00:00"/>
    <s v="CUST-0135"/>
    <s v="PROD-002"/>
    <s v="R025"/>
    <n v="9"/>
    <n v="2600"/>
    <n v="7.7"/>
    <n v="21598.2"/>
    <s v="Completed"/>
    <x v="0"/>
    <s v="Electronics"/>
    <s v="West"/>
    <s v="Mar-24"/>
    <s v="Q1 2024"/>
    <n v="1052"/>
    <n v="0.5953846153846154"/>
  </r>
  <r>
    <s v="ORD-00434"/>
    <d v="2024-07-24T00:00:00"/>
    <s v="CUST-0136"/>
    <s v="PROD-017"/>
    <s v="R015"/>
    <n v="8"/>
    <n v="2510"/>
    <n v="3.7"/>
    <n v="19337.04"/>
    <s v="Completed"/>
    <x v="1"/>
    <s v="Apparel"/>
    <s v="South"/>
    <s v="Jul-24"/>
    <s v="Q3 2024"/>
    <n v="1075"/>
    <n v="0.57171314741035861"/>
  </r>
  <r>
    <s v="ORD-00435"/>
    <d v="2024-08-06T00:00:00"/>
    <s v="CUST-0110"/>
    <s v="PROD-001"/>
    <s v="R003"/>
    <n v="6"/>
    <n v="5330"/>
    <n v="8.4"/>
    <n v="29293.68"/>
    <s v="Completed"/>
    <x v="0"/>
    <s v="Electronics"/>
    <s v="North"/>
    <s v="Aug-24"/>
    <s v="Q3 2024"/>
    <n v="2405"/>
    <n v="0.54878048780487809"/>
  </r>
  <r>
    <s v="ORD-00436"/>
    <d v="2024-08-18T00:00:00"/>
    <s v="CUST-0192"/>
    <s v="PROD-034"/>
    <s v="R014"/>
    <n v="5"/>
    <n v="5080"/>
    <n v="10.3"/>
    <n v="22783.8"/>
    <s v="Completed"/>
    <x v="4"/>
    <s v="Home"/>
    <s v="South"/>
    <s v="Aug-24"/>
    <s v="Q3 2024"/>
    <n v="2459"/>
    <n v="0.51594488188976373"/>
  </r>
  <r>
    <s v="ORD-00437"/>
    <d v="2024-03-30T00:00:00"/>
    <s v="CUST-0169"/>
    <s v="PROD-026"/>
    <s v="R025"/>
    <n v="3"/>
    <n v="4070"/>
    <n v="23.7"/>
    <n v="9316.23"/>
    <s v="Completed"/>
    <x v="4"/>
    <s v="Grocery"/>
    <s v="West"/>
    <s v="Mar-24"/>
    <s v="Q1 2024"/>
    <n v="2027"/>
    <n v="0.50196560196560192"/>
  </r>
  <r>
    <s v="ORD-00438"/>
    <d v="2024-08-07T00:00:00"/>
    <s v="CUST-0086"/>
    <s v="PROD-016"/>
    <s v="R013"/>
    <n v="4"/>
    <n v="620"/>
    <n v="18.8"/>
    <n v="2013.76"/>
    <s v="Completed"/>
    <x v="5"/>
    <s v="Apparel"/>
    <s v="South"/>
    <s v="Aug-24"/>
    <s v="Q3 2024"/>
    <n v="396"/>
    <n v="0.36129032258064514"/>
  </r>
  <r>
    <s v="ORD-00439"/>
    <d v="2024-12-02T00:00:00"/>
    <s v="CUST-0217"/>
    <s v="PROD-010"/>
    <s v="R017"/>
    <n v="10"/>
    <n v="2640"/>
    <n v="12.7"/>
    <n v="23047.200000000001"/>
    <s v="Completed"/>
    <x v="0"/>
    <s v="Electronics"/>
    <s v="East"/>
    <s v="Dec-24"/>
    <s v="Q4 2024"/>
    <n v="1149"/>
    <n v="0.56477272727272732"/>
  </r>
  <r>
    <s v="ORD-00440"/>
    <d v="2024-02-04T00:00:00"/>
    <s v="CUST-0119"/>
    <s v="PROD-026"/>
    <s v="R030"/>
    <n v="2"/>
    <n v="4070"/>
    <n v="29"/>
    <n v="5779.4"/>
    <s v="Completed"/>
    <x v="4"/>
    <s v="Grocery"/>
    <s v="West"/>
    <s v="Feb-24"/>
    <s v="Q1 2024"/>
    <n v="2027"/>
    <n v="0.50196560196560192"/>
  </r>
  <r>
    <s v="ORD-00441"/>
    <d v="2024-09-26T00:00:00"/>
    <s v="CUST-0011"/>
    <s v="PROD-054"/>
    <s v="R007"/>
    <n v="8"/>
    <n v="1010"/>
    <n v="25.4"/>
    <n v="6027.68"/>
    <s v="Completed"/>
    <x v="1"/>
    <s v="Sports"/>
    <s v="North"/>
    <s v="Sep-24"/>
    <s v="Q3 2024"/>
    <n v="516"/>
    <n v="0.4891089108910891"/>
  </r>
  <r>
    <s v="ORD-00442"/>
    <d v="2024-12-03T00:00:00"/>
    <s v="CUST-0059"/>
    <s v="PROD-036"/>
    <s v="R005"/>
    <n v="8"/>
    <n v="3250"/>
    <n v="5.4"/>
    <n v="24596"/>
    <s v="Completed"/>
    <x v="0"/>
    <s v="Home"/>
    <s v="North"/>
    <s v="Dec-24"/>
    <s v="Q4 2024"/>
    <n v="1556"/>
    <n v="0.52123076923076928"/>
  </r>
  <r>
    <s v="ORD-00443"/>
    <d v="2024-06-17T00:00:00"/>
    <s v="CUST-0210"/>
    <s v="PROD-007"/>
    <s v="R009"/>
    <n v="7"/>
    <n v="1430"/>
    <n v="19.3"/>
    <n v="8078.07"/>
    <s v="Completed"/>
    <x v="0"/>
    <s v="Electronics"/>
    <s v="South"/>
    <s v="Jun-24"/>
    <s v="Q2 2024"/>
    <n v="861"/>
    <n v="0.39790209790209791"/>
  </r>
  <r>
    <s v="ORD-00444"/>
    <d v="2024-11-01T00:00:00"/>
    <s v="CUST-0145"/>
    <s v="PROD-045"/>
    <s v="R018"/>
    <n v="9"/>
    <n v="3020"/>
    <n v="15"/>
    <n v="23103"/>
    <s v="Completed"/>
    <x v="4"/>
    <s v="Beauty"/>
    <s v="East"/>
    <s v="Nov-24"/>
    <s v="Q4 2024"/>
    <n v="1626"/>
    <n v="0.46158940397350995"/>
  </r>
  <r>
    <s v="ORD-00445"/>
    <d v="2024-02-02T00:00:00"/>
    <s v="CUST-9626"/>
    <s v="PROD-008"/>
    <s v="R002"/>
    <n v="2"/>
    <n v="2660"/>
    <n v="21.4"/>
    <n v="4181.5200000000004"/>
    <s v="Completed"/>
    <x v="1"/>
    <s v="Electronics"/>
    <s v="North"/>
    <s v="Feb-24"/>
    <s v="Q1 2024"/>
    <n v="1259"/>
    <n v="0.52669172932330832"/>
  </r>
  <r>
    <s v="ORD-00446"/>
    <d v="2024-07-17T00:00:00"/>
    <s v="CUST-0250"/>
    <s v="PROD-003"/>
    <s v="R019"/>
    <n v="10"/>
    <n v="3570"/>
    <n v="20.3"/>
    <n v="28452.9"/>
    <s v="Completed"/>
    <x v="2"/>
    <s v="Electronics"/>
    <s v="East"/>
    <s v="Jul-24"/>
    <s v="Q3 2024"/>
    <n v="1665"/>
    <n v="0.53361344537815125"/>
  </r>
  <r>
    <s v="ORD-00447"/>
    <d v="2024-02-08T00:00:00"/>
    <s v="CUST-0241"/>
    <s v="PROD-043"/>
    <s v="R010"/>
    <n v="4"/>
    <n v="3350"/>
    <n v="28.1"/>
    <n v="9634.6"/>
    <s v="Completed"/>
    <x v="0"/>
    <s v="Beauty"/>
    <s v="South"/>
    <s v="Feb-24"/>
    <s v="Q1 2024"/>
    <n v="1728"/>
    <n v="0.48417910447761192"/>
  </r>
  <r>
    <s v="ORD-00448"/>
    <d v="2024-02-14T00:00:00"/>
    <s v="CUST-0071"/>
    <s v="PROD-019"/>
    <s v="R021"/>
    <n v="1"/>
    <n v="2480"/>
    <n v="13.5"/>
    <n v="2145.1999999999998"/>
    <s v="Completed"/>
    <x v="2"/>
    <s v="Apparel"/>
    <s v="East"/>
    <s v="Feb-24"/>
    <s v="Q1 2024"/>
    <n v="1173"/>
    <n v="0.52701612903225803"/>
  </r>
  <r>
    <s v="ORD-00449"/>
    <d v="2024-12-23T00:00:00"/>
    <s v="CUST-0017"/>
    <s v="PROD-052"/>
    <s v="R015"/>
    <n v="10"/>
    <n v="5410"/>
    <n v="26.1"/>
    <n v="39979.9"/>
    <s v="Completed"/>
    <x v="2"/>
    <s v="Sports"/>
    <s v="South"/>
    <s v="Dec-24"/>
    <s v="Q4 2024"/>
    <n v="2265"/>
    <n v="0.58133086876155271"/>
  </r>
  <r>
    <s v="ORD-00450"/>
    <d v="2024-10-21T00:00:00"/>
    <s v="CUST-0007"/>
    <s v="PROD-037"/>
    <s v="R023"/>
    <n v="2"/>
    <n v="660"/>
    <n v="5"/>
    <n v="1254"/>
    <s v="Completed"/>
    <x v="4"/>
    <s v="Home"/>
    <s v="East"/>
    <s v="Oct-24"/>
    <s v="Q4 2024"/>
    <n v="329"/>
    <n v="0.50151515151515147"/>
  </r>
  <r>
    <s v="ORD-00451"/>
    <d v="2024-12-21T00:00:00"/>
    <s v="CUST-0054"/>
    <s v="PROD-054"/>
    <s v="R007"/>
    <n v="10"/>
    <n v="1010"/>
    <n v="10"/>
    <n v="9090"/>
    <s v="Completed"/>
    <x v="3"/>
    <s v="Sports"/>
    <s v="North"/>
    <s v="Dec-24"/>
    <s v="Q4 2024"/>
    <n v="516"/>
    <n v="0.4891089108910891"/>
  </r>
  <r>
    <s v="ORD-00452"/>
    <d v="2024-07-23T00:00:00"/>
    <s v="CUST-0038"/>
    <s v="PROD-042"/>
    <s v="R001"/>
    <n v="3"/>
    <n v="2290"/>
    <n v="8.9"/>
    <n v="6258.57"/>
    <s v="Completed"/>
    <x v="3"/>
    <s v="Beauty"/>
    <s v="North"/>
    <s v="Jul-24"/>
    <s v="Q3 2024"/>
    <n v="1219"/>
    <n v="0.46768558951965067"/>
  </r>
  <r>
    <s v="ORD-00453"/>
    <d v="2024-03-18T00:00:00"/>
    <s v="CUST-0066"/>
    <s v="PROD-047"/>
    <s v="R001"/>
    <n v="9"/>
    <n v="3450"/>
    <n v="24.3"/>
    <n v="23504.85"/>
    <s v="Completed"/>
    <x v="2"/>
    <s v="Beauty"/>
    <s v="North"/>
    <s v="Mar-24"/>
    <s v="Q1 2024"/>
    <n v="2420"/>
    <n v="0.29855072463768118"/>
  </r>
  <r>
    <s v="ORD-00454"/>
    <d v="2024-04-07T00:00:00"/>
    <s v="CUST-0161"/>
    <s v="PROD-013"/>
    <s v="R003"/>
    <n v="10"/>
    <n v="3640"/>
    <n v="21.4"/>
    <n v="28610.400000000001"/>
    <s v="Cancelled"/>
    <x v="1"/>
    <s v="Apparel"/>
    <s v="North"/>
    <s v="Apr-24"/>
    <s v="Q2 2024"/>
    <n v="2611"/>
    <n v="0.28269230769230769"/>
  </r>
  <r>
    <s v="ORD-00455"/>
    <d v="2024-02-14T00:00:00"/>
    <s v="CUST-0072"/>
    <s v="PROD-023"/>
    <s v="R015"/>
    <n v="5"/>
    <n v="2380"/>
    <n v="12.2"/>
    <n v="10448.200000000001"/>
    <s v="Completed"/>
    <x v="3"/>
    <s v="Grocery"/>
    <s v="South"/>
    <s v="Feb-24"/>
    <s v="Q1 2024"/>
    <n v="1182"/>
    <n v="0.50336134453781511"/>
  </r>
  <r>
    <s v="ORD-00456"/>
    <d v="2024-08-01T00:00:00"/>
    <s v="CUST-0232"/>
    <s v="PROD-052"/>
    <s v="R017"/>
    <n v="10"/>
    <n v="5410"/>
    <n v="29.8"/>
    <n v="37978.199999999997"/>
    <s v="Completed"/>
    <x v="5"/>
    <s v="Sports"/>
    <s v="East"/>
    <s v="Aug-24"/>
    <s v="Q3 2024"/>
    <n v="2265"/>
    <n v="0.58133086876155271"/>
  </r>
  <r>
    <s v="ORD-00457"/>
    <d v="2024-03-24T00:00:00"/>
    <s v="CUST-0054"/>
    <s v="PROD-044"/>
    <s v="R021"/>
    <n v="3"/>
    <n v="1650"/>
    <n v="9.4"/>
    <n v="4484.7"/>
    <s v="Cancelled"/>
    <x v="3"/>
    <s v="Beauty"/>
    <s v="East"/>
    <s v="Mar-24"/>
    <s v="Q1 2024"/>
    <n v="1222"/>
    <n v="0.2593939393939394"/>
  </r>
  <r>
    <s v="ORD-00458"/>
    <d v="2024-04-01T00:00:00"/>
    <s v="CUST-0214"/>
    <s v="PROD-002"/>
    <s v="R022"/>
    <n v="7"/>
    <n v="2600"/>
    <n v="19.899999999999999"/>
    <n v="14578.2"/>
    <s v="Pending"/>
    <x v="3"/>
    <s v="Electronics"/>
    <s v="East"/>
    <s v="Apr-24"/>
    <s v="Q2 2024"/>
    <n v="1052"/>
    <n v="0.5953846153846154"/>
  </r>
  <r>
    <s v="ORD-00135"/>
    <d v="2024-07-01T00:00:00"/>
    <s v="CUST-0236"/>
    <s v="PROD-039"/>
    <s v="R002"/>
    <n v="4"/>
    <n v="4610"/>
    <n v="13.2"/>
    <n v="16005.92"/>
    <s v="Completed"/>
    <x v="5"/>
    <s v="Home"/>
    <s v="North"/>
    <s v="Jul-24"/>
    <s v="Q3 2024"/>
    <n v="1850"/>
    <n v="0.59869848156182215"/>
  </r>
  <r>
    <s v="ORD-00460"/>
    <d v="2024-03-10T00:00:00"/>
    <s v="CUST-0031"/>
    <s v="PROD-039"/>
    <s v="R021"/>
    <n v="9"/>
    <n v="4610"/>
    <n v="25.8"/>
    <n v="30785.58"/>
    <s v="Completed"/>
    <x v="5"/>
    <s v="Home"/>
    <s v="East"/>
    <s v="Mar-24"/>
    <s v="Q1 2024"/>
    <n v="1850"/>
    <n v="0.59869848156182215"/>
  </r>
  <r>
    <s v="ORD-00461"/>
    <d v="2024-09-15T00:00:00"/>
    <s v="CUST-0123"/>
    <s v="PROD-005"/>
    <s v="R014"/>
    <n v="5"/>
    <n v="300"/>
    <n v="11.8"/>
    <n v="1323"/>
    <s v="Completed"/>
    <x v="1"/>
    <s v="Electronics"/>
    <s v="South"/>
    <s v="Sep-24"/>
    <s v="Q3 2024"/>
    <n v="128"/>
    <n v="0.57333333333333336"/>
  </r>
  <r>
    <s v="ORD-00462"/>
    <d v="2024-07-12T00:00:00"/>
    <s v="CUST-0019"/>
    <s v="PROD-011"/>
    <s v="R020"/>
    <n v="3"/>
    <n v="3450"/>
    <n v="14.2"/>
    <n v="8880.2999999999993"/>
    <s v="Completed"/>
    <x v="1"/>
    <s v="Apparel"/>
    <s v="East"/>
    <s v="Jul-24"/>
    <s v="Q3 2024"/>
    <n v="1748"/>
    <n v="0.49333333333333335"/>
  </r>
  <r>
    <s v="ORD-00463"/>
    <d v="2024-08-19T00:00:00"/>
    <s v="CUST-0171"/>
    <s v="PROD-015"/>
    <s v="R028"/>
    <n v="2"/>
    <n v="2720"/>
    <n v="14.6"/>
    <n v="4645.76"/>
    <s v="Cancelled"/>
    <x v="1"/>
    <s v="Apparel"/>
    <s v="West"/>
    <s v="Aug-24"/>
    <s v="Q3 2024"/>
    <n v="1962"/>
    <n v="0.2786764705882353"/>
  </r>
  <r>
    <s v="ORD-00464"/>
    <d v="2024-11-30T00:00:00"/>
    <s v="CUST-0166"/>
    <s v="PROD-008"/>
    <s v="R017"/>
    <n v="7"/>
    <n v="2660"/>
    <n v="27.4"/>
    <n v="13518.12"/>
    <s v="Cancelled"/>
    <x v="5"/>
    <s v="Electronics"/>
    <s v="East"/>
    <s v="Nov-24"/>
    <s v="Q4 2024"/>
    <n v="1259"/>
    <n v="0.52669172932330832"/>
  </r>
  <r>
    <s v="ORD-00465"/>
    <d v="2024-01-11T00:00:00"/>
    <s v="CUST-0151"/>
    <s v="PROD-051"/>
    <s v="R005"/>
    <n v="8"/>
    <n v="3450"/>
    <n v="20.399999999999999"/>
    <n v="21969.599999999999"/>
    <s v="Completed"/>
    <x v="3"/>
    <s v="Sports"/>
    <s v="North"/>
    <s v="Jan-24"/>
    <s v="Q1 2024"/>
    <n v="2467"/>
    <n v="0.28492753623188405"/>
  </r>
  <r>
    <s v="ORD-00466"/>
    <d v="2024-05-15T00:00:00"/>
    <s v="CUST-0027"/>
    <s v="PROD-052"/>
    <s v="R016"/>
    <n v="2"/>
    <n v="5410"/>
    <n v="7.2"/>
    <n v="10040.959999999999"/>
    <s v="Completed"/>
    <x v="5"/>
    <s v="Sports"/>
    <s v="South"/>
    <s v="May-24"/>
    <s v="Q2 2024"/>
    <n v="2265"/>
    <n v="0.58133086876155271"/>
  </r>
  <r>
    <s v="ORD-00467"/>
    <d v="2024-01-24T00:00:00"/>
    <s v="CUST-0171"/>
    <s v="PROD-004"/>
    <s v="R013"/>
    <n v="3"/>
    <n v="3870"/>
    <n v="4.2"/>
    <n v="11122.38"/>
    <s v="Completed"/>
    <x v="1"/>
    <s v="Electronics"/>
    <s v="South"/>
    <s v="Jan-24"/>
    <s v="Q1 2024"/>
    <n v="1559"/>
    <n v="0.59715762273901807"/>
  </r>
  <r>
    <s v="ORD-00468"/>
    <d v="2024-02-06T00:00:00"/>
    <s v="CUST-0094"/>
    <s v="PROD-024"/>
    <s v="R005"/>
    <n v="10"/>
    <n v="2270"/>
    <n v="17.3"/>
    <n v="18772.900000000001"/>
    <s v="Completed"/>
    <x v="0"/>
    <s v="Grocery"/>
    <s v="North"/>
    <s v="Feb-24"/>
    <s v="Q1 2024"/>
    <n v="1203"/>
    <n v="0.47004405286343615"/>
  </r>
  <r>
    <s v="ORD-00469"/>
    <d v="2024-04-12T00:00:00"/>
    <s v="CUST-0223"/>
    <s v="PROD-001"/>
    <s v="R025"/>
    <n v="1"/>
    <n v="5330"/>
    <n v="24.2"/>
    <n v="4040.14"/>
    <s v="Completed"/>
    <x v="4"/>
    <s v="Electronics"/>
    <s v="West"/>
    <s v="Apr-24"/>
    <s v="Q2 2024"/>
    <n v="2405"/>
    <n v="0.54878048780487809"/>
  </r>
  <r>
    <s v="ORD-00470"/>
    <d v="2024-05-02T00:00:00"/>
    <s v="CUST-0281"/>
    <s v="PROD-043"/>
    <s v="R015"/>
    <n v="2"/>
    <n v="3350"/>
    <n v="23.4"/>
    <n v="5132.2"/>
    <s v="Completed"/>
    <x v="4"/>
    <s v="Beauty"/>
    <s v="South"/>
    <s v="May-24"/>
    <s v="Q2 2024"/>
    <n v="1728"/>
    <n v="0.48417910447761192"/>
  </r>
  <r>
    <s v="ORD-00471"/>
    <d v="2024-04-11T00:00:00"/>
    <s v="CUST-0148"/>
    <s v="PROD-045"/>
    <s v="R006"/>
    <n v="7"/>
    <n v="3020"/>
    <n v="23.7"/>
    <n v="16129.82"/>
    <s v="Completed"/>
    <x v="1"/>
    <s v="Beauty"/>
    <s v="North"/>
    <s v="Apr-24"/>
    <s v="Q2 2024"/>
    <n v="1626"/>
    <n v="0.46158940397350995"/>
  </r>
  <r>
    <s v="ORD-00472"/>
    <d v="2024-08-31T00:00:00"/>
    <s v="CUST-0010"/>
    <s v="PROD-012"/>
    <s v="R020"/>
    <n v="7"/>
    <n v="3160"/>
    <n v="22.8"/>
    <n v="17076.64"/>
    <s v="Completed"/>
    <x v="3"/>
    <s v="Apparel"/>
    <s v="East"/>
    <s v="Aug-24"/>
    <s v="Q3 2024"/>
    <n v="1886"/>
    <n v="0.4031645569620253"/>
  </r>
  <r>
    <s v="ORD-00473"/>
    <d v="2024-09-06T00:00:00"/>
    <s v="CUST-0254"/>
    <s v="PROD-053"/>
    <s v="R020"/>
    <n v="2"/>
    <n v="470"/>
    <n v="28.8"/>
    <n v="669.28"/>
    <s v="Cancelled"/>
    <x v="4"/>
    <s v="Sports"/>
    <s v="East"/>
    <s v="Sep-24"/>
    <s v="Q3 2024"/>
    <n v="302"/>
    <n v="0.35744680851063831"/>
  </r>
  <r>
    <s v="ORD-00474"/>
    <d v="2024-06-11T00:00:00"/>
    <s v="CUST-0126"/>
    <s v="PROD-036"/>
    <s v="R021"/>
    <n v="2"/>
    <n v="3250"/>
    <n v="24.7"/>
    <n v="4894.5"/>
    <s v="Completed"/>
    <x v="3"/>
    <s v="Home"/>
    <s v="East"/>
    <s v="Jun-24"/>
    <s v="Q2 2024"/>
    <n v="1556"/>
    <n v="0.52123076923076928"/>
  </r>
  <r>
    <s v="ORD-00475"/>
    <d v="2024-12-05T00:00:00"/>
    <s v="CUST-0018"/>
    <s v="PROD-054"/>
    <s v="R023"/>
    <n v="2"/>
    <n v="1010"/>
    <n v="5.2"/>
    <n v="1914.96"/>
    <s v="Cancelled"/>
    <x v="0"/>
    <s v="Sports"/>
    <s v="East"/>
    <s v="Dec-24"/>
    <s v="Q4 2024"/>
    <n v="516"/>
    <n v="0.4891089108910891"/>
  </r>
  <r>
    <s v="ORD-00476"/>
    <d v="2024-10-23T00:00:00"/>
    <s v="CUST-0089"/>
    <s v="PROD-005"/>
    <s v="R001"/>
    <n v="9"/>
    <n v="300"/>
    <n v="7.9"/>
    <n v="2486.6999999999998"/>
    <s v="Completed"/>
    <x v="3"/>
    <s v="Electronics"/>
    <s v="North"/>
    <s v="Oct-24"/>
    <s v="Q4 2024"/>
    <n v="128"/>
    <n v="0.57333333333333336"/>
  </r>
  <r>
    <s v="ORD-00477"/>
    <d v="2024-06-26T00:00:00"/>
    <s v="CUST-0157"/>
    <s v="PROD-048"/>
    <s v="R006"/>
    <n v="10"/>
    <n v="5100"/>
    <n v="26.3"/>
    <n v="37587"/>
    <s v="Pending"/>
    <x v="0"/>
    <s v="Beauty"/>
    <s v="North"/>
    <s v="Jun-24"/>
    <s v="Q2 2024"/>
    <n v="2237"/>
    <n v="0.56137254901960787"/>
  </r>
  <r>
    <s v="ORD-00478"/>
    <d v="2024-09-17T00:00:00"/>
    <s v="CUST-0201"/>
    <s v="PROD-043"/>
    <s v="R028"/>
    <n v="1"/>
    <n v="3350"/>
    <n v="8.5"/>
    <n v="3065.25"/>
    <s v="Cancelled"/>
    <x v="5"/>
    <s v="Beauty"/>
    <s v="West"/>
    <s v="Sep-24"/>
    <s v="Q3 2024"/>
    <n v="1728"/>
    <n v="0.48417910447761192"/>
  </r>
  <r>
    <s v="ORD-01195"/>
    <d v="2024-09-19T00:00:00"/>
    <s v="CUST-0091"/>
    <s v="PROD-036"/>
    <s v="R022"/>
    <n v="2"/>
    <n v="3250"/>
    <n v="25.7"/>
    <n v="4829.5"/>
    <s v="Refunded"/>
    <x v="2"/>
    <s v="Home"/>
    <s v="East"/>
    <s v="Sep-24"/>
    <s v="Q3 2024"/>
    <n v="1556"/>
    <n v="0.52123076923076928"/>
  </r>
  <r>
    <s v="ORD-00480"/>
    <d v="2024-03-01T00:00:00"/>
    <s v="CUST-0052"/>
    <s v="PROD-028"/>
    <s v="R008"/>
    <n v="10"/>
    <n v="3660"/>
    <n v="12"/>
    <n v="32208"/>
    <s v="Completed"/>
    <x v="0"/>
    <s v="Grocery"/>
    <s v="North"/>
    <s v="Mar-24"/>
    <s v="Q1 2024"/>
    <n v="2214"/>
    <n v="0.39508196721311473"/>
  </r>
  <r>
    <s v="ORD-00481"/>
    <d v="2024-08-17T00:00:00"/>
    <s v="CUST-0069"/>
    <s v="PROD-058"/>
    <s v="R009"/>
    <n v="1"/>
    <n v="2400"/>
    <n v="24.5"/>
    <n v="1812"/>
    <s v="Completed"/>
    <x v="1"/>
    <s v="Sports"/>
    <s v="South"/>
    <s v="Aug-24"/>
    <s v="Q3 2024"/>
    <n v="974"/>
    <n v="0.59416666666666662"/>
  </r>
  <r>
    <s v="ORD-00482"/>
    <d v="2024-07-23T00:00:00"/>
    <s v="CUST-0294"/>
    <s v="PROD-035"/>
    <s v="R010"/>
    <n v="1"/>
    <n v="1090"/>
    <n v="18.399999999999999"/>
    <n v="889.44"/>
    <s v="Completed"/>
    <x v="2"/>
    <s v="Home"/>
    <s v="South"/>
    <s v="Jul-24"/>
    <s v="Q3 2024"/>
    <n v="464"/>
    <n v="0.57431192660550456"/>
  </r>
  <r>
    <s v="ORD-00483"/>
    <d v="2024-04-22T00:00:00"/>
    <s v="CUST-0019"/>
    <s v="PROD-059"/>
    <s v="R015"/>
    <n v="6"/>
    <n v="3780"/>
    <n v="15.9"/>
    <n v="19073.88"/>
    <s v="Completed"/>
    <x v="1"/>
    <s v="Sports"/>
    <s v="South"/>
    <s v="Apr-24"/>
    <s v="Q2 2024"/>
    <n v="1860"/>
    <n v="0.50793650793650791"/>
  </r>
  <r>
    <s v="ORD-00484"/>
    <d v="2024-02-08T00:00:00"/>
    <s v="CUST-0087"/>
    <s v="PROD-043"/>
    <s v="R019"/>
    <n v="3"/>
    <n v="3350"/>
    <n v="18.8"/>
    <n v="8160.6"/>
    <s v="Refunded"/>
    <x v="0"/>
    <s v="Beauty"/>
    <s v="East"/>
    <s v="Feb-24"/>
    <s v="Q1 2024"/>
    <n v="1728"/>
    <n v="0.48417910447761192"/>
  </r>
  <r>
    <s v="ORD-00485"/>
    <d v="2024-02-01T00:00:00"/>
    <s v="CUST-0281"/>
    <s v="PROD-040"/>
    <s v="R030"/>
    <n v="3"/>
    <n v="1080"/>
    <n v="3.4"/>
    <n v="3129.84"/>
    <s v="Completed"/>
    <x v="4"/>
    <s v="Home"/>
    <s v="West"/>
    <s v="Feb-24"/>
    <s v="Q1 2024"/>
    <n v="519"/>
    <n v="0.51944444444444449"/>
  </r>
  <r>
    <s v="ORD-00486"/>
    <d v="2024-08-15T00:00:00"/>
    <s v="CUST-0248"/>
    <s v="PROD-026"/>
    <s v="R022"/>
    <n v="6"/>
    <n v="4070"/>
    <n v="27.7"/>
    <n v="17655.66"/>
    <s v="Pending"/>
    <x v="1"/>
    <s v="Grocery"/>
    <s v="East"/>
    <s v="Aug-24"/>
    <s v="Q3 2024"/>
    <n v="2027"/>
    <n v="0.50196560196560192"/>
  </r>
  <r>
    <s v="ORD-00487"/>
    <d v="2024-08-10T00:00:00"/>
    <s v="CUST-0019"/>
    <s v="PROD-041"/>
    <s v="R026"/>
    <n v="5"/>
    <n v="1540"/>
    <n v="24.9"/>
    <n v="5782.7"/>
    <s v="Completed"/>
    <x v="1"/>
    <s v="Beauty"/>
    <s v="West"/>
    <s v="Aug-24"/>
    <s v="Q3 2024"/>
    <n v="647"/>
    <n v="0.57987012987012987"/>
  </r>
  <r>
    <s v="ORD-00488"/>
    <d v="2024-07-24T00:00:00"/>
    <s v="CUST-0092"/>
    <s v="PROD-021"/>
    <s v="R028"/>
    <n v="6"/>
    <n v="2760"/>
    <n v="29.9"/>
    <n v="11608.56"/>
    <s v="Completed"/>
    <x v="4"/>
    <s v="Grocery"/>
    <s v="West"/>
    <s v="Jul-24"/>
    <s v="Q3 2024"/>
    <n v="1435"/>
    <n v="0.48007246376811596"/>
  </r>
  <r>
    <s v="ORD-00489"/>
    <d v="2024-12-13T00:00:00"/>
    <s v="CUST-0195"/>
    <s v="PROD-006"/>
    <s v="R022"/>
    <n v="8"/>
    <n v="3970"/>
    <n v="23.7"/>
    <n v="24232.880000000001"/>
    <s v="Completed"/>
    <x v="4"/>
    <s v="Electronics"/>
    <s v="East"/>
    <s v="Dec-24"/>
    <s v="Q4 2024"/>
    <n v="2865"/>
    <n v="0.27833753148614609"/>
  </r>
  <r>
    <s v="ORD-00490"/>
    <d v="2024-09-27T00:00:00"/>
    <s v="CUST-0126"/>
    <s v="PROD-011"/>
    <s v="R021"/>
    <n v="1"/>
    <n v="3450"/>
    <n v="7.4"/>
    <n v="3194.7"/>
    <s v="Completed"/>
    <x v="3"/>
    <s v="Apparel"/>
    <s v="East"/>
    <s v="Sep-24"/>
    <s v="Q3 2024"/>
    <n v="1748"/>
    <n v="0.49333333333333335"/>
  </r>
  <r>
    <s v="ORD-00491"/>
    <d v="2024-01-17T00:00:00"/>
    <s v="CUST-0274"/>
    <s v="PROD-018"/>
    <s v="R005"/>
    <n v="3"/>
    <n v="3560"/>
    <n v="15.2"/>
    <n v="9056.64"/>
    <s v="Completed"/>
    <x v="4"/>
    <s v="Apparel"/>
    <s v="North"/>
    <s v="Jan-24"/>
    <s v="Q1 2024"/>
    <n v="2629"/>
    <n v="0.26151685393258428"/>
  </r>
  <r>
    <s v="ORD-00492"/>
    <d v="2024-05-16T00:00:00"/>
    <s v="CUST-0059"/>
    <s v="PROD-003"/>
    <s v="R030"/>
    <n v="4"/>
    <n v="3570"/>
    <n v="18.899999999999999"/>
    <n v="11581.08"/>
    <s v="Completed"/>
    <x v="0"/>
    <s v="Electronics"/>
    <s v="West"/>
    <s v="May-24"/>
    <s v="Q2 2024"/>
    <n v="1665"/>
    <n v="0.53361344537815125"/>
  </r>
  <r>
    <s v="ORD-00493"/>
    <d v="2024-06-29T00:00:00"/>
    <s v="CUST-0264"/>
    <s v="PROD-057"/>
    <s v="R025"/>
    <n v="9"/>
    <n v="960"/>
    <n v="14"/>
    <n v="7430.4"/>
    <s v="Refunded"/>
    <x v="0"/>
    <s v="Sports"/>
    <s v="West"/>
    <s v="Jun-24"/>
    <s v="Q2 2024"/>
    <n v="705"/>
    <n v="0.265625"/>
  </r>
  <r>
    <s v="ORD-00494"/>
    <d v="2024-04-24T00:00:00"/>
    <s v="CUST-0157"/>
    <s v="PROD-047"/>
    <s v="R016"/>
    <n v="9"/>
    <n v="3450"/>
    <n v="6"/>
    <n v="29187"/>
    <s v="Cancelled"/>
    <x v="0"/>
    <s v="Beauty"/>
    <s v="South"/>
    <s v="Apr-24"/>
    <s v="Q2 2024"/>
    <n v="2420"/>
    <n v="0.29855072463768118"/>
  </r>
  <r>
    <s v="ORD-00495"/>
    <d v="2024-06-14T00:00:00"/>
    <s v="CUST-0028"/>
    <s v="PROD-043"/>
    <s v="R012"/>
    <n v="7"/>
    <n v="3350"/>
    <n v="14"/>
    <n v="20167"/>
    <s v="Cancelled"/>
    <x v="4"/>
    <s v="Beauty"/>
    <s v="South"/>
    <s v="Jun-24"/>
    <s v="Q2 2024"/>
    <n v="1728"/>
    <n v="0.48417910447761192"/>
  </r>
  <r>
    <s v="ORD-00496"/>
    <d v="2024-01-07T00:00:00"/>
    <s v="CUST-0033"/>
    <s v="PROD-049"/>
    <s v="R004"/>
    <n v="6"/>
    <n v="960"/>
    <n v="10.1"/>
    <n v="5178.24"/>
    <s v="Completed"/>
    <x v="2"/>
    <s v="Beauty"/>
    <s v="North"/>
    <s v="Jan-24"/>
    <s v="Q1 2024"/>
    <n v="675"/>
    <n v="0.296875"/>
  </r>
  <r>
    <s v="ORD-00497"/>
    <d v="2024-02-15T00:00:00"/>
    <s v="CUST-0280"/>
    <s v="PROD-005"/>
    <s v="R016"/>
    <n v="7"/>
    <n v="300"/>
    <n v="21.9"/>
    <n v="1640.1"/>
    <s v="Completed"/>
    <x v="2"/>
    <s v="Electronics"/>
    <s v="South"/>
    <s v="Feb-24"/>
    <s v="Q1 2024"/>
    <n v="128"/>
    <n v="0.57333333333333336"/>
  </r>
  <r>
    <s v="ORD-00498"/>
    <d v="2024-04-07T00:00:00"/>
    <s v="CUST-0232"/>
    <s v="PROD-023"/>
    <s v="R019"/>
    <n v="2"/>
    <n v="2380"/>
    <n v="6.8"/>
    <n v="4436.32"/>
    <s v="Completed"/>
    <x v="5"/>
    <s v="Grocery"/>
    <s v="East"/>
    <s v="Apr-24"/>
    <s v="Q2 2024"/>
    <n v="1182"/>
    <n v="0.50336134453781511"/>
  </r>
  <r>
    <s v="ORD-00499"/>
    <d v="2024-01-07T00:00:00"/>
    <s v="CUST-0270"/>
    <s v="PROD-057"/>
    <s v="R024"/>
    <n v="5"/>
    <n v="960"/>
    <n v="15"/>
    <n v="4080"/>
    <s v="Cancelled"/>
    <x v="4"/>
    <s v="Sports"/>
    <s v="West"/>
    <s v="Jan-24"/>
    <s v="Q1 2024"/>
    <n v="705"/>
    <n v="0.265625"/>
  </r>
  <r>
    <s v="ORD-00500"/>
    <d v="2024-10-12T00:00:00"/>
    <s v="CUST-0203"/>
    <s v="PROD-059"/>
    <s v="R012"/>
    <n v="10"/>
    <n v="3780"/>
    <n v="24.1"/>
    <n v="28690.2"/>
    <s v="Refunded"/>
    <x v="1"/>
    <s v="Sports"/>
    <s v="South"/>
    <s v="Oct-24"/>
    <s v="Q4 2024"/>
    <n v="1860"/>
    <n v="0.50793650793650791"/>
  </r>
  <r>
    <s v="ORD-00501"/>
    <d v="2024-03-04T00:00:00"/>
    <s v="CUST-0069"/>
    <s v="PROD-041"/>
    <s v="R020"/>
    <n v="4"/>
    <n v="1540"/>
    <n v="14.2"/>
    <n v="5285.28"/>
    <s v="Cancelled"/>
    <x v="1"/>
    <s v="Beauty"/>
    <s v="East"/>
    <s v="Mar-24"/>
    <s v="Q1 2024"/>
    <n v="647"/>
    <n v="0.57987012987012987"/>
  </r>
  <r>
    <s v="ORD-00502"/>
    <d v="2024-06-20T00:00:00"/>
    <s v="CUST-0037"/>
    <s v="PROD-017"/>
    <s v="R005"/>
    <n v="10"/>
    <n v="2510"/>
    <n v="20.8"/>
    <n v="19879.2"/>
    <s v="Completed"/>
    <x v="4"/>
    <s v="Apparel"/>
    <s v="North"/>
    <s v="Jun-24"/>
    <s v="Q2 2024"/>
    <n v="1075"/>
    <n v="0.57171314741035861"/>
  </r>
  <r>
    <s v="ORD-00503"/>
    <d v="2024-03-23T00:00:00"/>
    <s v="CUST-0149"/>
    <s v="PROD-025"/>
    <s v="R014"/>
    <n v="9"/>
    <n v="4060"/>
    <n v="27.1"/>
    <n v="26637.66"/>
    <s v="Completed"/>
    <x v="5"/>
    <s v="Grocery"/>
    <s v="South"/>
    <s v="Mar-24"/>
    <s v="Q1 2024"/>
    <n v="2911"/>
    <n v="0.28300492610837441"/>
  </r>
  <r>
    <s v="ORD-00504"/>
    <d v="2024-12-12T00:00:00"/>
    <s v="CUST-0131"/>
    <s v="PROD-058"/>
    <s v="R025"/>
    <n v="4"/>
    <n v="2400"/>
    <n v="19.100000000000001"/>
    <n v="7766.4"/>
    <s v="Completed"/>
    <x v="2"/>
    <s v="Sports"/>
    <s v="West"/>
    <s v="Dec-24"/>
    <s v="Q4 2024"/>
    <n v="974"/>
    <n v="0.59416666666666662"/>
  </r>
  <r>
    <s v="ORD-00505"/>
    <d v="2024-08-21T00:00:00"/>
    <s v="CUST-0071"/>
    <s v="PROD-046"/>
    <s v="R022"/>
    <n v="8"/>
    <n v="4880"/>
    <n v="9.1999999999999993"/>
    <n v="35448.32"/>
    <s v="Cancelled"/>
    <x v="2"/>
    <s v="Beauty"/>
    <s v="East"/>
    <s v="Aug-24"/>
    <s v="Q3 2024"/>
    <n v="2768"/>
    <n v="0.43278688524590164"/>
  </r>
  <r>
    <s v="ORD-00506"/>
    <d v="2024-10-21T00:00:00"/>
    <s v="CUST-0249"/>
    <s v="PROD-048"/>
    <s v="R019"/>
    <n v="9"/>
    <n v="5100"/>
    <n v="11.1"/>
    <n v="40805.1"/>
    <s v="Cancelled"/>
    <x v="3"/>
    <s v="Beauty"/>
    <s v="East"/>
    <s v="Oct-24"/>
    <s v="Q4 2024"/>
    <n v="2237"/>
    <n v="0.56137254901960787"/>
  </r>
  <r>
    <s v="ORD-00507"/>
    <d v="2024-12-11T00:00:00"/>
    <s v="CUST-0181"/>
    <s v="PROD-005"/>
    <s v="R028"/>
    <n v="4"/>
    <n v="300"/>
    <n v="16.7"/>
    <n v="999.6"/>
    <s v="Completed"/>
    <x v="2"/>
    <s v="Electronics"/>
    <s v="West"/>
    <s v="Dec-24"/>
    <s v="Q4 2024"/>
    <n v="128"/>
    <n v="0.57333333333333336"/>
  </r>
  <r>
    <s v="ORD-00508"/>
    <d v="2024-05-31T00:00:00"/>
    <s v="CUST-0085"/>
    <s v="PROD-019"/>
    <s v="R014"/>
    <n v="6"/>
    <n v="2480"/>
    <n v="3.3"/>
    <n v="14388.96"/>
    <s v="Completed"/>
    <x v="1"/>
    <s v="Apparel"/>
    <s v="South"/>
    <s v="May-24"/>
    <s v="Q2 2024"/>
    <n v="1173"/>
    <n v="0.52701612903225803"/>
  </r>
  <r>
    <s v="ORD-00509"/>
    <d v="2024-10-04T00:00:00"/>
    <s v="CUST-0180"/>
    <s v="PROD-044"/>
    <s v="R023"/>
    <n v="10"/>
    <n v="1650"/>
    <n v="22.9"/>
    <n v="12721.5"/>
    <s v="Refunded"/>
    <x v="1"/>
    <s v="Beauty"/>
    <s v="East"/>
    <s v="Oct-24"/>
    <s v="Q4 2024"/>
    <n v="1222"/>
    <n v="0.2593939393939394"/>
  </r>
  <r>
    <s v="ORD-00510"/>
    <d v="2024-01-28T00:00:00"/>
    <s v="CUST-0103"/>
    <s v="PROD-029"/>
    <s v="R012"/>
    <n v="3"/>
    <n v="2210"/>
    <n v="11.1"/>
    <n v="5894.07"/>
    <s v="Completed"/>
    <x v="5"/>
    <s v="Grocery"/>
    <s v="South"/>
    <s v="Jan-24"/>
    <s v="Q1 2024"/>
    <n v="1010"/>
    <n v="0.54298642533936647"/>
  </r>
  <r>
    <s v="ORD-00511"/>
    <d v="2024-04-24T00:00:00"/>
    <s v="CUST-0174"/>
    <s v="PROD-019"/>
    <s v="R005"/>
    <n v="10"/>
    <n v="2480"/>
    <n v="13"/>
    <n v="21576"/>
    <s v="Pending"/>
    <x v="0"/>
    <s v="Apparel"/>
    <s v="North"/>
    <s v="Apr-24"/>
    <s v="Q2 2024"/>
    <n v="1173"/>
    <n v="0.52701612903225803"/>
  </r>
  <r>
    <s v="ORD-00512"/>
    <d v="2024-12-03T00:00:00"/>
    <s v="CUST-0071"/>
    <s v="PROD-001"/>
    <s v="R023"/>
    <n v="10"/>
    <n v="5330"/>
    <n v="0.7"/>
    <n v="52926.9"/>
    <s v="Completed"/>
    <x v="2"/>
    <s v="Electronics"/>
    <s v="East"/>
    <s v="Dec-24"/>
    <s v="Q4 2024"/>
    <n v="2405"/>
    <n v="0.54878048780487809"/>
  </r>
  <r>
    <s v="ORD-00513"/>
    <d v="2024-11-16T00:00:00"/>
    <s v="CUST-0266"/>
    <s v="PROD-026"/>
    <s v="R012"/>
    <n v="9"/>
    <n v="4070"/>
    <n v="15.6"/>
    <n v="30915.72"/>
    <s v="Completed"/>
    <x v="0"/>
    <s v="Grocery"/>
    <s v="South"/>
    <s v="Nov-24"/>
    <s v="Q4 2024"/>
    <n v="2027"/>
    <n v="0.50196560196560192"/>
  </r>
  <r>
    <s v="ORD-00514"/>
    <d v="2024-11-17T00:00:00"/>
    <s v="CUST-0148"/>
    <s v="PROD-015"/>
    <s v="R001"/>
    <n v="5"/>
    <n v="2720"/>
    <n v="10.3"/>
    <n v="12199.2"/>
    <s v="Cancelled"/>
    <x v="1"/>
    <s v="Apparel"/>
    <s v="North"/>
    <s v="Nov-24"/>
    <s v="Q4 2024"/>
    <n v="1962"/>
    <n v="0.2786764705882353"/>
  </r>
  <r>
    <s v="ORD-00515"/>
    <d v="2024-07-11T00:00:00"/>
    <s v="CUST-0030"/>
    <s v="PROD-055"/>
    <s v="R029"/>
    <n v="6"/>
    <n v="2860"/>
    <n v="28.9"/>
    <n v="12200.76"/>
    <s v="Completed"/>
    <x v="4"/>
    <s v="Sports"/>
    <s v="West"/>
    <s v="Jul-24"/>
    <s v="Q3 2024"/>
    <n v="2028"/>
    <n v="0.29090909090909089"/>
  </r>
  <r>
    <s v="ORD-00516"/>
    <d v="2024-12-30T00:00:00"/>
    <s v="CUST-0128"/>
    <s v="PROD-014"/>
    <s v="R012"/>
    <n v="5"/>
    <n v="3620"/>
    <n v="18.2"/>
    <n v="14805.8"/>
    <s v="Completed"/>
    <x v="5"/>
    <s v="Apparel"/>
    <s v="South"/>
    <s v="Dec-24"/>
    <s v="Q4 2024"/>
    <n v="2509"/>
    <n v="0.3069060773480663"/>
  </r>
  <r>
    <s v="ORD-00517"/>
    <d v="2024-05-20T00:00:00"/>
    <s v="CUST-0056"/>
    <s v="PROD-044"/>
    <s v="R018"/>
    <n v="3"/>
    <n v="1650"/>
    <n v="10.7"/>
    <n v="4420.3500000000004"/>
    <s v="Completed"/>
    <x v="4"/>
    <s v="Beauty"/>
    <s v="East"/>
    <s v="May-24"/>
    <s v="Q2 2024"/>
    <n v="1222"/>
    <n v="0.2593939393939394"/>
  </r>
  <r>
    <s v="ORD-00518"/>
    <d v="2024-07-22T00:00:00"/>
    <s v="CUST-0178"/>
    <s v="PROD-060"/>
    <s v="R029"/>
    <n v="8"/>
    <n v="190"/>
    <n v="18"/>
    <n v="1246.4000000000001"/>
    <s v="Pending"/>
    <x v="5"/>
    <s v="Sports"/>
    <s v="West"/>
    <s v="Jul-24"/>
    <s v="Q3 2024"/>
    <n v="147"/>
    <n v="0.22631578947368422"/>
  </r>
  <r>
    <s v="ORD-00519"/>
    <d v="2024-05-31T00:00:00"/>
    <s v="CUST-0237"/>
    <s v="PROD-042"/>
    <s v="R029"/>
    <n v="7"/>
    <n v="2290"/>
    <n v="12.5"/>
    <n v="14026.25"/>
    <s v="Completed"/>
    <x v="3"/>
    <s v="Beauty"/>
    <s v="West"/>
    <s v="May-24"/>
    <s v="Q2 2024"/>
    <n v="1219"/>
    <n v="0.46768558951965067"/>
  </r>
  <r>
    <s v="ORD-00520"/>
    <d v="2024-12-12T00:00:00"/>
    <s v="CUST-0143"/>
    <s v="PROD-001"/>
    <s v="R017"/>
    <n v="2"/>
    <n v="5330"/>
    <n v="26.5"/>
    <n v="7835.1"/>
    <s v="Completed"/>
    <x v="1"/>
    <s v="Electronics"/>
    <s v="East"/>
    <s v="Dec-24"/>
    <s v="Q4 2024"/>
    <n v="2405"/>
    <n v="0.54878048780487809"/>
  </r>
  <r>
    <s v="ORD-00521"/>
    <d v="2024-07-03T00:00:00"/>
    <s v="CUST-0233"/>
    <s v="PROD-001"/>
    <s v="R015"/>
    <n v="4"/>
    <n v="5330"/>
    <n v="25.6"/>
    <n v="15862.08"/>
    <s v="Completed"/>
    <x v="3"/>
    <s v="Electronics"/>
    <s v="South"/>
    <s v="Jul-24"/>
    <s v="Q3 2024"/>
    <n v="2405"/>
    <n v="0.54878048780487809"/>
  </r>
  <r>
    <s v="ORD-00522"/>
    <d v="2024-10-01T00:00:00"/>
    <s v="CUST-0161"/>
    <s v="PROD-034"/>
    <s v="R006"/>
    <n v="4"/>
    <n v="5080"/>
    <n v="28.6"/>
    <n v="14508.48"/>
    <s v="Completed"/>
    <x v="1"/>
    <s v="Home"/>
    <s v="North"/>
    <s v="Oct-24"/>
    <s v="Q4 2024"/>
    <n v="2459"/>
    <n v="0.51594488188976373"/>
  </r>
  <r>
    <s v="ORD-00523"/>
    <d v="2024-04-10T00:00:00"/>
    <s v="CUST-0087"/>
    <s v="PROD-032"/>
    <s v="R002"/>
    <n v="4"/>
    <n v="370"/>
    <n v="12.6"/>
    <n v="1293.52"/>
    <s v="Pending"/>
    <x v="0"/>
    <s v="Home"/>
    <s v="North"/>
    <s v="Apr-24"/>
    <s v="Q2 2024"/>
    <n v="288"/>
    <n v="0.22162162162162163"/>
  </r>
  <r>
    <s v="ORD-00524"/>
    <d v="2024-09-26T00:00:00"/>
    <s v="CUST-0235"/>
    <s v="PROD-053"/>
    <s v="R013"/>
    <n v="9"/>
    <n v="470"/>
    <n v="3.6"/>
    <n v="4077.72"/>
    <s v="Completed"/>
    <x v="1"/>
    <s v="Sports"/>
    <s v="South"/>
    <s v="Sep-24"/>
    <s v="Q3 2024"/>
    <n v="302"/>
    <n v="0.35744680851063831"/>
  </r>
  <r>
    <s v="ORD-00525"/>
    <d v="2024-12-08T00:00:00"/>
    <s v="CUST-0183"/>
    <s v="PROD-052"/>
    <s v="R027"/>
    <n v="4"/>
    <n v="5410"/>
    <n v="11.3"/>
    <n v="19194.68"/>
    <s v="Refunded"/>
    <x v="3"/>
    <s v="Sports"/>
    <s v="West"/>
    <s v="Dec-24"/>
    <s v="Q4 2024"/>
    <n v="2265"/>
    <n v="0.58133086876155271"/>
  </r>
  <r>
    <s v="ORD-00526"/>
    <d v="2024-01-20T00:00:00"/>
    <s v="CUST-0199"/>
    <s v="PROD-014"/>
    <s v="R007"/>
    <n v="10"/>
    <n v="3620"/>
    <n v="2.5"/>
    <n v="35295"/>
    <s v="Completed"/>
    <x v="5"/>
    <s v="Apparel"/>
    <s v="North"/>
    <s v="Jan-24"/>
    <s v="Q1 2024"/>
    <n v="2509"/>
    <n v="0.3069060773480663"/>
  </r>
  <r>
    <s v="ORD-00527"/>
    <d v="2024-03-29T00:00:00"/>
    <s v="CUST-0034"/>
    <s v="PROD-021"/>
    <s v="R030"/>
    <n v="1"/>
    <n v="2760"/>
    <n v="22.2"/>
    <n v="2147.2800000000002"/>
    <s v="Completed"/>
    <x v="2"/>
    <s v="Grocery"/>
    <s v="West"/>
    <s v="Mar-24"/>
    <s v="Q1 2024"/>
    <n v="1435"/>
    <n v="0.48007246376811596"/>
  </r>
  <r>
    <s v="ORD-00528"/>
    <d v="2024-09-14T00:00:00"/>
    <s v="CUST-0206"/>
    <s v="PROD-047"/>
    <s v="R001"/>
    <n v="7"/>
    <n v="3450"/>
    <n v="8.6"/>
    <n v="22073.1"/>
    <s v="Completed"/>
    <x v="3"/>
    <s v="Beauty"/>
    <s v="North"/>
    <s v="Sep-24"/>
    <s v="Q3 2024"/>
    <n v="2420"/>
    <n v="0.29855072463768118"/>
  </r>
  <r>
    <s v="ORD-00529"/>
    <d v="2024-05-06T00:00:00"/>
    <s v="CUST-0246"/>
    <s v="PROD-028"/>
    <s v="R028"/>
    <n v="6"/>
    <n v="3660"/>
    <n v="10.6"/>
    <n v="19632.240000000002"/>
    <s v="Completed"/>
    <x v="2"/>
    <s v="Grocery"/>
    <s v="West"/>
    <s v="May-24"/>
    <s v="Q2 2024"/>
    <n v="2214"/>
    <n v="0.39508196721311473"/>
  </r>
  <r>
    <s v="ORD-00530"/>
    <d v="2024-08-28T00:00:00"/>
    <s v="CUST-0075"/>
    <s v="PROD-003"/>
    <s v="R028"/>
    <n v="10"/>
    <n v="3570"/>
    <n v="1.2"/>
    <n v="35271.599999999999"/>
    <s v="Completed"/>
    <x v="3"/>
    <s v="Electronics"/>
    <s v="West"/>
    <s v="Aug-24"/>
    <s v="Q3 2024"/>
    <n v="1665"/>
    <n v="0.53361344537815125"/>
  </r>
  <r>
    <s v="ORD-00531"/>
    <d v="2024-09-07T00:00:00"/>
    <s v="CUST-0298"/>
    <s v="PROD-035"/>
    <s v="R009"/>
    <n v="8"/>
    <n v="1090"/>
    <n v="13.2"/>
    <n v="7568.96"/>
    <s v="Refunded"/>
    <x v="2"/>
    <s v="Home"/>
    <s v="South"/>
    <s v="Sep-24"/>
    <s v="Q3 2024"/>
    <n v="464"/>
    <n v="0.57431192660550456"/>
  </r>
  <r>
    <s v="ORD-00532"/>
    <d v="2024-01-29T00:00:00"/>
    <s v="CUST-0165"/>
    <s v="PROD-014"/>
    <s v="R018"/>
    <n v="8"/>
    <n v="3620"/>
    <n v="29"/>
    <n v="20561.599999999999"/>
    <s v="Completed"/>
    <x v="0"/>
    <s v="Apparel"/>
    <s v="East"/>
    <s v="Jan-24"/>
    <s v="Q1 2024"/>
    <n v="2509"/>
    <n v="0.3069060773480663"/>
  </r>
  <r>
    <s v="ORD-00533"/>
    <d v="2024-09-13T00:00:00"/>
    <s v="CUST-0033"/>
    <s v="PROD-046"/>
    <s v="R010"/>
    <n v="7"/>
    <n v="4880"/>
    <n v="25.6"/>
    <n v="25415.040000000001"/>
    <s v="Refunded"/>
    <x v="2"/>
    <s v="Beauty"/>
    <s v="South"/>
    <s v="Sep-24"/>
    <s v="Q3 2024"/>
    <n v="2768"/>
    <n v="0.43278688524590164"/>
  </r>
  <r>
    <s v="ORD-00534"/>
    <d v="2024-05-22T00:00:00"/>
    <s v="CUST-0205"/>
    <s v="PROD-053"/>
    <s v="R028"/>
    <n v="2"/>
    <n v="470"/>
    <n v="9.6999999999999993"/>
    <n v="848.82"/>
    <s v="Completed"/>
    <x v="0"/>
    <s v="Sports"/>
    <s v="West"/>
    <s v="May-24"/>
    <s v="Q2 2024"/>
    <n v="302"/>
    <n v="0.35744680851063831"/>
  </r>
  <r>
    <s v="ORD-00535"/>
    <d v="2024-09-04T00:00:00"/>
    <s v="CUST-0037"/>
    <s v="PROD-042"/>
    <s v="R022"/>
    <n v="6"/>
    <n v="2290"/>
    <n v="8.9"/>
    <n v="12517.14"/>
    <s v="Completed"/>
    <x v="4"/>
    <s v="Beauty"/>
    <s v="East"/>
    <s v="Sep-24"/>
    <s v="Q3 2024"/>
    <n v="1219"/>
    <n v="0.46768558951965067"/>
  </r>
  <r>
    <s v="ORD-00536"/>
    <d v="2024-06-25T00:00:00"/>
    <s v="CUST-0228"/>
    <s v="PROD-023"/>
    <s v="R010"/>
    <n v="3"/>
    <n v="2380"/>
    <n v="2.7"/>
    <n v="6947.22"/>
    <s v="Pending"/>
    <x v="0"/>
    <s v="Grocery"/>
    <s v="South"/>
    <s v="Jun-24"/>
    <s v="Q2 2024"/>
    <n v="1182"/>
    <n v="0.50336134453781511"/>
  </r>
  <r>
    <s v="ORD-00537"/>
    <d v="2024-07-12T00:00:00"/>
    <s v="CUST-0279"/>
    <s v="PROD-023"/>
    <s v="R008"/>
    <n v="9"/>
    <n v="2380"/>
    <n v="20.100000000000001"/>
    <n v="17114.580000000002"/>
    <s v="Completed"/>
    <x v="3"/>
    <s v="Grocery"/>
    <s v="North"/>
    <s v="Jul-24"/>
    <s v="Q3 2024"/>
    <n v="1182"/>
    <n v="0.50336134453781511"/>
  </r>
  <r>
    <s v="ORD-00538"/>
    <d v="2024-01-12T00:00:00"/>
    <s v="CUST-0271"/>
    <s v="PROD-052"/>
    <s v="R014"/>
    <n v="8"/>
    <n v="5410"/>
    <n v="11.2"/>
    <n v="38432.639999999999"/>
    <s v="Completed"/>
    <x v="4"/>
    <s v="Sports"/>
    <s v="South"/>
    <s v="Jan-24"/>
    <s v="Q1 2024"/>
    <n v="2265"/>
    <n v="0.58133086876155271"/>
  </r>
  <r>
    <s v="ORD-00539"/>
    <d v="2024-11-09T00:00:00"/>
    <s v="CUST-0127"/>
    <s v="PROD-007"/>
    <s v="R008"/>
    <n v="1"/>
    <n v="1430"/>
    <n v="19.600000000000001"/>
    <n v="1149.72"/>
    <s v="Completed"/>
    <x v="4"/>
    <s v="Electronics"/>
    <s v="North"/>
    <s v="Nov-24"/>
    <s v="Q4 2024"/>
    <n v="861"/>
    <n v="0.39790209790209791"/>
  </r>
  <r>
    <s v="ORD-00540"/>
    <d v="2024-05-09T00:00:00"/>
    <s v="CUST-0007"/>
    <s v="PROD-058"/>
    <s v="R027"/>
    <n v="9"/>
    <n v="2400"/>
    <n v="5"/>
    <n v="20520"/>
    <s v="Completed"/>
    <x v="4"/>
    <s v="Sports"/>
    <s v="West"/>
    <s v="May-24"/>
    <s v="Q2 2024"/>
    <n v="974"/>
    <n v="0.59416666666666662"/>
  </r>
  <r>
    <s v="ORD-00541"/>
    <d v="2024-07-20T00:00:00"/>
    <s v="CUST-0005"/>
    <s v="PROD-027"/>
    <s v="R001"/>
    <n v="1"/>
    <n v="3780"/>
    <n v="4.7"/>
    <n v="3602.34"/>
    <s v="Completed"/>
    <x v="1"/>
    <s v="Grocery"/>
    <s v="North"/>
    <s v="Jul-24"/>
    <s v="Q3 2024"/>
    <n v="2436"/>
    <n v="0.35555555555555557"/>
  </r>
  <r>
    <s v="ORD-00542"/>
    <d v="2024-10-27T00:00:00"/>
    <s v="CUST-0072"/>
    <s v="PROD-016"/>
    <s v="R019"/>
    <n v="2"/>
    <n v="620"/>
    <n v="8"/>
    <n v="1140.8"/>
    <s v="Completed"/>
    <x v="3"/>
    <s v="Apparel"/>
    <s v="East"/>
    <s v="Oct-24"/>
    <s v="Q4 2024"/>
    <n v="396"/>
    <n v="0.36129032258064514"/>
  </r>
  <r>
    <s v="ORD-00543"/>
    <d v="2024-03-28T00:00:00"/>
    <s v="CUST-0167"/>
    <s v="PROD-060"/>
    <s v="R007"/>
    <n v="3"/>
    <n v="190"/>
    <n v="17.899999999999999"/>
    <n v="467.97"/>
    <s v="Pending"/>
    <x v="2"/>
    <s v="Sports"/>
    <s v="North"/>
    <s v="Mar-24"/>
    <s v="Q1 2024"/>
    <n v="147"/>
    <n v="0.22631578947368422"/>
  </r>
  <r>
    <s v="ORD-00544"/>
    <d v="2024-02-10T00:00:00"/>
    <s v="CUST-0244"/>
    <s v="PROD-014"/>
    <s v="R019"/>
    <n v="2"/>
    <n v="3620"/>
    <n v="15.5"/>
    <n v="6117.8"/>
    <s v="Completed"/>
    <x v="4"/>
    <s v="Apparel"/>
    <s v="East"/>
    <s v="Feb-24"/>
    <s v="Q1 2024"/>
    <n v="2509"/>
    <n v="0.3069060773480663"/>
  </r>
  <r>
    <s v="ORD-00545"/>
    <d v="2024-11-14T00:00:00"/>
    <s v="CUST-0086"/>
    <s v="PROD-055"/>
    <s v="R018"/>
    <n v="5"/>
    <n v="2860"/>
    <n v="26.8"/>
    <n v="10467.6"/>
    <s v="Completed"/>
    <x v="5"/>
    <s v="Sports"/>
    <s v="East"/>
    <s v="Nov-24"/>
    <s v="Q4 2024"/>
    <n v="2028"/>
    <n v="0.29090909090909089"/>
  </r>
  <r>
    <s v="ORD-00546"/>
    <d v="2024-12-12T00:00:00"/>
    <s v="CUST-0091"/>
    <s v="PROD-058"/>
    <s v="R023"/>
    <n v="6"/>
    <n v="2400"/>
    <n v="19.2"/>
    <n v="11635.2"/>
    <s v="Cancelled"/>
    <x v="2"/>
    <s v="Sports"/>
    <s v="East"/>
    <s v="Dec-24"/>
    <s v="Q4 2024"/>
    <n v="974"/>
    <n v="0.59416666666666662"/>
  </r>
  <r>
    <s v="ORD-00547"/>
    <d v="2024-09-11T00:00:00"/>
    <s v="CUST-0169"/>
    <s v="PROD-034"/>
    <s v="R009"/>
    <n v="7"/>
    <n v="5080"/>
    <n v="16.600000000000001"/>
    <n v="29657.040000000001"/>
    <s v="Pending"/>
    <x v="4"/>
    <s v="Home"/>
    <s v="South"/>
    <s v="Sep-24"/>
    <s v="Q3 2024"/>
    <n v="2459"/>
    <n v="0.51594488188976373"/>
  </r>
  <r>
    <s v="ORD-00548"/>
    <d v="2024-05-24T00:00:00"/>
    <s v="CUST-0273"/>
    <s v="PROD-034"/>
    <s v="R015"/>
    <n v="10"/>
    <n v="5080"/>
    <n v="24.6"/>
    <n v="38303.199999999997"/>
    <s v="Completed"/>
    <x v="5"/>
    <s v="Home"/>
    <s v="South"/>
    <s v="May-24"/>
    <s v="Q2 2024"/>
    <n v="2459"/>
    <n v="0.51594488188976373"/>
  </r>
  <r>
    <s v="ORD-00549"/>
    <d v="2024-08-28T00:00:00"/>
    <s v="CUST-0233"/>
    <s v="PROD-057"/>
    <s v="R008"/>
    <n v="7"/>
    <n v="960"/>
    <n v="16.600000000000001"/>
    <n v="5604.48"/>
    <s v="Completed"/>
    <x v="3"/>
    <s v="Sports"/>
    <s v="North"/>
    <s v="Aug-24"/>
    <s v="Q3 2024"/>
    <n v="705"/>
    <n v="0.265625"/>
  </r>
  <r>
    <s v="ORD-00550"/>
    <d v="2024-10-03T00:00:00"/>
    <s v="CUST-0175"/>
    <s v="PROD-028"/>
    <s v="R028"/>
    <n v="3"/>
    <n v="3660"/>
    <n v="3.2"/>
    <n v="10628.64"/>
    <s v="Pending"/>
    <x v="2"/>
    <s v="Grocery"/>
    <s v="West"/>
    <s v="Oct-24"/>
    <s v="Q4 2024"/>
    <n v="2214"/>
    <n v="0.39508196721311473"/>
  </r>
  <r>
    <s v="ORD-00551"/>
    <d v="2024-10-07T00:00:00"/>
    <s v="CUST-0241"/>
    <s v="PROD-010"/>
    <s v="R009"/>
    <n v="6"/>
    <n v="2640"/>
    <n v="26.3"/>
    <n v="11674.08"/>
    <s v="Completed"/>
    <x v="0"/>
    <s v="Electronics"/>
    <s v="South"/>
    <s v="Oct-24"/>
    <s v="Q4 2024"/>
    <n v="1149"/>
    <n v="0.56477272727272732"/>
  </r>
  <r>
    <s v="ORD-00552"/>
    <d v="2024-09-27T00:00:00"/>
    <s v="CUST-0024"/>
    <s v="PROD-009"/>
    <s v="R009"/>
    <n v="6"/>
    <n v="1220"/>
    <n v="22.3"/>
    <n v="5687.64"/>
    <s v="Cancelled"/>
    <x v="1"/>
    <s v="Electronics"/>
    <s v="South"/>
    <s v="Sep-24"/>
    <s v="Q3 2024"/>
    <n v="517"/>
    <n v="0.57622950819672136"/>
  </r>
  <r>
    <s v="ORD-00553"/>
    <d v="2024-02-23T00:00:00"/>
    <s v="CUST-0252"/>
    <s v="PROD-005"/>
    <s v="R013"/>
    <n v="1"/>
    <n v="300"/>
    <n v="0.7"/>
    <n v="297.89999999999998"/>
    <s v="Completed"/>
    <x v="4"/>
    <s v="Electronics"/>
    <s v="South"/>
    <s v="Feb-24"/>
    <s v="Q1 2024"/>
    <n v="128"/>
    <n v="0.57333333333333336"/>
  </r>
  <r>
    <s v="ORD-00554"/>
    <d v="2024-03-19T00:00:00"/>
    <s v="CUST-0245"/>
    <s v="PROD-054"/>
    <s v="R020"/>
    <n v="2"/>
    <n v="1010"/>
    <n v="28"/>
    <n v="1454.4"/>
    <s v="Completed"/>
    <x v="5"/>
    <s v="Sports"/>
    <s v="East"/>
    <s v="Mar-24"/>
    <s v="Q1 2024"/>
    <n v="516"/>
    <n v="0.4891089108910891"/>
  </r>
  <r>
    <s v="ORD-00555"/>
    <d v="2024-04-25T00:00:00"/>
    <s v="CUST-0046"/>
    <s v="PROD-002"/>
    <s v="R011"/>
    <n v="5"/>
    <n v="2600"/>
    <n v="0.8"/>
    <n v="12896"/>
    <s v="Cancelled"/>
    <x v="2"/>
    <s v="Electronics"/>
    <s v="South"/>
    <s v="Apr-24"/>
    <s v="Q2 2024"/>
    <n v="1052"/>
    <n v="0.5953846153846154"/>
  </r>
  <r>
    <s v="ORD-00556"/>
    <d v="2024-02-15T00:00:00"/>
    <s v="CUST-0050"/>
    <s v="PROD-056"/>
    <s v="R026"/>
    <n v="3"/>
    <n v="6940"/>
    <n v="10.7"/>
    <n v="18592.259999999998"/>
    <s v="Cancelled"/>
    <x v="3"/>
    <s v="Sports"/>
    <s v="West"/>
    <s v="Feb-24"/>
    <s v="Q1 2024"/>
    <n v="2827"/>
    <n v="0.5926512968299712"/>
  </r>
  <r>
    <s v="ORD-00557"/>
    <d v="2024-10-06T00:00:00"/>
    <s v="CUST-0227"/>
    <s v="PROD-032"/>
    <s v="R011"/>
    <n v="1"/>
    <n v="370"/>
    <n v="10.3"/>
    <n v="331.89"/>
    <s v="Refunded"/>
    <x v="4"/>
    <s v="Home"/>
    <s v="South"/>
    <s v="Oct-24"/>
    <s v="Q4 2024"/>
    <n v="288"/>
    <n v="0.22162162162162163"/>
  </r>
  <r>
    <s v="ORD-00558"/>
    <d v="2024-03-06T00:00:00"/>
    <s v="CUST-0218"/>
    <s v="PROD-027"/>
    <s v="R029"/>
    <n v="2"/>
    <n v="3780"/>
    <n v="29.4"/>
    <n v="5337.36"/>
    <s v="Completed"/>
    <x v="3"/>
    <s v="Grocery"/>
    <s v="West"/>
    <s v="Mar-24"/>
    <s v="Q1 2024"/>
    <n v="2436"/>
    <n v="0.35555555555555557"/>
  </r>
  <r>
    <s v="ORD-00559"/>
    <d v="2024-05-20T00:00:00"/>
    <s v="CUST-0087"/>
    <s v="PROD-030"/>
    <s v="R022"/>
    <n v="5"/>
    <n v="970"/>
    <n v="14.6"/>
    <n v="4141.8999999999996"/>
    <s v="Completed"/>
    <x v="0"/>
    <s v="Grocery"/>
    <s v="East"/>
    <s v="May-24"/>
    <s v="Q2 2024"/>
    <n v="434"/>
    <n v="0.5525773195876289"/>
  </r>
  <r>
    <s v="ORD-00560"/>
    <d v="2024-11-08T00:00:00"/>
    <s v="CUST-0209"/>
    <s v="PROD-022"/>
    <s v="R002"/>
    <n v="3"/>
    <n v="2270"/>
    <n v="6.5"/>
    <n v="6367.35"/>
    <s v="Completed"/>
    <x v="0"/>
    <s v="Grocery"/>
    <s v="North"/>
    <s v="Nov-24"/>
    <s v="Q4 2024"/>
    <n v="1412"/>
    <n v="0.37797356828193834"/>
  </r>
  <r>
    <s v="ORD-00561"/>
    <d v="2024-06-24T00:00:00"/>
    <s v="CUST-0212"/>
    <s v="PROD-041"/>
    <s v="R029"/>
    <n v="10"/>
    <n v="1540"/>
    <n v="16.5"/>
    <n v="12859"/>
    <s v="Completed"/>
    <x v="1"/>
    <s v="Beauty"/>
    <s v="West"/>
    <s v="Jun-24"/>
    <s v="Q2 2024"/>
    <n v="647"/>
    <n v="0.57987012987012987"/>
  </r>
  <r>
    <s v="ORD-00562"/>
    <d v="2024-12-23T00:00:00"/>
    <s v="CUST-0180"/>
    <s v="PROD-021"/>
    <s v="R017"/>
    <n v="4"/>
    <n v="2760"/>
    <n v="19.8"/>
    <n v="8854.08"/>
    <s v="Completed"/>
    <x v="1"/>
    <s v="Grocery"/>
    <s v="East"/>
    <s v="Dec-24"/>
    <s v="Q4 2024"/>
    <n v="1435"/>
    <n v="0.48007246376811596"/>
  </r>
  <r>
    <s v="ORD-00563"/>
    <d v="2024-02-10T00:00:00"/>
    <s v="CUST-0025"/>
    <s v="PROD-024"/>
    <s v="R030"/>
    <n v="3"/>
    <n v="2270"/>
    <n v="29.5"/>
    <n v="4801.05"/>
    <s v="Refunded"/>
    <x v="4"/>
    <s v="Grocery"/>
    <s v="West"/>
    <s v="Feb-24"/>
    <s v="Q1 2024"/>
    <n v="1203"/>
    <n v="0.47004405286343615"/>
  </r>
  <r>
    <s v="ORD-00564"/>
    <d v="2024-05-06T00:00:00"/>
    <s v="CUST-0271"/>
    <s v="PROD-045"/>
    <s v="R015"/>
    <n v="8"/>
    <n v="3020"/>
    <n v="1.2"/>
    <n v="23870.080000000002"/>
    <s v="Completed"/>
    <x v="4"/>
    <s v="Beauty"/>
    <s v="South"/>
    <s v="May-24"/>
    <s v="Q2 2024"/>
    <n v="1626"/>
    <n v="0.46158940397350995"/>
  </r>
  <r>
    <s v="ORD-00565"/>
    <d v="2024-07-17T00:00:00"/>
    <s v="CUST-0026"/>
    <s v="PROD-023"/>
    <s v="R018"/>
    <n v="6"/>
    <n v="2380"/>
    <n v="20.399999999999999"/>
    <n v="11366.88"/>
    <s v="Completed"/>
    <x v="0"/>
    <s v="Grocery"/>
    <s v="East"/>
    <s v="Jul-24"/>
    <s v="Q3 2024"/>
    <n v="1182"/>
    <n v="0.50336134453781511"/>
  </r>
  <r>
    <s v="ORD-00566"/>
    <d v="2024-06-27T00:00:00"/>
    <s v="CUST-0058"/>
    <s v="PROD-056"/>
    <s v="R028"/>
    <n v="1"/>
    <n v="6940"/>
    <n v="15"/>
    <n v="5899"/>
    <s v="Cancelled"/>
    <x v="4"/>
    <s v="Sports"/>
    <s v="West"/>
    <s v="Jun-24"/>
    <s v="Q2 2024"/>
    <n v="2827"/>
    <n v="0.5926512968299712"/>
  </r>
  <r>
    <s v="ORD-00567"/>
    <d v="2024-12-28T00:00:00"/>
    <s v="CUST-0033"/>
    <s v="PROD-008"/>
    <s v="R010"/>
    <n v="1"/>
    <n v="2660"/>
    <n v="11.6"/>
    <n v="2351.44"/>
    <s v="Completed"/>
    <x v="2"/>
    <s v="Electronics"/>
    <s v="South"/>
    <s v="Dec-24"/>
    <s v="Q4 2024"/>
    <n v="1259"/>
    <n v="0.52669172932330832"/>
  </r>
  <r>
    <s v="ORD-00568"/>
    <d v="2024-09-13T00:00:00"/>
    <s v="CUST-0057"/>
    <s v="PROD-030"/>
    <s v="R013"/>
    <n v="4"/>
    <n v="970"/>
    <n v="11.6"/>
    <n v="3429.92"/>
    <s v="Completed"/>
    <x v="0"/>
    <s v="Grocery"/>
    <s v="South"/>
    <s v="Sep-24"/>
    <s v="Q3 2024"/>
    <n v="434"/>
    <n v="0.5525773195876289"/>
  </r>
  <r>
    <s v="ORD-00569"/>
    <d v="2024-12-06T00:00:00"/>
    <s v="CUST-0231"/>
    <s v="PROD-022"/>
    <s v="R002"/>
    <n v="7"/>
    <n v="2270"/>
    <n v="27.9"/>
    <n v="11456.69"/>
    <s v="Completed"/>
    <x v="1"/>
    <s v="Grocery"/>
    <s v="North"/>
    <s v="Dec-24"/>
    <s v="Q4 2024"/>
    <n v="1412"/>
    <n v="0.37797356828193834"/>
  </r>
  <r>
    <s v="ORD-00570"/>
    <d v="2024-01-13T00:00:00"/>
    <s v="CUST-0031"/>
    <s v="PROD-054"/>
    <s v="R016"/>
    <n v="8"/>
    <n v="1010"/>
    <n v="13.7"/>
    <n v="6973.04"/>
    <s v="Cancelled"/>
    <x v="5"/>
    <s v="Sports"/>
    <s v="South"/>
    <s v="Jan-24"/>
    <s v="Q1 2024"/>
    <n v="516"/>
    <n v="0.4891089108910891"/>
  </r>
  <r>
    <s v="ORD-00571"/>
    <d v="2024-02-08T00:00:00"/>
    <s v="CUST-0228"/>
    <s v="PROD-023"/>
    <s v="R001"/>
    <n v="8"/>
    <n v="2380"/>
    <n v="15.3"/>
    <n v="16126.88"/>
    <s v="Cancelled"/>
    <x v="0"/>
    <s v="Grocery"/>
    <s v="North"/>
    <s v="Feb-24"/>
    <s v="Q1 2024"/>
    <n v="1182"/>
    <n v="0.50336134453781511"/>
  </r>
  <r>
    <s v="ORD-00572"/>
    <d v="2024-12-07T00:00:00"/>
    <s v="CUST-0127"/>
    <s v="PROD-053"/>
    <s v="R018"/>
    <n v="10"/>
    <n v="470"/>
    <n v="2.1"/>
    <n v="4601.3"/>
    <s v="Completed"/>
    <x v="4"/>
    <s v="Sports"/>
    <s v="East"/>
    <s v="Dec-24"/>
    <s v="Q4 2024"/>
    <n v="302"/>
    <n v="0.35744680851063831"/>
  </r>
  <r>
    <s v="ORD-00573"/>
    <d v="2024-07-07T00:00:00"/>
    <s v="CUST-0117"/>
    <s v="PROD-048"/>
    <s v="R025"/>
    <n v="5"/>
    <n v="5100"/>
    <n v="9.6999999999999993"/>
    <n v="23026.5"/>
    <s v="Completed"/>
    <x v="2"/>
    <s v="Beauty"/>
    <s v="West"/>
    <s v="Jul-24"/>
    <s v="Q3 2024"/>
    <n v="2237"/>
    <n v="0.56137254901960787"/>
  </r>
  <r>
    <s v="ORD-00574"/>
    <d v="2024-04-20T00:00:00"/>
    <s v="CUST-0159"/>
    <s v="PROD-049"/>
    <s v="R026"/>
    <n v="9"/>
    <n v="960"/>
    <n v="17.7"/>
    <n v="7110.72"/>
    <s v="Completed"/>
    <x v="5"/>
    <s v="Beauty"/>
    <s v="West"/>
    <s v="Apr-24"/>
    <s v="Q2 2024"/>
    <n v="675"/>
    <n v="0.296875"/>
  </r>
  <r>
    <s v="ORD-00575"/>
    <d v="2024-07-05T00:00:00"/>
    <s v="CUST-0064"/>
    <s v="PROD-026"/>
    <s v="R007"/>
    <n v="2"/>
    <n v="4070"/>
    <n v="2.1"/>
    <n v="7969.06"/>
    <s v="Completed"/>
    <x v="5"/>
    <s v="Grocery"/>
    <s v="North"/>
    <s v="Jul-24"/>
    <s v="Q3 2024"/>
    <n v="2027"/>
    <n v="0.50196560196560192"/>
  </r>
  <r>
    <s v="ORD-00576"/>
    <d v="2024-03-07T00:00:00"/>
    <s v="CUST-0272"/>
    <s v="PROD-031"/>
    <s v="R021"/>
    <n v="5"/>
    <n v="3730"/>
    <n v="16.5"/>
    <n v="15572.75"/>
    <s v="Completed"/>
    <x v="3"/>
    <s v="Home"/>
    <s v="East"/>
    <s v="Mar-24"/>
    <s v="Q1 2024"/>
    <n v="2135"/>
    <n v="0.42761394101876676"/>
  </r>
  <r>
    <s v="ORD-00577"/>
    <d v="2024-10-24T00:00:00"/>
    <s v="CUST-0071"/>
    <s v="PROD-055"/>
    <s v="R022"/>
    <n v="1"/>
    <n v="2860"/>
    <n v="10.4"/>
    <n v="2562.56"/>
    <s v="Cancelled"/>
    <x v="2"/>
    <s v="Sports"/>
    <s v="East"/>
    <s v="Oct-24"/>
    <s v="Q4 2024"/>
    <n v="2028"/>
    <n v="0.29090909090909089"/>
  </r>
  <r>
    <s v="ORD-00578"/>
    <d v="2024-08-03T00:00:00"/>
    <s v="CUST-0045"/>
    <s v="PROD-046"/>
    <s v="R018"/>
    <n v="4"/>
    <n v="4880"/>
    <n v="27.5"/>
    <n v="14152"/>
    <s v="Pending"/>
    <x v="1"/>
    <s v="Beauty"/>
    <s v="East"/>
    <s v="Aug-24"/>
    <s v="Q3 2024"/>
    <n v="2768"/>
    <n v="0.43278688524590164"/>
  </r>
  <r>
    <s v="ORD-00579"/>
    <d v="2024-06-27T00:00:00"/>
    <s v="CUST-0148"/>
    <s v="PROD-022"/>
    <s v="R022"/>
    <n v="3"/>
    <n v="2270"/>
    <n v="6.7"/>
    <n v="6353.73"/>
    <s v="Completed"/>
    <x v="1"/>
    <s v="Grocery"/>
    <s v="East"/>
    <s v="Jun-24"/>
    <s v="Q2 2024"/>
    <n v="1412"/>
    <n v="0.37797356828193834"/>
  </r>
  <r>
    <s v="ORD-00580"/>
    <d v="2024-10-24T00:00:00"/>
    <s v="CUST-0097"/>
    <s v="PROD-025"/>
    <s v="R007"/>
    <n v="10"/>
    <n v="4060"/>
    <n v="3.6"/>
    <n v="39138.400000000001"/>
    <s v="Pending"/>
    <x v="3"/>
    <s v="Grocery"/>
    <s v="North"/>
    <s v="Oct-24"/>
    <s v="Q4 2024"/>
    <n v="2911"/>
    <n v="0.28300492610837441"/>
  </r>
  <r>
    <s v="ORD-00581"/>
    <d v="2024-05-21T00:00:00"/>
    <s v="CUST-0151"/>
    <s v="PROD-010"/>
    <s v="R004"/>
    <n v="8"/>
    <n v="2640"/>
    <n v="28.8"/>
    <n v="15037.44"/>
    <s v="Completed"/>
    <x v="3"/>
    <s v="Electronics"/>
    <s v="North"/>
    <s v="May-24"/>
    <s v="Q2 2024"/>
    <n v="1149"/>
    <n v="0.56477272727272732"/>
  </r>
  <r>
    <s v="ORD-00582"/>
    <d v="2024-07-04T00:00:00"/>
    <s v="CUST-0048"/>
    <s v="PROD-031"/>
    <s v="R012"/>
    <n v="6"/>
    <n v="3730"/>
    <n v="21.9"/>
    <n v="17478.78"/>
    <s v="Completed"/>
    <x v="2"/>
    <s v="Home"/>
    <s v="South"/>
    <s v="Jul-24"/>
    <s v="Q3 2024"/>
    <n v="2135"/>
    <n v="0.42761394101876676"/>
  </r>
  <r>
    <s v="ORD-00583"/>
    <d v="2024-05-31T00:00:00"/>
    <s v="CUST-0048"/>
    <s v="PROD-001"/>
    <s v="R006"/>
    <n v="9"/>
    <n v="5330"/>
    <n v="29.4"/>
    <n v="33866.82"/>
    <s v="Cancelled"/>
    <x v="2"/>
    <s v="Electronics"/>
    <s v="North"/>
    <s v="May-24"/>
    <s v="Q2 2024"/>
    <n v="2405"/>
    <n v="0.54878048780487809"/>
  </r>
  <r>
    <s v="ORD-00584"/>
    <d v="2024-01-31T00:00:00"/>
    <s v="CUST-0156"/>
    <s v="PROD-011"/>
    <s v="R027"/>
    <n v="1"/>
    <n v="3450"/>
    <n v="23.3"/>
    <n v="2646.15"/>
    <s v="Completed"/>
    <x v="3"/>
    <s v="Apparel"/>
    <s v="West"/>
    <s v="Jan-24"/>
    <s v="Q1 2024"/>
    <n v="1748"/>
    <n v="0.49333333333333335"/>
  </r>
  <r>
    <s v="ORD-00585"/>
    <d v="2024-09-09T00:00:00"/>
    <s v="CUST-0022"/>
    <s v="PROD-050"/>
    <s v="R017"/>
    <n v="3"/>
    <n v="6080"/>
    <n v="14.5"/>
    <n v="15595.2"/>
    <s v="Completed"/>
    <x v="4"/>
    <s v="Beauty"/>
    <s v="East"/>
    <s v="Sep-24"/>
    <s v="Q3 2024"/>
    <n v="2617"/>
    <n v="0.56957236842105263"/>
  </r>
  <r>
    <s v="ORD-00586"/>
    <d v="2024-11-13T00:00:00"/>
    <s v="CUST-0193"/>
    <s v="PROD-031"/>
    <s v="R002"/>
    <n v="4"/>
    <n v="3730"/>
    <n v="3.4"/>
    <n v="14412.72"/>
    <s v="Cancelled"/>
    <x v="4"/>
    <s v="Home"/>
    <s v="North"/>
    <s v="Nov-24"/>
    <s v="Q4 2024"/>
    <n v="2135"/>
    <n v="0.42761394101876676"/>
  </r>
  <r>
    <s v="ORD-00587"/>
    <d v="2024-07-18T00:00:00"/>
    <s v="CUST-0189"/>
    <s v="PROD-008"/>
    <s v="R022"/>
    <n v="10"/>
    <n v="2660"/>
    <n v="2.1"/>
    <n v="26041.4"/>
    <s v="Completed"/>
    <x v="1"/>
    <s v="Electronics"/>
    <s v="East"/>
    <s v="Jul-24"/>
    <s v="Q3 2024"/>
    <n v="1259"/>
    <n v="0.52669172932330832"/>
  </r>
  <r>
    <s v="ORD-00588"/>
    <d v="2024-03-22T00:00:00"/>
    <s v="CUST-0101"/>
    <s v="PROD-029"/>
    <s v="R021"/>
    <n v="7"/>
    <n v="2210"/>
    <n v="17.100000000000001"/>
    <n v="12824.63"/>
    <s v="Completed"/>
    <x v="5"/>
    <s v="Grocery"/>
    <s v="East"/>
    <s v="Mar-24"/>
    <s v="Q1 2024"/>
    <n v="1010"/>
    <n v="0.54298642533936647"/>
  </r>
  <r>
    <s v="ORD-00589"/>
    <d v="2024-11-11T00:00:00"/>
    <s v="CUST-0006"/>
    <s v="PROD-059"/>
    <s v="R013"/>
    <n v="6"/>
    <n v="3780"/>
    <n v="12.7"/>
    <n v="19799.64"/>
    <s v="Completed"/>
    <x v="0"/>
    <s v="Sports"/>
    <s v="South"/>
    <s v="Nov-24"/>
    <s v="Q4 2024"/>
    <n v="1860"/>
    <n v="0.50793650793650791"/>
  </r>
  <r>
    <s v="ORD-00590"/>
    <d v="2024-04-30T00:00:00"/>
    <s v="CUST-0235"/>
    <s v="PROD-038"/>
    <s v="R029"/>
    <n v="4"/>
    <n v="5490"/>
    <n v="26.9"/>
    <n v="16052.76"/>
    <s v="Completed"/>
    <x v="1"/>
    <s v="Home"/>
    <s v="West"/>
    <s v="Apr-24"/>
    <s v="Q2 2024"/>
    <n v="2549"/>
    <n v="0.53570127504553733"/>
  </r>
  <r>
    <s v="ORD-00591"/>
    <d v="2024-02-29T00:00:00"/>
    <s v="CUST-0045"/>
    <s v="PROD-008"/>
    <s v="R013"/>
    <n v="9"/>
    <n v="2660"/>
    <n v="21.9"/>
    <n v="18697.14"/>
    <s v="Completed"/>
    <x v="1"/>
    <s v="Electronics"/>
    <s v="South"/>
    <s v="Feb-24"/>
    <s v="Q1 2024"/>
    <n v="1259"/>
    <n v="0.52669172932330832"/>
  </r>
  <r>
    <s v="ORD-00592"/>
    <d v="2024-10-07T00:00:00"/>
    <s v="CUST-0028"/>
    <s v="PROD-056"/>
    <s v="R028"/>
    <n v="9"/>
    <n v="6940"/>
    <n v="8"/>
    <n v="57463.199999999997"/>
    <s v="Completed"/>
    <x v="4"/>
    <s v="Sports"/>
    <s v="West"/>
    <s v="Oct-24"/>
    <s v="Q4 2024"/>
    <n v="2827"/>
    <n v="0.5926512968299712"/>
  </r>
  <r>
    <s v="ORD-00593"/>
    <d v="2024-04-20T00:00:00"/>
    <s v="CUST-0241"/>
    <s v="PROD-004"/>
    <s v="R006"/>
    <n v="1"/>
    <n v="3870"/>
    <n v="22.6"/>
    <n v="2995.38"/>
    <s v="Completed"/>
    <x v="0"/>
    <s v="Electronics"/>
    <s v="North"/>
    <s v="Apr-24"/>
    <s v="Q2 2024"/>
    <n v="1559"/>
    <n v="0.59715762273901807"/>
  </r>
  <r>
    <s v="ORD-00594"/>
    <d v="2024-07-30T00:00:00"/>
    <s v="CUST-0278"/>
    <s v="PROD-035"/>
    <s v="R008"/>
    <n v="3"/>
    <n v="1090"/>
    <n v="28.1"/>
    <n v="2351.13"/>
    <s v="Completed"/>
    <x v="5"/>
    <s v="Home"/>
    <s v="North"/>
    <s v="Jul-24"/>
    <s v="Q3 2024"/>
    <n v="464"/>
    <n v="0.57431192660550456"/>
  </r>
  <r>
    <s v="ORD-00595"/>
    <d v="2024-08-20T00:00:00"/>
    <s v="CUST-0009"/>
    <s v="PROD-002"/>
    <s v="R001"/>
    <n v="2"/>
    <n v="2600"/>
    <n v="5.6"/>
    <n v="4908.8"/>
    <s v="Completed"/>
    <x v="3"/>
    <s v="Electronics"/>
    <s v="North"/>
    <s v="Aug-24"/>
    <s v="Q3 2024"/>
    <n v="1052"/>
    <n v="0.5953846153846154"/>
  </r>
  <r>
    <s v="ORD-00596"/>
    <d v="2024-05-13T00:00:00"/>
    <s v="CUST-0217"/>
    <s v="PROD-057"/>
    <s v="R020"/>
    <n v="4"/>
    <n v="960"/>
    <n v="21.7"/>
    <n v="3006.72"/>
    <s v="Completed"/>
    <x v="0"/>
    <s v="Sports"/>
    <s v="East"/>
    <s v="May-24"/>
    <s v="Q2 2024"/>
    <n v="705"/>
    <n v="0.265625"/>
  </r>
  <r>
    <s v="ORD-00597"/>
    <d v="2024-08-29T00:00:00"/>
    <s v="CUST-0289"/>
    <s v="PROD-032"/>
    <s v="R026"/>
    <n v="6"/>
    <n v="370"/>
    <n v="22.5"/>
    <n v="1720.5"/>
    <s v="Completed"/>
    <x v="3"/>
    <s v="Home"/>
    <s v="West"/>
    <s v="Aug-24"/>
    <s v="Q3 2024"/>
    <n v="288"/>
    <n v="0.22162162162162163"/>
  </r>
  <r>
    <s v="ORD-00598"/>
    <d v="2024-12-23T00:00:00"/>
    <s v="CUST-0176"/>
    <s v="PROD-034"/>
    <s v="R006"/>
    <n v="5"/>
    <n v="5080"/>
    <n v="23.8"/>
    <n v="19354.8"/>
    <s v="Completed"/>
    <x v="4"/>
    <s v="Home"/>
    <s v="North"/>
    <s v="Dec-24"/>
    <s v="Q4 2024"/>
    <n v="2459"/>
    <n v="0.51594488188976373"/>
  </r>
  <r>
    <s v="ORD-00599"/>
    <d v="2024-03-24T00:00:00"/>
    <s v="CUST-0026"/>
    <s v="PROD-041"/>
    <s v="R003"/>
    <n v="5"/>
    <n v="1540"/>
    <n v="6.1"/>
    <n v="7230.3"/>
    <s v="Completed"/>
    <x v="0"/>
    <s v="Beauty"/>
    <s v="North"/>
    <s v="Mar-24"/>
    <s v="Q1 2024"/>
    <n v="647"/>
    <n v="0.57987012987012987"/>
  </r>
  <r>
    <s v="ORD-00600"/>
    <d v="2024-02-20T00:00:00"/>
    <s v="CUST-0213"/>
    <s v="PROD-024"/>
    <s v="R015"/>
    <n v="7"/>
    <n v="2270"/>
    <n v="0.4"/>
    <n v="15826.44"/>
    <s v="Completed"/>
    <x v="3"/>
    <s v="Grocery"/>
    <s v="South"/>
    <s v="Feb-24"/>
    <s v="Q1 2024"/>
    <n v="1203"/>
    <n v="0.47004405286343615"/>
  </r>
  <r>
    <s v="ORD-00601"/>
    <d v="2024-05-29T00:00:00"/>
    <s v="CUST-0190"/>
    <s v="PROD-057"/>
    <s v="R015"/>
    <n v="2"/>
    <n v="960"/>
    <n v="3.7"/>
    <n v="1848.96"/>
    <s v="Completed"/>
    <x v="5"/>
    <s v="Sports"/>
    <s v="South"/>
    <s v="May-24"/>
    <s v="Q2 2024"/>
    <n v="705"/>
    <n v="0.265625"/>
  </r>
  <r>
    <s v="ORD-00602"/>
    <d v="2024-04-28T00:00:00"/>
    <s v="CUST-0150"/>
    <s v="PROD-007"/>
    <s v="R027"/>
    <n v="6"/>
    <n v="1430"/>
    <n v="2"/>
    <n v="8408.4"/>
    <s v="Pending"/>
    <x v="0"/>
    <s v="Electronics"/>
    <s v="West"/>
    <s v="Apr-24"/>
    <s v="Q2 2024"/>
    <n v="861"/>
    <n v="0.39790209790209791"/>
  </r>
  <r>
    <s v="ORD-00603"/>
    <d v="2024-10-23T00:00:00"/>
    <s v="CUST-0129"/>
    <s v="PROD-047"/>
    <s v="R006"/>
    <n v="10"/>
    <n v="3450"/>
    <n v="19.100000000000001"/>
    <n v="27910.5"/>
    <s v="Completed"/>
    <x v="5"/>
    <s v="Beauty"/>
    <s v="North"/>
    <s v="Oct-24"/>
    <s v="Q4 2024"/>
    <n v="2420"/>
    <n v="0.29855072463768118"/>
  </r>
  <r>
    <s v="ORD-00604"/>
    <d v="2024-04-30T00:00:00"/>
    <s v="CUST-0080"/>
    <s v="PROD-009"/>
    <s v="R026"/>
    <n v="8"/>
    <n v="1220"/>
    <n v="16.899999999999999"/>
    <n v="8110.56"/>
    <s v="Completed"/>
    <x v="0"/>
    <s v="Electronics"/>
    <s v="West"/>
    <s v="Apr-24"/>
    <s v="Q2 2024"/>
    <n v="517"/>
    <n v="0.57622950819672136"/>
  </r>
  <r>
    <s v="ORD-00605"/>
    <d v="2024-05-27T00:00:00"/>
    <s v="CUST-0034"/>
    <s v="PROD-021"/>
    <s v="R020"/>
    <n v="9"/>
    <n v="2760"/>
    <n v="16.899999999999999"/>
    <n v="20642.04"/>
    <s v="Completed"/>
    <x v="2"/>
    <s v="Grocery"/>
    <s v="East"/>
    <s v="May-24"/>
    <s v="Q2 2024"/>
    <n v="1435"/>
    <n v="0.48007246376811596"/>
  </r>
  <r>
    <s v="ORD-00606"/>
    <d v="2024-10-28T00:00:00"/>
    <s v="CUST-0179"/>
    <s v="PROD-043"/>
    <s v="R017"/>
    <n v="6"/>
    <n v="3350"/>
    <n v="11.8"/>
    <n v="17728.2"/>
    <s v="Pending"/>
    <x v="3"/>
    <s v="Beauty"/>
    <s v="East"/>
    <s v="Oct-24"/>
    <s v="Q4 2024"/>
    <n v="1728"/>
    <n v="0.48417910447761192"/>
  </r>
  <r>
    <s v="ORD-00607"/>
    <d v="2024-10-05T00:00:00"/>
    <s v="CUST-0176"/>
    <s v="PROD-048"/>
    <s v="R013"/>
    <n v="6"/>
    <n v="5100"/>
    <n v="13.2"/>
    <n v="26560.799999999999"/>
    <s v="Completed"/>
    <x v="4"/>
    <s v="Beauty"/>
    <s v="South"/>
    <s v="Oct-24"/>
    <s v="Q4 2024"/>
    <n v="2237"/>
    <n v="0.56137254901960787"/>
  </r>
  <r>
    <s v="ORD-00608"/>
    <d v="2024-07-01T00:00:00"/>
    <s v="CUST-0144"/>
    <s v="PROD-010"/>
    <s v="R027"/>
    <n v="6"/>
    <n v="2640"/>
    <n v="26.2"/>
    <n v="11689.92"/>
    <s v="Completed"/>
    <x v="1"/>
    <s v="Electronics"/>
    <s v="West"/>
    <s v="Jul-24"/>
    <s v="Q3 2024"/>
    <n v="1149"/>
    <n v="0.56477272727272732"/>
  </r>
  <r>
    <s v="ORD-00609"/>
    <d v="2024-08-20T00:00:00"/>
    <s v="CUST-0218"/>
    <s v="PROD-028"/>
    <s v="R016"/>
    <n v="1"/>
    <n v="3660"/>
    <n v="19.7"/>
    <n v="2938.98"/>
    <s v="Completed"/>
    <x v="3"/>
    <s v="Grocery"/>
    <s v="South"/>
    <s v="Aug-24"/>
    <s v="Q3 2024"/>
    <n v="2214"/>
    <n v="0.39508196721311473"/>
  </r>
  <r>
    <s v="ORD-00610"/>
    <d v="2024-06-25T00:00:00"/>
    <s v="CUST-0249"/>
    <s v="PROD-032"/>
    <s v="R027"/>
    <n v="5"/>
    <n v="370"/>
    <n v="21.7"/>
    <n v="1448.55"/>
    <s v="Completed"/>
    <x v="3"/>
    <s v="Home"/>
    <s v="West"/>
    <s v="Jun-24"/>
    <s v="Q2 2024"/>
    <n v="288"/>
    <n v="0.22162162162162163"/>
  </r>
  <r>
    <s v="ORD-00611"/>
    <d v="2024-02-14T00:00:00"/>
    <s v="CUST-0092"/>
    <s v="PROD-016"/>
    <s v="R025"/>
    <n v="5"/>
    <n v="620"/>
    <n v="10.199999999999999"/>
    <n v="2783.8"/>
    <s v="Completed"/>
    <x v="4"/>
    <s v="Apparel"/>
    <s v="West"/>
    <s v="Feb-24"/>
    <s v="Q1 2024"/>
    <n v="396"/>
    <n v="0.36129032258064514"/>
  </r>
  <r>
    <s v="ORD-00612"/>
    <d v="2024-04-10T00:00:00"/>
    <s v="CUST-0245"/>
    <s v="PROD-053"/>
    <s v="R018"/>
    <n v="8"/>
    <n v="470"/>
    <n v="2.4"/>
    <n v="3669.76"/>
    <s v="Completed"/>
    <x v="5"/>
    <s v="Sports"/>
    <s v="East"/>
    <s v="Apr-24"/>
    <s v="Q2 2024"/>
    <n v="302"/>
    <n v="0.35744680851063831"/>
  </r>
  <r>
    <s v="ORD-00613"/>
    <d v="2024-11-14T00:00:00"/>
    <s v="CUST-0134"/>
    <s v="PROD-042"/>
    <s v="R005"/>
    <n v="3"/>
    <n v="2290"/>
    <n v="20.8"/>
    <n v="5441.04"/>
    <s v="Completed"/>
    <x v="2"/>
    <s v="Beauty"/>
    <s v="North"/>
    <s v="Nov-24"/>
    <s v="Q4 2024"/>
    <n v="1219"/>
    <n v="0.46768558951965067"/>
  </r>
  <r>
    <s v="ORD-00614"/>
    <d v="2024-01-06T00:00:00"/>
    <s v="CUST-0063"/>
    <s v="PROD-057"/>
    <s v="R024"/>
    <n v="4"/>
    <n v="960"/>
    <n v="28.8"/>
    <n v="2734.08"/>
    <s v="Pending"/>
    <x v="3"/>
    <s v="Sports"/>
    <s v="West"/>
    <s v="Jan-24"/>
    <s v="Q1 2024"/>
    <n v="705"/>
    <n v="0.265625"/>
  </r>
  <r>
    <s v="ORD-00615"/>
    <d v="2024-09-23T00:00:00"/>
    <s v="CUST-0172"/>
    <s v="PROD-028"/>
    <s v="R010"/>
    <n v="5"/>
    <n v="3660"/>
    <n v="11.9"/>
    <n v="16122.3"/>
    <s v="Pending"/>
    <x v="0"/>
    <s v="Grocery"/>
    <s v="South"/>
    <s v="Sep-24"/>
    <s v="Q3 2024"/>
    <n v="2214"/>
    <n v="0.39508196721311473"/>
  </r>
  <r>
    <s v="ORD-00616"/>
    <d v="2024-07-14T00:00:00"/>
    <s v="CUST-0139"/>
    <s v="PROD-003"/>
    <s v="R019"/>
    <n v="5"/>
    <n v="3570"/>
    <n v="12.4"/>
    <n v="15636.6"/>
    <s v="Completed"/>
    <x v="5"/>
    <s v="Electronics"/>
    <s v="East"/>
    <s v="Jul-24"/>
    <s v="Q3 2024"/>
    <n v="1665"/>
    <n v="0.53361344537815125"/>
  </r>
  <r>
    <s v="ORD-00617"/>
    <d v="2024-01-16T00:00:00"/>
    <s v="CUST-0275"/>
    <s v="PROD-033"/>
    <s v="R017"/>
    <n v="9"/>
    <n v="2030"/>
    <n v="23.4"/>
    <n v="13994.82"/>
    <s v="Completed"/>
    <x v="3"/>
    <s v="Home"/>
    <s v="East"/>
    <s v="Jan-24"/>
    <s v="Q1 2024"/>
    <n v="1143"/>
    <n v="0.43694581280788175"/>
  </r>
  <r>
    <s v="ORD-00618"/>
    <d v="2024-02-06T00:00:00"/>
    <s v="CUST-0006"/>
    <s v="PROD-015"/>
    <s v="R024"/>
    <n v="7"/>
    <n v="2720"/>
    <n v="11.2"/>
    <n v="16907.52"/>
    <s v="Refunded"/>
    <x v="0"/>
    <s v="Apparel"/>
    <s v="West"/>
    <s v="Feb-24"/>
    <s v="Q1 2024"/>
    <n v="1962"/>
    <n v="0.2786764705882353"/>
  </r>
  <r>
    <s v="ORD-00619"/>
    <d v="2024-12-01T00:00:00"/>
    <s v="CUST-0279"/>
    <s v="PROD-003"/>
    <s v="R008"/>
    <n v="2"/>
    <n v="3570"/>
    <n v="6.1"/>
    <n v="6704.46"/>
    <s v="Cancelled"/>
    <x v="3"/>
    <s v="Electronics"/>
    <s v="North"/>
    <s v="Dec-24"/>
    <s v="Q4 2024"/>
    <n v="1665"/>
    <n v="0.53361344537815125"/>
  </r>
  <r>
    <s v="ORD-00620"/>
    <d v="2024-10-09T00:00:00"/>
    <s v="CUST-0093"/>
    <s v="PROD-058"/>
    <s v="R001"/>
    <n v="5"/>
    <n v="2400"/>
    <n v="16.100000000000001"/>
    <n v="10068"/>
    <s v="Completed"/>
    <x v="0"/>
    <s v="Sports"/>
    <s v="North"/>
    <s v="Oct-24"/>
    <s v="Q4 2024"/>
    <n v="974"/>
    <n v="0.59416666666666662"/>
  </r>
  <r>
    <s v="ORD-00621"/>
    <d v="2024-10-27T00:00:00"/>
    <s v="CUST-0063"/>
    <s v="PROD-024"/>
    <s v="R002"/>
    <n v="4"/>
    <n v="2270"/>
    <n v="27.5"/>
    <n v="6583"/>
    <s v="Pending"/>
    <x v="3"/>
    <s v="Grocery"/>
    <s v="North"/>
    <s v="Oct-24"/>
    <s v="Q4 2024"/>
    <n v="1203"/>
    <n v="0.47004405286343615"/>
  </r>
  <r>
    <s v="ORD-00622"/>
    <d v="2024-08-05T00:00:00"/>
    <s v="CUST-0071"/>
    <s v="PROD-030"/>
    <s v="R012"/>
    <n v="1"/>
    <n v="970"/>
    <n v="12.7"/>
    <n v="846.81"/>
    <s v="Completed"/>
    <x v="2"/>
    <s v="Grocery"/>
    <s v="South"/>
    <s v="Aug-24"/>
    <s v="Q3 2024"/>
    <n v="434"/>
    <n v="0.5525773195876289"/>
  </r>
  <r>
    <s v="ORD-00623"/>
    <d v="2024-01-16T00:00:00"/>
    <s v="CUST-0119"/>
    <s v="PROD-056"/>
    <s v="R018"/>
    <n v="5"/>
    <n v="6940"/>
    <n v="16.2"/>
    <n v="29078.6"/>
    <s v="Completed"/>
    <x v="4"/>
    <s v="Sports"/>
    <s v="East"/>
    <s v="Jan-24"/>
    <s v="Q1 2024"/>
    <n v="2827"/>
    <n v="0.5926512968299712"/>
  </r>
  <r>
    <s v="ORD-00624"/>
    <d v="2024-10-21T00:00:00"/>
    <s v="CUST-0035"/>
    <s v="PROD-056"/>
    <s v="R009"/>
    <n v="4"/>
    <n v="6940"/>
    <n v="15.1"/>
    <n v="23568.240000000002"/>
    <s v="Completed"/>
    <x v="5"/>
    <s v="Sports"/>
    <s v="South"/>
    <s v="Oct-24"/>
    <s v="Q4 2024"/>
    <n v="2827"/>
    <n v="0.5926512968299712"/>
  </r>
  <r>
    <s v="ORD-00625"/>
    <d v="2024-10-22T00:00:00"/>
    <s v="CUST-0042"/>
    <s v="PROD-054"/>
    <s v="R006"/>
    <n v="1"/>
    <n v="1010"/>
    <n v="1.7"/>
    <n v="992.83"/>
    <s v="Completed"/>
    <x v="0"/>
    <s v="Sports"/>
    <s v="North"/>
    <s v="Oct-24"/>
    <s v="Q4 2024"/>
    <n v="516"/>
    <n v="0.4891089108910891"/>
  </r>
  <r>
    <s v="ORD-00626"/>
    <d v="2024-11-13T00:00:00"/>
    <s v="CUST-0033"/>
    <s v="PROD-004"/>
    <s v="R007"/>
    <n v="6"/>
    <n v="3870"/>
    <n v="12.2"/>
    <n v="20387.16"/>
    <s v="Completed"/>
    <x v="2"/>
    <s v="Electronics"/>
    <s v="North"/>
    <s v="Nov-24"/>
    <s v="Q4 2024"/>
    <n v="1559"/>
    <n v="0.59715762273901807"/>
  </r>
  <r>
    <s v="ORD-00627"/>
    <d v="2024-01-25T00:00:00"/>
    <s v="CUST-0077"/>
    <s v="PROD-048"/>
    <s v="R011"/>
    <n v="9"/>
    <n v="5100"/>
    <n v="26.4"/>
    <n v="33782.400000000001"/>
    <s v="Completed"/>
    <x v="5"/>
    <s v="Beauty"/>
    <s v="South"/>
    <s v="Jan-24"/>
    <s v="Q1 2024"/>
    <n v="2237"/>
    <n v="0.56137254901960787"/>
  </r>
  <r>
    <s v="ORD-00628"/>
    <d v="2024-06-08T00:00:00"/>
    <s v="CUST-0266"/>
    <s v="PROD-012"/>
    <s v="R008"/>
    <n v="2"/>
    <n v="3160"/>
    <n v="13.4"/>
    <n v="5473.12"/>
    <s v="Refunded"/>
    <x v="0"/>
    <s v="Apparel"/>
    <s v="North"/>
    <s v="Jun-24"/>
    <s v="Q2 2024"/>
    <n v="1886"/>
    <n v="0.4031645569620253"/>
  </r>
  <r>
    <s v="ORD-00629"/>
    <d v="2024-09-19T00:00:00"/>
    <s v="CUST-0272"/>
    <s v="PROD-029"/>
    <s v="R011"/>
    <n v="8"/>
    <n v="2210"/>
    <n v="26"/>
    <n v="13083.2"/>
    <s v="Completed"/>
    <x v="3"/>
    <s v="Grocery"/>
    <s v="South"/>
    <s v="Sep-24"/>
    <s v="Q3 2024"/>
    <n v="1010"/>
    <n v="0.54298642533936647"/>
  </r>
  <r>
    <s v="ORD-00630"/>
    <d v="2024-10-02T00:00:00"/>
    <s v="CUST-0253"/>
    <s v="PROD-018"/>
    <s v="R026"/>
    <n v="5"/>
    <n v="3560"/>
    <n v="15"/>
    <n v="15130"/>
    <s v="Completed"/>
    <x v="2"/>
    <s v="Apparel"/>
    <s v="West"/>
    <s v="Oct-24"/>
    <s v="Q4 2024"/>
    <n v="2629"/>
    <n v="0.26151685393258428"/>
  </r>
  <r>
    <s v="ORD-00631"/>
    <d v="2024-12-07T00:00:00"/>
    <s v="CUST-0252"/>
    <s v="PROD-016"/>
    <s v="R010"/>
    <n v="10"/>
    <n v="620"/>
    <n v="15.8"/>
    <n v="5220.3999999999996"/>
    <s v="Refunded"/>
    <x v="4"/>
    <s v="Apparel"/>
    <s v="South"/>
    <s v="Dec-24"/>
    <s v="Q4 2024"/>
    <n v="396"/>
    <n v="0.36129032258064514"/>
  </r>
  <r>
    <s v="ORD-00632"/>
    <d v="2024-10-23T00:00:00"/>
    <s v="CUST-0097"/>
    <s v="PROD-021"/>
    <s v="R002"/>
    <n v="3"/>
    <n v="2760"/>
    <n v="1.9"/>
    <n v="8122.68"/>
    <s v="Cancelled"/>
    <x v="3"/>
    <s v="Grocery"/>
    <s v="North"/>
    <s v="Oct-24"/>
    <s v="Q4 2024"/>
    <n v="1435"/>
    <n v="0.48007246376811596"/>
  </r>
  <r>
    <s v="ORD-00633"/>
    <d v="2024-12-08T00:00:00"/>
    <s v="CUST-0283"/>
    <s v="PROD-054"/>
    <s v="R005"/>
    <n v="10"/>
    <n v="1010"/>
    <n v="28.9"/>
    <n v="7181.1"/>
    <s v="Completed"/>
    <x v="2"/>
    <s v="Sports"/>
    <s v="North"/>
    <s v="Dec-24"/>
    <s v="Q4 2024"/>
    <n v="516"/>
    <n v="0.4891089108910891"/>
  </r>
  <r>
    <s v="ORD-00634"/>
    <d v="2024-03-01T00:00:00"/>
    <s v="CUST-0064"/>
    <s v="PROD-013"/>
    <s v="R002"/>
    <n v="1"/>
    <n v="3640"/>
    <n v="9.6999999999999993"/>
    <n v="3286.92"/>
    <s v="Completed"/>
    <x v="5"/>
    <s v="Apparel"/>
    <s v="North"/>
    <s v="Mar-24"/>
    <s v="Q1 2024"/>
    <n v="2611"/>
    <n v="0.28269230769230769"/>
  </r>
  <r>
    <s v="ORD-00635"/>
    <d v="2024-07-16T00:00:00"/>
    <s v="CUST-0143"/>
    <s v="PROD-020"/>
    <s v="R010"/>
    <n v="1"/>
    <n v="820"/>
    <n v="15"/>
    <n v="697"/>
    <s v="Completed"/>
    <x v="1"/>
    <s v="Apparel"/>
    <s v="South"/>
    <s v="Jul-24"/>
    <s v="Q3 2024"/>
    <n v="391"/>
    <n v="0.52317073170731709"/>
  </r>
  <r>
    <s v="ORD-00636"/>
    <d v="2024-02-20T00:00:00"/>
    <s v="CUST-0265"/>
    <s v="PROD-013"/>
    <s v="R011"/>
    <n v="4"/>
    <n v="3640"/>
    <n v="17"/>
    <n v="12084.8"/>
    <s v="Completed"/>
    <x v="1"/>
    <s v="Apparel"/>
    <s v="South"/>
    <s v="Feb-24"/>
    <s v="Q1 2024"/>
    <n v="2611"/>
    <n v="0.28269230769230769"/>
  </r>
  <r>
    <s v="ORD-00637"/>
    <d v="2024-05-13T00:00:00"/>
    <s v="CUST-0158"/>
    <s v="PROD-023"/>
    <s v="R002"/>
    <n v="7"/>
    <n v="2380"/>
    <n v="25.5"/>
    <n v="12411.7"/>
    <s v="Completed"/>
    <x v="0"/>
    <s v="Grocery"/>
    <s v="North"/>
    <s v="May-24"/>
    <s v="Q2 2024"/>
    <n v="1182"/>
    <n v="0.50336134453781511"/>
  </r>
  <r>
    <s v="ORD-00638"/>
    <d v="2024-11-02T00:00:00"/>
    <s v="CUST-0154"/>
    <s v="PROD-037"/>
    <s v="R008"/>
    <n v="1"/>
    <n v="660"/>
    <n v="2.5"/>
    <n v="643.5"/>
    <s v="Completed"/>
    <x v="0"/>
    <s v="Home"/>
    <s v="North"/>
    <s v="Nov-24"/>
    <s v="Q4 2024"/>
    <n v="329"/>
    <n v="0.50151515151515147"/>
  </r>
  <r>
    <s v="ORD-00639"/>
    <d v="2024-03-02T00:00:00"/>
    <s v="CUST-0057"/>
    <s v="PROD-004"/>
    <s v="R020"/>
    <n v="7"/>
    <n v="3870"/>
    <n v="20.3"/>
    <n v="21590.73"/>
    <s v="Pending"/>
    <x v="0"/>
    <s v="Electronics"/>
    <s v="East"/>
    <s v="Mar-24"/>
    <s v="Q1 2024"/>
    <n v="1559"/>
    <n v="0.59715762273901807"/>
  </r>
  <r>
    <s v="ORD-00640"/>
    <d v="2024-09-07T00:00:00"/>
    <s v="CUST-0088"/>
    <s v="PROD-032"/>
    <s v="R016"/>
    <n v="10"/>
    <n v="370"/>
    <n v="1.3"/>
    <n v="3651.9"/>
    <s v="Refunded"/>
    <x v="1"/>
    <s v="Home"/>
    <s v="South"/>
    <s v="Sep-24"/>
    <s v="Q3 2024"/>
    <n v="288"/>
    <n v="0.22162162162162163"/>
  </r>
  <r>
    <s v="ORD-00641"/>
    <d v="2024-03-14T00:00:00"/>
    <s v="CUST-0064"/>
    <s v="PROD-014"/>
    <s v="R018"/>
    <n v="1"/>
    <n v="3620"/>
    <n v="1.4"/>
    <n v="3569.32"/>
    <s v="Completed"/>
    <x v="5"/>
    <s v="Apparel"/>
    <s v="East"/>
    <s v="Mar-24"/>
    <s v="Q1 2024"/>
    <n v="2509"/>
    <n v="0.3069060773480663"/>
  </r>
  <r>
    <s v="ORD-00642"/>
    <d v="2024-10-09T00:00:00"/>
    <s v="CUST-0192"/>
    <s v="PROD-008"/>
    <s v="R005"/>
    <n v="10"/>
    <n v="2660"/>
    <n v="20.2"/>
    <n v="21226.799999999999"/>
    <s v="Completed"/>
    <x v="4"/>
    <s v="Electronics"/>
    <s v="North"/>
    <s v="Oct-24"/>
    <s v="Q4 2024"/>
    <n v="1259"/>
    <n v="0.52669172932330832"/>
  </r>
  <r>
    <s v="ORD-00643"/>
    <d v="2024-11-18T00:00:00"/>
    <s v="CUST-0175"/>
    <s v="PROD-051"/>
    <s v="R015"/>
    <n v="10"/>
    <n v="3450"/>
    <n v="25.1"/>
    <n v="25840.5"/>
    <s v="Completed"/>
    <x v="2"/>
    <s v="Sports"/>
    <s v="South"/>
    <s v="Nov-24"/>
    <s v="Q4 2024"/>
    <n v="2467"/>
    <n v="0.28492753623188405"/>
  </r>
  <r>
    <s v="ORD-00644"/>
    <d v="2024-12-03T00:00:00"/>
    <s v="CUST-0083"/>
    <s v="PROD-025"/>
    <s v="R013"/>
    <n v="3"/>
    <n v="4060"/>
    <n v="2.5"/>
    <n v="11875.5"/>
    <s v="Refunded"/>
    <x v="4"/>
    <s v="Grocery"/>
    <s v="South"/>
    <s v="Dec-24"/>
    <s v="Q4 2024"/>
    <n v="2911"/>
    <n v="0.28300492610837441"/>
  </r>
  <r>
    <s v="ORD-00645"/>
    <d v="2024-01-03T00:00:00"/>
    <s v="CUST-0142"/>
    <s v="PROD-057"/>
    <s v="R021"/>
    <n v="3"/>
    <n v="960"/>
    <n v="6.6"/>
    <n v="2689.92"/>
    <s v="Cancelled"/>
    <x v="1"/>
    <s v="Sports"/>
    <s v="East"/>
    <s v="Jan-24"/>
    <s v="Q1 2024"/>
    <n v="705"/>
    <n v="0.265625"/>
  </r>
  <r>
    <s v="ORD-00646"/>
    <d v="2024-05-06T00:00:00"/>
    <s v="CUST-0185"/>
    <s v="PROD-008"/>
    <s v="R008"/>
    <n v="4"/>
    <n v="2660"/>
    <n v="16.899999999999999"/>
    <n v="8841.84"/>
    <s v="Completed"/>
    <x v="5"/>
    <s v="Electronics"/>
    <s v="North"/>
    <s v="May-24"/>
    <s v="Q2 2024"/>
    <n v="1259"/>
    <n v="0.52669172932330832"/>
  </r>
  <r>
    <s v="ORD-00647"/>
    <d v="2024-03-18T00:00:00"/>
    <s v="CUST-0284"/>
    <s v="PROD-024"/>
    <s v="R018"/>
    <n v="6"/>
    <n v="2270"/>
    <n v="16.7"/>
    <n v="11345.46"/>
    <s v="Completed"/>
    <x v="5"/>
    <s v="Grocery"/>
    <s v="East"/>
    <s v="Mar-24"/>
    <s v="Q1 2024"/>
    <n v="1203"/>
    <n v="0.47004405286343615"/>
  </r>
  <r>
    <s v="ORD-00648"/>
    <d v="2024-09-14T00:00:00"/>
    <s v="CUST-0092"/>
    <s v="PROD-027"/>
    <s v="R025"/>
    <n v="5"/>
    <n v="3780"/>
    <n v="21.5"/>
    <n v="14836.5"/>
    <s v="Completed"/>
    <x v="4"/>
    <s v="Grocery"/>
    <s v="West"/>
    <s v="Sep-24"/>
    <s v="Q3 2024"/>
    <n v="2436"/>
    <n v="0.35555555555555557"/>
  </r>
  <r>
    <s v="ORD-00649"/>
    <d v="2024-08-01T00:00:00"/>
    <s v="CUST-0091"/>
    <s v="PROD-037"/>
    <s v="R019"/>
    <n v="10"/>
    <n v="660"/>
    <n v="18.8"/>
    <n v="5359.2"/>
    <s v="Completed"/>
    <x v="2"/>
    <s v="Home"/>
    <s v="East"/>
    <s v="Aug-24"/>
    <s v="Q3 2024"/>
    <n v="329"/>
    <n v="0.50151515151515147"/>
  </r>
  <r>
    <s v="ORD-00650"/>
    <d v="2024-05-01T00:00:00"/>
    <s v="CUST-0155"/>
    <s v="PROD-031"/>
    <s v="R024"/>
    <n v="10"/>
    <n v="3730"/>
    <n v="15.1"/>
    <n v="31667.7"/>
    <s v="Completed"/>
    <x v="0"/>
    <s v="Home"/>
    <s v="West"/>
    <s v="May-24"/>
    <s v="Q2 2024"/>
    <n v="2135"/>
    <n v="0.42761394101876676"/>
  </r>
  <r>
    <s v="ORD-00651"/>
    <d v="2024-09-24T00:00:00"/>
    <s v="CUST-0280"/>
    <s v="PROD-025"/>
    <s v="R021"/>
    <n v="6"/>
    <n v="4060"/>
    <n v="20.100000000000001"/>
    <n v="19463.64"/>
    <s v="Pending"/>
    <x v="2"/>
    <s v="Grocery"/>
    <s v="East"/>
    <s v="Sep-24"/>
    <s v="Q3 2024"/>
    <n v="2911"/>
    <n v="0.28300492610837441"/>
  </r>
  <r>
    <s v="ORD-00652"/>
    <d v="2024-08-21T00:00:00"/>
    <s v="CUST-0127"/>
    <s v="PROD-024"/>
    <s v="R003"/>
    <n v="2"/>
    <n v="2270"/>
    <n v="17.7"/>
    <n v="3736.42"/>
    <s v="Completed"/>
    <x v="4"/>
    <s v="Grocery"/>
    <s v="North"/>
    <s v="Aug-24"/>
    <s v="Q3 2024"/>
    <n v="1203"/>
    <n v="0.47004405286343615"/>
  </r>
  <r>
    <s v="ORD-00653"/>
    <d v="2024-11-14T00:00:00"/>
    <s v="CUST-0077"/>
    <s v="PROD-003"/>
    <s v="R028"/>
    <n v="9"/>
    <n v="3570"/>
    <n v="29.9"/>
    <n v="22523.13"/>
    <s v="Completed"/>
    <x v="5"/>
    <s v="Electronics"/>
    <s v="West"/>
    <s v="Nov-24"/>
    <s v="Q4 2024"/>
    <n v="1665"/>
    <n v="0.53361344537815125"/>
  </r>
  <r>
    <s v="ORD-00654"/>
    <d v="2024-08-17T00:00:00"/>
    <s v="CUST-0190"/>
    <s v="PROD-029"/>
    <s v="R004"/>
    <n v="7"/>
    <n v="2210"/>
    <n v="25"/>
    <n v="11602.5"/>
    <s v="Completed"/>
    <x v="5"/>
    <s v="Grocery"/>
    <s v="North"/>
    <s v="Aug-24"/>
    <s v="Q3 2024"/>
    <n v="1010"/>
    <n v="0.54298642533936647"/>
  </r>
  <r>
    <s v="ORD-00655"/>
    <d v="2024-03-30T00:00:00"/>
    <s v="CUST-0089"/>
    <s v="PROD-057"/>
    <s v="R026"/>
    <n v="2"/>
    <n v="960"/>
    <n v="8.1999999999999993"/>
    <n v="1762.56"/>
    <s v="Cancelled"/>
    <x v="3"/>
    <s v="Sports"/>
    <s v="West"/>
    <s v="Mar-24"/>
    <s v="Q1 2024"/>
    <n v="705"/>
    <n v="0.265625"/>
  </r>
  <r>
    <s v="ORD-00656"/>
    <d v="2024-04-19T00:00:00"/>
    <s v="CUST-0141"/>
    <s v="PROD-059"/>
    <s v="R026"/>
    <n v="9"/>
    <n v="3780"/>
    <n v="28.4"/>
    <n v="24358.32"/>
    <s v="Pending"/>
    <x v="5"/>
    <s v="Sports"/>
    <s v="West"/>
    <s v="Apr-24"/>
    <s v="Q2 2024"/>
    <n v="1860"/>
    <n v="0.50793650793650791"/>
  </r>
  <r>
    <s v="ORD-00657"/>
    <d v="2024-10-16T00:00:00"/>
    <s v="CUST-0123"/>
    <s v="PROD-048"/>
    <s v="R014"/>
    <n v="2"/>
    <n v="5100"/>
    <n v="8.6"/>
    <n v="9322.7999999999993"/>
    <s v="Completed"/>
    <x v="1"/>
    <s v="Beauty"/>
    <s v="South"/>
    <s v="Oct-24"/>
    <s v="Q4 2024"/>
    <n v="2237"/>
    <n v="0.56137254901960787"/>
  </r>
  <r>
    <s v="ORD-00658"/>
    <d v="2024-05-02T00:00:00"/>
    <s v="CUST-0041"/>
    <s v="PROD-019"/>
    <s v="R021"/>
    <n v="4"/>
    <n v="2480"/>
    <n v="16.600000000000001"/>
    <n v="8273.2800000000007"/>
    <s v="Completed"/>
    <x v="4"/>
    <s v="Apparel"/>
    <s v="East"/>
    <s v="May-24"/>
    <s v="Q2 2024"/>
    <n v="1173"/>
    <n v="0.52701612903225803"/>
  </r>
  <r>
    <s v="ORD-00659"/>
    <d v="2024-05-31T00:00:00"/>
    <s v="CUST-0257"/>
    <s v="PROD-040"/>
    <s v="R018"/>
    <n v="10"/>
    <n v="1080"/>
    <n v="14.5"/>
    <n v="9234"/>
    <s v="Completed"/>
    <x v="3"/>
    <s v="Home"/>
    <s v="East"/>
    <s v="May-24"/>
    <s v="Q2 2024"/>
    <n v="519"/>
    <n v="0.51944444444444449"/>
  </r>
  <r>
    <s v="ORD-00660"/>
    <d v="2024-03-26T00:00:00"/>
    <s v="CUST-0134"/>
    <s v="PROD-002"/>
    <s v="R029"/>
    <n v="7"/>
    <n v="2600"/>
    <n v="21"/>
    <n v="14378"/>
    <s v="Completed"/>
    <x v="2"/>
    <s v="Electronics"/>
    <s v="West"/>
    <s v="Mar-24"/>
    <s v="Q1 2024"/>
    <n v="1052"/>
    <n v="0.5953846153846154"/>
  </r>
  <r>
    <s v="ORD-00661"/>
    <d v="2024-11-26T00:00:00"/>
    <s v="CUST-0180"/>
    <s v="PROD-002"/>
    <s v="R015"/>
    <n v="7"/>
    <n v="2600"/>
    <n v="6.7"/>
    <n v="16980.599999999999"/>
    <s v="Pending"/>
    <x v="1"/>
    <s v="Electronics"/>
    <s v="South"/>
    <s v="Nov-24"/>
    <s v="Q4 2024"/>
    <n v="1052"/>
    <n v="0.5953846153846154"/>
  </r>
  <r>
    <s v="ORD-00662"/>
    <d v="2024-04-21T00:00:00"/>
    <s v="CUST-0283"/>
    <s v="PROD-020"/>
    <s v="R023"/>
    <n v="8"/>
    <n v="820"/>
    <n v="17.8"/>
    <n v="5392.32"/>
    <s v="Pending"/>
    <x v="2"/>
    <s v="Apparel"/>
    <s v="East"/>
    <s v="Apr-24"/>
    <s v="Q2 2024"/>
    <n v="391"/>
    <n v="0.52317073170731709"/>
  </r>
  <r>
    <s v="ORD-00663"/>
    <d v="2024-08-28T00:00:00"/>
    <s v="CUST-0047"/>
    <s v="PROD-057"/>
    <s v="R009"/>
    <n v="3"/>
    <n v="960"/>
    <n v="17.8"/>
    <n v="2367.36"/>
    <s v="Completed"/>
    <x v="0"/>
    <s v="Sports"/>
    <s v="South"/>
    <s v="Aug-24"/>
    <s v="Q3 2024"/>
    <n v="705"/>
    <n v="0.265625"/>
  </r>
  <r>
    <s v="ORD-00664"/>
    <d v="2024-01-10T00:00:00"/>
    <s v="CUST-0175"/>
    <s v="PROD-041"/>
    <s v="R023"/>
    <n v="2"/>
    <n v="1540"/>
    <n v="1.8"/>
    <n v="3024.56"/>
    <s v="Cancelled"/>
    <x v="2"/>
    <s v="Beauty"/>
    <s v="East"/>
    <s v="Jan-24"/>
    <s v="Q1 2024"/>
    <n v="647"/>
    <n v="0.57987012987012987"/>
  </r>
  <r>
    <s v="ORD-00665"/>
    <d v="2024-11-26T00:00:00"/>
    <s v="CUST-0227"/>
    <s v="PROD-056"/>
    <s v="R030"/>
    <n v="5"/>
    <n v="6940"/>
    <n v="2.9"/>
    <n v="33693.699999999997"/>
    <s v="Completed"/>
    <x v="4"/>
    <s v="Sports"/>
    <s v="West"/>
    <s v="Nov-24"/>
    <s v="Q4 2024"/>
    <n v="2827"/>
    <n v="0.5926512968299712"/>
  </r>
  <r>
    <s v="ORD-00666"/>
    <d v="2024-08-27T00:00:00"/>
    <s v="CUST-0287"/>
    <s v="PROD-041"/>
    <s v="R013"/>
    <n v="5"/>
    <n v="1540"/>
    <n v="28.8"/>
    <n v="5482.4"/>
    <s v="Completed"/>
    <x v="1"/>
    <s v="Beauty"/>
    <s v="South"/>
    <s v="Aug-24"/>
    <s v="Q3 2024"/>
    <n v="647"/>
    <n v="0.57987012987012987"/>
  </r>
  <r>
    <s v="ORD-00667"/>
    <d v="2024-02-04T00:00:00"/>
    <s v="CUST-0004"/>
    <s v="PROD-031"/>
    <s v="R012"/>
    <n v="8"/>
    <n v="3730"/>
    <n v="21.1"/>
    <n v="23543.759999999998"/>
    <s v="Completed"/>
    <x v="2"/>
    <s v="Home"/>
    <s v="South"/>
    <s v="Feb-24"/>
    <s v="Q1 2024"/>
    <n v="2135"/>
    <n v="0.42761394101876676"/>
  </r>
  <r>
    <s v="ORD-00668"/>
    <d v="2024-12-09T00:00:00"/>
    <s v="CUST-0234"/>
    <s v="PROD-021"/>
    <s v="R023"/>
    <n v="7"/>
    <n v="2760"/>
    <n v="1.2"/>
    <n v="19088.16"/>
    <s v="Cancelled"/>
    <x v="4"/>
    <s v="Grocery"/>
    <s v="East"/>
    <s v="Dec-24"/>
    <s v="Q4 2024"/>
    <n v="1435"/>
    <n v="0.48007246376811596"/>
  </r>
  <r>
    <s v="ORD-00669"/>
    <d v="2024-05-19T00:00:00"/>
    <s v="CUST-0255"/>
    <s v="PROD-006"/>
    <s v="R020"/>
    <n v="3"/>
    <n v="3970"/>
    <n v="18.3"/>
    <n v="9730.4699999999993"/>
    <s v="Completed"/>
    <x v="1"/>
    <s v="Electronics"/>
    <s v="East"/>
    <s v="May-24"/>
    <s v="Q2 2024"/>
    <n v="2865"/>
    <n v="0.27833753148614609"/>
  </r>
  <r>
    <s v="ORD-00670"/>
    <d v="2024-04-11T00:00:00"/>
    <s v="CUST-0092"/>
    <s v="PROD-027"/>
    <s v="R023"/>
    <n v="4"/>
    <n v="3780"/>
    <n v="24.6"/>
    <n v="11400.48"/>
    <s v="Completed"/>
    <x v="4"/>
    <s v="Grocery"/>
    <s v="East"/>
    <s v="Apr-24"/>
    <s v="Q2 2024"/>
    <n v="2436"/>
    <n v="0.35555555555555557"/>
  </r>
  <r>
    <s v="ORD-00671"/>
    <d v="2024-01-04T00:00:00"/>
    <s v="CUST-0037"/>
    <s v="PROD-015"/>
    <s v="R008"/>
    <n v="10"/>
    <n v="2720"/>
    <n v="12.8"/>
    <n v="23718.400000000001"/>
    <s v="Completed"/>
    <x v="4"/>
    <s v="Apparel"/>
    <s v="North"/>
    <s v="Jan-24"/>
    <s v="Q1 2024"/>
    <n v="1962"/>
    <n v="0.2786764705882353"/>
  </r>
  <r>
    <s v="ORD-00672"/>
    <d v="2024-03-20T00:00:00"/>
    <s v="CUST-0208"/>
    <s v="PROD-006"/>
    <s v="R017"/>
    <n v="5"/>
    <n v="3970"/>
    <n v="5.9"/>
    <n v="18678.849999999999"/>
    <s v="Completed"/>
    <x v="3"/>
    <s v="Electronics"/>
    <s v="East"/>
    <s v="Mar-24"/>
    <s v="Q1 2024"/>
    <n v="2865"/>
    <n v="0.27833753148614609"/>
  </r>
  <r>
    <s v="ORD-00673"/>
    <d v="2024-11-05T00:00:00"/>
    <s v="CUST-0008"/>
    <s v="PROD-020"/>
    <s v="R011"/>
    <n v="3"/>
    <n v="820"/>
    <n v="19.399999999999999"/>
    <n v="1982.76"/>
    <s v="Completed"/>
    <x v="0"/>
    <s v="Apparel"/>
    <s v="South"/>
    <s v="Nov-24"/>
    <s v="Q4 2024"/>
    <n v="391"/>
    <n v="0.52317073170731709"/>
  </r>
  <r>
    <s v="ORD-00674"/>
    <d v="2024-06-28T00:00:00"/>
    <s v="CUST-0050"/>
    <s v="PROD-016"/>
    <s v="R010"/>
    <n v="7"/>
    <n v="620"/>
    <n v="9.9"/>
    <n v="3910.34"/>
    <s v="Completed"/>
    <x v="3"/>
    <s v="Apparel"/>
    <s v="South"/>
    <s v="Jun-24"/>
    <s v="Q2 2024"/>
    <n v="396"/>
    <n v="0.36129032258064514"/>
  </r>
  <r>
    <s v="ORD-00675"/>
    <d v="2024-01-27T00:00:00"/>
    <s v="CUST-0166"/>
    <s v="PROD-042"/>
    <s v="R027"/>
    <n v="8"/>
    <n v="2290"/>
    <n v="18.3"/>
    <n v="14967.44"/>
    <s v="Completed"/>
    <x v="5"/>
    <s v="Beauty"/>
    <s v="West"/>
    <s v="Jan-24"/>
    <s v="Q1 2024"/>
    <n v="1219"/>
    <n v="0.46768558951965067"/>
  </r>
  <r>
    <s v="ORD-00676"/>
    <d v="2024-03-13T00:00:00"/>
    <s v="CUST-0271"/>
    <s v="PROD-030"/>
    <s v="R025"/>
    <n v="3"/>
    <n v="970"/>
    <n v="18.399999999999999"/>
    <n v="2374.56"/>
    <s v="Completed"/>
    <x v="4"/>
    <s v="Grocery"/>
    <s v="West"/>
    <s v="Mar-24"/>
    <s v="Q1 2024"/>
    <n v="434"/>
    <n v="0.5525773195876289"/>
  </r>
  <r>
    <s v="ORD-00677"/>
    <d v="2024-05-07T00:00:00"/>
    <s v="CUST-0034"/>
    <s v="PROD-032"/>
    <s v="R014"/>
    <n v="2"/>
    <n v="370"/>
    <n v="8.9"/>
    <n v="674.14"/>
    <s v="Completed"/>
    <x v="2"/>
    <s v="Home"/>
    <s v="South"/>
    <s v="May-24"/>
    <s v="Q2 2024"/>
    <n v="288"/>
    <n v="0.22162162162162163"/>
  </r>
  <r>
    <s v="ORD-00678"/>
    <d v="2024-12-06T00:00:00"/>
    <s v="CUST-0016"/>
    <s v="PROD-007"/>
    <s v="R007"/>
    <n v="1"/>
    <n v="1430"/>
    <n v="5.9"/>
    <n v="1345.63"/>
    <s v="Cancelled"/>
    <x v="2"/>
    <s v="Electronics"/>
    <s v="North"/>
    <s v="Dec-24"/>
    <s v="Q4 2024"/>
    <n v="861"/>
    <n v="0.39790209790209791"/>
  </r>
  <r>
    <s v="ORD-00679"/>
    <d v="2024-07-21T00:00:00"/>
    <s v="CUST-0039"/>
    <s v="PROD-058"/>
    <s v="R030"/>
    <n v="2"/>
    <n v="2400"/>
    <n v="29.1"/>
    <n v="3403.2"/>
    <s v="Completed"/>
    <x v="4"/>
    <s v="Sports"/>
    <s v="West"/>
    <s v="Jul-24"/>
    <s v="Q3 2024"/>
    <n v="974"/>
    <n v="0.59416666666666662"/>
  </r>
  <r>
    <s v="ORD-00680"/>
    <d v="2024-02-15T00:00:00"/>
    <s v="CUST-0253"/>
    <s v="PROD-007"/>
    <s v="R011"/>
    <n v="9"/>
    <n v="1430"/>
    <n v="6"/>
    <n v="12097.8"/>
    <s v="Completed"/>
    <x v="2"/>
    <s v="Electronics"/>
    <s v="South"/>
    <s v="Feb-24"/>
    <s v="Q1 2024"/>
    <n v="861"/>
    <n v="0.39790209790209791"/>
  </r>
  <r>
    <s v="ORD-00681"/>
    <d v="2024-08-06T00:00:00"/>
    <s v="CUST-0295"/>
    <s v="PROD-015"/>
    <s v="R007"/>
    <n v="8"/>
    <n v="2720"/>
    <n v="25.7"/>
    <n v="16167.68"/>
    <s v="Completed"/>
    <x v="2"/>
    <s v="Apparel"/>
    <s v="North"/>
    <s v="Aug-24"/>
    <s v="Q3 2024"/>
    <n v="1962"/>
    <n v="0.2786764705882353"/>
  </r>
  <r>
    <s v="ORD-00682"/>
    <d v="2024-10-07T00:00:00"/>
    <s v="CUST-0138"/>
    <s v="PROD-056"/>
    <s v="R027"/>
    <n v="6"/>
    <n v="6940"/>
    <n v="25.7"/>
    <n v="30938.52"/>
    <s v="Completed"/>
    <x v="1"/>
    <s v="Sports"/>
    <s v="West"/>
    <s v="Oct-24"/>
    <s v="Q4 2024"/>
    <n v="2827"/>
    <n v="0.5926512968299712"/>
  </r>
  <r>
    <s v="ORD-00683"/>
    <d v="2024-06-29T00:00:00"/>
    <s v="CUST-0002"/>
    <s v="PROD-014"/>
    <s v="R007"/>
    <n v="3"/>
    <n v="3620"/>
    <n v="29.7"/>
    <n v="7634.58"/>
    <s v="Completed"/>
    <x v="0"/>
    <s v="Apparel"/>
    <s v="North"/>
    <s v="Jun-24"/>
    <s v="Q2 2024"/>
    <n v="2509"/>
    <n v="0.3069060773480663"/>
  </r>
  <r>
    <s v="ORD-00684"/>
    <d v="2024-11-19T00:00:00"/>
    <s v="CUST-0287"/>
    <s v="PROD-010"/>
    <s v="R025"/>
    <n v="8"/>
    <n v="2640"/>
    <n v="24.4"/>
    <n v="15966.72"/>
    <s v="Completed"/>
    <x v="1"/>
    <s v="Electronics"/>
    <s v="West"/>
    <s v="Nov-24"/>
    <s v="Q4 2024"/>
    <n v="1149"/>
    <n v="0.56477272727272732"/>
  </r>
  <r>
    <s v="ORD-00685"/>
    <d v="2024-02-27T00:00:00"/>
    <s v="CUST-0279"/>
    <s v="PROD-038"/>
    <s v="R006"/>
    <n v="3"/>
    <n v="5490"/>
    <n v="13.5"/>
    <n v="14246.55"/>
    <s v="Completed"/>
    <x v="3"/>
    <s v="Home"/>
    <s v="North"/>
    <s v="Feb-24"/>
    <s v="Q1 2024"/>
    <n v="2549"/>
    <n v="0.53570127504553733"/>
  </r>
  <r>
    <s v="ORD-00686"/>
    <d v="2024-05-01T00:00:00"/>
    <s v="CUST-0008"/>
    <s v="PROD-034"/>
    <s v="R017"/>
    <n v="3"/>
    <n v="5080"/>
    <n v="9.3000000000000007"/>
    <n v="13822.68"/>
    <s v="Completed"/>
    <x v="0"/>
    <s v="Home"/>
    <s v="East"/>
    <s v="May-24"/>
    <s v="Q2 2024"/>
    <n v="2459"/>
    <n v="0.51594488188976373"/>
  </r>
  <r>
    <s v="ORD-00687"/>
    <d v="2024-08-11T00:00:00"/>
    <s v="CUST-0092"/>
    <s v="PROD-042"/>
    <s v="R030"/>
    <n v="4"/>
    <n v="2290"/>
    <n v="24.4"/>
    <n v="6924.96"/>
    <s v="Completed"/>
    <x v="4"/>
    <s v="Beauty"/>
    <s v="West"/>
    <s v="Aug-24"/>
    <s v="Q3 2024"/>
    <n v="1219"/>
    <n v="0.46768558951965067"/>
  </r>
  <r>
    <s v="ORD-00688"/>
    <d v="2024-06-20T00:00:00"/>
    <s v="CUST-0106"/>
    <s v="PROD-033"/>
    <s v="R011"/>
    <n v="10"/>
    <n v="2030"/>
    <n v="13.6"/>
    <n v="17539.2"/>
    <s v="Pending"/>
    <x v="0"/>
    <s v="Home"/>
    <s v="South"/>
    <s v="Jun-24"/>
    <s v="Q2 2024"/>
    <n v="1143"/>
    <n v="0.43694581280788175"/>
  </r>
  <r>
    <s v="ORD-00689"/>
    <d v="2024-11-11T00:00:00"/>
    <s v="CUST-0010"/>
    <s v="PROD-007"/>
    <s v="R012"/>
    <n v="10"/>
    <n v="1430"/>
    <n v="16.100000000000001"/>
    <n v="11997.7"/>
    <s v="Cancelled"/>
    <x v="3"/>
    <s v="Electronics"/>
    <s v="South"/>
    <s v="Nov-24"/>
    <s v="Q4 2024"/>
    <n v="861"/>
    <n v="0.39790209790209791"/>
  </r>
  <r>
    <s v="ORD-00690"/>
    <d v="2024-03-06T00:00:00"/>
    <s v="CUST-0179"/>
    <s v="PROD-027"/>
    <s v="R009"/>
    <n v="1"/>
    <n v="3780"/>
    <n v="22.7"/>
    <n v="2921.94"/>
    <s v="Completed"/>
    <x v="3"/>
    <s v="Grocery"/>
    <s v="South"/>
    <s v="Mar-24"/>
    <s v="Q1 2024"/>
    <n v="2436"/>
    <n v="0.35555555555555557"/>
  </r>
  <r>
    <s v="ORD-00691"/>
    <d v="2024-05-31T00:00:00"/>
    <s v="CUST-0216"/>
    <s v="PROD-012"/>
    <s v="R021"/>
    <n v="10"/>
    <n v="3160"/>
    <n v="13.4"/>
    <n v="27365.599999999999"/>
    <s v="Completed"/>
    <x v="3"/>
    <s v="Apparel"/>
    <s v="East"/>
    <s v="May-24"/>
    <s v="Q2 2024"/>
    <n v="1886"/>
    <n v="0.4031645569620253"/>
  </r>
  <r>
    <s v="ORD-00692"/>
    <d v="2024-05-10T00:00:00"/>
    <s v="CUST-0172"/>
    <s v="PROD-007"/>
    <s v="R003"/>
    <n v="2"/>
    <n v="1430"/>
    <n v="7.4"/>
    <n v="2648.36"/>
    <s v="Completed"/>
    <x v="0"/>
    <s v="Electronics"/>
    <s v="North"/>
    <s v="May-24"/>
    <s v="Q2 2024"/>
    <n v="861"/>
    <n v="0.39790209790209791"/>
  </r>
  <r>
    <s v="ORD-00693"/>
    <d v="2024-12-14T00:00:00"/>
    <s v="CUST-0152"/>
    <s v="PROD-012"/>
    <s v="R006"/>
    <n v="5"/>
    <n v="3160"/>
    <n v="3.6"/>
    <n v="15231.2"/>
    <s v="Pending"/>
    <x v="4"/>
    <s v="Apparel"/>
    <s v="North"/>
    <s v="Dec-24"/>
    <s v="Q4 2024"/>
    <n v="1886"/>
    <n v="0.4031645569620253"/>
  </r>
  <r>
    <s v="ORD-00694"/>
    <d v="2024-08-17T00:00:00"/>
    <s v="CUST-0154"/>
    <s v="PROD-042"/>
    <s v="R004"/>
    <n v="2"/>
    <n v="2290"/>
    <n v="28.2"/>
    <n v="3288.44"/>
    <s v="Completed"/>
    <x v="0"/>
    <s v="Beauty"/>
    <s v="North"/>
    <s v="Aug-24"/>
    <s v="Q3 2024"/>
    <n v="1219"/>
    <n v="0.46768558951965067"/>
  </r>
  <r>
    <s v="ORD-00695"/>
    <d v="2024-03-15T00:00:00"/>
    <s v="CUST-0001"/>
    <s v="PROD-011"/>
    <s v="R015"/>
    <n v="5"/>
    <n v="3450"/>
    <n v="18.100000000000001"/>
    <n v="14127.75"/>
    <s v="Cancelled"/>
    <x v="0"/>
    <s v="Apparel"/>
    <s v="South"/>
    <s v="Mar-24"/>
    <s v="Q1 2024"/>
    <n v="1748"/>
    <n v="0.49333333333333335"/>
  </r>
  <r>
    <s v="ORD-00696"/>
    <d v="2024-05-27T00:00:00"/>
    <s v="CUST-0069"/>
    <s v="PROD-018"/>
    <s v="R001"/>
    <n v="1"/>
    <n v="3560"/>
    <n v="18.7"/>
    <n v="2894.28"/>
    <s v="Completed"/>
    <x v="1"/>
    <s v="Apparel"/>
    <s v="North"/>
    <s v="May-24"/>
    <s v="Q2 2024"/>
    <n v="2629"/>
    <n v="0.26151685393258428"/>
  </r>
  <r>
    <s v="ORD-00697"/>
    <d v="2024-05-14T00:00:00"/>
    <s v="CUST-0200"/>
    <s v="PROD-058"/>
    <s v="R009"/>
    <n v="9"/>
    <n v="2400"/>
    <n v="18.5"/>
    <n v="17604"/>
    <s v="Completed"/>
    <x v="5"/>
    <s v="Sports"/>
    <s v="South"/>
    <s v="May-24"/>
    <s v="Q2 2024"/>
    <n v="974"/>
    <n v="0.59416666666666662"/>
  </r>
  <r>
    <s v="ORD-00698"/>
    <d v="2024-05-03T00:00:00"/>
    <s v="CUST-0164"/>
    <s v="PROD-004"/>
    <s v="R023"/>
    <n v="9"/>
    <n v="3870"/>
    <n v="6.9"/>
    <n v="32426.73"/>
    <s v="Refunded"/>
    <x v="1"/>
    <s v="Electronics"/>
    <s v="East"/>
    <s v="May-24"/>
    <s v="Q2 2024"/>
    <n v="1559"/>
    <n v="0.59715762273901807"/>
  </r>
  <r>
    <s v="ORD-00699"/>
    <d v="2024-11-24T00:00:00"/>
    <s v="CUST-0004"/>
    <s v="PROD-028"/>
    <s v="R022"/>
    <n v="5"/>
    <n v="3660"/>
    <n v="11.7"/>
    <n v="16158.9"/>
    <s v="Completed"/>
    <x v="2"/>
    <s v="Grocery"/>
    <s v="East"/>
    <s v="Nov-24"/>
    <s v="Q4 2024"/>
    <n v="2214"/>
    <n v="0.39508196721311473"/>
  </r>
  <r>
    <s v="ORD-00700"/>
    <d v="2024-02-24T00:00:00"/>
    <s v="CUST-0224"/>
    <s v="PROD-040"/>
    <s v="R030"/>
    <n v="4"/>
    <n v="1080"/>
    <n v="17.5"/>
    <n v="3564"/>
    <s v="Completed"/>
    <x v="1"/>
    <s v="Home"/>
    <s v="West"/>
    <s v="Feb-24"/>
    <s v="Q1 2024"/>
    <n v="519"/>
    <n v="0.51944444444444449"/>
  </r>
  <r>
    <s v="ORD-01185"/>
    <d v="2024-01-06T00:00:00"/>
    <s v="CUST-0037"/>
    <s v="PROD-059"/>
    <s v="R006"/>
    <n v="6"/>
    <n v="3780"/>
    <n v="27.8"/>
    <n v="16374.96"/>
    <s v="Completed"/>
    <x v="4"/>
    <s v="Sports"/>
    <s v="North"/>
    <s v="Jan-24"/>
    <s v="Q1 2024"/>
    <n v="1860"/>
    <n v="0.50793650793650791"/>
  </r>
  <r>
    <s v="ORD-00702"/>
    <d v="2024-08-17T00:00:00"/>
    <s v="CUST-0179"/>
    <s v="PROD-019"/>
    <s v="R022"/>
    <n v="8"/>
    <n v="2480"/>
    <n v="15.7"/>
    <n v="16725.12"/>
    <s v="Pending"/>
    <x v="3"/>
    <s v="Apparel"/>
    <s v="East"/>
    <s v="Aug-24"/>
    <s v="Q3 2024"/>
    <n v="1173"/>
    <n v="0.52701612903225803"/>
  </r>
  <r>
    <s v="ORD-00703"/>
    <d v="2024-04-27T00:00:00"/>
    <s v="CUST-0018"/>
    <s v="PROD-054"/>
    <s v="R014"/>
    <n v="10"/>
    <n v="1010"/>
    <n v="0.1"/>
    <n v="10089.9"/>
    <s v="Pending"/>
    <x v="0"/>
    <s v="Sports"/>
    <s v="South"/>
    <s v="Apr-24"/>
    <s v="Q2 2024"/>
    <n v="516"/>
    <n v="0.4891089108910891"/>
  </r>
  <r>
    <s v="ORD-00704"/>
    <d v="2024-04-24T00:00:00"/>
    <s v="CUST-0184"/>
    <s v="PROD-053"/>
    <s v="R015"/>
    <n v="3"/>
    <n v="470"/>
    <n v="1.1000000000000001"/>
    <n v="1394.49"/>
    <s v="Completed"/>
    <x v="0"/>
    <s v="Sports"/>
    <s v="South"/>
    <s v="Apr-24"/>
    <s v="Q2 2024"/>
    <n v="302"/>
    <n v="0.35744680851063831"/>
  </r>
  <r>
    <s v="ORD-00705"/>
    <d v="2024-07-01T00:00:00"/>
    <s v="CUST-0066"/>
    <s v="PROD-024"/>
    <s v="R019"/>
    <n v="4"/>
    <n v="2270"/>
    <n v="17.100000000000001"/>
    <n v="7527.32"/>
    <s v="Completed"/>
    <x v="2"/>
    <s v="Grocery"/>
    <s v="East"/>
    <s v="Jul-24"/>
    <s v="Q3 2024"/>
    <n v="1203"/>
    <n v="0.47004405286343615"/>
  </r>
  <r>
    <s v="ORD-00706"/>
    <d v="2024-10-23T00:00:00"/>
    <s v="CUST-0053"/>
    <s v="PROD-021"/>
    <s v="R010"/>
    <n v="7"/>
    <n v="2760"/>
    <n v="17.100000000000001"/>
    <n v="16016.28"/>
    <s v="Completed"/>
    <x v="2"/>
    <s v="Grocery"/>
    <s v="South"/>
    <s v="Oct-24"/>
    <s v="Q4 2024"/>
    <n v="1435"/>
    <n v="0.48007246376811596"/>
  </r>
  <r>
    <s v="ORD-00707"/>
    <d v="2024-08-26T00:00:00"/>
    <s v="CUST-0278"/>
    <s v="PROD-051"/>
    <s v="R008"/>
    <n v="6"/>
    <n v="3450"/>
    <n v="6.6"/>
    <n v="19333.8"/>
    <s v="Refunded"/>
    <x v="5"/>
    <s v="Sports"/>
    <s v="North"/>
    <s v="Aug-24"/>
    <s v="Q3 2024"/>
    <n v="2467"/>
    <n v="0.28492753623188405"/>
  </r>
  <r>
    <s v="ORD-00708"/>
    <d v="2024-12-04T00:00:00"/>
    <s v="CUST-0285"/>
    <s v="PROD-028"/>
    <s v="R007"/>
    <n v="8"/>
    <n v="3660"/>
    <n v="7.2"/>
    <n v="27171.84"/>
    <s v="Completed"/>
    <x v="5"/>
    <s v="Grocery"/>
    <s v="North"/>
    <s v="Dec-24"/>
    <s v="Q4 2024"/>
    <n v="2214"/>
    <n v="0.39508196721311473"/>
  </r>
  <r>
    <s v="ORD-00709"/>
    <d v="2024-09-16T00:00:00"/>
    <s v="CUST-0060"/>
    <s v="PROD-009"/>
    <s v="R030"/>
    <n v="4"/>
    <n v="1220"/>
    <n v="24.3"/>
    <n v="3694.16"/>
    <s v="Cancelled"/>
    <x v="0"/>
    <s v="Electronics"/>
    <s v="West"/>
    <s v="Sep-24"/>
    <s v="Q3 2024"/>
    <n v="517"/>
    <n v="0.57622950819672136"/>
  </r>
  <r>
    <s v="ORD-00710"/>
    <d v="2024-11-14T00:00:00"/>
    <s v="CUST-0236"/>
    <s v="PROD-052"/>
    <s v="R007"/>
    <n v="2"/>
    <n v="5410"/>
    <n v="0.9"/>
    <n v="10722.62"/>
    <s v="Pending"/>
    <x v="5"/>
    <s v="Sports"/>
    <s v="North"/>
    <s v="Nov-24"/>
    <s v="Q4 2024"/>
    <n v="2265"/>
    <n v="0.58133086876155271"/>
  </r>
  <r>
    <s v="ORD-00711"/>
    <d v="2024-01-31T00:00:00"/>
    <s v="CUST-0106"/>
    <s v="PROD-033"/>
    <s v="R009"/>
    <n v="5"/>
    <n v="2030"/>
    <n v="25.2"/>
    <n v="7592.2"/>
    <s v="Completed"/>
    <x v="0"/>
    <s v="Home"/>
    <s v="South"/>
    <s v="Jan-24"/>
    <s v="Q1 2024"/>
    <n v="1143"/>
    <n v="0.43694581280788175"/>
  </r>
  <r>
    <s v="ORD-00712"/>
    <d v="2024-03-12T00:00:00"/>
    <s v="CUST-0085"/>
    <s v="PROD-009"/>
    <s v="R012"/>
    <n v="5"/>
    <n v="1220"/>
    <n v="2.6"/>
    <n v="5941.4"/>
    <s v="Completed"/>
    <x v="1"/>
    <s v="Electronics"/>
    <s v="South"/>
    <s v="Mar-24"/>
    <s v="Q1 2024"/>
    <n v="517"/>
    <n v="0.57622950819672136"/>
  </r>
  <r>
    <s v="ORD-00713"/>
    <d v="2024-11-04T00:00:00"/>
    <s v="CUST-0075"/>
    <s v="PROD-008"/>
    <s v="R006"/>
    <n v="4"/>
    <n v="2660"/>
    <n v="19.100000000000001"/>
    <n v="8607.76"/>
    <s v="Refunded"/>
    <x v="3"/>
    <s v="Electronics"/>
    <s v="North"/>
    <s v="Nov-24"/>
    <s v="Q4 2024"/>
    <n v="1259"/>
    <n v="0.52669172932330832"/>
  </r>
  <r>
    <s v="ORD-00714"/>
    <d v="2024-02-29T00:00:00"/>
    <s v="CUST-0169"/>
    <s v="PROD-026"/>
    <s v="R016"/>
    <n v="3"/>
    <n v="4070"/>
    <n v="25.2"/>
    <n v="9133.08"/>
    <s v="Completed"/>
    <x v="4"/>
    <s v="Grocery"/>
    <s v="South"/>
    <s v="Feb-24"/>
    <s v="Q1 2024"/>
    <n v="2027"/>
    <n v="0.50196560196560192"/>
  </r>
  <r>
    <s v="ORD-00715"/>
    <d v="2024-06-18T00:00:00"/>
    <s v="CUST-0166"/>
    <s v="PROD-049"/>
    <s v="R014"/>
    <n v="10"/>
    <n v="960"/>
    <n v="0.3"/>
    <n v="9571.2000000000007"/>
    <s v="Completed"/>
    <x v="5"/>
    <s v="Beauty"/>
    <s v="South"/>
    <s v="Jun-24"/>
    <s v="Q2 2024"/>
    <n v="675"/>
    <n v="0.296875"/>
  </r>
  <r>
    <s v="ORD-00716"/>
    <d v="2024-05-19T00:00:00"/>
    <s v="CUST-0065"/>
    <s v="PROD-031"/>
    <s v="R029"/>
    <n v="2"/>
    <n v="3730"/>
    <n v="29.9"/>
    <n v="5229.46"/>
    <s v="Completed"/>
    <x v="1"/>
    <s v="Home"/>
    <s v="West"/>
    <s v="May-24"/>
    <s v="Q2 2024"/>
    <n v="2135"/>
    <n v="0.42761394101876676"/>
  </r>
  <r>
    <s v="ORD-00717"/>
    <d v="2024-10-27T00:00:00"/>
    <s v="CUST-0102"/>
    <s v="PROD-057"/>
    <s v="R004"/>
    <n v="9"/>
    <n v="960"/>
    <n v="1.9"/>
    <n v="8475.84"/>
    <s v="Completed"/>
    <x v="1"/>
    <s v="Sports"/>
    <s v="North"/>
    <s v="Oct-24"/>
    <s v="Q4 2024"/>
    <n v="705"/>
    <n v="0.265625"/>
  </r>
  <r>
    <s v="ORD-00718"/>
    <d v="2024-06-11T00:00:00"/>
    <s v="CUST-0052"/>
    <s v="PROD-011"/>
    <s v="R004"/>
    <n v="2"/>
    <n v="3450"/>
    <n v="22.9"/>
    <n v="5319.9"/>
    <s v="Pending"/>
    <x v="0"/>
    <s v="Apparel"/>
    <s v="North"/>
    <s v="Jun-24"/>
    <s v="Q2 2024"/>
    <n v="1748"/>
    <n v="0.49333333333333335"/>
  </r>
  <r>
    <s v="ORD-00719"/>
    <d v="2024-11-20T00:00:00"/>
    <s v="CUST-0130"/>
    <s v="PROD-052"/>
    <s v="R010"/>
    <n v="3"/>
    <n v="5410"/>
    <n v="15.5"/>
    <n v="13714.35"/>
    <s v="Completed"/>
    <x v="4"/>
    <s v="Sports"/>
    <s v="South"/>
    <s v="Nov-24"/>
    <s v="Q4 2024"/>
    <n v="2265"/>
    <n v="0.58133086876155271"/>
  </r>
  <r>
    <s v="ORD-00720"/>
    <d v="2024-06-05T00:00:00"/>
    <s v="CUST-0284"/>
    <s v="PROD-043"/>
    <s v="R019"/>
    <n v="8"/>
    <n v="3350"/>
    <n v="18.399999999999999"/>
    <n v="21868.799999999999"/>
    <s v="Completed"/>
    <x v="5"/>
    <s v="Beauty"/>
    <s v="East"/>
    <s v="Jun-24"/>
    <s v="Q2 2024"/>
    <n v="1728"/>
    <n v="0.48417910447761192"/>
  </r>
  <r>
    <s v="ORD-00721"/>
    <d v="2024-11-15T00:00:00"/>
    <s v="CUST-0053"/>
    <s v="PROD-015"/>
    <s v="R008"/>
    <n v="5"/>
    <n v="2720"/>
    <n v="17.3"/>
    <n v="11247.2"/>
    <s v="Cancelled"/>
    <x v="2"/>
    <s v="Apparel"/>
    <s v="North"/>
    <s v="Nov-24"/>
    <s v="Q4 2024"/>
    <n v="1962"/>
    <n v="0.2786764705882353"/>
  </r>
  <r>
    <s v="ORD-00722"/>
    <d v="2024-04-21T00:00:00"/>
    <s v="CUST-0293"/>
    <s v="PROD-028"/>
    <s v="R017"/>
    <n v="8"/>
    <n v="3660"/>
    <n v="28.8"/>
    <n v="20847.36"/>
    <s v="Completed"/>
    <x v="4"/>
    <s v="Grocery"/>
    <s v="East"/>
    <s v="Apr-24"/>
    <s v="Q2 2024"/>
    <n v="2214"/>
    <n v="0.39508196721311473"/>
  </r>
  <r>
    <s v="ORD-00723"/>
    <d v="2024-08-26T00:00:00"/>
    <s v="CUST-0242"/>
    <s v="PROD-005"/>
    <s v="R013"/>
    <n v="6"/>
    <n v="300"/>
    <n v="23.9"/>
    <n v="1369.8"/>
    <s v="Cancelled"/>
    <x v="1"/>
    <s v="Electronics"/>
    <s v="South"/>
    <s v="Aug-24"/>
    <s v="Q3 2024"/>
    <n v="128"/>
    <n v="0.57333333333333336"/>
  </r>
  <r>
    <s v="ORD-00724"/>
    <d v="2024-09-13T00:00:00"/>
    <s v="CUST-0226"/>
    <s v="PROD-042"/>
    <s v="R026"/>
    <n v="3"/>
    <n v="2290"/>
    <n v="2.4"/>
    <n v="6705.12"/>
    <s v="Completed"/>
    <x v="1"/>
    <s v="Beauty"/>
    <s v="West"/>
    <s v="Sep-24"/>
    <s v="Q3 2024"/>
    <n v="1219"/>
    <n v="0.46768558951965067"/>
  </r>
  <r>
    <s v="ORD-00725"/>
    <d v="2024-04-21T00:00:00"/>
    <s v="CUST-0005"/>
    <s v="PROD-046"/>
    <s v="R014"/>
    <n v="6"/>
    <n v="4880"/>
    <n v="11.1"/>
    <n v="26029.919999999998"/>
    <s v="Pending"/>
    <x v="1"/>
    <s v="Beauty"/>
    <s v="South"/>
    <s v="Apr-24"/>
    <s v="Q2 2024"/>
    <n v="2768"/>
    <n v="0.43278688524590164"/>
  </r>
  <r>
    <s v="ORD-00726"/>
    <d v="2024-09-27T00:00:00"/>
    <s v="CUST-0211"/>
    <s v="PROD-005"/>
    <s v="R007"/>
    <n v="5"/>
    <n v="300"/>
    <n v="19.399999999999999"/>
    <n v="1209"/>
    <s v="Completed"/>
    <x v="4"/>
    <s v="Electronics"/>
    <s v="North"/>
    <s v="Sep-24"/>
    <s v="Q3 2024"/>
    <n v="128"/>
    <n v="0.57333333333333336"/>
  </r>
  <r>
    <s v="ORD-00727"/>
    <d v="2024-12-09T00:00:00"/>
    <s v="CUST-0229"/>
    <s v="PROD-008"/>
    <s v="R030"/>
    <n v="3"/>
    <n v="2660"/>
    <n v="28.5"/>
    <n v="5705.7"/>
    <s v="Pending"/>
    <x v="5"/>
    <s v="Electronics"/>
    <s v="West"/>
    <s v="Dec-24"/>
    <s v="Q4 2024"/>
    <n v="1259"/>
    <n v="0.52669172932330832"/>
  </r>
  <r>
    <s v="ORD-00728"/>
    <d v="2024-05-22T00:00:00"/>
    <s v="CUST-0037"/>
    <s v="PROD-035"/>
    <s v="R024"/>
    <n v="7"/>
    <n v="1090"/>
    <n v="10.3"/>
    <n v="6844.11"/>
    <s v="Completed"/>
    <x v="4"/>
    <s v="Home"/>
    <s v="West"/>
    <s v="May-24"/>
    <s v="Q2 2024"/>
    <n v="464"/>
    <n v="0.57431192660550456"/>
  </r>
  <r>
    <s v="ORD-00729"/>
    <d v="2024-02-28T00:00:00"/>
    <s v="CUST-0059"/>
    <s v="PROD-007"/>
    <s v="R012"/>
    <n v="9"/>
    <n v="1430"/>
    <n v="12.1"/>
    <n v="11312.73"/>
    <s v="Cancelled"/>
    <x v="0"/>
    <s v="Electronics"/>
    <s v="South"/>
    <s v="Feb-24"/>
    <s v="Q1 2024"/>
    <n v="861"/>
    <n v="0.39790209790209791"/>
  </r>
  <r>
    <s v="ORD-00730"/>
    <d v="2024-02-22T00:00:00"/>
    <s v="CUST-0222"/>
    <s v="PROD-010"/>
    <s v="R005"/>
    <n v="5"/>
    <n v="2640"/>
    <n v="26.8"/>
    <n v="9662.4"/>
    <s v="Completed"/>
    <x v="1"/>
    <s v="Electronics"/>
    <s v="North"/>
    <s v="Feb-24"/>
    <s v="Q1 2024"/>
    <n v="1149"/>
    <n v="0.56477272727272732"/>
  </r>
  <r>
    <s v="ORD-00731"/>
    <d v="2024-07-25T00:00:00"/>
    <s v="CUST-0157"/>
    <s v="PROD-015"/>
    <s v="R001"/>
    <n v="8"/>
    <n v="2720"/>
    <n v="17.5"/>
    <n v="17952"/>
    <s v="Completed"/>
    <x v="0"/>
    <s v="Apparel"/>
    <s v="North"/>
    <s v="Jul-24"/>
    <s v="Q3 2024"/>
    <n v="1962"/>
    <n v="0.2786764705882353"/>
  </r>
  <r>
    <s v="ORD-00732"/>
    <d v="2024-08-16T00:00:00"/>
    <s v="CUST-0027"/>
    <s v="PROD-013"/>
    <s v="R016"/>
    <n v="9"/>
    <n v="3640"/>
    <n v="3.6"/>
    <n v="31580.639999999999"/>
    <s v="Completed"/>
    <x v="5"/>
    <s v="Apparel"/>
    <s v="South"/>
    <s v="Aug-24"/>
    <s v="Q3 2024"/>
    <n v="2611"/>
    <n v="0.28269230769230769"/>
  </r>
  <r>
    <s v="ORD-00733"/>
    <d v="2024-09-19T00:00:00"/>
    <s v="CUST-9846"/>
    <s v="PROD-050"/>
    <s v="R021"/>
    <n v="7"/>
    <n v="6080"/>
    <n v="23.6"/>
    <n v="32515.84"/>
    <s v="Completed"/>
    <x v="3"/>
    <s v="Beauty"/>
    <s v="East"/>
    <s v="Sep-24"/>
    <s v="Q3 2024"/>
    <n v="2617"/>
    <n v="0.56957236842105263"/>
  </r>
  <r>
    <s v="ORD-00734"/>
    <d v="2024-10-19T00:00:00"/>
    <s v="CUST-0011"/>
    <s v="PROD-001"/>
    <s v="R015"/>
    <n v="7"/>
    <n v="5330"/>
    <n v="19.7"/>
    <n v="29959.93"/>
    <s v="Cancelled"/>
    <x v="1"/>
    <s v="Electronics"/>
    <s v="South"/>
    <s v="Oct-24"/>
    <s v="Q4 2024"/>
    <n v="2405"/>
    <n v="0.54878048780487809"/>
  </r>
  <r>
    <s v="ORD-00735"/>
    <d v="2024-10-28T00:00:00"/>
    <s v="CUST-0043"/>
    <s v="PROD-039"/>
    <s v="R024"/>
    <n v="5"/>
    <n v="4610"/>
    <n v="3.6"/>
    <n v="22220.2"/>
    <s v="Completed"/>
    <x v="5"/>
    <s v="Home"/>
    <s v="West"/>
    <s v="Oct-24"/>
    <s v="Q4 2024"/>
    <n v="1850"/>
    <n v="0.59869848156182215"/>
  </r>
  <r>
    <s v="ORD-00736"/>
    <d v="2024-01-11T00:00:00"/>
    <s v="CUST-0154"/>
    <s v="PROD-001"/>
    <s v="R030"/>
    <n v="9"/>
    <n v="5330"/>
    <n v="22.9"/>
    <n v="36984.870000000003"/>
    <s v="Completed"/>
    <x v="0"/>
    <s v="Electronics"/>
    <s v="West"/>
    <s v="Jan-24"/>
    <s v="Q1 2024"/>
    <n v="2405"/>
    <n v="0.54878048780487809"/>
  </r>
  <r>
    <s v="ORD-00737"/>
    <d v="2024-05-28T00:00:00"/>
    <s v="CUST-0163"/>
    <s v="PROD-050"/>
    <s v="R018"/>
    <n v="5"/>
    <n v="6080"/>
    <n v="6"/>
    <n v="28576"/>
    <s v="Refunded"/>
    <x v="0"/>
    <s v="Beauty"/>
    <s v="East"/>
    <s v="May-24"/>
    <s v="Q2 2024"/>
    <n v="2617"/>
    <n v="0.56957236842105263"/>
  </r>
  <r>
    <s v="ORD-00738"/>
    <d v="2024-01-08T00:00:00"/>
    <s v="CUST-0299"/>
    <s v="PROD-013"/>
    <s v="R017"/>
    <n v="7"/>
    <n v="3640"/>
    <n v="5.5"/>
    <n v="24078.6"/>
    <s v="Completed"/>
    <x v="3"/>
    <s v="Apparel"/>
    <s v="East"/>
    <s v="Jan-24"/>
    <s v="Q1 2024"/>
    <n v="2611"/>
    <n v="0.28269230769230769"/>
  </r>
  <r>
    <s v="ORD-00739"/>
    <d v="2024-02-14T00:00:00"/>
    <s v="CUST-0240"/>
    <s v="PROD-008"/>
    <s v="R013"/>
    <n v="1"/>
    <n v="2660"/>
    <n v="6.1"/>
    <n v="2497.7399999999998"/>
    <s v="Cancelled"/>
    <x v="1"/>
    <s v="Electronics"/>
    <s v="South"/>
    <s v="Feb-24"/>
    <s v="Q1 2024"/>
    <n v="1259"/>
    <n v="0.52669172932330832"/>
  </r>
  <r>
    <s v="ORD-00740"/>
    <d v="2024-01-09T00:00:00"/>
    <s v="CUST-0291"/>
    <s v="PROD-043"/>
    <s v="R015"/>
    <n v="8"/>
    <n v="3350"/>
    <n v="19.5"/>
    <n v="21574"/>
    <s v="Completed"/>
    <x v="0"/>
    <s v="Beauty"/>
    <s v="South"/>
    <s v="Jan-24"/>
    <s v="Q1 2024"/>
    <n v="1728"/>
    <n v="0.48417910447761192"/>
  </r>
  <r>
    <s v="ORD-00741"/>
    <d v="2024-12-22T00:00:00"/>
    <s v="CUST-0243"/>
    <s v="PROD-039"/>
    <s v="R019"/>
    <n v="4"/>
    <n v="4610"/>
    <n v="24"/>
    <n v="14014.4"/>
    <s v="Completed"/>
    <x v="0"/>
    <s v="Home"/>
    <s v="East"/>
    <s v="Dec-24"/>
    <s v="Q4 2024"/>
    <n v="1850"/>
    <n v="0.59869848156182215"/>
  </r>
  <r>
    <s v="ORD-00742"/>
    <d v="2024-01-02T00:00:00"/>
    <s v="CUST-0073"/>
    <s v="PROD-055"/>
    <s v="R014"/>
    <n v="7"/>
    <n v="2860"/>
    <n v="23.2"/>
    <n v="15375.36"/>
    <s v="Completed"/>
    <x v="0"/>
    <s v="Sports"/>
    <s v="South"/>
    <s v="Jan-24"/>
    <s v="Q1 2024"/>
    <n v="2028"/>
    <n v="0.29090909090909089"/>
  </r>
  <r>
    <s v="ORD-00743"/>
    <d v="2024-12-18T00:00:00"/>
    <s v="CUST-0154"/>
    <s v="PROD-043"/>
    <s v="R013"/>
    <n v="7"/>
    <n v="3350"/>
    <n v="10.6"/>
    <n v="20964.3"/>
    <s v="Pending"/>
    <x v="0"/>
    <s v="Beauty"/>
    <s v="South"/>
    <s v="Dec-24"/>
    <s v="Q4 2024"/>
    <n v="1728"/>
    <n v="0.48417910447761192"/>
  </r>
  <r>
    <s v="ORD-00744"/>
    <d v="2024-10-24T00:00:00"/>
    <s v="CUST-0084"/>
    <s v="PROD-029"/>
    <s v="R028"/>
    <n v="5"/>
    <n v="2210"/>
    <n v="12.1"/>
    <n v="9712.9500000000007"/>
    <s v="Completed"/>
    <x v="1"/>
    <s v="Grocery"/>
    <s v="West"/>
    <s v="Oct-24"/>
    <s v="Q4 2024"/>
    <n v="1010"/>
    <n v="0.54298642533936647"/>
  </r>
  <r>
    <s v="ORD-00745"/>
    <d v="2024-02-07T00:00:00"/>
    <s v="CUST-0228"/>
    <s v="PROD-047"/>
    <s v="R013"/>
    <n v="1"/>
    <n v="3450"/>
    <n v="19.100000000000001"/>
    <n v="2791.05"/>
    <s v="Pending"/>
    <x v="0"/>
    <s v="Beauty"/>
    <s v="South"/>
    <s v="Feb-24"/>
    <s v="Q1 2024"/>
    <n v="2420"/>
    <n v="0.29855072463768118"/>
  </r>
  <r>
    <s v="ORD-00746"/>
    <d v="2024-10-22T00:00:00"/>
    <s v="CUST-0232"/>
    <s v="PROD-048"/>
    <s v="R028"/>
    <n v="5"/>
    <n v="5100"/>
    <n v="2.8"/>
    <n v="24786"/>
    <s v="Completed"/>
    <x v="5"/>
    <s v="Beauty"/>
    <s v="West"/>
    <s v="Oct-24"/>
    <s v="Q4 2024"/>
    <n v="2237"/>
    <n v="0.56137254901960787"/>
  </r>
  <r>
    <s v="ORD-00747"/>
    <d v="2024-05-11T00:00:00"/>
    <s v="CUST-0129"/>
    <s v="PROD-048"/>
    <s v="R003"/>
    <n v="9"/>
    <n v="5100"/>
    <n v="24.4"/>
    <n v="34700.400000000001"/>
    <s v="Completed"/>
    <x v="5"/>
    <s v="Beauty"/>
    <s v="North"/>
    <s v="May-24"/>
    <s v="Q2 2024"/>
    <n v="2237"/>
    <n v="0.56137254901960787"/>
  </r>
  <r>
    <s v="ORD-00748"/>
    <d v="2024-10-03T00:00:00"/>
    <s v="CUST-0189"/>
    <s v="PROD-037"/>
    <s v="R006"/>
    <n v="9"/>
    <n v="660"/>
    <n v="19.8"/>
    <n v="4763.88"/>
    <s v="Completed"/>
    <x v="1"/>
    <s v="Home"/>
    <s v="North"/>
    <s v="Oct-24"/>
    <s v="Q4 2024"/>
    <n v="329"/>
    <n v="0.50151515151515147"/>
  </r>
  <r>
    <s v="ORD-00749"/>
    <d v="2024-09-14T00:00:00"/>
    <s v="CUST-0122"/>
    <s v="PROD-026"/>
    <s v="R006"/>
    <n v="3"/>
    <n v="4070"/>
    <n v="27.1"/>
    <n v="8901.09"/>
    <s v="Completed"/>
    <x v="3"/>
    <s v="Grocery"/>
    <s v="North"/>
    <s v="Sep-24"/>
    <s v="Q3 2024"/>
    <n v="2027"/>
    <n v="0.50196560196560192"/>
  </r>
  <r>
    <s v="ORD-00750"/>
    <d v="2024-07-31T00:00:00"/>
    <s v="CUST-0170"/>
    <s v="PROD-017"/>
    <s v="R007"/>
    <n v="2"/>
    <n v="2510"/>
    <n v="29.1"/>
    <n v="3559.18"/>
    <s v="Completed"/>
    <x v="3"/>
    <s v="Apparel"/>
    <s v="North"/>
    <s v="Jul-24"/>
    <s v="Q3 2024"/>
    <n v="1075"/>
    <n v="0.57171314741035861"/>
  </r>
  <r>
    <s v="ORD-00751"/>
    <d v="2024-06-06T00:00:00"/>
    <s v="CUST-0291"/>
    <s v="PROD-036"/>
    <s v="R030"/>
    <n v="4"/>
    <n v="3250"/>
    <n v="21.1"/>
    <n v="10257"/>
    <s v="Completed"/>
    <x v="0"/>
    <s v="Home"/>
    <s v="West"/>
    <s v="Jun-24"/>
    <s v="Q2 2024"/>
    <n v="1556"/>
    <n v="0.52123076923076928"/>
  </r>
  <r>
    <s v="ORD-00752"/>
    <d v="2024-11-04T00:00:00"/>
    <s v="CUST-0090"/>
    <s v="PROD-032"/>
    <s v="R005"/>
    <n v="3"/>
    <n v="370"/>
    <n v="7.7"/>
    <n v="1024.53"/>
    <s v="Completed"/>
    <x v="4"/>
    <s v="Home"/>
    <s v="North"/>
    <s v="Nov-24"/>
    <s v="Q4 2024"/>
    <n v="288"/>
    <n v="0.22162162162162163"/>
  </r>
  <r>
    <s v="ORD-00753"/>
    <d v="2024-07-06T00:00:00"/>
    <s v="CUST-0205"/>
    <s v="PROD-020"/>
    <s v="R006"/>
    <n v="10"/>
    <n v="820"/>
    <n v="3.5"/>
    <n v="7913"/>
    <s v="Completed"/>
    <x v="0"/>
    <s v="Apparel"/>
    <s v="North"/>
    <s v="Jul-24"/>
    <s v="Q3 2024"/>
    <n v="391"/>
    <n v="0.52317073170731709"/>
  </r>
  <r>
    <s v="ORD-00754"/>
    <d v="2024-08-27T00:00:00"/>
    <s v="CUST-0192"/>
    <s v="PROD-026"/>
    <s v="R029"/>
    <n v="4"/>
    <n v="4070"/>
    <n v="23.8"/>
    <n v="12405.36"/>
    <s v="Completed"/>
    <x v="4"/>
    <s v="Grocery"/>
    <s v="West"/>
    <s v="Aug-24"/>
    <s v="Q3 2024"/>
    <n v="2027"/>
    <n v="0.50196560196560192"/>
  </r>
  <r>
    <s v="ORD-00755"/>
    <d v="2024-03-05T00:00:00"/>
    <s v="CUST-0270"/>
    <s v="PROD-023"/>
    <s v="R011"/>
    <n v="1"/>
    <n v="2380"/>
    <n v="19.600000000000001"/>
    <n v="1913.52"/>
    <s v="Cancelled"/>
    <x v="4"/>
    <s v="Grocery"/>
    <s v="South"/>
    <s v="Mar-24"/>
    <s v="Q1 2024"/>
    <n v="1182"/>
    <n v="0.50336134453781511"/>
  </r>
  <r>
    <s v="ORD-00756"/>
    <d v="2024-09-18T00:00:00"/>
    <s v="CUST-0266"/>
    <s v="PROD-038"/>
    <s v="R030"/>
    <n v="3"/>
    <n v="5490"/>
    <n v="2.5"/>
    <n v="16058.25"/>
    <s v="Completed"/>
    <x v="0"/>
    <s v="Home"/>
    <s v="West"/>
    <s v="Sep-24"/>
    <s v="Q3 2024"/>
    <n v="2549"/>
    <n v="0.53570127504553733"/>
  </r>
  <r>
    <s v="ORD-00757"/>
    <d v="2024-07-19T00:00:00"/>
    <s v="CUST-0208"/>
    <s v="PROD-013"/>
    <s v="R027"/>
    <n v="3"/>
    <n v="3640"/>
    <n v="23.3"/>
    <n v="8375.64"/>
    <s v="Completed"/>
    <x v="3"/>
    <s v="Apparel"/>
    <s v="West"/>
    <s v="Jul-24"/>
    <s v="Q3 2024"/>
    <n v="2611"/>
    <n v="0.28269230769230769"/>
  </r>
  <r>
    <s v="ORD-00758"/>
    <d v="2024-04-06T00:00:00"/>
    <s v="CUST-0224"/>
    <s v="PROD-039"/>
    <s v="R018"/>
    <n v="2"/>
    <n v="4610"/>
    <n v="5"/>
    <n v="8759"/>
    <s v="Pending"/>
    <x v="1"/>
    <s v="Home"/>
    <s v="East"/>
    <s v="Apr-24"/>
    <s v="Q2 2024"/>
    <n v="1850"/>
    <n v="0.59869848156182215"/>
  </r>
  <r>
    <s v="ORD-00759"/>
    <d v="2024-03-18T00:00:00"/>
    <s v="CUST-0264"/>
    <s v="PROD-058"/>
    <s v="R001"/>
    <n v="8"/>
    <n v="2400"/>
    <n v="10"/>
    <n v="17280"/>
    <s v="Pending"/>
    <x v="0"/>
    <s v="Sports"/>
    <s v="North"/>
    <s v="Mar-24"/>
    <s v="Q1 2024"/>
    <n v="974"/>
    <n v="0.59416666666666662"/>
  </r>
  <r>
    <s v="ORD-00760"/>
    <d v="2024-11-01T00:00:00"/>
    <s v="CUST-0113"/>
    <s v="PROD-043"/>
    <s v="R002"/>
    <n v="7"/>
    <n v="3350"/>
    <n v="23.7"/>
    <n v="17892.349999999999"/>
    <s v="Completed"/>
    <x v="2"/>
    <s v="Beauty"/>
    <s v="North"/>
    <s v="Nov-24"/>
    <s v="Q4 2024"/>
    <n v="1728"/>
    <n v="0.48417910447761192"/>
  </r>
  <r>
    <s v="ORD-00761"/>
    <d v="2024-11-15T00:00:00"/>
    <s v="CUST-0160"/>
    <s v="PROD-013"/>
    <s v="R012"/>
    <n v="4"/>
    <n v="3640"/>
    <n v="9.3000000000000007"/>
    <n v="13205.92"/>
    <s v="Cancelled"/>
    <x v="5"/>
    <s v="Apparel"/>
    <s v="South"/>
    <s v="Nov-24"/>
    <s v="Q4 2024"/>
    <n v="2611"/>
    <n v="0.28269230769230769"/>
  </r>
  <r>
    <s v="ORD-00762"/>
    <d v="2024-10-14T00:00:00"/>
    <s v="CUST-0109"/>
    <s v="PROD-013"/>
    <s v="R028"/>
    <n v="9"/>
    <n v="3640"/>
    <n v="13.1"/>
    <n v="28468.44"/>
    <s v="Pending"/>
    <x v="0"/>
    <s v="Apparel"/>
    <s v="West"/>
    <s v="Oct-24"/>
    <s v="Q4 2024"/>
    <n v="2611"/>
    <n v="0.28269230769230769"/>
  </r>
  <r>
    <s v="ORD-00763"/>
    <d v="2024-12-08T00:00:00"/>
    <s v="CUST-0107"/>
    <s v="PROD-033"/>
    <s v="R014"/>
    <n v="2"/>
    <n v="2030"/>
    <n v="12.2"/>
    <n v="3564.68"/>
    <s v="Completed"/>
    <x v="0"/>
    <s v="Home"/>
    <s v="South"/>
    <s v="Dec-24"/>
    <s v="Q4 2024"/>
    <n v="1143"/>
    <n v="0.43694581280788175"/>
  </r>
  <r>
    <s v="ORD-00764"/>
    <d v="2024-06-28T00:00:00"/>
    <s v="CUST-0120"/>
    <s v="PROD-012"/>
    <s v="R002"/>
    <n v="4"/>
    <n v="3160"/>
    <n v="7.5"/>
    <n v="11692"/>
    <s v="Completed"/>
    <x v="3"/>
    <s v="Apparel"/>
    <s v="North"/>
    <s v="Jun-24"/>
    <s v="Q2 2024"/>
    <n v="1886"/>
    <n v="0.4031645569620253"/>
  </r>
  <r>
    <s v="ORD-00765"/>
    <d v="2024-02-05T00:00:00"/>
    <s v="CUST-0225"/>
    <s v="PROD-026"/>
    <s v="R029"/>
    <n v="10"/>
    <n v="4070"/>
    <n v="8.3000000000000007"/>
    <n v="37321.9"/>
    <s v="Completed"/>
    <x v="1"/>
    <s v="Grocery"/>
    <s v="West"/>
    <s v="Feb-24"/>
    <s v="Q1 2024"/>
    <n v="2027"/>
    <n v="0.50196560196560192"/>
  </r>
  <r>
    <s v="ORD-00766"/>
    <d v="2024-02-21T00:00:00"/>
    <s v="CUST-0134"/>
    <s v="PROD-025"/>
    <s v="R024"/>
    <n v="8"/>
    <n v="4060"/>
    <n v="8.5"/>
    <n v="29719.200000000001"/>
    <s v="Completed"/>
    <x v="2"/>
    <s v="Grocery"/>
    <s v="West"/>
    <s v="Feb-24"/>
    <s v="Q1 2024"/>
    <n v="2911"/>
    <n v="0.28300492610837441"/>
  </r>
  <r>
    <s v="ORD-00767"/>
    <d v="2024-02-12T00:00:00"/>
    <s v="CUST-0279"/>
    <s v="PROD-057"/>
    <s v="R018"/>
    <n v="8"/>
    <n v="960"/>
    <n v="8.6999999999999993"/>
    <n v="7011.84"/>
    <s v="Completed"/>
    <x v="3"/>
    <s v="Sports"/>
    <s v="East"/>
    <s v="Feb-24"/>
    <s v="Q1 2024"/>
    <n v="705"/>
    <n v="0.265625"/>
  </r>
  <r>
    <s v="ORD-00768"/>
    <d v="2024-01-15T00:00:00"/>
    <s v="CUST-0247"/>
    <s v="PROD-022"/>
    <s v="R027"/>
    <n v="2"/>
    <n v="2270"/>
    <n v="10.199999999999999"/>
    <n v="4076.92"/>
    <s v="Completed"/>
    <x v="0"/>
    <s v="Grocery"/>
    <s v="West"/>
    <s v="Jan-24"/>
    <s v="Q1 2024"/>
    <n v="1412"/>
    <n v="0.37797356828193834"/>
  </r>
  <r>
    <s v="ORD-00769"/>
    <d v="2024-01-05T00:00:00"/>
    <s v="CUST-0129"/>
    <s v="PROD-027"/>
    <s v="R007"/>
    <n v="1"/>
    <n v="3780"/>
    <n v="15.3"/>
    <n v="3201.66"/>
    <s v="Cancelled"/>
    <x v="5"/>
    <s v="Grocery"/>
    <s v="North"/>
    <s v="Jan-24"/>
    <s v="Q1 2024"/>
    <n v="2436"/>
    <n v="0.35555555555555557"/>
  </r>
  <r>
    <s v="ORD-00770"/>
    <d v="2024-07-16T00:00:00"/>
    <s v="CUST-0038"/>
    <s v="PROD-042"/>
    <s v="R028"/>
    <n v="10"/>
    <n v="2290"/>
    <n v="2.4"/>
    <n v="22350.400000000001"/>
    <s v="Pending"/>
    <x v="3"/>
    <s v="Beauty"/>
    <s v="West"/>
    <s v="Jul-24"/>
    <s v="Q3 2024"/>
    <n v="1219"/>
    <n v="0.46768558951965067"/>
  </r>
  <r>
    <s v="ORD-00771"/>
    <d v="2024-05-04T00:00:00"/>
    <s v="CUST-0109"/>
    <s v="PROD-043"/>
    <s v="R017"/>
    <n v="5"/>
    <n v="3350"/>
    <n v="18.5"/>
    <n v="13651.25"/>
    <s v="Cancelled"/>
    <x v="0"/>
    <s v="Beauty"/>
    <s v="East"/>
    <s v="May-24"/>
    <s v="Q2 2024"/>
    <n v="1728"/>
    <n v="0.48417910447761192"/>
  </r>
  <r>
    <s v="ORD-00772"/>
    <d v="2024-02-25T00:00:00"/>
    <s v="CUST-0051"/>
    <s v="PROD-017"/>
    <s v="R021"/>
    <n v="7"/>
    <n v="2510"/>
    <n v="4.2"/>
    <n v="16832.060000000001"/>
    <s v="Cancelled"/>
    <x v="0"/>
    <s v="Apparel"/>
    <s v="East"/>
    <s v="Feb-24"/>
    <s v="Q1 2024"/>
    <n v="1075"/>
    <n v="0.57171314741035861"/>
  </r>
  <r>
    <s v="ORD-00773"/>
    <d v="2024-12-26T00:00:00"/>
    <s v="CUST-0265"/>
    <s v="PROD-002"/>
    <s v="R018"/>
    <n v="1"/>
    <n v="2600"/>
    <n v="2.2000000000000002"/>
    <n v="2542.8000000000002"/>
    <s v="Completed"/>
    <x v="1"/>
    <s v="Electronics"/>
    <s v="East"/>
    <s v="Dec-24"/>
    <s v="Q4 2024"/>
    <n v="1052"/>
    <n v="0.5953846153846154"/>
  </r>
  <r>
    <s v="ORD-00774"/>
    <d v="2024-06-24T00:00:00"/>
    <s v="CUST-0192"/>
    <s v="PROD-053"/>
    <s v="R003"/>
    <n v="8"/>
    <n v="470"/>
    <n v="25.2"/>
    <n v="2812.48"/>
    <s v="Completed"/>
    <x v="4"/>
    <s v="Sports"/>
    <s v="North"/>
    <s v="Jun-24"/>
    <s v="Q2 2024"/>
    <n v="302"/>
    <n v="0.35744680851063831"/>
  </r>
  <r>
    <s v="ORD-00775"/>
    <d v="2024-09-23T00:00:00"/>
    <s v="CUST-0241"/>
    <s v="PROD-040"/>
    <s v="R012"/>
    <n v="6"/>
    <n v="1080"/>
    <n v="25"/>
    <n v="4860"/>
    <s v="Completed"/>
    <x v="0"/>
    <s v="Home"/>
    <s v="South"/>
    <s v="Sep-24"/>
    <s v="Q3 2024"/>
    <n v="519"/>
    <n v="0.51944444444444449"/>
  </r>
  <r>
    <s v="ORD-00776"/>
    <d v="2024-12-19T00:00:00"/>
    <s v="CUST-0243"/>
    <s v="PROD-054"/>
    <s v="R019"/>
    <n v="2"/>
    <n v="1010"/>
    <n v="16.100000000000001"/>
    <n v="1694.78"/>
    <s v="Completed"/>
    <x v="0"/>
    <s v="Sports"/>
    <s v="East"/>
    <s v="Dec-24"/>
    <s v="Q4 2024"/>
    <n v="516"/>
    <n v="0.4891089108910891"/>
  </r>
  <r>
    <s v="ORD-00777"/>
    <d v="2024-05-06T00:00:00"/>
    <s v="CUST-0016"/>
    <s v="PROD-004"/>
    <s v="R002"/>
    <n v="6"/>
    <n v="3870"/>
    <n v="22.4"/>
    <n v="18018.72"/>
    <s v="Cancelled"/>
    <x v="2"/>
    <s v="Electronics"/>
    <s v="North"/>
    <s v="May-24"/>
    <s v="Q2 2024"/>
    <n v="1559"/>
    <n v="0.59715762273901807"/>
  </r>
  <r>
    <s v="ORD-00778"/>
    <d v="2024-12-29T00:00:00"/>
    <s v="CUST-0249"/>
    <s v="PROD-033"/>
    <s v="R027"/>
    <n v="3"/>
    <n v="2030"/>
    <n v="18.5"/>
    <n v="4963.3500000000004"/>
    <s v="Completed"/>
    <x v="3"/>
    <s v="Home"/>
    <s v="West"/>
    <s v="Dec-24"/>
    <s v="Q4 2024"/>
    <n v="1143"/>
    <n v="0.43694581280788175"/>
  </r>
  <r>
    <s v="ORD-00779"/>
    <d v="2024-09-05T00:00:00"/>
    <s v="CUST-0021"/>
    <s v="PROD-040"/>
    <s v="R027"/>
    <n v="7"/>
    <n v="1080"/>
    <n v="6.8"/>
    <n v="7045.92"/>
    <s v="Pending"/>
    <x v="0"/>
    <s v="Home"/>
    <s v="West"/>
    <s v="Sep-24"/>
    <s v="Q3 2024"/>
    <n v="519"/>
    <n v="0.51944444444444449"/>
  </r>
  <r>
    <s v="ORD-00780"/>
    <d v="2024-11-13T00:00:00"/>
    <s v="CUST-0255"/>
    <s v="PROD-035"/>
    <s v="R009"/>
    <n v="1"/>
    <n v="1090"/>
    <n v="20.6"/>
    <n v="865.46"/>
    <s v="Completed"/>
    <x v="1"/>
    <s v="Home"/>
    <s v="South"/>
    <s v="Nov-24"/>
    <s v="Q4 2024"/>
    <n v="464"/>
    <n v="0.57431192660550456"/>
  </r>
  <r>
    <s v="ORD-00781"/>
    <d v="2024-08-24T00:00:00"/>
    <s v="CUST-0084"/>
    <s v="PROD-032"/>
    <s v="R011"/>
    <n v="8"/>
    <n v="370"/>
    <n v="1.7"/>
    <n v="2909.68"/>
    <s v="Completed"/>
    <x v="1"/>
    <s v="Home"/>
    <s v="South"/>
    <s v="Aug-24"/>
    <s v="Q3 2024"/>
    <n v="288"/>
    <n v="0.22162162162162163"/>
  </r>
  <r>
    <s v="ORD-00782"/>
    <d v="2024-11-29T00:00:00"/>
    <s v="CUST-0289"/>
    <s v="PROD-018"/>
    <s v="R018"/>
    <n v="7"/>
    <n v="3560"/>
    <n v="28.7"/>
    <n v="17767.96"/>
    <s v="Completed"/>
    <x v="3"/>
    <s v="Apparel"/>
    <s v="East"/>
    <s v="Nov-24"/>
    <s v="Q4 2024"/>
    <n v="2629"/>
    <n v="0.26151685393258428"/>
  </r>
  <r>
    <s v="ORD-00783"/>
    <d v="2024-06-01T00:00:00"/>
    <s v="CUST-0026"/>
    <s v="PROD-050"/>
    <s v="R016"/>
    <n v="9"/>
    <n v="6080"/>
    <n v="16.3"/>
    <n v="45800.639999999999"/>
    <s v="Cancelled"/>
    <x v="0"/>
    <s v="Beauty"/>
    <s v="South"/>
    <s v="Jun-24"/>
    <s v="Q2 2024"/>
    <n v="2617"/>
    <n v="0.56957236842105263"/>
  </r>
  <r>
    <s v="ORD-00784"/>
    <d v="2024-08-01T00:00:00"/>
    <s v="CUST-0273"/>
    <s v="PROD-051"/>
    <s v="R015"/>
    <n v="2"/>
    <n v="3450"/>
    <n v="17.600000000000001"/>
    <n v="5685.6"/>
    <s v="Pending"/>
    <x v="5"/>
    <s v="Sports"/>
    <s v="South"/>
    <s v="Aug-24"/>
    <s v="Q3 2024"/>
    <n v="2467"/>
    <n v="0.28492753623188405"/>
  </r>
  <r>
    <s v="ORD-00785"/>
    <d v="2024-04-19T00:00:00"/>
    <s v="CUST-0069"/>
    <s v="PROD-034"/>
    <s v="R009"/>
    <n v="1"/>
    <n v="5080"/>
    <n v="5.9"/>
    <n v="4780.28"/>
    <s v="Completed"/>
    <x v="1"/>
    <s v="Home"/>
    <s v="South"/>
    <s v="Apr-24"/>
    <s v="Q2 2024"/>
    <n v="2459"/>
    <n v="0.51594488188976373"/>
  </r>
  <r>
    <s v="ORD-00786"/>
    <d v="2024-03-13T00:00:00"/>
    <s v="CUST-0236"/>
    <s v="PROD-011"/>
    <s v="R023"/>
    <n v="7"/>
    <n v="3450"/>
    <n v="17.399999999999999"/>
    <n v="19947.900000000001"/>
    <s v="Completed"/>
    <x v="5"/>
    <s v="Apparel"/>
    <s v="East"/>
    <s v="Mar-24"/>
    <s v="Q1 2024"/>
    <n v="1748"/>
    <n v="0.49333333333333335"/>
  </r>
  <r>
    <s v="ORD-00787"/>
    <d v="2024-04-21T00:00:00"/>
    <s v="CUST-0060"/>
    <s v="PROD-024"/>
    <s v="R009"/>
    <n v="8"/>
    <n v="2270"/>
    <n v="24.7"/>
    <n v="13674.48"/>
    <s v="Completed"/>
    <x v="0"/>
    <s v="Grocery"/>
    <s v="South"/>
    <s v="Apr-24"/>
    <s v="Q2 2024"/>
    <n v="1203"/>
    <n v="0.47004405286343615"/>
  </r>
  <r>
    <s v="ORD-00788"/>
    <d v="2024-11-03T00:00:00"/>
    <s v="CUST-0243"/>
    <s v="PROD-012"/>
    <s v="R023"/>
    <n v="3"/>
    <n v="3160"/>
    <n v="1.5"/>
    <n v="9337.7999999999993"/>
    <s v="Pending"/>
    <x v="0"/>
    <s v="Apparel"/>
    <s v="East"/>
    <s v="Nov-24"/>
    <s v="Q4 2024"/>
    <n v="1886"/>
    <n v="0.4031645569620253"/>
  </r>
  <r>
    <s v="ORD-00789"/>
    <d v="2024-04-07T00:00:00"/>
    <s v="CUST-0188"/>
    <s v="PROD-043"/>
    <s v="R029"/>
    <n v="6"/>
    <n v="3350"/>
    <n v="0.9"/>
    <n v="19919.099999999999"/>
    <s v="Pending"/>
    <x v="4"/>
    <s v="Beauty"/>
    <s v="West"/>
    <s v="Apr-24"/>
    <s v="Q2 2024"/>
    <n v="1728"/>
    <n v="0.48417910447761192"/>
  </r>
  <r>
    <s v="ORD-00790"/>
    <d v="2024-08-02T00:00:00"/>
    <s v="CUST-0174"/>
    <s v="PROD-044"/>
    <s v="R029"/>
    <n v="7"/>
    <n v="1650"/>
    <n v="5.6"/>
    <n v="10903.2"/>
    <s v="Refunded"/>
    <x v="0"/>
    <s v="Beauty"/>
    <s v="West"/>
    <s v="Aug-24"/>
    <s v="Q3 2024"/>
    <n v="1222"/>
    <n v="0.2593939393939394"/>
  </r>
  <r>
    <s v="ORD-00791"/>
    <d v="2024-04-20T00:00:00"/>
    <s v="CUST-0016"/>
    <s v="PROD-038"/>
    <s v="R003"/>
    <n v="1"/>
    <n v="5490"/>
    <n v="5.8"/>
    <n v="5171.58"/>
    <s v="Completed"/>
    <x v="2"/>
    <s v="Home"/>
    <s v="North"/>
    <s v="Apr-24"/>
    <s v="Q2 2024"/>
    <n v="2549"/>
    <n v="0.53570127504553733"/>
  </r>
  <r>
    <s v="ORD-00792"/>
    <d v="2024-04-23T00:00:00"/>
    <s v="CUST-0184"/>
    <s v="PROD-040"/>
    <s v="R024"/>
    <n v="3"/>
    <n v="1080"/>
    <n v="20.9"/>
    <n v="2562.84"/>
    <s v="Completed"/>
    <x v="0"/>
    <s v="Home"/>
    <s v="West"/>
    <s v="Apr-24"/>
    <s v="Q2 2024"/>
    <n v="519"/>
    <n v="0.51944444444444449"/>
  </r>
  <r>
    <s v="ORD-00793"/>
    <d v="2024-05-22T00:00:00"/>
    <s v="CUST-9568"/>
    <s v="PROD-027"/>
    <s v="R018"/>
    <n v="10"/>
    <n v="3780"/>
    <n v="5.5"/>
    <n v="35721"/>
    <s v="Completed"/>
    <x v="5"/>
    <s v="Grocery"/>
    <s v="East"/>
    <s v="May-24"/>
    <s v="Q2 2024"/>
    <n v="2436"/>
    <n v="0.35555555555555557"/>
  </r>
  <r>
    <s v="ORD-00794"/>
    <d v="2024-09-23T00:00:00"/>
    <s v="CUST-0118"/>
    <s v="PROD-033"/>
    <s v="R030"/>
    <n v="2"/>
    <n v="2030"/>
    <n v="2"/>
    <n v="3978.8"/>
    <s v="Pending"/>
    <x v="5"/>
    <s v="Home"/>
    <s v="West"/>
    <s v="Sep-24"/>
    <s v="Q3 2024"/>
    <n v="1143"/>
    <n v="0.43694581280788175"/>
  </r>
  <r>
    <s v="ORD-00795"/>
    <d v="2024-10-17T00:00:00"/>
    <s v="CUST-0271"/>
    <s v="PROD-041"/>
    <s v="R019"/>
    <n v="8"/>
    <n v="1540"/>
    <n v="9"/>
    <n v="11211.2"/>
    <s v="Cancelled"/>
    <x v="4"/>
    <s v="Beauty"/>
    <s v="East"/>
    <s v="Oct-24"/>
    <s v="Q4 2024"/>
    <n v="647"/>
    <n v="0.57987012987012987"/>
  </r>
  <r>
    <s v="ORD-00796"/>
    <d v="2024-11-05T00:00:00"/>
    <s v="CUST-0147"/>
    <s v="PROD-036"/>
    <s v="R015"/>
    <n v="9"/>
    <n v="3250"/>
    <n v="20.5"/>
    <n v="23253.75"/>
    <s v="Completed"/>
    <x v="0"/>
    <s v="Home"/>
    <s v="South"/>
    <s v="Nov-24"/>
    <s v="Q4 2024"/>
    <n v="1556"/>
    <n v="0.52123076923076928"/>
  </r>
  <r>
    <s v="ORD-00797"/>
    <d v="2024-02-22T00:00:00"/>
    <s v="CUST-0253"/>
    <s v="PROD-047"/>
    <s v="R005"/>
    <n v="3"/>
    <n v="3450"/>
    <n v="17.899999999999999"/>
    <n v="8497.35"/>
    <s v="Completed"/>
    <x v="2"/>
    <s v="Beauty"/>
    <s v="North"/>
    <s v="Feb-24"/>
    <s v="Q1 2024"/>
    <n v="2420"/>
    <n v="0.29855072463768118"/>
  </r>
  <r>
    <s v="ORD-00798"/>
    <d v="2024-07-31T00:00:00"/>
    <s v="CUST-0224"/>
    <s v="PROD-038"/>
    <s v="R008"/>
    <n v="5"/>
    <n v="5490"/>
    <n v="7.9"/>
    <n v="25281.45"/>
    <s v="Completed"/>
    <x v="1"/>
    <s v="Home"/>
    <s v="North"/>
    <s v="Jul-24"/>
    <s v="Q3 2024"/>
    <n v="2549"/>
    <n v="0.53570127504553733"/>
  </r>
  <r>
    <s v="ORD-00799"/>
    <d v="2024-01-15T00:00:00"/>
    <s v="CUST-0134"/>
    <s v="PROD-032"/>
    <s v="R029"/>
    <n v="3"/>
    <n v="370"/>
    <n v="13.4"/>
    <n v="961.26"/>
    <s v="Completed"/>
    <x v="2"/>
    <s v="Home"/>
    <s v="West"/>
    <s v="Jan-24"/>
    <s v="Q1 2024"/>
    <n v="288"/>
    <n v="0.22162162162162163"/>
  </r>
  <r>
    <s v="ORD-00800"/>
    <d v="2024-05-01T00:00:00"/>
    <s v="CUST-0287"/>
    <s v="PROD-001"/>
    <s v="R009"/>
    <n v="7"/>
    <n v="5330"/>
    <n v="29.7"/>
    <n v="26228.93"/>
    <s v="Pending"/>
    <x v="1"/>
    <s v="Electronics"/>
    <s v="South"/>
    <s v="May-24"/>
    <s v="Q2 2024"/>
    <n v="2405"/>
    <n v="0.54878048780487809"/>
  </r>
  <r>
    <s v="ORD-00801"/>
    <d v="2024-03-17T00:00:00"/>
    <s v="CUST-0144"/>
    <s v="PROD-051"/>
    <s v="R016"/>
    <n v="8"/>
    <n v="3450"/>
    <n v="23.7"/>
    <n v="21058.799999999999"/>
    <s v="Completed"/>
    <x v="1"/>
    <s v="Sports"/>
    <s v="South"/>
    <s v="Mar-24"/>
    <s v="Q1 2024"/>
    <n v="2467"/>
    <n v="0.28492753623188405"/>
  </r>
  <r>
    <s v="ORD-00802"/>
    <d v="2024-01-25T00:00:00"/>
    <s v="CUST-0255"/>
    <s v="PROD-011"/>
    <s v="R027"/>
    <n v="8"/>
    <n v="3450"/>
    <n v="5.4"/>
    <n v="26109.599999999999"/>
    <s v="Completed"/>
    <x v="1"/>
    <s v="Apparel"/>
    <s v="West"/>
    <s v="Jan-24"/>
    <s v="Q1 2024"/>
    <n v="1748"/>
    <n v="0.49333333333333335"/>
  </r>
  <r>
    <s v="ORD-00803"/>
    <d v="2024-12-26T00:00:00"/>
    <s v="CUST-0054"/>
    <s v="PROD-050"/>
    <s v="R029"/>
    <n v="1"/>
    <n v="6080"/>
    <n v="22.3"/>
    <n v="4724.16"/>
    <s v="Completed"/>
    <x v="3"/>
    <s v="Beauty"/>
    <s v="West"/>
    <s v="Dec-24"/>
    <s v="Q4 2024"/>
    <n v="2617"/>
    <n v="0.56957236842105263"/>
  </r>
  <r>
    <s v="ORD-00804"/>
    <d v="2024-11-01T00:00:00"/>
    <s v="CUST-0283"/>
    <s v="PROD-017"/>
    <s v="R011"/>
    <n v="9"/>
    <n v="2510"/>
    <n v="27.4"/>
    <n v="16400.34"/>
    <s v="Completed"/>
    <x v="2"/>
    <s v="Apparel"/>
    <s v="South"/>
    <s v="Nov-24"/>
    <s v="Q4 2024"/>
    <n v="1075"/>
    <n v="0.57171314741035861"/>
  </r>
  <r>
    <s v="ORD-00805"/>
    <d v="2024-04-10T00:00:00"/>
    <s v="CUST-0182"/>
    <s v="PROD-054"/>
    <s v="R012"/>
    <n v="10"/>
    <n v="1010"/>
    <n v="28.4"/>
    <n v="7231.6"/>
    <s v="Completed"/>
    <x v="3"/>
    <s v="Sports"/>
    <s v="South"/>
    <s v="Apr-24"/>
    <s v="Q2 2024"/>
    <n v="516"/>
    <n v="0.4891089108910891"/>
  </r>
  <r>
    <s v="ORD-00806"/>
    <d v="2024-04-19T00:00:00"/>
    <s v="CUST-0289"/>
    <s v="PROD-018"/>
    <s v="R023"/>
    <n v="1"/>
    <n v="3560"/>
    <n v="26"/>
    <n v="2634.4"/>
    <s v="Completed"/>
    <x v="3"/>
    <s v="Apparel"/>
    <s v="East"/>
    <s v="Apr-24"/>
    <s v="Q2 2024"/>
    <n v="2629"/>
    <n v="0.26151685393258428"/>
  </r>
  <r>
    <s v="ORD-00807"/>
    <d v="2024-04-15T00:00:00"/>
    <s v="CUST-0104"/>
    <s v="PROD-045"/>
    <s v="R006"/>
    <n v="8"/>
    <n v="3020"/>
    <n v="6.9"/>
    <n v="22492.959999999999"/>
    <s v="Completed"/>
    <x v="5"/>
    <s v="Beauty"/>
    <s v="North"/>
    <s v="Apr-24"/>
    <s v="Q2 2024"/>
    <n v="1626"/>
    <n v="0.46158940397350995"/>
  </r>
  <r>
    <s v="ORD-00808"/>
    <d v="2024-01-10T00:00:00"/>
    <s v="CUST-0085"/>
    <s v="PROD-026"/>
    <s v="R017"/>
    <n v="1"/>
    <n v="4070"/>
    <n v="8.1999999999999993"/>
    <n v="3736.26"/>
    <s v="Completed"/>
    <x v="1"/>
    <s v="Grocery"/>
    <s v="East"/>
    <s v="Jan-24"/>
    <s v="Q1 2024"/>
    <n v="2027"/>
    <n v="0.50196560196560192"/>
  </r>
  <r>
    <s v="ORD-00809"/>
    <d v="2024-02-25T00:00:00"/>
    <s v="CUST-0120"/>
    <s v="PROD-032"/>
    <s v="R020"/>
    <n v="9"/>
    <n v="370"/>
    <n v="19.8"/>
    <n v="2670.66"/>
    <s v="Completed"/>
    <x v="3"/>
    <s v="Home"/>
    <s v="East"/>
    <s v="Feb-24"/>
    <s v="Q1 2024"/>
    <n v="288"/>
    <n v="0.22162162162162163"/>
  </r>
  <r>
    <s v="ORD-00810"/>
    <d v="2024-09-09T00:00:00"/>
    <s v="CUST-0236"/>
    <s v="PROD-030"/>
    <s v="R020"/>
    <n v="6"/>
    <n v="970"/>
    <n v="16.2"/>
    <n v="4877.16"/>
    <s v="Completed"/>
    <x v="5"/>
    <s v="Grocery"/>
    <s v="East"/>
    <s v="Sep-24"/>
    <s v="Q3 2024"/>
    <n v="434"/>
    <n v="0.5525773195876289"/>
  </r>
  <r>
    <s v="ORD-00811"/>
    <d v="2024-12-07T00:00:00"/>
    <s v="CUST-0094"/>
    <s v="PROD-015"/>
    <s v="R019"/>
    <n v="10"/>
    <n v="2720"/>
    <n v="3"/>
    <n v="26384"/>
    <s v="Pending"/>
    <x v="0"/>
    <s v="Apparel"/>
    <s v="East"/>
    <s v="Dec-24"/>
    <s v="Q4 2024"/>
    <n v="1962"/>
    <n v="0.2786764705882353"/>
  </r>
  <r>
    <s v="ORD-00812"/>
    <d v="2024-01-02T00:00:00"/>
    <s v="CUST-0030"/>
    <s v="PROD-058"/>
    <s v="R014"/>
    <n v="7"/>
    <n v="2400"/>
    <n v="29.4"/>
    <n v="11860.8"/>
    <s v="Completed"/>
    <x v="4"/>
    <s v="Sports"/>
    <s v="South"/>
    <s v="Jan-24"/>
    <s v="Q1 2024"/>
    <n v="974"/>
    <n v="0.59416666666666662"/>
  </r>
  <r>
    <s v="ORD-00813"/>
    <d v="2024-09-29T00:00:00"/>
    <s v="CUST-0172"/>
    <s v="PROD-018"/>
    <s v="R012"/>
    <n v="8"/>
    <n v="3560"/>
    <n v="21.7"/>
    <n v="22299.84"/>
    <s v="Completed"/>
    <x v="0"/>
    <s v="Apparel"/>
    <s v="South"/>
    <s v="Sep-24"/>
    <s v="Q3 2024"/>
    <n v="2629"/>
    <n v="0.26151685393258428"/>
  </r>
  <r>
    <s v="ORD-00814"/>
    <d v="2024-04-03T00:00:00"/>
    <s v="CUST-0221"/>
    <s v="PROD-026"/>
    <s v="R015"/>
    <n v="7"/>
    <n v="4070"/>
    <n v="10.5"/>
    <n v="25498.55"/>
    <s v="Completed"/>
    <x v="2"/>
    <s v="Grocery"/>
    <s v="South"/>
    <s v="Apr-24"/>
    <s v="Q2 2024"/>
    <n v="2027"/>
    <n v="0.50196560196560192"/>
  </r>
  <r>
    <s v="ORD-01052"/>
    <d v="2024-01-08T00:00:00"/>
    <s v="CUST-0151"/>
    <s v="PROD-052"/>
    <s v="R008"/>
    <n v="3"/>
    <n v="5410"/>
    <n v="0.2"/>
    <n v="16197.54"/>
    <s v="Completed"/>
    <x v="3"/>
    <s v="Sports"/>
    <s v="North"/>
    <s v="Jan-24"/>
    <s v="Q1 2024"/>
    <n v="2265"/>
    <n v="0.58133086876155271"/>
  </r>
  <r>
    <s v="ORD-00816"/>
    <d v="2024-12-25T00:00:00"/>
    <s v="CUST-0068"/>
    <s v="PROD-021"/>
    <s v="R028"/>
    <n v="4"/>
    <n v="2760"/>
    <n v="27.5"/>
    <n v="8004"/>
    <s v="Cancelled"/>
    <x v="2"/>
    <s v="Grocery"/>
    <s v="West"/>
    <s v="Dec-24"/>
    <s v="Q4 2024"/>
    <n v="1435"/>
    <n v="0.48007246376811596"/>
  </r>
  <r>
    <s v="ORD-01136"/>
    <d v="2024-07-01T00:00:00"/>
    <s v="CUST-0165"/>
    <s v="PROD-034"/>
    <s v="R013"/>
    <n v="3"/>
    <n v="5080"/>
    <n v="27.2"/>
    <n v="11094.72"/>
    <s v="Completed"/>
    <x v="0"/>
    <s v="Home"/>
    <s v="South"/>
    <s v="Jul-24"/>
    <s v="Q3 2024"/>
    <n v="2459"/>
    <n v="0.51594488188976373"/>
  </r>
  <r>
    <s v="ORD-00818"/>
    <d v="2024-04-09T00:00:00"/>
    <s v="CUST-0060"/>
    <s v="PROD-035"/>
    <s v="R017"/>
    <n v="5"/>
    <n v="1090"/>
    <n v="3.3"/>
    <n v="5270.15"/>
    <s v="Completed"/>
    <x v="0"/>
    <s v="Home"/>
    <s v="East"/>
    <s v="Apr-24"/>
    <s v="Q2 2024"/>
    <n v="464"/>
    <n v="0.57431192660550456"/>
  </r>
  <r>
    <s v="ORD-00819"/>
    <d v="2024-02-06T00:00:00"/>
    <s v="CUST-0130"/>
    <s v="PROD-023"/>
    <s v="R029"/>
    <n v="10"/>
    <n v="2380"/>
    <n v="7"/>
    <n v="22134"/>
    <s v="Completed"/>
    <x v="4"/>
    <s v="Grocery"/>
    <s v="West"/>
    <s v="Feb-24"/>
    <s v="Q1 2024"/>
    <n v="1182"/>
    <n v="0.50336134453781511"/>
  </r>
  <r>
    <s v="ORD-00820"/>
    <d v="2024-07-17T00:00:00"/>
    <s v="CUST-0023"/>
    <s v="PROD-012"/>
    <s v="R026"/>
    <n v="5"/>
    <n v="3160"/>
    <n v="25.6"/>
    <n v="11755.2"/>
    <s v="Completed"/>
    <x v="1"/>
    <s v="Apparel"/>
    <s v="West"/>
    <s v="Jul-24"/>
    <s v="Q3 2024"/>
    <n v="1886"/>
    <n v="0.4031645569620253"/>
  </r>
  <r>
    <s v="ORD-00821"/>
    <d v="2024-03-11T00:00:00"/>
    <s v="CUST-0089"/>
    <s v="PROD-058"/>
    <s v="R029"/>
    <n v="9"/>
    <n v="2400"/>
    <n v="8.4"/>
    <n v="19785.599999999999"/>
    <s v="Completed"/>
    <x v="3"/>
    <s v="Sports"/>
    <s v="West"/>
    <s v="Mar-24"/>
    <s v="Q1 2024"/>
    <n v="974"/>
    <n v="0.59416666666666662"/>
  </r>
  <r>
    <s v="ORD-00822"/>
    <d v="2024-06-06T00:00:00"/>
    <s v="CUST-0300"/>
    <s v="PROD-002"/>
    <s v="R020"/>
    <n v="4"/>
    <n v="2600"/>
    <n v="4.2"/>
    <n v="9963.2000000000007"/>
    <s v="Completed"/>
    <x v="3"/>
    <s v="Electronics"/>
    <s v="East"/>
    <s v="Jun-24"/>
    <s v="Q2 2024"/>
    <n v="1052"/>
    <n v="0.5953846153846154"/>
  </r>
  <r>
    <s v="ORD-00823"/>
    <d v="2024-04-27T00:00:00"/>
    <s v="CUST-9578"/>
    <s v="PROD-024"/>
    <s v="R023"/>
    <n v="5"/>
    <n v="2270"/>
    <n v="0.1"/>
    <n v="11338.65"/>
    <s v="Completed"/>
    <x v="3"/>
    <s v="Grocery"/>
    <s v="East"/>
    <s v="Apr-24"/>
    <s v="Q2 2024"/>
    <n v="1203"/>
    <n v="0.47004405286343615"/>
  </r>
  <r>
    <s v="ORD-00824"/>
    <d v="2024-06-22T00:00:00"/>
    <s v="CUST-0130"/>
    <s v="PROD-038"/>
    <s v="R020"/>
    <n v="7"/>
    <n v="5490"/>
    <n v="14.9"/>
    <n v="32703.93"/>
    <s v="Completed"/>
    <x v="4"/>
    <s v="Home"/>
    <s v="East"/>
    <s v="Jun-24"/>
    <s v="Q2 2024"/>
    <n v="2549"/>
    <n v="0.53570127504553733"/>
  </r>
  <r>
    <s v="ORD-00825"/>
    <d v="2024-05-03T00:00:00"/>
    <s v="CUST-0247"/>
    <s v="PROD-004"/>
    <s v="R009"/>
    <n v="5"/>
    <n v="3870"/>
    <n v="13.3"/>
    <n v="16776.45"/>
    <s v="Cancelled"/>
    <x v="0"/>
    <s v="Electronics"/>
    <s v="South"/>
    <s v="May-24"/>
    <s v="Q2 2024"/>
    <n v="1559"/>
    <n v="0.59715762273901807"/>
  </r>
  <r>
    <s v="ORD-00826"/>
    <d v="2024-03-21T00:00:00"/>
    <s v="CUST-0256"/>
    <s v="PROD-049"/>
    <s v="R024"/>
    <n v="2"/>
    <n v="960"/>
    <n v="17.5"/>
    <n v="1584"/>
    <s v="Completed"/>
    <x v="5"/>
    <s v="Beauty"/>
    <s v="West"/>
    <s v="Mar-24"/>
    <s v="Q1 2024"/>
    <n v="675"/>
    <n v="0.296875"/>
  </r>
  <r>
    <s v="ORD-00827"/>
    <d v="2024-04-23T00:00:00"/>
    <s v="CUST-0213"/>
    <s v="PROD-046"/>
    <s v="R001"/>
    <n v="4"/>
    <n v="4880"/>
    <n v="12.2"/>
    <n v="17138.560000000001"/>
    <s v="Cancelled"/>
    <x v="3"/>
    <s v="Beauty"/>
    <s v="North"/>
    <s v="Apr-24"/>
    <s v="Q2 2024"/>
    <n v="2768"/>
    <n v="0.43278688524590164"/>
  </r>
  <r>
    <s v="ORD-00828"/>
    <d v="2024-05-07T00:00:00"/>
    <s v="CUST-0183"/>
    <s v="PROD-058"/>
    <s v="R008"/>
    <n v="5"/>
    <n v="2400"/>
    <n v="15"/>
    <n v="10200"/>
    <s v="Completed"/>
    <x v="3"/>
    <s v="Sports"/>
    <s v="North"/>
    <s v="May-24"/>
    <s v="Q2 2024"/>
    <n v="974"/>
    <n v="0.59416666666666662"/>
  </r>
  <r>
    <s v="ORD-00829"/>
    <d v="2024-08-18T00:00:00"/>
    <s v="CUST-0051"/>
    <s v="PROD-016"/>
    <s v="R015"/>
    <n v="9"/>
    <n v="620"/>
    <n v="20.399999999999999"/>
    <n v="4441.68"/>
    <s v="Pending"/>
    <x v="0"/>
    <s v="Apparel"/>
    <s v="South"/>
    <s v="Aug-24"/>
    <s v="Q3 2024"/>
    <n v="396"/>
    <n v="0.36129032258064514"/>
  </r>
  <r>
    <s v="ORD-00830"/>
    <d v="2024-08-09T00:00:00"/>
    <s v="CUST-0001"/>
    <s v="PROD-039"/>
    <s v="R013"/>
    <n v="1"/>
    <n v="4610"/>
    <n v="1.8"/>
    <n v="4527.0200000000004"/>
    <s v="Pending"/>
    <x v="0"/>
    <s v="Home"/>
    <s v="South"/>
    <s v="Aug-24"/>
    <s v="Q3 2024"/>
    <n v="1850"/>
    <n v="0.59869848156182215"/>
  </r>
  <r>
    <s v="ORD-00831"/>
    <d v="2024-07-27T00:00:00"/>
    <s v="CUST-0105"/>
    <s v="PROD-039"/>
    <s v="R014"/>
    <n v="7"/>
    <n v="4610"/>
    <n v="27"/>
    <n v="23557.1"/>
    <s v="Completed"/>
    <x v="1"/>
    <s v="Home"/>
    <s v="South"/>
    <s v="Jul-24"/>
    <s v="Q3 2024"/>
    <n v="1850"/>
    <n v="0.59869848156182215"/>
  </r>
  <r>
    <s v="ORD-00832"/>
    <d v="2024-11-12T00:00:00"/>
    <s v="CUST-0199"/>
    <s v="PROD-030"/>
    <s v="R029"/>
    <n v="6"/>
    <n v="970"/>
    <n v="4.7"/>
    <n v="5546.46"/>
    <s v="Cancelled"/>
    <x v="5"/>
    <s v="Grocery"/>
    <s v="West"/>
    <s v="Nov-24"/>
    <s v="Q4 2024"/>
    <n v="434"/>
    <n v="0.5525773195876289"/>
  </r>
  <r>
    <s v="ORD-00833"/>
    <d v="2024-03-11T00:00:00"/>
    <s v="CUST-0240"/>
    <s v="PROD-007"/>
    <s v="R026"/>
    <n v="8"/>
    <n v="1430"/>
    <n v="8.6999999999999993"/>
    <n v="10444.719999999999"/>
    <s v="Completed"/>
    <x v="1"/>
    <s v="Electronics"/>
    <s v="West"/>
    <s v="Mar-24"/>
    <s v="Q1 2024"/>
    <n v="861"/>
    <n v="0.39790209790209791"/>
  </r>
  <r>
    <s v="ORD-00834"/>
    <d v="2024-02-26T00:00:00"/>
    <s v="CUST-0283"/>
    <s v="PROD-027"/>
    <s v="R011"/>
    <n v="5"/>
    <n v="3780"/>
    <n v="2.9"/>
    <n v="18351.900000000001"/>
    <s v="Completed"/>
    <x v="2"/>
    <s v="Grocery"/>
    <s v="South"/>
    <s v="Feb-24"/>
    <s v="Q1 2024"/>
    <n v="2436"/>
    <n v="0.35555555555555557"/>
  </r>
  <r>
    <s v="ORD-00835"/>
    <d v="2024-08-28T00:00:00"/>
    <s v="CUST-0284"/>
    <s v="PROD-041"/>
    <s v="R023"/>
    <n v="2"/>
    <n v="1540"/>
    <n v="12.7"/>
    <n v="2688.84"/>
    <s v="Completed"/>
    <x v="5"/>
    <s v="Beauty"/>
    <s v="East"/>
    <s v="Aug-24"/>
    <s v="Q3 2024"/>
    <n v="647"/>
    <n v="0.57987012987012987"/>
  </r>
  <r>
    <s v="ORD-00836"/>
    <d v="2024-07-19T00:00:00"/>
    <s v="CUST-0060"/>
    <s v="PROD-040"/>
    <s v="R020"/>
    <n v="9"/>
    <n v="1080"/>
    <n v="11.2"/>
    <n v="8631.36"/>
    <s v="Cancelled"/>
    <x v="0"/>
    <s v="Home"/>
    <s v="East"/>
    <s v="Jul-24"/>
    <s v="Q3 2024"/>
    <n v="519"/>
    <n v="0.51944444444444449"/>
  </r>
  <r>
    <s v="ORD-00837"/>
    <d v="2024-03-17T00:00:00"/>
    <s v="CUST-0266"/>
    <s v="PROD-058"/>
    <s v="R007"/>
    <n v="3"/>
    <n v="2400"/>
    <n v="28.6"/>
    <n v="5140.8"/>
    <s v="Completed"/>
    <x v="0"/>
    <s v="Sports"/>
    <s v="North"/>
    <s v="Mar-24"/>
    <s v="Q1 2024"/>
    <n v="974"/>
    <n v="0.59416666666666662"/>
  </r>
  <r>
    <s v="ORD-00838"/>
    <d v="2024-06-05T00:00:00"/>
    <s v="CUST-0056"/>
    <s v="PROD-040"/>
    <s v="R018"/>
    <n v="5"/>
    <n v="1080"/>
    <n v="18.3"/>
    <n v="4411.8"/>
    <s v="Completed"/>
    <x v="4"/>
    <s v="Home"/>
    <s v="East"/>
    <s v="Jun-24"/>
    <s v="Q2 2024"/>
    <n v="519"/>
    <n v="0.51944444444444449"/>
  </r>
  <r>
    <s v="ORD-00839"/>
    <d v="2024-11-14T00:00:00"/>
    <s v="CUST-0187"/>
    <s v="PROD-024"/>
    <s v="R027"/>
    <n v="7"/>
    <n v="2270"/>
    <n v="1.7"/>
    <n v="15619.87"/>
    <s v="Cancelled"/>
    <x v="1"/>
    <s v="Grocery"/>
    <s v="West"/>
    <s v="Nov-24"/>
    <s v="Q4 2024"/>
    <n v="1203"/>
    <n v="0.47004405286343615"/>
  </r>
  <r>
    <s v="ORD-00840"/>
    <d v="2024-05-26T00:00:00"/>
    <s v="CUST-0183"/>
    <s v="PROD-028"/>
    <s v="R026"/>
    <n v="8"/>
    <n v="3660"/>
    <n v="19.100000000000001"/>
    <n v="23687.52"/>
    <s v="Cancelled"/>
    <x v="3"/>
    <s v="Grocery"/>
    <s v="West"/>
    <s v="May-24"/>
    <s v="Q2 2024"/>
    <n v="2214"/>
    <n v="0.39508196721311473"/>
  </r>
  <r>
    <s v="ORD-00841"/>
    <d v="2024-07-04T00:00:00"/>
    <s v="CUST-0068"/>
    <s v="PROD-036"/>
    <s v="R003"/>
    <n v="5"/>
    <n v="3250"/>
    <n v="12.9"/>
    <n v="14153.75"/>
    <s v="Completed"/>
    <x v="2"/>
    <s v="Home"/>
    <s v="North"/>
    <s v="Jul-24"/>
    <s v="Q3 2024"/>
    <n v="1556"/>
    <n v="0.52123076923076928"/>
  </r>
  <r>
    <s v="ORD-00842"/>
    <d v="2024-02-06T00:00:00"/>
    <s v="CUST-0135"/>
    <s v="PROD-044"/>
    <s v="R012"/>
    <n v="4"/>
    <n v="1650"/>
    <n v="4.0999999999999996"/>
    <n v="6329.4"/>
    <s v="Completed"/>
    <x v="0"/>
    <s v="Beauty"/>
    <s v="South"/>
    <s v="Feb-24"/>
    <s v="Q1 2024"/>
    <n v="1222"/>
    <n v="0.2593939393939394"/>
  </r>
  <r>
    <s v="ORD-00843"/>
    <d v="2024-11-28T00:00:00"/>
    <s v="CUST-0191"/>
    <s v="PROD-034"/>
    <s v="R003"/>
    <n v="6"/>
    <n v="5080"/>
    <n v="3"/>
    <n v="29565.599999999999"/>
    <s v="Completed"/>
    <x v="5"/>
    <s v="Home"/>
    <s v="North"/>
    <s v="Nov-24"/>
    <s v="Q4 2024"/>
    <n v="2459"/>
    <n v="0.51594488188976373"/>
  </r>
  <r>
    <s v="ORD-00844"/>
    <d v="2024-11-18T00:00:00"/>
    <s v="CUST-0244"/>
    <s v="PROD-051"/>
    <s v="R027"/>
    <n v="8"/>
    <n v="3450"/>
    <n v="20.9"/>
    <n v="21831.599999999999"/>
    <s v="Completed"/>
    <x v="4"/>
    <s v="Sports"/>
    <s v="West"/>
    <s v="Nov-24"/>
    <s v="Q4 2024"/>
    <n v="2467"/>
    <n v="0.28492753623188405"/>
  </r>
  <r>
    <s v="ORD-00845"/>
    <d v="2024-05-17T00:00:00"/>
    <s v="CUST-0189"/>
    <s v="PROD-043"/>
    <s v="R018"/>
    <n v="6"/>
    <n v="3350"/>
    <n v="24.8"/>
    <n v="15115.2"/>
    <s v="Completed"/>
    <x v="1"/>
    <s v="Beauty"/>
    <s v="East"/>
    <s v="May-24"/>
    <s v="Q2 2024"/>
    <n v="1728"/>
    <n v="0.48417910447761192"/>
  </r>
  <r>
    <s v="ORD-00846"/>
    <d v="2024-06-08T00:00:00"/>
    <s v="CUST-0166"/>
    <s v="PROD-029"/>
    <s v="R027"/>
    <n v="10"/>
    <n v="2210"/>
    <n v="4.2"/>
    <n v="21171.8"/>
    <s v="Completed"/>
    <x v="5"/>
    <s v="Grocery"/>
    <s v="West"/>
    <s v="Jun-24"/>
    <s v="Q2 2024"/>
    <n v="1010"/>
    <n v="0.54298642533936647"/>
  </r>
  <r>
    <s v="ORD-00847"/>
    <d v="2024-06-01T00:00:00"/>
    <s v="CUST-0167"/>
    <s v="PROD-046"/>
    <s v="R006"/>
    <n v="10"/>
    <n v="4880"/>
    <n v="0.7"/>
    <n v="48458.400000000001"/>
    <s v="Completed"/>
    <x v="2"/>
    <s v="Beauty"/>
    <s v="North"/>
    <s v="Jun-24"/>
    <s v="Q2 2024"/>
    <n v="2768"/>
    <n v="0.43278688524590164"/>
  </r>
  <r>
    <s v="ORD-00848"/>
    <d v="2024-03-18T00:00:00"/>
    <s v="CUST-0265"/>
    <s v="PROD-055"/>
    <s v="R004"/>
    <n v="7"/>
    <n v="2860"/>
    <n v="28.1"/>
    <n v="14394.38"/>
    <s v="Pending"/>
    <x v="1"/>
    <s v="Sports"/>
    <s v="North"/>
    <s v="Mar-24"/>
    <s v="Q1 2024"/>
    <n v="2028"/>
    <n v="0.29090909090909089"/>
  </r>
  <r>
    <s v="ORD-00849"/>
    <d v="2024-10-16T00:00:00"/>
    <s v="CUST-0172"/>
    <s v="PROD-030"/>
    <s v="R005"/>
    <n v="3"/>
    <n v="970"/>
    <n v="28.3"/>
    <n v="2086.4699999999998"/>
    <s v="Completed"/>
    <x v="0"/>
    <s v="Grocery"/>
    <s v="North"/>
    <s v="Oct-24"/>
    <s v="Q4 2024"/>
    <n v="434"/>
    <n v="0.5525773195876289"/>
  </r>
  <r>
    <s v="ORD-00850"/>
    <d v="2024-07-21T00:00:00"/>
    <s v="CUST-0205"/>
    <s v="PROD-022"/>
    <s v="R008"/>
    <n v="1"/>
    <n v="2270"/>
    <n v="15.1"/>
    <n v="1927.23"/>
    <s v="Completed"/>
    <x v="0"/>
    <s v="Grocery"/>
    <s v="North"/>
    <s v="Jul-24"/>
    <s v="Q3 2024"/>
    <n v="1412"/>
    <n v="0.37797356828193834"/>
  </r>
  <r>
    <s v="ORD-00851"/>
    <d v="2024-02-02T00:00:00"/>
    <s v="CUST-0102"/>
    <s v="PROD-018"/>
    <s v="R015"/>
    <n v="5"/>
    <n v="3560"/>
    <n v="11.5"/>
    <n v="15753"/>
    <s v="Completed"/>
    <x v="1"/>
    <s v="Apparel"/>
    <s v="South"/>
    <s v="Feb-24"/>
    <s v="Q1 2024"/>
    <n v="2629"/>
    <n v="0.26151685393258428"/>
  </r>
  <r>
    <s v="ORD-00852"/>
    <d v="2024-05-07T00:00:00"/>
    <s v="CUST-0142"/>
    <s v="PROD-052"/>
    <s v="R010"/>
    <n v="2"/>
    <n v="5410"/>
    <n v="14.8"/>
    <n v="9218.64"/>
    <s v="Pending"/>
    <x v="1"/>
    <s v="Sports"/>
    <s v="South"/>
    <s v="May-24"/>
    <s v="Q2 2024"/>
    <n v="2265"/>
    <n v="0.58133086876155271"/>
  </r>
  <r>
    <s v="ORD-00853"/>
    <d v="2024-12-30T00:00:00"/>
    <s v="CUST-0195"/>
    <s v="PROD-019"/>
    <s v="R006"/>
    <n v="2"/>
    <n v="2480"/>
    <n v="27.2"/>
    <n v="3610.88"/>
    <s v="Completed"/>
    <x v="4"/>
    <s v="Apparel"/>
    <s v="North"/>
    <s v="Dec-24"/>
    <s v="Q4 2024"/>
    <n v="1173"/>
    <n v="0.52701612903225803"/>
  </r>
  <r>
    <s v="ORD-00854"/>
    <d v="2024-02-28T00:00:00"/>
    <s v="CUST-0125"/>
    <s v="PROD-020"/>
    <s v="R014"/>
    <n v="6"/>
    <n v="820"/>
    <n v="6.6"/>
    <n v="4595.28"/>
    <s v="Completed"/>
    <x v="2"/>
    <s v="Apparel"/>
    <s v="South"/>
    <s v="Feb-24"/>
    <s v="Q1 2024"/>
    <n v="391"/>
    <n v="0.52317073170731709"/>
  </r>
  <r>
    <s v="ORD-00855"/>
    <d v="2024-05-22T00:00:00"/>
    <s v="CUST-0234"/>
    <s v="PROD-001"/>
    <s v="R015"/>
    <n v="10"/>
    <n v="5330"/>
    <n v="16.100000000000001"/>
    <n v="44718.7"/>
    <s v="Completed"/>
    <x v="4"/>
    <s v="Electronics"/>
    <s v="South"/>
    <s v="May-24"/>
    <s v="Q2 2024"/>
    <n v="2405"/>
    <n v="0.54878048780487809"/>
  </r>
  <r>
    <s v="ORD-00856"/>
    <d v="2024-05-26T00:00:00"/>
    <s v="CUST-0061"/>
    <s v="PROD-047"/>
    <s v="R004"/>
    <n v="2"/>
    <n v="3450"/>
    <n v="11.3"/>
    <n v="6120.3"/>
    <s v="Pending"/>
    <x v="5"/>
    <s v="Beauty"/>
    <s v="North"/>
    <s v="May-24"/>
    <s v="Q2 2024"/>
    <n v="2420"/>
    <n v="0.29855072463768118"/>
  </r>
  <r>
    <s v="ORD-00857"/>
    <d v="2024-07-13T00:00:00"/>
    <s v="CUST-0189"/>
    <s v="PROD-049"/>
    <s v="R023"/>
    <n v="7"/>
    <n v="960"/>
    <n v="17.100000000000001"/>
    <n v="5570.88"/>
    <s v="Completed"/>
    <x v="1"/>
    <s v="Beauty"/>
    <s v="East"/>
    <s v="Jul-24"/>
    <s v="Q3 2024"/>
    <n v="675"/>
    <n v="0.296875"/>
  </r>
  <r>
    <s v="ORD-00858"/>
    <d v="2024-11-27T00:00:00"/>
    <s v="CUST-0191"/>
    <s v="PROD-011"/>
    <s v="R003"/>
    <n v="5"/>
    <n v="3450"/>
    <n v="22.9"/>
    <n v="13299.75"/>
    <s v="Completed"/>
    <x v="5"/>
    <s v="Apparel"/>
    <s v="North"/>
    <s v="Nov-24"/>
    <s v="Q4 2024"/>
    <n v="1748"/>
    <n v="0.49333333333333335"/>
  </r>
  <r>
    <s v="ORD-00859"/>
    <d v="2024-12-08T00:00:00"/>
    <s v="CUST-0217"/>
    <s v="PROD-009"/>
    <s v="R008"/>
    <n v="5"/>
    <n v="1220"/>
    <n v="0.3"/>
    <n v="6081.7"/>
    <s v="Completed"/>
    <x v="0"/>
    <s v="Electronics"/>
    <s v="North"/>
    <s v="Dec-24"/>
    <s v="Q4 2024"/>
    <n v="517"/>
    <n v="0.57622950819672136"/>
  </r>
  <r>
    <s v="ORD-00860"/>
    <d v="2024-01-17T00:00:00"/>
    <s v="CUST-0060"/>
    <s v="PROD-001"/>
    <s v="R007"/>
    <n v="5"/>
    <n v="5330"/>
    <n v="29"/>
    <n v="18921.5"/>
    <s v="Completed"/>
    <x v="0"/>
    <s v="Electronics"/>
    <s v="North"/>
    <s v="Jan-24"/>
    <s v="Q1 2024"/>
    <n v="2405"/>
    <n v="0.54878048780487809"/>
  </r>
  <r>
    <s v="ORD-00861"/>
    <d v="2024-12-15T00:00:00"/>
    <s v="CUST-0270"/>
    <s v="PROD-003"/>
    <s v="R028"/>
    <n v="3"/>
    <n v="3570"/>
    <n v="20"/>
    <n v="8568"/>
    <s v="Cancelled"/>
    <x v="4"/>
    <s v="Electronics"/>
    <s v="West"/>
    <s v="Dec-24"/>
    <s v="Q4 2024"/>
    <n v="1665"/>
    <n v="0.53361344537815125"/>
  </r>
  <r>
    <s v="ORD-00862"/>
    <d v="2024-04-14T00:00:00"/>
    <s v="CUST-0279"/>
    <s v="PROD-029"/>
    <s v="R026"/>
    <n v="9"/>
    <n v="2210"/>
    <n v="12.4"/>
    <n v="17423.64"/>
    <s v="Completed"/>
    <x v="3"/>
    <s v="Grocery"/>
    <s v="West"/>
    <s v="Apr-24"/>
    <s v="Q2 2024"/>
    <n v="1010"/>
    <n v="0.54298642533936647"/>
  </r>
  <r>
    <s v="ORD-00863"/>
    <d v="2024-01-11T00:00:00"/>
    <s v="CUST-0008"/>
    <s v="PROD-059"/>
    <s v="R029"/>
    <n v="5"/>
    <n v="3780"/>
    <n v="3.9"/>
    <n v="18162.900000000001"/>
    <s v="Completed"/>
    <x v="0"/>
    <s v="Sports"/>
    <s v="West"/>
    <s v="Jan-24"/>
    <s v="Q1 2024"/>
    <n v="1860"/>
    <n v="0.50793650793650791"/>
  </r>
  <r>
    <s v="ORD-00864"/>
    <d v="2024-11-30T00:00:00"/>
    <s v="CUST-0259"/>
    <s v="PROD-010"/>
    <s v="R008"/>
    <n v="10"/>
    <n v="2640"/>
    <n v="17.8"/>
    <n v="21700.799999999999"/>
    <s v="Refunded"/>
    <x v="3"/>
    <s v="Electronics"/>
    <s v="North"/>
    <s v="Nov-24"/>
    <s v="Q4 2024"/>
    <n v="1149"/>
    <n v="0.56477272727272732"/>
  </r>
  <r>
    <s v="ORD-00865"/>
    <d v="2024-03-01T00:00:00"/>
    <s v="CUST-0169"/>
    <s v="PROD-005"/>
    <s v="R024"/>
    <n v="5"/>
    <n v="300"/>
    <n v="12.9"/>
    <n v="1306.5"/>
    <s v="Completed"/>
    <x v="4"/>
    <s v="Electronics"/>
    <s v="West"/>
    <s v="Mar-24"/>
    <s v="Q1 2024"/>
    <n v="128"/>
    <n v="0.57333333333333336"/>
  </r>
  <r>
    <s v="ORD-00866"/>
    <d v="2024-10-23T00:00:00"/>
    <s v="CUST-0191"/>
    <s v="PROD-058"/>
    <s v="R013"/>
    <n v="2"/>
    <n v="2400"/>
    <n v="17.100000000000001"/>
    <n v="3979.2"/>
    <s v="Pending"/>
    <x v="5"/>
    <s v="Sports"/>
    <s v="South"/>
    <s v="Oct-24"/>
    <s v="Q4 2024"/>
    <n v="974"/>
    <n v="0.59416666666666662"/>
  </r>
  <r>
    <s v="ORD-00867"/>
    <d v="2024-10-18T00:00:00"/>
    <s v="CUST-0129"/>
    <s v="PROD-040"/>
    <s v="R026"/>
    <n v="5"/>
    <n v="1080"/>
    <n v="15.7"/>
    <n v="4552.2"/>
    <s v="Pending"/>
    <x v="5"/>
    <s v="Home"/>
    <s v="West"/>
    <s v="Oct-24"/>
    <s v="Q4 2024"/>
    <n v="519"/>
    <n v="0.51944444444444449"/>
  </r>
  <r>
    <s v="ORD-00868"/>
    <d v="2024-08-24T00:00:00"/>
    <s v="CUST-0066"/>
    <s v="PROD-036"/>
    <s v="R003"/>
    <n v="1"/>
    <n v="3250"/>
    <n v="14.7"/>
    <n v="2772.25"/>
    <s v="Completed"/>
    <x v="2"/>
    <s v="Home"/>
    <s v="North"/>
    <s v="Aug-24"/>
    <s v="Q3 2024"/>
    <n v="1556"/>
    <n v="0.52123076923076928"/>
  </r>
  <r>
    <s v="ORD-00869"/>
    <d v="2024-04-18T00:00:00"/>
    <s v="CUST-0114"/>
    <s v="PROD-032"/>
    <s v="R021"/>
    <n v="7"/>
    <n v="370"/>
    <n v="6"/>
    <n v="2434.6"/>
    <s v="Cancelled"/>
    <x v="4"/>
    <s v="Home"/>
    <s v="East"/>
    <s v="Apr-24"/>
    <s v="Q2 2024"/>
    <n v="288"/>
    <n v="0.22162162162162163"/>
  </r>
  <r>
    <s v="ORD-00870"/>
    <d v="2024-02-15T00:00:00"/>
    <s v="CUST-9833"/>
    <s v="PROD-038"/>
    <s v="R029"/>
    <n v="7"/>
    <n v="5490"/>
    <n v="10.199999999999999"/>
    <n v="34510.14"/>
    <s v="Completed"/>
    <x v="0"/>
    <s v="Home"/>
    <s v="West"/>
    <s v="Feb-24"/>
    <s v="Q1 2024"/>
    <n v="2549"/>
    <n v="0.53570127504553733"/>
  </r>
  <r>
    <s v="ORD-00871"/>
    <d v="2024-07-09T00:00:00"/>
    <s v="CUST-0076"/>
    <s v="PROD-006"/>
    <s v="R028"/>
    <n v="3"/>
    <n v="3970"/>
    <n v="2.4"/>
    <n v="11624.16"/>
    <s v="Completed"/>
    <x v="3"/>
    <s v="Electronics"/>
    <s v="West"/>
    <s v="Jul-24"/>
    <s v="Q3 2024"/>
    <n v="2865"/>
    <n v="0.27833753148614609"/>
  </r>
  <r>
    <s v="ORD-00872"/>
    <d v="2024-10-18T00:00:00"/>
    <s v="CUST-0215"/>
    <s v="PROD-009"/>
    <s v="R007"/>
    <n v="4"/>
    <n v="1220"/>
    <n v="25.3"/>
    <n v="3645.36"/>
    <s v="Completed"/>
    <x v="5"/>
    <s v="Electronics"/>
    <s v="North"/>
    <s v="Oct-24"/>
    <s v="Q4 2024"/>
    <n v="517"/>
    <n v="0.57622950819672136"/>
  </r>
  <r>
    <s v="ORD-00873"/>
    <d v="2024-04-27T00:00:00"/>
    <s v="CUST-0061"/>
    <s v="PROD-012"/>
    <s v="R026"/>
    <n v="3"/>
    <n v="3160"/>
    <n v="19.8"/>
    <n v="7602.96"/>
    <s v="Completed"/>
    <x v="5"/>
    <s v="Apparel"/>
    <s v="West"/>
    <s v="Apr-24"/>
    <s v="Q2 2024"/>
    <n v="1886"/>
    <n v="0.4031645569620253"/>
  </r>
  <r>
    <s v="ORD-00874"/>
    <d v="2024-05-18T00:00:00"/>
    <s v="CUST-0249"/>
    <s v="PROD-005"/>
    <s v="R008"/>
    <n v="1"/>
    <n v="300"/>
    <n v="24.5"/>
    <n v="226.5"/>
    <s v="Completed"/>
    <x v="3"/>
    <s v="Electronics"/>
    <s v="North"/>
    <s v="May-24"/>
    <s v="Q2 2024"/>
    <n v="128"/>
    <n v="0.57333333333333336"/>
  </r>
  <r>
    <s v="ORD-00875"/>
    <d v="2024-12-28T00:00:00"/>
    <s v="CUST-0105"/>
    <s v="PROD-047"/>
    <s v="R029"/>
    <n v="5"/>
    <n v="3450"/>
    <n v="13.4"/>
    <n v="14938.5"/>
    <s v="Pending"/>
    <x v="1"/>
    <s v="Beauty"/>
    <s v="West"/>
    <s v="Dec-24"/>
    <s v="Q4 2024"/>
    <n v="2420"/>
    <n v="0.29855072463768118"/>
  </r>
  <r>
    <s v="ORD-00876"/>
    <d v="2024-04-15T00:00:00"/>
    <s v="CUST-0161"/>
    <s v="PROD-014"/>
    <s v="R027"/>
    <n v="7"/>
    <n v="3620"/>
    <n v="19.2"/>
    <n v="20474.72"/>
    <s v="Completed"/>
    <x v="1"/>
    <s v="Apparel"/>
    <s v="West"/>
    <s v="Apr-24"/>
    <s v="Q2 2024"/>
    <n v="2509"/>
    <n v="0.3069060773480663"/>
  </r>
  <r>
    <s v="ORD-00877"/>
    <d v="2024-08-01T00:00:00"/>
    <s v="CUST-0275"/>
    <s v="PROD-024"/>
    <s v="R010"/>
    <n v="10"/>
    <n v="2270"/>
    <n v="20.5"/>
    <n v="18046.5"/>
    <s v="Completed"/>
    <x v="3"/>
    <s v="Grocery"/>
    <s v="South"/>
    <s v="Aug-24"/>
    <s v="Q3 2024"/>
    <n v="1203"/>
    <n v="0.47004405286343615"/>
  </r>
  <r>
    <s v="ORD-00878"/>
    <d v="2024-04-04T00:00:00"/>
    <s v="CUST-0049"/>
    <s v="PROD-015"/>
    <s v="R024"/>
    <n v="5"/>
    <n v="2720"/>
    <n v="29.3"/>
    <n v="9615.2000000000007"/>
    <s v="Completed"/>
    <x v="3"/>
    <s v="Apparel"/>
    <s v="West"/>
    <s v="Apr-24"/>
    <s v="Q2 2024"/>
    <n v="1962"/>
    <n v="0.2786764705882353"/>
  </r>
  <r>
    <s v="ORD-00879"/>
    <d v="2024-07-26T00:00:00"/>
    <s v="CUST-0235"/>
    <s v="PROD-027"/>
    <s v="R022"/>
    <n v="9"/>
    <n v="3780"/>
    <n v="2.2999999999999998"/>
    <n v="33237.54"/>
    <s v="Completed"/>
    <x v="1"/>
    <s v="Grocery"/>
    <s v="East"/>
    <s v="Jul-24"/>
    <s v="Q3 2024"/>
    <n v="2436"/>
    <n v="0.35555555555555557"/>
  </r>
  <r>
    <s v="ORD-00880"/>
    <d v="2024-12-10T00:00:00"/>
    <s v="CUST-0220"/>
    <s v="PROD-025"/>
    <s v="R014"/>
    <n v="9"/>
    <n v="4060"/>
    <n v="11.5"/>
    <n v="32337.9"/>
    <s v="Completed"/>
    <x v="1"/>
    <s v="Grocery"/>
    <s v="South"/>
    <s v="Dec-24"/>
    <s v="Q4 2024"/>
    <n v="2911"/>
    <n v="0.28300492610837441"/>
  </r>
  <r>
    <s v="ORD-00881"/>
    <d v="2024-08-13T00:00:00"/>
    <s v="CUST-0298"/>
    <s v="PROD-021"/>
    <s v="R012"/>
    <n v="10"/>
    <n v="2760"/>
    <n v="3.9"/>
    <n v="26523.599999999999"/>
    <s v="Refunded"/>
    <x v="2"/>
    <s v="Grocery"/>
    <s v="South"/>
    <s v="Aug-24"/>
    <s v="Q3 2024"/>
    <n v="1435"/>
    <n v="0.48007246376811596"/>
  </r>
  <r>
    <s v="ORD-00882"/>
    <d v="2024-10-28T00:00:00"/>
    <s v="CUST-0222"/>
    <s v="PROD-040"/>
    <s v="R021"/>
    <n v="10"/>
    <n v="1080"/>
    <n v="21.4"/>
    <n v="8488.7999999999993"/>
    <s v="Completed"/>
    <x v="1"/>
    <s v="Home"/>
    <s v="East"/>
    <s v="Oct-24"/>
    <s v="Q4 2024"/>
    <n v="519"/>
    <n v="0.51944444444444449"/>
  </r>
  <r>
    <s v="ORD-00883"/>
    <d v="2024-07-24T00:00:00"/>
    <s v="CUST-0049"/>
    <s v="PROD-034"/>
    <s v="R023"/>
    <n v="6"/>
    <n v="5080"/>
    <n v="29.8"/>
    <n v="21396.959999999999"/>
    <s v="Pending"/>
    <x v="3"/>
    <s v="Home"/>
    <s v="East"/>
    <s v="Jul-24"/>
    <s v="Q3 2024"/>
    <n v="2459"/>
    <n v="0.51594488188976373"/>
  </r>
  <r>
    <s v="ORD-00884"/>
    <d v="2024-01-02T00:00:00"/>
    <s v="CUST-0147"/>
    <s v="PROD-046"/>
    <s v="R030"/>
    <n v="1"/>
    <n v="4880"/>
    <n v="28.2"/>
    <n v="3503.84"/>
    <s v="Completed"/>
    <x v="0"/>
    <s v="Beauty"/>
    <s v="West"/>
    <s v="Jan-24"/>
    <s v="Q1 2024"/>
    <n v="2768"/>
    <n v="0.43278688524590164"/>
  </r>
  <r>
    <s v="ORD-00885"/>
    <d v="2024-09-27T00:00:00"/>
    <s v="CUST-0177"/>
    <s v="PROD-022"/>
    <s v="R027"/>
    <n v="1"/>
    <n v="2270"/>
    <n v="27.8"/>
    <n v="1638.94"/>
    <s v="Completed"/>
    <x v="3"/>
    <s v="Grocery"/>
    <s v="West"/>
    <s v="Sep-24"/>
    <s v="Q3 2024"/>
    <n v="1412"/>
    <n v="0.37797356828193834"/>
  </r>
  <r>
    <s v="ORD-00886"/>
    <d v="2024-12-12T00:00:00"/>
    <s v="CUST-0121"/>
    <s v="PROD-006"/>
    <s v="R019"/>
    <n v="9"/>
    <n v="3970"/>
    <n v="7"/>
    <n v="33228.9"/>
    <s v="Completed"/>
    <x v="2"/>
    <s v="Electronics"/>
    <s v="East"/>
    <s v="Dec-24"/>
    <s v="Q4 2024"/>
    <n v="2865"/>
    <n v="0.27833753148614609"/>
  </r>
  <r>
    <s v="ORD-00887"/>
    <d v="2024-04-26T00:00:00"/>
    <s v="CUST-0262"/>
    <s v="PROD-048"/>
    <s v="R003"/>
    <n v="9"/>
    <n v="5100"/>
    <n v="9.6999999999999993"/>
    <n v="41447.699999999997"/>
    <s v="Completed"/>
    <x v="3"/>
    <s v="Beauty"/>
    <s v="North"/>
    <s v="Apr-24"/>
    <s v="Q2 2024"/>
    <n v="2237"/>
    <n v="0.56137254901960787"/>
  </r>
  <r>
    <s v="ORD-00888"/>
    <d v="2024-07-25T00:00:00"/>
    <s v="CUST-0246"/>
    <s v="PROD-060"/>
    <s v="R005"/>
    <n v="8"/>
    <n v="190"/>
    <n v="10.199999999999999"/>
    <n v="1364.96"/>
    <s v="Completed"/>
    <x v="2"/>
    <s v="Sports"/>
    <s v="North"/>
    <s v="Jul-24"/>
    <s v="Q3 2024"/>
    <n v="147"/>
    <n v="0.22631578947368422"/>
  </r>
  <r>
    <s v="ORD-00889"/>
    <d v="2024-12-23T00:00:00"/>
    <s v="CUST-0070"/>
    <s v="PROD-050"/>
    <s v="R026"/>
    <n v="1"/>
    <n v="6080"/>
    <n v="5.6"/>
    <n v="5739.52"/>
    <s v="Completed"/>
    <x v="3"/>
    <s v="Beauty"/>
    <s v="West"/>
    <s v="Dec-24"/>
    <s v="Q4 2024"/>
    <n v="2617"/>
    <n v="0.56957236842105263"/>
  </r>
  <r>
    <s v="ORD-00890"/>
    <d v="2024-07-11T00:00:00"/>
    <s v="CUST-0218"/>
    <s v="PROD-057"/>
    <s v="R020"/>
    <n v="6"/>
    <n v="960"/>
    <n v="1.9"/>
    <n v="5650.56"/>
    <s v="Completed"/>
    <x v="3"/>
    <s v="Sports"/>
    <s v="East"/>
    <s v="Jul-24"/>
    <s v="Q3 2024"/>
    <n v="705"/>
    <n v="0.265625"/>
  </r>
  <r>
    <s v="ORD-00891"/>
    <d v="2024-01-25T00:00:00"/>
    <s v="CUST-0068"/>
    <s v="PROD-041"/>
    <s v="R004"/>
    <n v="7"/>
    <n v="1540"/>
    <n v="7.1"/>
    <n v="10014.620000000001"/>
    <s v="Completed"/>
    <x v="2"/>
    <s v="Beauty"/>
    <s v="North"/>
    <s v="Jan-24"/>
    <s v="Q1 2024"/>
    <n v="647"/>
    <n v="0.57987012987012987"/>
  </r>
  <r>
    <s v="ORD-00892"/>
    <d v="2024-02-06T00:00:00"/>
    <s v="CUST-0261"/>
    <s v="PROD-005"/>
    <s v="R011"/>
    <n v="10"/>
    <n v="300"/>
    <n v="12.8"/>
    <n v="2616"/>
    <s v="Cancelled"/>
    <x v="2"/>
    <s v="Electronics"/>
    <s v="South"/>
    <s v="Feb-24"/>
    <s v="Q1 2024"/>
    <n v="128"/>
    <n v="0.57333333333333336"/>
  </r>
  <r>
    <s v="ORD-00893"/>
    <d v="2024-06-13T00:00:00"/>
    <s v="CUST-0077"/>
    <s v="PROD-046"/>
    <s v="R011"/>
    <n v="4"/>
    <n v="4880"/>
    <n v="26.5"/>
    <n v="14347.2"/>
    <s v="Completed"/>
    <x v="5"/>
    <s v="Beauty"/>
    <s v="South"/>
    <s v="Jun-24"/>
    <s v="Q2 2024"/>
    <n v="2768"/>
    <n v="0.43278688524590164"/>
  </r>
  <r>
    <s v="ORD-00894"/>
    <d v="2024-10-24T00:00:00"/>
    <s v="CUST-0188"/>
    <s v="PROD-032"/>
    <s v="R003"/>
    <n v="2"/>
    <n v="370"/>
    <n v="26.5"/>
    <n v="543.9"/>
    <s v="Completed"/>
    <x v="4"/>
    <s v="Home"/>
    <s v="North"/>
    <s v="Oct-24"/>
    <s v="Q4 2024"/>
    <n v="288"/>
    <n v="0.22162162162162163"/>
  </r>
  <r>
    <s v="ORD-00895"/>
    <d v="2024-10-28T00:00:00"/>
    <s v="CUST-0145"/>
    <s v="PROD-039"/>
    <s v="R002"/>
    <n v="3"/>
    <n v="4610"/>
    <n v="29.7"/>
    <n v="9722.49"/>
    <s v="Completed"/>
    <x v="4"/>
    <s v="Home"/>
    <s v="North"/>
    <s v="Oct-24"/>
    <s v="Q4 2024"/>
    <n v="1850"/>
    <n v="0.59869848156182215"/>
  </r>
  <r>
    <s v="ORD-00896"/>
    <d v="2024-09-04T00:00:00"/>
    <s v="CUST-0036"/>
    <s v="PROD-002"/>
    <s v="R013"/>
    <n v="5"/>
    <n v="2600"/>
    <n v="21.4"/>
    <n v="10218"/>
    <s v="Completed"/>
    <x v="3"/>
    <s v="Electronics"/>
    <s v="South"/>
    <s v="Sep-24"/>
    <s v="Q3 2024"/>
    <n v="1052"/>
    <n v="0.5953846153846154"/>
  </r>
  <r>
    <s v="ORD-00600"/>
    <d v="2024-05-24T00:00:00"/>
    <s v="CUST-0269"/>
    <s v="PROD-009"/>
    <s v="R025"/>
    <n v="10"/>
    <n v="1220"/>
    <n v="24.3"/>
    <n v="9235.4"/>
    <s v="Completed"/>
    <x v="0"/>
    <s v="Electronics"/>
    <s v="West"/>
    <s v="May-24"/>
    <s v="Q2 2024"/>
    <n v="517"/>
    <n v="0.57622950819672136"/>
  </r>
  <r>
    <s v="ORD-00898"/>
    <d v="2024-12-20T00:00:00"/>
    <s v="CUST-9607"/>
    <s v="PROD-007"/>
    <s v="R015"/>
    <n v="10"/>
    <n v="1430"/>
    <n v="5.0999999999999996"/>
    <n v="13570.7"/>
    <s v="Cancelled"/>
    <x v="1"/>
    <s v="Electronics"/>
    <s v="South"/>
    <s v="Dec-24"/>
    <s v="Q4 2024"/>
    <n v="861"/>
    <n v="0.39790209790209791"/>
  </r>
  <r>
    <s v="ORD-00899"/>
    <d v="2024-07-05T00:00:00"/>
    <s v="CUST-0189"/>
    <s v="PROD-046"/>
    <s v="R030"/>
    <n v="10"/>
    <n v="4880"/>
    <n v="25.5"/>
    <n v="36356"/>
    <s v="Cancelled"/>
    <x v="1"/>
    <s v="Beauty"/>
    <s v="West"/>
    <s v="Jul-24"/>
    <s v="Q3 2024"/>
    <n v="2768"/>
    <n v="0.43278688524590164"/>
  </r>
  <r>
    <s v="ORD-00900"/>
    <d v="2024-08-14T00:00:00"/>
    <s v="CUST-0199"/>
    <s v="PROD-050"/>
    <s v="R028"/>
    <n v="6"/>
    <n v="6080"/>
    <n v="21.6"/>
    <n v="28600.32"/>
    <s v="Completed"/>
    <x v="5"/>
    <s v="Beauty"/>
    <s v="West"/>
    <s v="Aug-24"/>
    <s v="Q3 2024"/>
    <n v="2617"/>
    <n v="0.56957236842105263"/>
  </r>
  <r>
    <s v="ORD-00901"/>
    <d v="2024-01-28T00:00:00"/>
    <s v="CUST-0277"/>
    <s v="PROD-045"/>
    <s v="R013"/>
    <n v="3"/>
    <n v="3020"/>
    <n v="20.7"/>
    <n v="7184.58"/>
    <s v="Completed"/>
    <x v="1"/>
    <s v="Beauty"/>
    <s v="South"/>
    <s v="Jan-24"/>
    <s v="Q1 2024"/>
    <n v="1626"/>
    <n v="0.46158940397350995"/>
  </r>
  <r>
    <s v="ORD-00902"/>
    <d v="2024-06-02T00:00:00"/>
    <s v="CUST-0108"/>
    <s v="PROD-015"/>
    <s v="R013"/>
    <n v="9"/>
    <n v="2720"/>
    <n v="21.4"/>
    <n v="19241.28"/>
    <s v="Completed"/>
    <x v="4"/>
    <s v="Apparel"/>
    <s v="South"/>
    <s v="Jun-24"/>
    <s v="Q2 2024"/>
    <n v="1962"/>
    <n v="0.2786764705882353"/>
  </r>
  <r>
    <s v="ORD-00903"/>
    <d v="2024-05-05T00:00:00"/>
    <s v="CUST-0203"/>
    <s v="PROD-003"/>
    <s v="R025"/>
    <n v="10"/>
    <n v="3570"/>
    <n v="4.4000000000000004"/>
    <n v="34129.199999999997"/>
    <s v="Completed"/>
    <x v="1"/>
    <s v="Electronics"/>
    <s v="West"/>
    <s v="May-24"/>
    <s v="Q2 2024"/>
    <n v="1665"/>
    <n v="0.53361344537815125"/>
  </r>
  <r>
    <s v="ORD-00904"/>
    <d v="2024-01-18T00:00:00"/>
    <s v="CUST-0272"/>
    <s v="PROD-040"/>
    <s v="R014"/>
    <n v="8"/>
    <n v="1080"/>
    <n v="23.8"/>
    <n v="6583.68"/>
    <s v="Completed"/>
    <x v="3"/>
    <s v="Home"/>
    <s v="South"/>
    <s v="Jan-24"/>
    <s v="Q1 2024"/>
    <n v="519"/>
    <n v="0.51944444444444449"/>
  </r>
  <r>
    <s v="ORD-00905"/>
    <d v="2024-03-16T00:00:00"/>
    <s v="CUST-0039"/>
    <s v="PROD-035"/>
    <s v="R011"/>
    <n v="8"/>
    <n v="1090"/>
    <n v="17.5"/>
    <n v="7194"/>
    <s v="Completed"/>
    <x v="4"/>
    <s v="Home"/>
    <s v="South"/>
    <s v="Mar-24"/>
    <s v="Q1 2024"/>
    <n v="464"/>
    <n v="0.57431192660550456"/>
  </r>
  <r>
    <s v="ORD-00906"/>
    <d v="2024-11-19T00:00:00"/>
    <s v="CUST-0105"/>
    <s v="PROD-018"/>
    <s v="R027"/>
    <n v="7"/>
    <n v="3560"/>
    <n v="11.1"/>
    <n v="22153.88"/>
    <s v="Completed"/>
    <x v="1"/>
    <s v="Apparel"/>
    <s v="West"/>
    <s v="Nov-24"/>
    <s v="Q4 2024"/>
    <n v="2629"/>
    <n v="0.26151685393258428"/>
  </r>
  <r>
    <s v="ORD-00907"/>
    <d v="2024-07-26T00:00:00"/>
    <s v="CUST-0095"/>
    <s v="PROD-060"/>
    <s v="R022"/>
    <n v="6"/>
    <n v="190"/>
    <n v="17.100000000000001"/>
    <n v="945.06"/>
    <s v="Cancelled"/>
    <x v="3"/>
    <s v="Sports"/>
    <s v="East"/>
    <s v="Jul-24"/>
    <s v="Q3 2024"/>
    <n v="147"/>
    <n v="0.22631578947368422"/>
  </r>
  <r>
    <s v="ORD-00908"/>
    <d v="2024-03-05T00:00:00"/>
    <s v="CUST-0138"/>
    <s v="PROD-025"/>
    <s v="R025"/>
    <n v="7"/>
    <n v="4060"/>
    <n v="0.6"/>
    <n v="28249.48"/>
    <s v="Completed"/>
    <x v="1"/>
    <s v="Grocery"/>
    <s v="West"/>
    <s v="Mar-24"/>
    <s v="Q1 2024"/>
    <n v="2911"/>
    <n v="0.28300492610837441"/>
  </r>
  <r>
    <s v="ORD-00909"/>
    <d v="2024-02-24T00:00:00"/>
    <s v="CUST-0155"/>
    <s v="PROD-039"/>
    <s v="R021"/>
    <n v="4"/>
    <n v="4610"/>
    <n v="1.9"/>
    <n v="18089.64"/>
    <s v="Pending"/>
    <x v="0"/>
    <s v="Home"/>
    <s v="East"/>
    <s v="Feb-24"/>
    <s v="Q1 2024"/>
    <n v="1850"/>
    <n v="0.59869848156182215"/>
  </r>
  <r>
    <s v="ORD-00910"/>
    <d v="2024-12-14T00:00:00"/>
    <s v="CUST-0198"/>
    <s v="PROD-026"/>
    <s v="R020"/>
    <n v="4"/>
    <n v="4070"/>
    <n v="26.8"/>
    <n v="11916.96"/>
    <s v="Completed"/>
    <x v="1"/>
    <s v="Grocery"/>
    <s v="East"/>
    <s v="Dec-24"/>
    <s v="Q4 2024"/>
    <n v="2027"/>
    <n v="0.50196560196560192"/>
  </r>
  <r>
    <s v="ORD-00911"/>
    <d v="2024-12-07T00:00:00"/>
    <s v="CUST-0267"/>
    <s v="PROD-014"/>
    <s v="R004"/>
    <n v="4"/>
    <n v="3620"/>
    <n v="11.7"/>
    <n v="12785.84"/>
    <s v="Completed"/>
    <x v="5"/>
    <s v="Apparel"/>
    <s v="North"/>
    <s v="Dec-24"/>
    <s v="Q4 2024"/>
    <n v="2509"/>
    <n v="0.3069060773480663"/>
  </r>
  <r>
    <s v="ORD-00912"/>
    <d v="2024-05-18T00:00:00"/>
    <s v="CUST-0248"/>
    <s v="PROD-006"/>
    <s v="R030"/>
    <n v="3"/>
    <n v="3970"/>
    <n v="24.7"/>
    <n v="8968.23"/>
    <s v="Completed"/>
    <x v="1"/>
    <s v="Electronics"/>
    <s v="West"/>
    <s v="May-24"/>
    <s v="Q2 2024"/>
    <n v="2865"/>
    <n v="0.27833753148614609"/>
  </r>
  <r>
    <s v="ORD-00913"/>
    <d v="2024-03-04T00:00:00"/>
    <s v="CUST-0114"/>
    <s v="PROD-030"/>
    <s v="R028"/>
    <n v="4"/>
    <n v="970"/>
    <n v="0.4"/>
    <n v="3864.48"/>
    <s v="Completed"/>
    <x v="4"/>
    <s v="Grocery"/>
    <s v="West"/>
    <s v="Mar-24"/>
    <s v="Q1 2024"/>
    <n v="434"/>
    <n v="0.5525773195876289"/>
  </r>
  <r>
    <s v="ORD-00914"/>
    <d v="2024-03-28T00:00:00"/>
    <s v="CUST-0129"/>
    <s v="PROD-057"/>
    <s v="R023"/>
    <n v="2"/>
    <n v="960"/>
    <n v="1.4"/>
    <n v="1893.12"/>
    <s v="Completed"/>
    <x v="5"/>
    <s v="Sports"/>
    <s v="East"/>
    <s v="Mar-24"/>
    <s v="Q1 2024"/>
    <n v="705"/>
    <n v="0.265625"/>
  </r>
  <r>
    <s v="ORD-00915"/>
    <d v="2024-03-24T00:00:00"/>
    <s v="CUST-0182"/>
    <s v="PROD-005"/>
    <s v="R016"/>
    <n v="7"/>
    <n v="300"/>
    <n v="20.399999999999999"/>
    <n v="1671.6"/>
    <s v="Completed"/>
    <x v="3"/>
    <s v="Electronics"/>
    <s v="South"/>
    <s v="Mar-24"/>
    <s v="Q1 2024"/>
    <n v="128"/>
    <n v="0.57333333333333336"/>
  </r>
  <r>
    <s v="ORD-00916"/>
    <d v="2024-04-15T00:00:00"/>
    <s v="CUST-0020"/>
    <s v="PROD-002"/>
    <s v="R014"/>
    <n v="8"/>
    <n v="2600"/>
    <n v="2.2000000000000002"/>
    <n v="20342.400000000001"/>
    <s v="Cancelled"/>
    <x v="5"/>
    <s v="Electronics"/>
    <s v="South"/>
    <s v="Apr-24"/>
    <s v="Q2 2024"/>
    <n v="1052"/>
    <n v="0.5953846153846154"/>
  </r>
  <r>
    <s v="ORD-00917"/>
    <d v="2024-10-06T00:00:00"/>
    <s v="CUST-0163"/>
    <s v="PROD-032"/>
    <s v="R008"/>
    <n v="2"/>
    <n v="370"/>
    <n v="17.7"/>
    <n v="609.02"/>
    <s v="Completed"/>
    <x v="0"/>
    <s v="Home"/>
    <s v="North"/>
    <s v="Oct-24"/>
    <s v="Q4 2024"/>
    <n v="288"/>
    <n v="0.22162162162162163"/>
  </r>
  <r>
    <s v="ORD-00918"/>
    <d v="2024-06-12T00:00:00"/>
    <s v="CUST-0142"/>
    <s v="PROD-047"/>
    <s v="R026"/>
    <n v="4"/>
    <n v="3450"/>
    <n v="9.8000000000000007"/>
    <n v="12447.6"/>
    <s v="Cancelled"/>
    <x v="1"/>
    <s v="Beauty"/>
    <s v="West"/>
    <s v="Jun-24"/>
    <s v="Q2 2024"/>
    <n v="2420"/>
    <n v="0.29855072463768118"/>
  </r>
  <r>
    <s v="ORD-00919"/>
    <d v="2024-07-13T00:00:00"/>
    <s v="CUST-0221"/>
    <s v="PROD-019"/>
    <s v="R020"/>
    <n v="1"/>
    <n v="2480"/>
    <n v="5.8"/>
    <n v="2336.16"/>
    <s v="Completed"/>
    <x v="2"/>
    <s v="Apparel"/>
    <s v="East"/>
    <s v="Jul-24"/>
    <s v="Q3 2024"/>
    <n v="1173"/>
    <n v="0.52701612903225803"/>
  </r>
  <r>
    <s v="ORD-00920"/>
    <d v="2024-02-07T00:00:00"/>
    <s v="CUST-0079"/>
    <s v="PROD-028"/>
    <s v="R019"/>
    <n v="5"/>
    <n v="3660"/>
    <n v="4.7"/>
    <n v="17439.900000000001"/>
    <s v="Pending"/>
    <x v="3"/>
    <s v="Grocery"/>
    <s v="East"/>
    <s v="Feb-24"/>
    <s v="Q1 2024"/>
    <n v="2214"/>
    <n v="0.39508196721311473"/>
  </r>
  <r>
    <s v="ORD-00921"/>
    <d v="2024-01-24T00:00:00"/>
    <s v="CUST-0133"/>
    <s v="PROD-044"/>
    <s v="R023"/>
    <n v="7"/>
    <n v="1650"/>
    <n v="8.6"/>
    <n v="10556.7"/>
    <s v="Completed"/>
    <x v="1"/>
    <s v="Beauty"/>
    <s v="East"/>
    <s v="Jan-24"/>
    <s v="Q1 2024"/>
    <n v="1222"/>
    <n v="0.2593939393939394"/>
  </r>
  <r>
    <s v="ORD-00922"/>
    <d v="2024-06-30T00:00:00"/>
    <s v="CUST-0086"/>
    <s v="PROD-060"/>
    <s v="R025"/>
    <n v="6"/>
    <n v="190"/>
    <n v="14.6"/>
    <n v="973.56"/>
    <s v="Completed"/>
    <x v="5"/>
    <s v="Sports"/>
    <s v="West"/>
    <s v="Jun-24"/>
    <s v="Q2 2024"/>
    <n v="147"/>
    <n v="0.22631578947368422"/>
  </r>
  <r>
    <s v="ORD-00923"/>
    <d v="2024-09-11T00:00:00"/>
    <s v="CUST-0155"/>
    <s v="PROD-022"/>
    <s v="R001"/>
    <n v="5"/>
    <n v="2270"/>
    <n v="5.9"/>
    <n v="10680.35"/>
    <s v="Completed"/>
    <x v="0"/>
    <s v="Grocery"/>
    <s v="North"/>
    <s v="Sep-24"/>
    <s v="Q3 2024"/>
    <n v="1412"/>
    <n v="0.37797356828193834"/>
  </r>
  <r>
    <s v="ORD-00924"/>
    <d v="2024-11-29T00:00:00"/>
    <s v="CUST-0244"/>
    <s v="PROD-024"/>
    <s v="R011"/>
    <n v="1"/>
    <n v="2270"/>
    <n v="14.9"/>
    <n v="1931.77"/>
    <s v="Completed"/>
    <x v="4"/>
    <s v="Grocery"/>
    <s v="South"/>
    <s v="Nov-24"/>
    <s v="Q4 2024"/>
    <n v="1203"/>
    <n v="0.47004405286343615"/>
  </r>
  <r>
    <s v="ORD-00925"/>
    <d v="2024-10-14T00:00:00"/>
    <s v="CUST-0262"/>
    <s v="PROD-011"/>
    <s v="R018"/>
    <n v="4"/>
    <n v="3450"/>
    <n v="11.7"/>
    <n v="12185.4"/>
    <s v="Cancelled"/>
    <x v="3"/>
    <s v="Apparel"/>
    <s v="East"/>
    <s v="Oct-24"/>
    <s v="Q4 2024"/>
    <n v="1748"/>
    <n v="0.49333333333333335"/>
  </r>
  <r>
    <s v="ORD-00926"/>
    <d v="2024-02-01T00:00:00"/>
    <s v="CUST-0251"/>
    <s v="PROD-045"/>
    <s v="R028"/>
    <n v="7"/>
    <n v="3020"/>
    <n v="18.8"/>
    <n v="17165.68"/>
    <s v="Completed"/>
    <x v="3"/>
    <s v="Beauty"/>
    <s v="West"/>
    <s v="Feb-24"/>
    <s v="Q1 2024"/>
    <n v="1626"/>
    <n v="0.46158940397350995"/>
  </r>
  <r>
    <s v="ORD-00927"/>
    <d v="2024-11-17T00:00:00"/>
    <s v="CUST-0007"/>
    <s v="PROD-033"/>
    <s v="R016"/>
    <n v="4"/>
    <n v="2030"/>
    <n v="25.7"/>
    <n v="6033.16"/>
    <s v="Completed"/>
    <x v="4"/>
    <s v="Home"/>
    <s v="South"/>
    <s v="Nov-24"/>
    <s v="Q4 2024"/>
    <n v="1143"/>
    <n v="0.43694581280788175"/>
  </r>
  <r>
    <s v="ORD-00928"/>
    <d v="2024-03-11T00:00:00"/>
    <s v="CUST-0161"/>
    <s v="PROD-011"/>
    <s v="R014"/>
    <n v="4"/>
    <n v="3450"/>
    <n v="3.9"/>
    <n v="13261.8"/>
    <s v="Completed"/>
    <x v="1"/>
    <s v="Apparel"/>
    <s v="South"/>
    <s v="Mar-24"/>
    <s v="Q1 2024"/>
    <n v="1748"/>
    <n v="0.49333333333333335"/>
  </r>
  <r>
    <s v="ORD-00929"/>
    <d v="2024-02-25T00:00:00"/>
    <s v="CUST-0251"/>
    <s v="PROD-049"/>
    <s v="R028"/>
    <n v="5"/>
    <n v="960"/>
    <n v="8"/>
    <n v="4416"/>
    <s v="Completed"/>
    <x v="3"/>
    <s v="Beauty"/>
    <s v="West"/>
    <s v="Feb-24"/>
    <s v="Q1 2024"/>
    <n v="675"/>
    <n v="0.296875"/>
  </r>
  <r>
    <s v="ORD-00930"/>
    <d v="2024-09-15T00:00:00"/>
    <s v="CUST-0098"/>
    <s v="PROD-006"/>
    <s v="R001"/>
    <n v="7"/>
    <n v="3970"/>
    <n v="11.7"/>
    <n v="24538.57"/>
    <s v="Completed"/>
    <x v="2"/>
    <s v="Electronics"/>
    <s v="North"/>
    <s v="Sep-24"/>
    <s v="Q3 2024"/>
    <n v="2865"/>
    <n v="0.27833753148614609"/>
  </r>
  <r>
    <s v="ORD-00931"/>
    <d v="2024-09-19T00:00:00"/>
    <s v="CUST-0200"/>
    <s v="PROD-052"/>
    <s v="R026"/>
    <n v="3"/>
    <n v="5410"/>
    <n v="10"/>
    <n v="14607"/>
    <s v="Completed"/>
    <x v="5"/>
    <s v="Sports"/>
    <s v="West"/>
    <s v="Sep-24"/>
    <s v="Q3 2024"/>
    <n v="2265"/>
    <n v="0.58133086876155271"/>
  </r>
  <r>
    <s v="ORD-00932"/>
    <d v="2024-05-16T00:00:00"/>
    <s v="CUST-0228"/>
    <s v="PROD-003"/>
    <s v="R007"/>
    <n v="8"/>
    <n v="3570"/>
    <n v="8.5"/>
    <n v="26132.400000000001"/>
    <s v="Completed"/>
    <x v="0"/>
    <s v="Electronics"/>
    <s v="North"/>
    <s v="May-24"/>
    <s v="Q2 2024"/>
    <n v="1665"/>
    <n v="0.53361344537815125"/>
  </r>
  <r>
    <s v="ORD-00933"/>
    <d v="2024-08-13T00:00:00"/>
    <s v="CUST-0095"/>
    <s v="PROD-002"/>
    <s v="R014"/>
    <n v="7"/>
    <n v="2600"/>
    <n v="27.1"/>
    <n v="13267.8"/>
    <s v="Completed"/>
    <x v="3"/>
    <s v="Electronics"/>
    <s v="South"/>
    <s v="Aug-24"/>
    <s v="Q3 2024"/>
    <n v="1052"/>
    <n v="0.5953846153846154"/>
  </r>
  <r>
    <s v="ORD-00934"/>
    <d v="2024-05-30T00:00:00"/>
    <s v="CUST-0175"/>
    <s v="PROD-053"/>
    <s v="R026"/>
    <n v="6"/>
    <n v="470"/>
    <n v="2.4"/>
    <n v="2752.32"/>
    <s v="Pending"/>
    <x v="2"/>
    <s v="Sports"/>
    <s v="West"/>
    <s v="May-24"/>
    <s v="Q2 2024"/>
    <n v="302"/>
    <n v="0.35744680851063831"/>
  </r>
  <r>
    <s v="ORD-00935"/>
    <d v="2024-03-20T00:00:00"/>
    <s v="CUST-0270"/>
    <s v="PROD-053"/>
    <s v="R025"/>
    <n v="3"/>
    <n v="470"/>
    <n v="6.3"/>
    <n v="1321.17"/>
    <s v="Completed"/>
    <x v="4"/>
    <s v="Sports"/>
    <s v="West"/>
    <s v="Mar-24"/>
    <s v="Q1 2024"/>
    <n v="302"/>
    <n v="0.35744680851063831"/>
  </r>
  <r>
    <s v="ORD-00936"/>
    <d v="2024-09-05T00:00:00"/>
    <s v="CUST-0105"/>
    <s v="PROD-059"/>
    <s v="R004"/>
    <n v="3"/>
    <n v="3780"/>
    <n v="19.399999999999999"/>
    <n v="9140.0400000000009"/>
    <s v="Pending"/>
    <x v="1"/>
    <s v="Sports"/>
    <s v="North"/>
    <s v="Sep-24"/>
    <s v="Q3 2024"/>
    <n v="1860"/>
    <n v="0.50793650793650791"/>
  </r>
  <r>
    <s v="ORD-00937"/>
    <d v="2024-04-10T00:00:00"/>
    <s v="CUST-0147"/>
    <s v="PROD-056"/>
    <s v="R019"/>
    <n v="5"/>
    <n v="6940"/>
    <n v="12.6"/>
    <n v="30327.8"/>
    <s v="Completed"/>
    <x v="0"/>
    <s v="Sports"/>
    <s v="East"/>
    <s v="Apr-24"/>
    <s v="Q2 2024"/>
    <n v="2827"/>
    <n v="0.5926512968299712"/>
  </r>
  <r>
    <s v="ORD-00938"/>
    <d v="2024-04-04T00:00:00"/>
    <s v="CUST-0106"/>
    <s v="PROD-004"/>
    <s v="R030"/>
    <n v="2"/>
    <n v="3870"/>
    <n v="10.5"/>
    <n v="6927.3"/>
    <s v="Completed"/>
    <x v="0"/>
    <s v="Electronics"/>
    <s v="West"/>
    <s v="Apr-24"/>
    <s v="Q2 2024"/>
    <n v="1559"/>
    <n v="0.59715762273901807"/>
  </r>
  <r>
    <s v="ORD-00939"/>
    <d v="2024-08-12T00:00:00"/>
    <s v="CUST-0130"/>
    <s v="PROD-052"/>
    <s v="R014"/>
    <n v="8"/>
    <n v="5410"/>
    <n v="28.4"/>
    <n v="30988.48"/>
    <s v="Pending"/>
    <x v="4"/>
    <s v="Sports"/>
    <s v="South"/>
    <s v="Aug-24"/>
    <s v="Q3 2024"/>
    <n v="2265"/>
    <n v="0.58133086876155271"/>
  </r>
  <r>
    <s v="ORD-00940"/>
    <d v="2024-11-22T00:00:00"/>
    <s v="CUST-0241"/>
    <s v="PROD-006"/>
    <s v="R030"/>
    <n v="7"/>
    <n v="3970"/>
    <n v="12.3"/>
    <n v="24371.83"/>
    <s v="Completed"/>
    <x v="0"/>
    <s v="Electronics"/>
    <s v="West"/>
    <s v="Nov-24"/>
    <s v="Q4 2024"/>
    <n v="2865"/>
    <n v="0.27833753148614609"/>
  </r>
  <r>
    <s v="ORD-00941"/>
    <d v="2024-11-14T00:00:00"/>
    <s v="CUST-0151"/>
    <s v="PROD-056"/>
    <s v="R001"/>
    <n v="5"/>
    <n v="6940"/>
    <n v="1.5"/>
    <n v="34179.5"/>
    <s v="Completed"/>
    <x v="3"/>
    <s v="Sports"/>
    <s v="North"/>
    <s v="Nov-24"/>
    <s v="Q4 2024"/>
    <n v="2827"/>
    <n v="0.5926512968299712"/>
  </r>
  <r>
    <s v="ORD-00942"/>
    <d v="2024-09-06T00:00:00"/>
    <s v="CUST-0022"/>
    <s v="PROD-012"/>
    <s v="R006"/>
    <n v="7"/>
    <n v="3160"/>
    <n v="2.4"/>
    <n v="21589.119999999999"/>
    <s v="Refunded"/>
    <x v="4"/>
    <s v="Apparel"/>
    <s v="North"/>
    <s v="Sep-24"/>
    <s v="Q3 2024"/>
    <n v="1886"/>
    <n v="0.4031645569620253"/>
  </r>
  <r>
    <s v="ORD-00943"/>
    <d v="2024-07-24T00:00:00"/>
    <s v="CUST-0030"/>
    <s v="PROD-020"/>
    <s v="R024"/>
    <n v="2"/>
    <n v="820"/>
    <n v="8.1"/>
    <n v="1507.16"/>
    <s v="Completed"/>
    <x v="4"/>
    <s v="Apparel"/>
    <s v="West"/>
    <s v="Jul-24"/>
    <s v="Q3 2024"/>
    <n v="391"/>
    <n v="0.52317073170731709"/>
  </r>
  <r>
    <s v="ORD-00944"/>
    <d v="2024-10-02T00:00:00"/>
    <s v="CUST-0176"/>
    <s v="PROD-041"/>
    <s v="R030"/>
    <n v="2"/>
    <n v="1540"/>
    <n v="17.7"/>
    <n v="2534.84"/>
    <s v="Completed"/>
    <x v="4"/>
    <s v="Beauty"/>
    <s v="West"/>
    <s v="Oct-24"/>
    <s v="Q4 2024"/>
    <n v="647"/>
    <n v="0.57987012987012987"/>
  </r>
  <r>
    <s v="ORD-00945"/>
    <d v="2024-06-08T00:00:00"/>
    <s v="CUST-0270"/>
    <s v="PROD-004"/>
    <s v="R001"/>
    <n v="10"/>
    <n v="3870"/>
    <n v="12.2"/>
    <n v="33978.6"/>
    <s v="Refunded"/>
    <x v="4"/>
    <s v="Electronics"/>
    <s v="North"/>
    <s v="Jun-24"/>
    <s v="Q2 2024"/>
    <n v="1559"/>
    <n v="0.59715762273901807"/>
  </r>
  <r>
    <s v="ORD-00946"/>
    <d v="2024-07-15T00:00:00"/>
    <s v="CUST-0216"/>
    <s v="PROD-008"/>
    <s v="R002"/>
    <n v="7"/>
    <n v="2660"/>
    <n v="4.7"/>
    <n v="17744.86"/>
    <s v="Completed"/>
    <x v="3"/>
    <s v="Electronics"/>
    <s v="North"/>
    <s v="Jul-24"/>
    <s v="Q3 2024"/>
    <n v="1259"/>
    <n v="0.52669172932330832"/>
  </r>
  <r>
    <s v="ORD-00947"/>
    <d v="2024-05-19T00:00:00"/>
    <s v="CUST-0187"/>
    <s v="PROD-003"/>
    <s v="R009"/>
    <n v="4"/>
    <n v="3570"/>
    <n v="19.3"/>
    <n v="11523.96"/>
    <s v="Completed"/>
    <x v="1"/>
    <s v="Electronics"/>
    <s v="South"/>
    <s v="May-24"/>
    <s v="Q2 2024"/>
    <n v="1665"/>
    <n v="0.53361344537815125"/>
  </r>
  <r>
    <s v="ORD-00948"/>
    <d v="2024-04-11T00:00:00"/>
    <s v="CUST-0143"/>
    <s v="PROD-033"/>
    <s v="R002"/>
    <n v="2"/>
    <n v="2030"/>
    <n v="2.6"/>
    <n v="3954.44"/>
    <s v="Completed"/>
    <x v="1"/>
    <s v="Home"/>
    <s v="North"/>
    <s v="Apr-24"/>
    <s v="Q2 2024"/>
    <n v="1143"/>
    <n v="0.43694581280788175"/>
  </r>
  <r>
    <s v="ORD-00949"/>
    <d v="2024-05-15T00:00:00"/>
    <s v="CUST-0104"/>
    <s v="PROD-012"/>
    <s v="R013"/>
    <n v="6"/>
    <n v="3160"/>
    <n v="25.8"/>
    <n v="14068.32"/>
    <s v="Completed"/>
    <x v="5"/>
    <s v="Apparel"/>
    <s v="South"/>
    <s v="May-24"/>
    <s v="Q2 2024"/>
    <n v="1886"/>
    <n v="0.4031645569620253"/>
  </r>
  <r>
    <s v="ORD-00950"/>
    <d v="2024-10-26T00:00:00"/>
    <s v="CUST-0121"/>
    <s v="PROD-034"/>
    <s v="R014"/>
    <n v="4"/>
    <n v="5080"/>
    <n v="2"/>
    <n v="19913.599999999999"/>
    <s v="Completed"/>
    <x v="6"/>
    <s v="Home"/>
    <s v="South"/>
    <s v="Oct-24"/>
    <s v="Q4 2024"/>
    <n v="2459"/>
    <n v="0.51594488188976373"/>
  </r>
  <r>
    <s v="ORD-00951"/>
    <d v="2024-02-05T00:00:00"/>
    <s v="CUST-0228"/>
    <s v="PROD-047"/>
    <s v="R010"/>
    <n v="6"/>
    <n v="3450"/>
    <n v="1.8"/>
    <n v="20327.400000000001"/>
    <s v="Cancelled"/>
    <x v="0"/>
    <s v="Beauty"/>
    <s v="South"/>
    <s v="Feb-24"/>
    <s v="Q1 2024"/>
    <n v="2420"/>
    <n v="0.29855072463768118"/>
  </r>
  <r>
    <s v="ORD-00952"/>
    <d v="2024-10-10T00:00:00"/>
    <s v="CUST-0218"/>
    <s v="PROD-051"/>
    <s v="R016"/>
    <n v="3"/>
    <n v="3450"/>
    <n v="4.7"/>
    <n v="9863.5499999999993"/>
    <s v="Pending"/>
    <x v="3"/>
    <s v="Sports"/>
    <s v="South"/>
    <s v="Oct-24"/>
    <s v="Q4 2024"/>
    <n v="2467"/>
    <n v="0.28492753623188405"/>
  </r>
  <r>
    <s v="ORD-00953"/>
    <d v="2024-03-16T00:00:00"/>
    <s v="CUST-0118"/>
    <s v="PROD-001"/>
    <s v="R027"/>
    <n v="7"/>
    <n v="5330"/>
    <n v="16.399999999999999"/>
    <n v="31191.16"/>
    <s v="Completed"/>
    <x v="5"/>
    <s v="Electronics"/>
    <s v="West"/>
    <s v="Mar-24"/>
    <s v="Q1 2024"/>
    <n v="2405"/>
    <n v="0.54878048780487809"/>
  </r>
  <r>
    <s v="ORD-00954"/>
    <d v="2024-08-18T00:00:00"/>
    <s v="CUST-0262"/>
    <s v="PROD-029"/>
    <s v="R003"/>
    <n v="6"/>
    <n v="2210"/>
    <n v="13.1"/>
    <n v="11522.94"/>
    <s v="Completed"/>
    <x v="3"/>
    <s v="Grocery"/>
    <s v="North"/>
    <s v="Aug-24"/>
    <s v="Q3 2024"/>
    <n v="1010"/>
    <n v="0.54298642533936647"/>
  </r>
  <r>
    <s v="ORD-00955"/>
    <d v="2024-10-14T00:00:00"/>
    <s v="CUST-0137"/>
    <s v="PROD-040"/>
    <s v="R026"/>
    <n v="8"/>
    <n v="1080"/>
    <n v="8.6999999999999993"/>
    <n v="7888.32"/>
    <s v="Completed"/>
    <x v="3"/>
    <s v="Home"/>
    <s v="West"/>
    <s v="Oct-24"/>
    <s v="Q4 2024"/>
    <n v="519"/>
    <n v="0.51944444444444449"/>
  </r>
  <r>
    <s v="ORD-00956"/>
    <d v="2024-07-22T00:00:00"/>
    <s v="CUST-0145"/>
    <s v="PROD-014"/>
    <s v="R015"/>
    <n v="5"/>
    <n v="3620"/>
    <n v="16.100000000000001"/>
    <n v="15185.9"/>
    <s v="Completed"/>
    <x v="4"/>
    <s v="Apparel"/>
    <s v="South"/>
    <s v="Jul-24"/>
    <s v="Q3 2024"/>
    <n v="2509"/>
    <n v="0.3069060773480663"/>
  </r>
  <r>
    <s v="ORD-00957"/>
    <d v="2024-07-10T00:00:00"/>
    <s v="CUST-0275"/>
    <s v="PROD-018"/>
    <s v="R011"/>
    <n v="7"/>
    <n v="3560"/>
    <n v="8.5"/>
    <n v="22801.8"/>
    <s v="Completed"/>
    <x v="3"/>
    <s v="Apparel"/>
    <s v="South"/>
    <s v="Jul-24"/>
    <s v="Q3 2024"/>
    <n v="2629"/>
    <n v="0.26151685393258428"/>
  </r>
  <r>
    <s v="ORD-00958"/>
    <d v="2024-07-23T00:00:00"/>
    <s v="CUST-0189"/>
    <s v="PROD-033"/>
    <s v="R025"/>
    <n v="8"/>
    <n v="2030"/>
    <n v="18.100000000000001"/>
    <n v="13300.56"/>
    <s v="Completed"/>
    <x v="1"/>
    <s v="Home"/>
    <s v="West"/>
    <s v="Jul-24"/>
    <s v="Q3 2024"/>
    <n v="1143"/>
    <n v="0.43694581280788175"/>
  </r>
  <r>
    <s v="ORD-00959"/>
    <d v="2024-02-28T00:00:00"/>
    <s v="CUST-0105"/>
    <s v="PROD-044"/>
    <s v="R011"/>
    <n v="10"/>
    <n v="1650"/>
    <n v="7.1"/>
    <n v="15328.5"/>
    <s v="Completed"/>
    <x v="1"/>
    <s v="Beauty"/>
    <s v="South"/>
    <s v="Feb-24"/>
    <s v="Q1 2024"/>
    <n v="1222"/>
    <n v="0.2593939393939394"/>
  </r>
  <r>
    <s v="ORD-00960"/>
    <d v="2024-08-13T00:00:00"/>
    <s v="CUST-0284"/>
    <s v="PROD-021"/>
    <s v="R017"/>
    <n v="4"/>
    <n v="2760"/>
    <n v="17.600000000000001"/>
    <n v="9096.9599999999991"/>
    <s v="Cancelled"/>
    <x v="5"/>
    <s v="Grocery"/>
    <s v="East"/>
    <s v="Aug-24"/>
    <s v="Q3 2024"/>
    <n v="1435"/>
    <n v="0.48007246376811596"/>
  </r>
  <r>
    <s v="ORD-00961"/>
    <d v="2024-06-17T00:00:00"/>
    <s v="CUST-0296"/>
    <s v="PROD-006"/>
    <s v="R009"/>
    <n v="4"/>
    <n v="3970"/>
    <n v="4.3"/>
    <n v="15197.16"/>
    <s v="Completed"/>
    <x v="2"/>
    <s v="Electronics"/>
    <s v="South"/>
    <s v="Jun-24"/>
    <s v="Q2 2024"/>
    <n v="2865"/>
    <n v="0.27833753148614609"/>
  </r>
  <r>
    <s v="ORD-00962"/>
    <d v="2024-08-05T00:00:00"/>
    <s v="CUST-0087"/>
    <s v="PROD-050"/>
    <s v="R010"/>
    <n v="2"/>
    <n v="6080"/>
    <n v="23.8"/>
    <n v="9265.92"/>
    <s v="Completed"/>
    <x v="0"/>
    <s v="Beauty"/>
    <s v="South"/>
    <s v="Aug-24"/>
    <s v="Q3 2024"/>
    <n v="2617"/>
    <n v="0.56957236842105263"/>
  </r>
  <r>
    <s v="ORD-00963"/>
    <d v="2024-11-06T00:00:00"/>
    <s v="CUST-0012"/>
    <s v="PROD-024"/>
    <s v="R004"/>
    <n v="4"/>
    <n v="2270"/>
    <n v="28.9"/>
    <n v="6455.88"/>
    <s v="Completed"/>
    <x v="0"/>
    <s v="Grocery"/>
    <s v="North"/>
    <s v="Nov-24"/>
    <s v="Q4 2024"/>
    <n v="1203"/>
    <n v="0.47004405286343615"/>
  </r>
  <r>
    <s v="ORD-00964"/>
    <d v="2024-05-29T00:00:00"/>
    <s v="CUST-0241"/>
    <s v="PROD-006"/>
    <s v="R004"/>
    <n v="10"/>
    <n v="3970"/>
    <n v="26.2"/>
    <n v="29298.6"/>
    <s v="Completed"/>
    <x v="0"/>
    <s v="Electronics"/>
    <s v="North"/>
    <s v="May-24"/>
    <s v="Q2 2024"/>
    <n v="2865"/>
    <n v="0.27833753148614609"/>
  </r>
  <r>
    <s v="ORD-00965"/>
    <d v="2024-03-27T00:00:00"/>
    <s v="CUST-0133"/>
    <s v="PROD-048"/>
    <s v="R013"/>
    <n v="4"/>
    <n v="5100"/>
    <n v="2.1"/>
    <n v="19971.599999999999"/>
    <s v="Completed"/>
    <x v="1"/>
    <s v="Beauty"/>
    <s v="South"/>
    <s v="Mar-24"/>
    <s v="Q1 2024"/>
    <n v="2237"/>
    <n v="0.56137254901960787"/>
  </r>
  <r>
    <s v="ORD-00966"/>
    <d v="2024-05-16T00:00:00"/>
    <s v="CUST-0230"/>
    <s v="PROD-045"/>
    <s v="R024"/>
    <n v="5"/>
    <n v="3020"/>
    <n v="17.3"/>
    <n v="12487.7"/>
    <s v="Completed"/>
    <x v="0"/>
    <s v="Beauty"/>
    <s v="West"/>
    <s v="May-24"/>
    <s v="Q2 2024"/>
    <n v="1626"/>
    <n v="0.46158940397350995"/>
  </r>
  <r>
    <s v="ORD-00967"/>
    <d v="2024-08-17T00:00:00"/>
    <s v="CUST-0126"/>
    <s v="PROD-057"/>
    <s v="R016"/>
    <n v="8"/>
    <n v="960"/>
    <n v="1.3"/>
    <n v="7580.16"/>
    <s v="Cancelled"/>
    <x v="3"/>
    <s v="Sports"/>
    <s v="South"/>
    <s v="Aug-24"/>
    <s v="Q3 2024"/>
    <n v="705"/>
    <n v="0.265625"/>
  </r>
  <r>
    <s v="ORD-00968"/>
    <d v="2024-11-16T00:00:00"/>
    <s v="CUST-0233"/>
    <s v="PROD-019"/>
    <s v="R008"/>
    <n v="9"/>
    <n v="2480"/>
    <n v="15.6"/>
    <n v="18838.080000000002"/>
    <s v="Completed"/>
    <x v="3"/>
    <s v="Apparel"/>
    <s v="North"/>
    <s v="Nov-24"/>
    <s v="Q4 2024"/>
    <n v="1173"/>
    <n v="0.52701612903225803"/>
  </r>
  <r>
    <s v="ORD-00969"/>
    <d v="2024-10-01T00:00:00"/>
    <s v="CUST-9555"/>
    <s v="PROD-030"/>
    <s v="R012"/>
    <n v="1"/>
    <n v="970"/>
    <n v="24.9"/>
    <n v="728.47"/>
    <s v="Completed"/>
    <x v="4"/>
    <s v="Grocery"/>
    <s v="South"/>
    <s v="Oct-24"/>
    <s v="Q4 2024"/>
    <n v="434"/>
    <n v="0.5525773195876289"/>
  </r>
  <r>
    <s v="ORD-00970"/>
    <d v="2024-11-10T00:00:00"/>
    <s v="CUST-0150"/>
    <s v="PROD-023"/>
    <s v="R022"/>
    <n v="4"/>
    <n v="2380"/>
    <n v="9.5"/>
    <n v="8615.6"/>
    <s v="Cancelled"/>
    <x v="0"/>
    <s v="Grocery"/>
    <s v="East"/>
    <s v="Nov-24"/>
    <s v="Q4 2024"/>
    <n v="1182"/>
    <n v="0.50336134453781511"/>
  </r>
  <r>
    <s v="ORD-00971"/>
    <d v="2024-05-11T00:00:00"/>
    <s v="CUST-0204"/>
    <s v="PROD-052"/>
    <s v="R005"/>
    <n v="4"/>
    <n v="5410"/>
    <n v="18.7"/>
    <n v="17593.32"/>
    <s v="Completed"/>
    <x v="5"/>
    <s v="Sports"/>
    <s v="North"/>
    <s v="May-24"/>
    <s v="Q2 2024"/>
    <n v="2265"/>
    <n v="0.58133086876155271"/>
  </r>
  <r>
    <s v="ORD-00972"/>
    <d v="2024-10-08T00:00:00"/>
    <s v="CUST-0040"/>
    <s v="PROD-034"/>
    <s v="R022"/>
    <n v="7"/>
    <n v="5080"/>
    <n v="6.5"/>
    <n v="33248.6"/>
    <s v="Completed"/>
    <x v="1"/>
    <s v="Home"/>
    <s v="East"/>
    <s v="Oct-24"/>
    <s v="Q4 2024"/>
    <n v="2459"/>
    <n v="0.51594488188976373"/>
  </r>
  <r>
    <s v="ORD-00973"/>
    <d v="2024-02-17T00:00:00"/>
    <s v="CUST-0060"/>
    <s v="PROD-007"/>
    <s v="R025"/>
    <n v="5"/>
    <n v="1430"/>
    <n v="19.8"/>
    <n v="5734.3"/>
    <s v="Completed"/>
    <x v="0"/>
    <s v="Electronics"/>
    <s v="West"/>
    <s v="Feb-24"/>
    <s v="Q1 2024"/>
    <n v="861"/>
    <n v="0.39790209790209791"/>
  </r>
  <r>
    <s v="ORD-00974"/>
    <d v="2024-11-15T00:00:00"/>
    <s v="CUST-0017"/>
    <s v="PROD-037"/>
    <s v="R011"/>
    <n v="7"/>
    <n v="660"/>
    <n v="17.3"/>
    <n v="3820.74"/>
    <s v="Completed"/>
    <x v="2"/>
    <s v="Home"/>
    <s v="South"/>
    <s v="Nov-24"/>
    <s v="Q4 2024"/>
    <n v="329"/>
    <n v="0.50151515151515147"/>
  </r>
  <r>
    <s v="ORD-00975"/>
    <d v="2024-08-01T00:00:00"/>
    <s v="CUST-0093"/>
    <s v="PROD-041"/>
    <s v="R004"/>
    <n v="10"/>
    <n v="1540"/>
    <n v="17.5"/>
    <n v="12705"/>
    <s v="Completed"/>
    <x v="0"/>
    <s v="Beauty"/>
    <s v="North"/>
    <s v="Aug-24"/>
    <s v="Q3 2024"/>
    <n v="647"/>
    <n v="0.57987012987012987"/>
  </r>
  <r>
    <s v="ORD-01662"/>
    <d v="2024-03-07T00:00:00"/>
    <s v="CUST-0068"/>
    <s v="PROD-029"/>
    <s v="R003"/>
    <n v="10"/>
    <n v="2210"/>
    <n v="24.1"/>
    <n v="16773.900000000001"/>
    <s v="Pending"/>
    <x v="2"/>
    <s v="Grocery"/>
    <s v="North"/>
    <s v="Mar-24"/>
    <s v="Q1 2024"/>
    <n v="1010"/>
    <n v="0.54298642533936647"/>
  </r>
  <r>
    <s v="ORD-00977"/>
    <d v="2024-08-15T00:00:00"/>
    <s v="CUST-0251"/>
    <s v="PROD-057"/>
    <s v="R022"/>
    <n v="4"/>
    <n v="960"/>
    <n v="13.4"/>
    <n v="3325.44"/>
    <s v="Completed"/>
    <x v="3"/>
    <s v="Sports"/>
    <s v="East"/>
    <s v="Aug-24"/>
    <s v="Q3 2024"/>
    <n v="705"/>
    <n v="0.265625"/>
  </r>
  <r>
    <s v="ORD-00978"/>
    <d v="2024-12-02T00:00:00"/>
    <s v="CUST-0076"/>
    <s v="PROD-047"/>
    <s v="R022"/>
    <n v="8"/>
    <n v="3450"/>
    <n v="3.7"/>
    <n v="26578.799999999999"/>
    <s v="Completed"/>
    <x v="3"/>
    <s v="Beauty"/>
    <s v="East"/>
    <s v="Dec-24"/>
    <s v="Q4 2024"/>
    <n v="2420"/>
    <n v="0.29855072463768118"/>
  </r>
  <r>
    <s v="ORD-00979"/>
    <d v="2024-07-08T00:00:00"/>
    <s v="CUST-9927"/>
    <s v="PROD-033"/>
    <s v="R005"/>
    <n v="6"/>
    <n v="2030"/>
    <n v="9.5"/>
    <n v="11022.9"/>
    <s v="Completed"/>
    <x v="3"/>
    <s v="Home"/>
    <s v="North"/>
    <s v="Jul-24"/>
    <s v="Q3 2024"/>
    <n v="1143"/>
    <n v="0.43694581280788175"/>
  </r>
  <r>
    <s v="ORD-00980"/>
    <d v="2024-04-17T00:00:00"/>
    <s v="CUST-0135"/>
    <s v="PROD-011"/>
    <s v="R009"/>
    <n v="7"/>
    <n v="3450"/>
    <n v="28.2"/>
    <n v="17339.7"/>
    <s v="Completed"/>
    <x v="0"/>
    <s v="Apparel"/>
    <s v="South"/>
    <s v="Apr-24"/>
    <s v="Q2 2024"/>
    <n v="1748"/>
    <n v="0.49333333333333335"/>
  </r>
  <r>
    <s v="ORD-00981"/>
    <d v="2024-08-27T00:00:00"/>
    <s v="CUST-0163"/>
    <s v="PROD-027"/>
    <s v="R011"/>
    <n v="7"/>
    <n v="3780"/>
    <n v="15.1"/>
    <n v="22464.54"/>
    <s v="Completed"/>
    <x v="0"/>
    <s v="Grocery"/>
    <s v="South"/>
    <s v="Aug-24"/>
    <s v="Q3 2024"/>
    <n v="2436"/>
    <n v="0.35555555555555557"/>
  </r>
  <r>
    <s v="ORD-00947"/>
    <d v="2024-05-05T00:00:00"/>
    <s v="CUST-0107"/>
    <s v="PROD-021"/>
    <s v="R002"/>
    <n v="4"/>
    <n v="2760"/>
    <n v="14.8"/>
    <n v="9406.08"/>
    <s v="Completed"/>
    <x v="0"/>
    <s v="Grocery"/>
    <s v="North"/>
    <s v="May-24"/>
    <s v="Q2 2024"/>
    <n v="1435"/>
    <n v="0.48007246376811596"/>
  </r>
  <r>
    <s v="ORD-00983"/>
    <d v="2024-02-05T00:00:00"/>
    <s v="CUST-0209"/>
    <s v="PROD-041"/>
    <s v="R029"/>
    <n v="4"/>
    <n v="1540"/>
    <n v="13.9"/>
    <n v="5303.76"/>
    <s v="Completed"/>
    <x v="0"/>
    <s v="Beauty"/>
    <s v="West"/>
    <s v="Feb-24"/>
    <s v="Q1 2024"/>
    <n v="647"/>
    <n v="0.57987012987012987"/>
  </r>
  <r>
    <s v="ORD-00984"/>
    <d v="2024-05-26T00:00:00"/>
    <s v="CUST-0074"/>
    <s v="PROD-031"/>
    <s v="R007"/>
    <n v="2"/>
    <n v="3730"/>
    <n v="15.7"/>
    <n v="6288.78"/>
    <s v="Cancelled"/>
    <x v="4"/>
    <s v="Home"/>
    <s v="North"/>
    <s v="May-24"/>
    <s v="Q2 2024"/>
    <n v="2135"/>
    <n v="0.42761394101876676"/>
  </r>
  <r>
    <s v="ORD-00985"/>
    <d v="2024-10-12T00:00:00"/>
    <s v="CUST-0037"/>
    <s v="PROD-031"/>
    <s v="R027"/>
    <n v="4"/>
    <n v="3730"/>
    <n v="2.1"/>
    <n v="14606.68"/>
    <s v="Completed"/>
    <x v="4"/>
    <s v="Home"/>
    <s v="West"/>
    <s v="Oct-24"/>
    <s v="Q4 2024"/>
    <n v="2135"/>
    <n v="0.42761394101876676"/>
  </r>
  <r>
    <s v="ORD-00986"/>
    <d v="2024-06-14T00:00:00"/>
    <s v="CUST-0026"/>
    <s v="PROD-012"/>
    <s v="R013"/>
    <n v="1"/>
    <n v="3160"/>
    <n v="29.8"/>
    <n v="2218.3200000000002"/>
    <s v="Completed"/>
    <x v="0"/>
    <s v="Apparel"/>
    <s v="South"/>
    <s v="Jun-24"/>
    <s v="Q2 2024"/>
    <n v="1886"/>
    <n v="0.4031645569620253"/>
  </r>
  <r>
    <s v="ORD-00987"/>
    <d v="2024-09-09T00:00:00"/>
    <s v="CUST-0151"/>
    <s v="PROD-042"/>
    <s v="R022"/>
    <n v="9"/>
    <n v="2290"/>
    <n v="8.3000000000000007"/>
    <n v="18899.37"/>
    <s v="Pending"/>
    <x v="3"/>
    <s v="Beauty"/>
    <s v="East"/>
    <s v="Sep-24"/>
    <s v="Q3 2024"/>
    <n v="1219"/>
    <n v="0.46768558951965067"/>
  </r>
  <r>
    <s v="ORD-00988"/>
    <d v="2024-12-06T00:00:00"/>
    <s v="CUST-0210"/>
    <s v="PROD-004"/>
    <s v="R013"/>
    <n v="2"/>
    <n v="3870"/>
    <n v="5.2"/>
    <n v="7337.52"/>
    <s v="Completed"/>
    <x v="0"/>
    <s v="Electronics"/>
    <s v="South"/>
    <s v="Dec-24"/>
    <s v="Q4 2024"/>
    <n v="1559"/>
    <n v="0.59715762273901807"/>
  </r>
  <r>
    <s v="ORD-00989"/>
    <d v="2024-06-22T00:00:00"/>
    <s v="CUST-0192"/>
    <s v="PROD-003"/>
    <s v="R007"/>
    <n v="5"/>
    <n v="3570"/>
    <n v="19.899999999999999"/>
    <n v="14297.85"/>
    <s v="Completed"/>
    <x v="4"/>
    <s v="Electronics"/>
    <s v="North"/>
    <s v="Jun-24"/>
    <s v="Q2 2024"/>
    <n v="1665"/>
    <n v="0.53361344537815125"/>
  </r>
  <r>
    <s v="ORD-00990"/>
    <d v="2024-02-20T00:00:00"/>
    <s v="CUST-0161"/>
    <s v="PROD-054"/>
    <s v="R001"/>
    <n v="5"/>
    <n v="1010"/>
    <n v="2.2000000000000002"/>
    <n v="4938.8999999999996"/>
    <s v="Completed"/>
    <x v="1"/>
    <s v="Sports"/>
    <s v="North"/>
    <s v="Feb-24"/>
    <s v="Q1 2024"/>
    <n v="516"/>
    <n v="0.4891089108910891"/>
  </r>
  <r>
    <s v="ORD-00991"/>
    <d v="2024-01-18T00:00:00"/>
    <s v="CUST-0255"/>
    <s v="PROD-042"/>
    <s v="R004"/>
    <n v="10"/>
    <n v="2290"/>
    <n v="16.8"/>
    <n v="19052.8"/>
    <s v="Cancelled"/>
    <x v="1"/>
    <s v="Beauty"/>
    <s v="North"/>
    <s v="Jan-24"/>
    <s v="Q1 2024"/>
    <n v="1219"/>
    <n v="0.46768558951965067"/>
  </r>
  <r>
    <s v="ORD-00992"/>
    <d v="2024-07-20T00:00:00"/>
    <s v="CUST-0027"/>
    <s v="PROD-039"/>
    <s v="R019"/>
    <n v="3"/>
    <n v="4610"/>
    <n v="13.2"/>
    <n v="12004.44"/>
    <s v="Pending"/>
    <x v="5"/>
    <s v="Home"/>
    <s v="East"/>
    <s v="Jul-24"/>
    <s v="Q3 2024"/>
    <n v="1850"/>
    <n v="0.59869848156182215"/>
  </r>
  <r>
    <s v="ORD-00993"/>
    <d v="2024-03-05T00:00:00"/>
    <s v="CUST-0228"/>
    <s v="PROD-017"/>
    <s v="R003"/>
    <n v="1"/>
    <n v="2510"/>
    <n v="16.899999999999999"/>
    <n v="2085.81"/>
    <s v="Completed"/>
    <x v="0"/>
    <s v="Apparel"/>
    <s v="North"/>
    <s v="Mar-24"/>
    <s v="Q1 2024"/>
    <n v="1075"/>
    <n v="0.57171314741035861"/>
  </r>
  <r>
    <s v="ORD-00994"/>
    <d v="2024-03-16T00:00:00"/>
    <s v="CUST-0183"/>
    <s v="PROD-045"/>
    <s v="R009"/>
    <n v="1"/>
    <n v="3020"/>
    <n v="26.7"/>
    <n v="2213.66"/>
    <s v="Completed"/>
    <x v="3"/>
    <s v="Beauty"/>
    <s v="South"/>
    <s v="Mar-24"/>
    <s v="Q1 2024"/>
    <n v="1626"/>
    <n v="0.46158940397350995"/>
  </r>
  <r>
    <s v="ORD-00995"/>
    <d v="2024-01-22T00:00:00"/>
    <s v="CUST-0026"/>
    <s v="PROD-060"/>
    <s v="R012"/>
    <n v="6"/>
    <n v="190"/>
    <n v="7.1"/>
    <n v="1059.06"/>
    <s v="Completed"/>
    <x v="0"/>
    <s v="Sports"/>
    <s v="South"/>
    <s v="Jan-24"/>
    <s v="Q1 2024"/>
    <n v="147"/>
    <n v="0.22631578947368422"/>
  </r>
  <r>
    <s v="ORD-00996"/>
    <d v="2024-08-25T00:00:00"/>
    <s v="CUST-0211"/>
    <s v="PROD-033"/>
    <s v="R002"/>
    <n v="6"/>
    <n v="2030"/>
    <n v="13.5"/>
    <n v="10535.7"/>
    <s v="Cancelled"/>
    <x v="4"/>
    <s v="Home"/>
    <s v="North"/>
    <s v="Aug-24"/>
    <s v="Q3 2024"/>
    <n v="1143"/>
    <n v="0.43694581280788175"/>
  </r>
  <r>
    <s v="ORD-00997"/>
    <d v="2024-09-12T00:00:00"/>
    <s v="CUST-0190"/>
    <s v="PROD-036"/>
    <s v="R012"/>
    <n v="10"/>
    <n v="3250"/>
    <n v="8.6999999999999993"/>
    <n v="29672.5"/>
    <s v="Completed"/>
    <x v="5"/>
    <s v="Home"/>
    <s v="South"/>
    <s v="Sep-24"/>
    <s v="Q3 2024"/>
    <n v="1556"/>
    <n v="0.52123076923076928"/>
  </r>
  <r>
    <s v="ORD-00998"/>
    <d v="2024-01-08T00:00:00"/>
    <s v="CUST-0172"/>
    <s v="PROD-033"/>
    <s v="R029"/>
    <n v="9"/>
    <n v="2030"/>
    <n v="29.3"/>
    <n v="12916.89"/>
    <s v="Completed"/>
    <x v="0"/>
    <s v="Home"/>
    <s v="West"/>
    <s v="Jan-24"/>
    <s v="Q1 2024"/>
    <n v="1143"/>
    <n v="0.43694581280788175"/>
  </r>
  <r>
    <s v="ORD-00999"/>
    <d v="2024-03-29T00:00:00"/>
    <s v="CUST-0272"/>
    <s v="PROD-023"/>
    <s v="R025"/>
    <n v="1"/>
    <n v="2380"/>
    <n v="12.9"/>
    <n v="2072.98"/>
    <s v="Completed"/>
    <x v="3"/>
    <s v="Grocery"/>
    <s v="West"/>
    <s v="Mar-24"/>
    <s v="Q1 2024"/>
    <n v="1182"/>
    <n v="0.50336134453781511"/>
  </r>
  <r>
    <s v="ORD-01000"/>
    <d v="2024-08-17T00:00:00"/>
    <s v="CUST-0232"/>
    <s v="PROD-011"/>
    <s v="R024"/>
    <n v="10"/>
    <n v="3450"/>
    <n v="18.5"/>
    <n v="28117.5"/>
    <s v="Completed"/>
    <x v="5"/>
    <s v="Apparel"/>
    <s v="West"/>
    <s v="Aug-24"/>
    <s v="Q3 2024"/>
    <n v="1748"/>
    <n v="0.49333333333333335"/>
  </r>
  <r>
    <s v="ORD-01001"/>
    <d v="2024-07-27T00:00:00"/>
    <s v="CUST-0282"/>
    <s v="PROD-012"/>
    <s v="R002"/>
    <n v="10"/>
    <n v="3160"/>
    <n v="26.3"/>
    <n v="23289.200000000001"/>
    <s v="Completed"/>
    <x v="5"/>
    <s v="Apparel"/>
    <s v="North"/>
    <s v="Jul-24"/>
    <s v="Q3 2024"/>
    <n v="1886"/>
    <n v="0.4031645569620253"/>
  </r>
  <r>
    <s v="ORD-01002"/>
    <d v="2024-08-27T00:00:00"/>
    <s v="CUST-0164"/>
    <s v="PROD-038"/>
    <s v="R026"/>
    <n v="10"/>
    <n v="5490"/>
    <n v="22.7"/>
    <n v="42437.7"/>
    <s v="Completed"/>
    <x v="1"/>
    <s v="Home"/>
    <s v="West"/>
    <s v="Aug-24"/>
    <s v="Q3 2024"/>
    <n v="2549"/>
    <n v="0.53570127504553733"/>
  </r>
  <r>
    <s v="ORD-01003"/>
    <d v="2024-09-28T00:00:00"/>
    <s v="CUST-0212"/>
    <s v="PROD-055"/>
    <s v="R006"/>
    <n v="8"/>
    <n v="2860"/>
    <n v="14.3"/>
    <n v="19608.16"/>
    <s v="Completed"/>
    <x v="1"/>
    <s v="Sports"/>
    <s v="North"/>
    <s v="Sep-24"/>
    <s v="Q3 2024"/>
    <n v="2028"/>
    <n v="0.29090909090909089"/>
  </r>
  <r>
    <s v="ORD-01004"/>
    <d v="2024-05-04T00:00:00"/>
    <s v="CUST-0234"/>
    <s v="PROD-049"/>
    <s v="R011"/>
    <n v="1"/>
    <n v="960"/>
    <n v="11.9"/>
    <n v="845.76"/>
    <s v="Completed"/>
    <x v="4"/>
    <s v="Beauty"/>
    <s v="South"/>
    <s v="May-24"/>
    <s v="Q2 2024"/>
    <n v="675"/>
    <n v="0.296875"/>
  </r>
  <r>
    <s v="ORD-01005"/>
    <d v="2024-05-18T00:00:00"/>
    <s v="CUST-0292"/>
    <s v="PROD-040"/>
    <s v="R007"/>
    <n v="3"/>
    <n v="1080"/>
    <n v="26"/>
    <n v="2397.6"/>
    <s v="Completed"/>
    <x v="4"/>
    <s v="Home"/>
    <s v="North"/>
    <s v="May-24"/>
    <s v="Q2 2024"/>
    <n v="519"/>
    <n v="0.51944444444444449"/>
  </r>
  <r>
    <s v="ORD-01006"/>
    <d v="2024-10-20T00:00:00"/>
    <s v="CUST-0018"/>
    <s v="PROD-055"/>
    <s v="R001"/>
    <n v="10"/>
    <n v="2860"/>
    <n v="13.1"/>
    <n v="24853.4"/>
    <s v="Refunded"/>
    <x v="0"/>
    <s v="Sports"/>
    <s v="North"/>
    <s v="Oct-24"/>
    <s v="Q4 2024"/>
    <n v="2028"/>
    <n v="0.29090909090909089"/>
  </r>
  <r>
    <s v="ORD-01007"/>
    <d v="2024-12-04T00:00:00"/>
    <s v="CUST-0220"/>
    <s v="PROD-013"/>
    <s v="R001"/>
    <n v="3"/>
    <n v="3640"/>
    <n v="18.2"/>
    <n v="8932.56"/>
    <s v="Completed"/>
    <x v="1"/>
    <s v="Apparel"/>
    <s v="North"/>
    <s v="Dec-24"/>
    <s v="Q4 2024"/>
    <n v="2611"/>
    <n v="0.28269230769230769"/>
  </r>
  <r>
    <s v="ORD-01008"/>
    <d v="2024-04-23T00:00:00"/>
    <s v="CUST-0064"/>
    <s v="PROD-015"/>
    <s v="R018"/>
    <n v="3"/>
    <n v="2720"/>
    <n v="3.6"/>
    <n v="7866.24"/>
    <s v="Completed"/>
    <x v="5"/>
    <s v="Apparel"/>
    <s v="East"/>
    <s v="Apr-24"/>
    <s v="Q2 2024"/>
    <n v="1962"/>
    <n v="0.2786764705882353"/>
  </r>
  <r>
    <s v="ORD-01009"/>
    <d v="2024-12-04T00:00:00"/>
    <s v="CUST-0077"/>
    <s v="PROD-024"/>
    <s v="R008"/>
    <n v="4"/>
    <n v="2270"/>
    <n v="18.399999999999999"/>
    <n v="7409.28"/>
    <s v="Completed"/>
    <x v="5"/>
    <s v="Grocery"/>
    <s v="North"/>
    <s v="Dec-24"/>
    <s v="Q4 2024"/>
    <n v="1203"/>
    <n v="0.47004405286343615"/>
  </r>
  <r>
    <s v="ORD-01010"/>
    <d v="2024-07-10T00:00:00"/>
    <s v="CUST-0229"/>
    <s v="PROD-009"/>
    <s v="R029"/>
    <n v="5"/>
    <n v="1220"/>
    <n v="13.9"/>
    <n v="5252.1"/>
    <s v="Completed"/>
    <x v="5"/>
    <s v="Electronics"/>
    <s v="West"/>
    <s v="Jul-24"/>
    <s v="Q3 2024"/>
    <n v="517"/>
    <n v="0.57622950819672136"/>
  </r>
  <r>
    <s v="ORD-01011"/>
    <d v="2024-08-26T00:00:00"/>
    <s v="CUST-0129"/>
    <s v="PROD-010"/>
    <s v="R015"/>
    <n v="8"/>
    <n v="2640"/>
    <n v="17.3"/>
    <n v="17466.240000000002"/>
    <s v="Completed"/>
    <x v="5"/>
    <s v="Electronics"/>
    <s v="South"/>
    <s v="Aug-24"/>
    <s v="Q3 2024"/>
    <n v="1149"/>
    <n v="0.56477272727272732"/>
  </r>
  <r>
    <s v="ORD-01012"/>
    <d v="2024-07-27T00:00:00"/>
    <s v="CUST-0145"/>
    <s v="PROD-030"/>
    <s v="R015"/>
    <n v="1"/>
    <n v="970"/>
    <n v="28"/>
    <n v="698.4"/>
    <s v="Cancelled"/>
    <x v="4"/>
    <s v="Grocery"/>
    <s v="South"/>
    <s v="Jul-24"/>
    <s v="Q3 2024"/>
    <n v="434"/>
    <n v="0.5525773195876289"/>
  </r>
  <r>
    <s v="ORD-01013"/>
    <d v="2024-03-07T00:00:00"/>
    <s v="CUST-0258"/>
    <s v="PROD-031"/>
    <s v="R025"/>
    <n v="8"/>
    <n v="3730"/>
    <n v="2.1"/>
    <n v="29213.360000000001"/>
    <s v="Refunded"/>
    <x v="0"/>
    <s v="Home"/>
    <s v="West"/>
    <s v="Mar-24"/>
    <s v="Q1 2024"/>
    <n v="2135"/>
    <n v="0.42761394101876676"/>
  </r>
  <r>
    <s v="ORD-01014"/>
    <d v="2024-11-02T00:00:00"/>
    <s v="CUST-0209"/>
    <s v="PROD-030"/>
    <s v="R024"/>
    <n v="7"/>
    <n v="970"/>
    <n v="25.5"/>
    <n v="5058.55"/>
    <s v="Completed"/>
    <x v="0"/>
    <s v="Grocery"/>
    <s v="West"/>
    <s v="Nov-24"/>
    <s v="Q4 2024"/>
    <n v="434"/>
    <n v="0.5525773195876289"/>
  </r>
  <r>
    <s v="ORD-01015"/>
    <d v="2024-01-27T00:00:00"/>
    <s v="CUST-0131"/>
    <s v="PROD-003"/>
    <s v="R022"/>
    <n v="6"/>
    <n v="3570"/>
    <n v="9.9"/>
    <n v="19299.419999999998"/>
    <s v="Completed"/>
    <x v="2"/>
    <s v="Electronics"/>
    <s v="East"/>
    <s v="Jan-24"/>
    <s v="Q1 2024"/>
    <n v="1665"/>
    <n v="0.53361344537815125"/>
  </r>
  <r>
    <s v="ORD-01016"/>
    <d v="2024-08-20T00:00:00"/>
    <s v="CUST-0276"/>
    <s v="PROD-030"/>
    <s v="R016"/>
    <n v="6"/>
    <n v="970"/>
    <n v="19.600000000000001"/>
    <n v="4679.28"/>
    <s v="Completed"/>
    <x v="1"/>
    <s v="Grocery"/>
    <s v="South"/>
    <s v="Aug-24"/>
    <s v="Q3 2024"/>
    <n v="434"/>
    <n v="0.5525773195876289"/>
  </r>
  <r>
    <s v="ORD-01017"/>
    <d v="2024-09-19T00:00:00"/>
    <s v="CUST-0283"/>
    <s v="PROD-059"/>
    <s v="R011"/>
    <n v="8"/>
    <n v="3780"/>
    <n v="26.5"/>
    <n v="22226.400000000001"/>
    <s v="Completed"/>
    <x v="2"/>
    <s v="Sports"/>
    <s v="South"/>
    <s v="Sep-24"/>
    <s v="Q3 2024"/>
    <n v="1860"/>
    <n v="0.50793650793650791"/>
  </r>
  <r>
    <s v="ORD-01018"/>
    <d v="2024-08-24T00:00:00"/>
    <s v="CUST-0195"/>
    <s v="PROD-058"/>
    <s v="R011"/>
    <n v="6"/>
    <n v="2400"/>
    <n v="1.4"/>
    <n v="14198.4"/>
    <s v="Completed"/>
    <x v="4"/>
    <s v="Sports"/>
    <s v="South"/>
    <s v="Aug-24"/>
    <s v="Q3 2024"/>
    <n v="974"/>
    <n v="0.59416666666666662"/>
  </r>
  <r>
    <s v="ORD-01019"/>
    <d v="2024-07-13T00:00:00"/>
    <s v="CUST-0181"/>
    <s v="PROD-036"/>
    <s v="R021"/>
    <n v="10"/>
    <n v="3250"/>
    <n v="19.3"/>
    <n v="26227.5"/>
    <s v="Completed"/>
    <x v="2"/>
    <s v="Home"/>
    <s v="East"/>
    <s v="Jul-24"/>
    <s v="Q3 2024"/>
    <n v="1556"/>
    <n v="0.52123076923076928"/>
  </r>
  <r>
    <s v="ORD-01020"/>
    <d v="2024-02-14T00:00:00"/>
    <s v="CUST-0149"/>
    <s v="PROD-021"/>
    <s v="R014"/>
    <n v="7"/>
    <n v="2760"/>
    <n v="23.6"/>
    <n v="14760.48"/>
    <s v="Pending"/>
    <x v="5"/>
    <s v="Grocery"/>
    <s v="South"/>
    <s v="Feb-24"/>
    <s v="Q1 2024"/>
    <n v="1435"/>
    <n v="0.48007246376811596"/>
  </r>
  <r>
    <s v="ORD-01021"/>
    <d v="2024-06-20T00:00:00"/>
    <s v="CUST-0152"/>
    <s v="PROD-003"/>
    <s v="R001"/>
    <n v="3"/>
    <n v="3570"/>
    <n v="26.3"/>
    <n v="7893.27"/>
    <s v="Completed"/>
    <x v="4"/>
    <s v="Electronics"/>
    <s v="North"/>
    <s v="Jun-24"/>
    <s v="Q2 2024"/>
    <n v="1665"/>
    <n v="0.53361344537815125"/>
  </r>
  <r>
    <s v="ORD-01022"/>
    <d v="2024-04-10T00:00:00"/>
    <s v="CUST-0085"/>
    <s v="PROD-027"/>
    <s v="R015"/>
    <n v="4"/>
    <n v="3780"/>
    <n v="10.1"/>
    <n v="13592.88"/>
    <s v="Completed"/>
    <x v="1"/>
    <s v="Grocery"/>
    <s v="South"/>
    <s v="Apr-24"/>
    <s v="Q2 2024"/>
    <n v="2436"/>
    <n v="0.35555555555555557"/>
  </r>
  <r>
    <s v="ORD-01023"/>
    <d v="2024-11-04T00:00:00"/>
    <s v="CUST-0231"/>
    <s v="PROD-007"/>
    <s v="R019"/>
    <n v="10"/>
    <n v="1430"/>
    <n v="3.7"/>
    <n v="13770.9"/>
    <s v="Completed"/>
    <x v="1"/>
    <s v="Electronics"/>
    <s v="East"/>
    <s v="Nov-24"/>
    <s v="Q4 2024"/>
    <n v="861"/>
    <n v="0.39790209790209791"/>
  </r>
  <r>
    <s v="ORD-01024"/>
    <d v="2024-04-29T00:00:00"/>
    <s v="CUST-0044"/>
    <s v="PROD-022"/>
    <s v="R011"/>
    <n v="6"/>
    <n v="2270"/>
    <n v="7.9"/>
    <n v="12544.02"/>
    <s v="Refunded"/>
    <x v="5"/>
    <s v="Grocery"/>
    <s v="South"/>
    <s v="Apr-24"/>
    <s v="Q2 2024"/>
    <n v="1412"/>
    <n v="0.37797356828193834"/>
  </r>
  <r>
    <s v="ORD-01025"/>
    <d v="2024-04-24T00:00:00"/>
    <s v="CUST-0027"/>
    <s v="PROD-054"/>
    <s v="R013"/>
    <n v="1"/>
    <n v="1010"/>
    <n v="6.9"/>
    <n v="940.31"/>
    <s v="Pending"/>
    <x v="5"/>
    <s v="Sports"/>
    <s v="South"/>
    <s v="Apr-24"/>
    <s v="Q2 2024"/>
    <n v="516"/>
    <n v="0.4891089108910891"/>
  </r>
  <r>
    <s v="ORD-01026"/>
    <d v="2024-04-29T00:00:00"/>
    <s v="CUST-0101"/>
    <s v="PROD-055"/>
    <s v="R014"/>
    <n v="2"/>
    <n v="2860"/>
    <n v="20.100000000000001"/>
    <n v="4570.28"/>
    <s v="Completed"/>
    <x v="5"/>
    <s v="Sports"/>
    <s v="South"/>
    <s v="Apr-24"/>
    <s v="Q2 2024"/>
    <n v="2028"/>
    <n v="0.29090909090909089"/>
  </r>
  <r>
    <s v="ORD-01027"/>
    <d v="2024-06-18T00:00:00"/>
    <s v="CUST-0123"/>
    <s v="PROD-002"/>
    <s v="R019"/>
    <n v="9"/>
    <n v="2600"/>
    <n v="15.9"/>
    <n v="19679.400000000001"/>
    <s v="Cancelled"/>
    <x v="1"/>
    <s v="Electronics"/>
    <s v="East"/>
    <s v="Jun-24"/>
    <s v="Q2 2024"/>
    <n v="1052"/>
    <n v="0.5953846153846154"/>
  </r>
  <r>
    <s v="ORD-01028"/>
    <d v="2024-04-27T00:00:00"/>
    <s v="CUST-0124"/>
    <s v="PROD-053"/>
    <s v="R024"/>
    <n v="10"/>
    <n v="470"/>
    <n v="23.1"/>
    <n v="3614.3"/>
    <s v="Pending"/>
    <x v="0"/>
    <s v="Sports"/>
    <s v="West"/>
    <s v="Apr-24"/>
    <s v="Q2 2024"/>
    <n v="302"/>
    <n v="0.35744680851063831"/>
  </r>
  <r>
    <s v="ORD-01029"/>
    <d v="2024-07-22T00:00:00"/>
    <s v="CUST-0159"/>
    <s v="PROD-037"/>
    <s v="R013"/>
    <n v="10"/>
    <n v="660"/>
    <n v="9.4"/>
    <n v="5979.6"/>
    <s v="Completed"/>
    <x v="5"/>
    <s v="Home"/>
    <s v="South"/>
    <s v="Jul-24"/>
    <s v="Q3 2024"/>
    <n v="329"/>
    <n v="0.50151515151515147"/>
  </r>
  <r>
    <s v="ORD-01030"/>
    <d v="2024-01-16T00:00:00"/>
    <s v="CUST-0087"/>
    <s v="PROD-009"/>
    <s v="R023"/>
    <n v="5"/>
    <n v="1220"/>
    <n v="23.3"/>
    <n v="4678.7"/>
    <s v="Completed"/>
    <x v="0"/>
    <s v="Electronics"/>
    <s v="East"/>
    <s v="Jan-24"/>
    <s v="Q1 2024"/>
    <n v="517"/>
    <n v="0.57622950819672136"/>
  </r>
  <r>
    <s v="ORD-01031"/>
    <d v="2024-01-03T00:00:00"/>
    <s v="CUST-0295"/>
    <s v="PROD-036"/>
    <s v="R011"/>
    <n v="9"/>
    <n v="3250"/>
    <n v="19.600000000000001"/>
    <n v="23517"/>
    <s v="Pending"/>
    <x v="2"/>
    <s v="Home"/>
    <s v="South"/>
    <s v="Jan-24"/>
    <s v="Q1 2024"/>
    <n v="1556"/>
    <n v="0.52123076923076928"/>
  </r>
  <r>
    <s v="ORD-01032"/>
    <d v="2024-09-07T00:00:00"/>
    <s v="CUST-0211"/>
    <s v="PROD-016"/>
    <s v="R018"/>
    <n v="7"/>
    <n v="620"/>
    <n v="29"/>
    <n v="3081.4"/>
    <s v="Completed"/>
    <x v="4"/>
    <s v="Apparel"/>
    <s v="East"/>
    <s v="Sep-24"/>
    <s v="Q3 2024"/>
    <n v="396"/>
    <n v="0.36129032258064514"/>
  </r>
  <r>
    <s v="ORD-01033"/>
    <d v="2024-06-10T00:00:00"/>
    <s v="CUST-0265"/>
    <s v="PROD-026"/>
    <s v="R006"/>
    <n v="9"/>
    <n v="4070"/>
    <n v="16.2"/>
    <n v="30695.94"/>
    <s v="Completed"/>
    <x v="1"/>
    <s v="Grocery"/>
    <s v="North"/>
    <s v="Jun-24"/>
    <s v="Q2 2024"/>
    <n v="2027"/>
    <n v="0.50196560196560192"/>
  </r>
  <r>
    <s v="ORD-01034"/>
    <d v="2024-02-29T00:00:00"/>
    <s v="CUST-0252"/>
    <s v="PROD-012"/>
    <s v="R007"/>
    <n v="8"/>
    <n v="3160"/>
    <n v="23.8"/>
    <n v="19263.36"/>
    <s v="Completed"/>
    <x v="4"/>
    <s v="Apparel"/>
    <s v="North"/>
    <s v="Feb-24"/>
    <s v="Q1 2024"/>
    <n v="1886"/>
    <n v="0.4031645569620253"/>
  </r>
  <r>
    <s v="ORD-01035"/>
    <d v="2024-05-10T00:00:00"/>
    <s v="CUST-0180"/>
    <s v="PROD-029"/>
    <s v="R022"/>
    <n v="3"/>
    <n v="2210"/>
    <n v="29.7"/>
    <n v="4660.8900000000003"/>
    <s v="Completed"/>
    <x v="1"/>
    <s v="Grocery"/>
    <s v="East"/>
    <s v="May-24"/>
    <s v="Q2 2024"/>
    <n v="1010"/>
    <n v="0.54298642533936647"/>
  </r>
  <r>
    <s v="ORD-01036"/>
    <d v="2024-03-10T00:00:00"/>
    <s v="CUST-0231"/>
    <s v="PROD-053"/>
    <s v="R025"/>
    <n v="9"/>
    <n v="470"/>
    <n v="27.1"/>
    <n v="3083.67"/>
    <s v="Completed"/>
    <x v="1"/>
    <s v="Sports"/>
    <s v="West"/>
    <s v="Mar-24"/>
    <s v="Q1 2024"/>
    <n v="302"/>
    <n v="0.35744680851063831"/>
  </r>
  <r>
    <s v="ORD-01037"/>
    <d v="2024-11-26T00:00:00"/>
    <s v="CUST-0161"/>
    <s v="PROD-032"/>
    <s v="R020"/>
    <n v="6"/>
    <n v="370"/>
    <n v="5.4"/>
    <n v="2100.12"/>
    <s v="Completed"/>
    <x v="1"/>
    <s v="Home"/>
    <s v="East"/>
    <s v="Nov-24"/>
    <s v="Q4 2024"/>
    <n v="288"/>
    <n v="0.22162162162162163"/>
  </r>
  <r>
    <s v="ORD-01038"/>
    <d v="2024-07-23T00:00:00"/>
    <s v="CUST-0249"/>
    <s v="PROD-059"/>
    <s v="R018"/>
    <n v="10"/>
    <n v="3780"/>
    <n v="21.5"/>
    <n v="29673"/>
    <s v="Pending"/>
    <x v="3"/>
    <s v="Sports"/>
    <s v="East"/>
    <s v="Jul-24"/>
    <s v="Q3 2024"/>
    <n v="1860"/>
    <n v="0.50793650793650791"/>
  </r>
  <r>
    <s v="ORD-01039"/>
    <d v="2024-10-13T00:00:00"/>
    <s v="CUST-0048"/>
    <s v="PROD-056"/>
    <s v="R009"/>
    <n v="4"/>
    <n v="6940"/>
    <n v="3.9"/>
    <n v="26677.360000000001"/>
    <s v="Cancelled"/>
    <x v="2"/>
    <s v="Sports"/>
    <s v="South"/>
    <s v="Oct-24"/>
    <s v="Q4 2024"/>
    <n v="2827"/>
    <n v="0.5926512968299712"/>
  </r>
  <r>
    <s v="ORD-01040"/>
    <d v="2024-07-03T00:00:00"/>
    <s v="CUST-0068"/>
    <s v="PROD-031"/>
    <s v="R022"/>
    <n v="3"/>
    <n v="3730"/>
    <n v="20.7"/>
    <n v="8873.67"/>
    <s v="Completed"/>
    <x v="2"/>
    <s v="Home"/>
    <s v="East"/>
    <s v="Jul-24"/>
    <s v="Q3 2024"/>
    <n v="2135"/>
    <n v="0.42761394101876676"/>
  </r>
  <r>
    <s v="ORD-01041"/>
    <d v="2024-01-09T00:00:00"/>
    <s v="CUST-0213"/>
    <s v="PROD-034"/>
    <s v="R025"/>
    <n v="8"/>
    <n v="5080"/>
    <n v="6.2"/>
    <n v="38120.32"/>
    <s v="Completed"/>
    <x v="3"/>
    <s v="Home"/>
    <s v="West"/>
    <s v="Jan-24"/>
    <s v="Q1 2024"/>
    <n v="2459"/>
    <n v="0.51594488188976373"/>
  </r>
  <r>
    <s v="ORD-01042"/>
    <d v="2024-06-12T00:00:00"/>
    <s v="CUST-0159"/>
    <s v="PROD-052"/>
    <s v="R001"/>
    <n v="5"/>
    <n v="5410"/>
    <n v="5.2"/>
    <n v="25643.4"/>
    <s v="Completed"/>
    <x v="5"/>
    <s v="Sports"/>
    <s v="North"/>
    <s v="Jun-24"/>
    <s v="Q2 2024"/>
    <n v="2265"/>
    <n v="0.58133086876155271"/>
  </r>
  <r>
    <s v="ORD-01043"/>
    <d v="2024-04-22T00:00:00"/>
    <s v="CUST-0298"/>
    <s v="PROD-015"/>
    <s v="R026"/>
    <n v="6"/>
    <n v="2720"/>
    <n v="29.8"/>
    <n v="11456.64"/>
    <s v="Pending"/>
    <x v="2"/>
    <s v="Apparel"/>
    <s v="West"/>
    <s v="Apr-24"/>
    <s v="Q2 2024"/>
    <n v="1962"/>
    <n v="0.2786764705882353"/>
  </r>
  <r>
    <s v="ORD-01044"/>
    <d v="2024-06-25T00:00:00"/>
    <s v="CUST-0145"/>
    <s v="PROD-009"/>
    <s v="R010"/>
    <n v="1"/>
    <n v="1220"/>
    <n v="22.6"/>
    <n v="944.28"/>
    <s v="Completed"/>
    <x v="4"/>
    <s v="Electronics"/>
    <s v="South"/>
    <s v="Jun-24"/>
    <s v="Q2 2024"/>
    <n v="517"/>
    <n v="0.57622950819672136"/>
  </r>
  <r>
    <s v="ORD-01045"/>
    <d v="2024-12-14T00:00:00"/>
    <s v="CUST-0015"/>
    <s v="PROD-046"/>
    <s v="R008"/>
    <n v="10"/>
    <n v="4880"/>
    <n v="7.3"/>
    <n v="45237.599999999999"/>
    <s v="Completed"/>
    <x v="1"/>
    <s v="Beauty"/>
    <s v="North"/>
    <s v="Dec-24"/>
    <s v="Q4 2024"/>
    <n v="2768"/>
    <n v="0.43278688524590164"/>
  </r>
  <r>
    <s v="ORD-01046"/>
    <d v="2024-06-07T00:00:00"/>
    <s v="CUST-0054"/>
    <s v="PROD-022"/>
    <s v="R021"/>
    <n v="10"/>
    <n v="2270"/>
    <n v="1.6"/>
    <n v="22336.799999999999"/>
    <s v="Completed"/>
    <x v="3"/>
    <s v="Grocery"/>
    <s v="East"/>
    <s v="Jun-24"/>
    <s v="Q2 2024"/>
    <n v="1412"/>
    <n v="0.37797356828193834"/>
  </r>
  <r>
    <s v="ORD-01047"/>
    <d v="2024-10-24T00:00:00"/>
    <s v="CUST-0150"/>
    <s v="PROD-030"/>
    <s v="R003"/>
    <n v="8"/>
    <n v="970"/>
    <n v="13.1"/>
    <n v="6743.44"/>
    <s v="Completed"/>
    <x v="0"/>
    <s v="Grocery"/>
    <s v="North"/>
    <s v="Oct-24"/>
    <s v="Q4 2024"/>
    <n v="434"/>
    <n v="0.5525773195876289"/>
  </r>
  <r>
    <s v="ORD-01048"/>
    <d v="2024-12-20T00:00:00"/>
    <s v="CUST-0096"/>
    <s v="PROD-023"/>
    <s v="R012"/>
    <n v="7"/>
    <n v="2380"/>
    <n v="10.6"/>
    <n v="14894.04"/>
    <s v="Cancelled"/>
    <x v="2"/>
    <s v="Grocery"/>
    <s v="South"/>
    <s v="Dec-24"/>
    <s v="Q4 2024"/>
    <n v="1182"/>
    <n v="0.50336134453781511"/>
  </r>
  <r>
    <s v="ORD-01049"/>
    <d v="2024-07-15T00:00:00"/>
    <s v="CUST-0288"/>
    <s v="PROD-014"/>
    <s v="R016"/>
    <n v="6"/>
    <n v="3620"/>
    <n v="21.3"/>
    <n v="17093.64"/>
    <s v="Cancelled"/>
    <x v="5"/>
    <s v="Apparel"/>
    <s v="South"/>
    <s v="Jul-24"/>
    <s v="Q3 2024"/>
    <n v="2509"/>
    <n v="0.3069060773480663"/>
  </r>
  <r>
    <s v="ORD-01050"/>
    <d v="2024-09-20T00:00:00"/>
    <s v="CUST-0048"/>
    <s v="PROD-026"/>
    <s v="R027"/>
    <n v="3"/>
    <n v="4070"/>
    <n v="8.1999999999999993"/>
    <n v="11208.78"/>
    <s v="Cancelled"/>
    <x v="2"/>
    <s v="Grocery"/>
    <s v="West"/>
    <s v="Sep-24"/>
    <s v="Q3 2024"/>
    <n v="2027"/>
    <n v="0.50196560196560192"/>
  </r>
  <r>
    <s v="ORD-01051"/>
    <d v="2024-10-13T00:00:00"/>
    <s v="CUST-0104"/>
    <s v="PROD-048"/>
    <s v="R026"/>
    <n v="8"/>
    <n v="5100"/>
    <n v="26.9"/>
    <n v="29824.799999999999"/>
    <s v="Completed"/>
    <x v="5"/>
    <s v="Beauty"/>
    <s v="West"/>
    <s v="Oct-24"/>
    <s v="Q4 2024"/>
    <n v="2237"/>
    <n v="0.56137254901960787"/>
  </r>
  <r>
    <s v="ORD-01052"/>
    <d v="2024-01-05T00:00:00"/>
    <s v="CUST-0054"/>
    <s v="PROD-045"/>
    <s v="R017"/>
    <n v="3"/>
    <n v="3020"/>
    <n v="18.5"/>
    <n v="7383.9"/>
    <s v="Cancelled"/>
    <x v="3"/>
    <s v="Beauty"/>
    <s v="East"/>
    <s v="Jan-24"/>
    <s v="Q1 2024"/>
    <n v="1626"/>
    <n v="0.46158940397350995"/>
  </r>
  <r>
    <s v="ORD-01053"/>
    <d v="2024-09-29T00:00:00"/>
    <s v="CUST-0158"/>
    <s v="PROD-049"/>
    <s v="R002"/>
    <n v="8"/>
    <n v="960"/>
    <n v="7.1"/>
    <n v="7134.72"/>
    <s v="Completed"/>
    <x v="0"/>
    <s v="Beauty"/>
    <s v="North"/>
    <s v="Sep-24"/>
    <s v="Q3 2024"/>
    <n v="675"/>
    <n v="0.296875"/>
  </r>
  <r>
    <s v="ORD-01054"/>
    <d v="2024-04-01T00:00:00"/>
    <s v="CUST-0231"/>
    <s v="PROD-034"/>
    <s v="R015"/>
    <n v="8"/>
    <n v="5080"/>
    <n v="6.2"/>
    <n v="38120.32"/>
    <s v="Completed"/>
    <x v="1"/>
    <s v="Home"/>
    <s v="South"/>
    <s v="Apr-24"/>
    <s v="Q2 2024"/>
    <n v="2459"/>
    <n v="0.51594488188976373"/>
  </r>
  <r>
    <s v="ORD-01055"/>
    <d v="2024-05-24T00:00:00"/>
    <s v="CUST-0277"/>
    <s v="PROD-050"/>
    <s v="R010"/>
    <n v="6"/>
    <n v="6080"/>
    <n v="25.8"/>
    <n v="27068.16"/>
    <s v="Completed"/>
    <x v="1"/>
    <s v="Beauty"/>
    <s v="South"/>
    <s v="May-24"/>
    <s v="Q2 2024"/>
    <n v="2617"/>
    <n v="0.56957236842105263"/>
  </r>
  <r>
    <s v="ORD-01056"/>
    <d v="2024-09-09T00:00:00"/>
    <s v="CUST-0232"/>
    <s v="PROD-041"/>
    <s v="R010"/>
    <n v="5"/>
    <n v="1540"/>
    <n v="24.6"/>
    <n v="5805.8"/>
    <s v="Completed"/>
    <x v="5"/>
    <s v="Beauty"/>
    <s v="South"/>
    <s v="Sep-24"/>
    <s v="Q3 2024"/>
    <n v="647"/>
    <n v="0.57987012987012987"/>
  </r>
  <r>
    <s v="ORD-01057"/>
    <d v="2024-04-22T00:00:00"/>
    <s v="CUST-0074"/>
    <s v="PROD-054"/>
    <s v="R024"/>
    <n v="4"/>
    <n v="1010"/>
    <n v="2.9"/>
    <n v="3922.84"/>
    <s v="Pending"/>
    <x v="4"/>
    <s v="Sports"/>
    <s v="West"/>
    <s v="Apr-24"/>
    <s v="Q2 2024"/>
    <n v="516"/>
    <n v="0.4891089108910891"/>
  </r>
  <r>
    <s v="ORD-01058"/>
    <d v="2024-10-21T00:00:00"/>
    <s v="CUST-0068"/>
    <s v="PROD-049"/>
    <s v="R026"/>
    <n v="5"/>
    <n v="960"/>
    <n v="11.4"/>
    <n v="4252.8"/>
    <s v="Completed"/>
    <x v="2"/>
    <s v="Beauty"/>
    <s v="West"/>
    <s v="Oct-24"/>
    <s v="Q4 2024"/>
    <n v="675"/>
    <n v="0.296875"/>
  </r>
  <r>
    <s v="ORD-01059"/>
    <d v="2024-08-20T00:00:00"/>
    <s v="CUST-0152"/>
    <s v="PROD-041"/>
    <s v="R010"/>
    <n v="1"/>
    <n v="1540"/>
    <n v="5.6"/>
    <n v="1453.76"/>
    <s v="Completed"/>
    <x v="4"/>
    <s v="Beauty"/>
    <s v="South"/>
    <s v="Aug-24"/>
    <s v="Q3 2024"/>
    <n v="647"/>
    <n v="0.57987012987012987"/>
  </r>
  <r>
    <s v="ORD-01060"/>
    <d v="2024-04-15T00:00:00"/>
    <s v="CUST-0046"/>
    <s v="PROD-043"/>
    <s v="R019"/>
    <n v="9"/>
    <n v="3350"/>
    <n v="2.1"/>
    <n v="29516.85"/>
    <s v="Completed"/>
    <x v="2"/>
    <s v="Beauty"/>
    <s v="East"/>
    <s v="Apr-24"/>
    <s v="Q2 2024"/>
    <n v="1728"/>
    <n v="0.48417910447761192"/>
  </r>
  <r>
    <s v="ORD-01061"/>
    <d v="2024-02-14T00:00:00"/>
    <s v="CUST-0201"/>
    <s v="PROD-051"/>
    <s v="R021"/>
    <n v="7"/>
    <n v="3450"/>
    <n v="4.7"/>
    <n v="23014.95"/>
    <s v="Completed"/>
    <x v="5"/>
    <s v="Sports"/>
    <s v="East"/>
    <s v="Feb-24"/>
    <s v="Q1 2024"/>
    <n v="2467"/>
    <n v="0.28492753623188405"/>
  </r>
  <r>
    <s v="ORD-01062"/>
    <d v="2024-10-29T00:00:00"/>
    <s v="CUST-0191"/>
    <s v="PROD-057"/>
    <s v="R019"/>
    <n v="10"/>
    <n v="960"/>
    <n v="17.899999999999999"/>
    <n v="7881.6"/>
    <s v="Completed"/>
    <x v="5"/>
    <s v="Sports"/>
    <s v="East"/>
    <s v="Oct-24"/>
    <s v="Q4 2024"/>
    <n v="705"/>
    <n v="0.265625"/>
  </r>
  <r>
    <s v="ORD-01063"/>
    <d v="2024-11-21T00:00:00"/>
    <s v="CUST-0192"/>
    <s v="PROD-013"/>
    <s v="R014"/>
    <n v="1"/>
    <n v="3640"/>
    <n v="8.8000000000000007"/>
    <n v="3319.68"/>
    <s v="Completed"/>
    <x v="4"/>
    <s v="Apparel"/>
    <s v="South"/>
    <s v="Nov-24"/>
    <s v="Q4 2024"/>
    <n v="2611"/>
    <n v="0.28269230769230769"/>
  </r>
  <r>
    <s v="ORD-01064"/>
    <d v="2024-03-27T00:00:00"/>
    <s v="CUST-0074"/>
    <s v="PROD-029"/>
    <s v="R017"/>
    <n v="1"/>
    <n v="2210"/>
    <n v="10.7"/>
    <n v="1973.53"/>
    <s v="Completed"/>
    <x v="4"/>
    <s v="Grocery"/>
    <s v="East"/>
    <s v="Mar-24"/>
    <s v="Q1 2024"/>
    <n v="1010"/>
    <n v="0.54298642533936647"/>
  </r>
  <r>
    <s v="ORD-01065"/>
    <d v="2024-01-27T00:00:00"/>
    <s v="CUST-0071"/>
    <s v="PROD-031"/>
    <s v="R005"/>
    <n v="2"/>
    <n v="3730"/>
    <n v="13.9"/>
    <n v="6423.06"/>
    <s v="Completed"/>
    <x v="2"/>
    <s v="Home"/>
    <s v="North"/>
    <s v="Jan-24"/>
    <s v="Q1 2024"/>
    <n v="2135"/>
    <n v="0.42761394101876676"/>
  </r>
  <r>
    <s v="ORD-01066"/>
    <d v="2024-09-07T00:00:00"/>
    <s v="CUST-0210"/>
    <s v="PROD-052"/>
    <s v="R010"/>
    <n v="7"/>
    <n v="5410"/>
    <n v="23.6"/>
    <n v="28932.68"/>
    <s v="Completed"/>
    <x v="0"/>
    <s v="Sports"/>
    <s v="South"/>
    <s v="Sep-24"/>
    <s v="Q3 2024"/>
    <n v="2265"/>
    <n v="0.58133086876155271"/>
  </r>
  <r>
    <s v="ORD-01067"/>
    <d v="2024-11-22T00:00:00"/>
    <s v="CUST-0054"/>
    <s v="PROD-027"/>
    <s v="R018"/>
    <n v="7"/>
    <n v="3780"/>
    <n v="8.5"/>
    <n v="24210.9"/>
    <s v="Cancelled"/>
    <x v="3"/>
    <s v="Grocery"/>
    <s v="East"/>
    <s v="Nov-24"/>
    <s v="Q4 2024"/>
    <n v="2436"/>
    <n v="0.35555555555555557"/>
  </r>
  <r>
    <s v="ORD-01068"/>
    <d v="2024-09-20T00:00:00"/>
    <s v="CUST-0194"/>
    <s v="PROD-039"/>
    <s v="R016"/>
    <n v="9"/>
    <n v="4610"/>
    <n v="26.6"/>
    <n v="30453.66"/>
    <s v="Completed"/>
    <x v="2"/>
    <s v="Home"/>
    <s v="South"/>
    <s v="Sep-24"/>
    <s v="Q3 2024"/>
    <n v="1850"/>
    <n v="0.59869848156182215"/>
  </r>
  <r>
    <s v="ORD-01069"/>
    <d v="2024-03-22T00:00:00"/>
    <s v="CUST-0231"/>
    <s v="PROD-010"/>
    <s v="R025"/>
    <n v="5"/>
    <n v="2640"/>
    <n v="1.5"/>
    <n v="13002"/>
    <s v="Completed"/>
    <x v="1"/>
    <s v="Electronics"/>
    <s v="West"/>
    <s v="Mar-24"/>
    <s v="Q1 2024"/>
    <n v="1149"/>
    <n v="0.56477272727272732"/>
  </r>
  <r>
    <s v="ORD-01070"/>
    <d v="2024-08-11T00:00:00"/>
    <s v="CUST-0053"/>
    <s v="PROD-014"/>
    <s v="R010"/>
    <n v="3"/>
    <n v="3620"/>
    <n v="3.1"/>
    <n v="10523.34"/>
    <s v="Completed"/>
    <x v="2"/>
    <s v="Apparel"/>
    <s v="South"/>
    <s v="Aug-24"/>
    <s v="Q3 2024"/>
    <n v="2509"/>
    <n v="0.3069060773480663"/>
  </r>
  <r>
    <s v="ORD-01071"/>
    <d v="2024-08-26T00:00:00"/>
    <s v="CUST-0290"/>
    <s v="PROD-053"/>
    <s v="R018"/>
    <n v="5"/>
    <n v="470"/>
    <n v="10.6"/>
    <n v="2100.9"/>
    <s v="Cancelled"/>
    <x v="2"/>
    <s v="Sports"/>
    <s v="East"/>
    <s v="Aug-24"/>
    <s v="Q3 2024"/>
    <n v="302"/>
    <n v="0.35744680851063831"/>
  </r>
  <r>
    <s v="ORD-01072"/>
    <d v="2024-06-20T00:00:00"/>
    <s v="CUST-0261"/>
    <s v="PROD-001"/>
    <s v="R009"/>
    <n v="7"/>
    <n v="5330"/>
    <n v="25"/>
    <n v="27982.5"/>
    <s v="Cancelled"/>
    <x v="2"/>
    <s v="Electronics"/>
    <s v="South"/>
    <s v="Jun-24"/>
    <s v="Q2 2024"/>
    <n v="2405"/>
    <n v="0.54878048780487809"/>
  </r>
  <r>
    <s v="ORD-01073"/>
    <d v="2024-01-01T00:00:00"/>
    <s v="CUST-0045"/>
    <s v="PROD-050"/>
    <s v="R014"/>
    <n v="1"/>
    <n v="6080"/>
    <n v="27.8"/>
    <n v="4389.76"/>
    <s v="Completed"/>
    <x v="1"/>
    <s v="Beauty"/>
    <s v="South"/>
    <s v="Jan-24"/>
    <s v="Q1 2024"/>
    <n v="2617"/>
    <n v="0.56957236842105263"/>
  </r>
  <r>
    <s v="ORD-01074"/>
    <d v="2024-02-25T00:00:00"/>
    <s v="CUST-0064"/>
    <s v="PROD-043"/>
    <s v="R024"/>
    <n v="6"/>
    <n v="3350"/>
    <n v="12"/>
    <n v="17688"/>
    <s v="Completed"/>
    <x v="5"/>
    <s v="Beauty"/>
    <s v="West"/>
    <s v="Feb-24"/>
    <s v="Q1 2024"/>
    <n v="1728"/>
    <n v="0.48417910447761192"/>
  </r>
  <r>
    <s v="ORD-01075"/>
    <d v="2024-10-27T00:00:00"/>
    <s v="CUST-9754"/>
    <s v="PROD-056"/>
    <s v="R027"/>
    <n v="6"/>
    <n v="6940"/>
    <n v="20"/>
    <n v="33312"/>
    <s v="Completed"/>
    <x v="1"/>
    <s v="Sports"/>
    <s v="West"/>
    <s v="Oct-24"/>
    <s v="Q4 2024"/>
    <n v="2827"/>
    <n v="0.5926512968299712"/>
  </r>
  <r>
    <s v="ORD-01076"/>
    <d v="2024-12-10T00:00:00"/>
    <s v="CUST-0200"/>
    <s v="PROD-032"/>
    <s v="R007"/>
    <n v="1"/>
    <n v="370"/>
    <n v="10"/>
    <n v="333"/>
    <s v="Completed"/>
    <x v="5"/>
    <s v="Home"/>
    <s v="North"/>
    <s v="Dec-24"/>
    <s v="Q4 2024"/>
    <n v="288"/>
    <n v="0.22162162162162163"/>
  </r>
  <r>
    <s v="ORD-01077"/>
    <d v="2024-05-20T00:00:00"/>
    <s v="CUST-0058"/>
    <s v="PROD-038"/>
    <s v="R020"/>
    <n v="2"/>
    <n v="5490"/>
    <n v="27.9"/>
    <n v="7916.58"/>
    <s v="Completed"/>
    <x v="4"/>
    <s v="Home"/>
    <s v="East"/>
    <s v="May-24"/>
    <s v="Q2 2024"/>
    <n v="2549"/>
    <n v="0.53570127504553733"/>
  </r>
  <r>
    <s v="ORD-01078"/>
    <d v="2024-07-06T00:00:00"/>
    <s v="CUST-0156"/>
    <s v="PROD-028"/>
    <s v="R009"/>
    <n v="5"/>
    <n v="3660"/>
    <n v="4.5999999999999996"/>
    <n v="17458.2"/>
    <s v="Completed"/>
    <x v="3"/>
    <s v="Grocery"/>
    <s v="South"/>
    <s v="Jul-24"/>
    <s v="Q3 2024"/>
    <n v="2214"/>
    <n v="0.39508196721311473"/>
  </r>
  <r>
    <s v="ORD-01079"/>
    <d v="2024-09-28T00:00:00"/>
    <s v="CUST-0107"/>
    <s v="PROD-005"/>
    <s v="R029"/>
    <n v="6"/>
    <n v="300"/>
    <n v="9"/>
    <n v="1638"/>
    <s v="Completed"/>
    <x v="0"/>
    <s v="Electronics"/>
    <s v="West"/>
    <s v="Sep-24"/>
    <s v="Q3 2024"/>
    <n v="128"/>
    <n v="0.57333333333333336"/>
  </r>
  <r>
    <s v="ORD-01080"/>
    <d v="2024-08-19T00:00:00"/>
    <s v="CUST-0184"/>
    <s v="PROD-005"/>
    <s v="R012"/>
    <n v="3"/>
    <n v="300"/>
    <n v="19.2"/>
    <n v="727.2"/>
    <s v="Completed"/>
    <x v="0"/>
    <s v="Electronics"/>
    <s v="South"/>
    <s v="Aug-24"/>
    <s v="Q3 2024"/>
    <n v="128"/>
    <n v="0.57333333333333336"/>
  </r>
  <r>
    <s v="ORD-01081"/>
    <d v="2024-09-02T00:00:00"/>
    <s v="CUST-0202"/>
    <s v="PROD-049"/>
    <s v="R014"/>
    <n v="6"/>
    <n v="960"/>
    <n v="29.3"/>
    <n v="4072.32"/>
    <s v="Cancelled"/>
    <x v="1"/>
    <s v="Beauty"/>
    <s v="South"/>
    <s v="Sep-24"/>
    <s v="Q3 2024"/>
    <n v="675"/>
    <n v="0.296875"/>
  </r>
  <r>
    <s v="ORD-01082"/>
    <d v="2024-04-01T00:00:00"/>
    <s v="CUST-0137"/>
    <s v="PROD-022"/>
    <s v="R025"/>
    <n v="1"/>
    <n v="2270"/>
    <n v="12.4"/>
    <n v="1988.52"/>
    <s v="Completed"/>
    <x v="3"/>
    <s v="Grocery"/>
    <s v="West"/>
    <s v="Apr-24"/>
    <s v="Q2 2024"/>
    <n v="1412"/>
    <n v="0.37797356828193834"/>
  </r>
  <r>
    <s v="ORD-01083"/>
    <d v="2024-09-06T00:00:00"/>
    <s v="CUST-0108"/>
    <s v="PROD-033"/>
    <s v="R027"/>
    <n v="10"/>
    <n v="2030"/>
    <n v="4"/>
    <n v="19488"/>
    <s v="Completed"/>
    <x v="4"/>
    <s v="Home"/>
    <s v="West"/>
    <s v="Sep-24"/>
    <s v="Q3 2024"/>
    <n v="1143"/>
    <n v="0.43694581280788175"/>
  </r>
  <r>
    <s v="ORD-01084"/>
    <d v="2024-11-13T00:00:00"/>
    <s v="CUST-0126"/>
    <s v="PROD-040"/>
    <s v="R021"/>
    <n v="9"/>
    <n v="1080"/>
    <n v="19.2"/>
    <n v="7853.76"/>
    <s v="Pending"/>
    <x v="3"/>
    <s v="Home"/>
    <s v="East"/>
    <s v="Nov-24"/>
    <s v="Q4 2024"/>
    <n v="519"/>
    <n v="0.51944444444444449"/>
  </r>
  <r>
    <s v="ORD-01085"/>
    <d v="2024-06-20T00:00:00"/>
    <s v="CUST-0107"/>
    <s v="PROD-055"/>
    <s v="R025"/>
    <n v="5"/>
    <n v="2860"/>
    <n v="25"/>
    <n v="10725"/>
    <s v="Pending"/>
    <x v="0"/>
    <s v="Sports"/>
    <s v="West"/>
    <s v="Jun-24"/>
    <s v="Q2 2024"/>
    <n v="2028"/>
    <n v="0.29090909090909089"/>
  </r>
  <r>
    <s v="ORD-01086"/>
    <d v="2024-10-23T00:00:00"/>
    <s v="CUST-0071"/>
    <s v="PROD-024"/>
    <s v="R012"/>
    <n v="6"/>
    <n v="2270"/>
    <n v="9.3000000000000007"/>
    <n v="12353.34"/>
    <s v="Completed"/>
    <x v="2"/>
    <s v="Grocery"/>
    <s v="South"/>
    <s v="Oct-24"/>
    <s v="Q4 2024"/>
    <n v="1203"/>
    <n v="0.47004405286343615"/>
  </r>
  <r>
    <s v="ORD-01087"/>
    <d v="2024-02-06T00:00:00"/>
    <s v="CUST-0238"/>
    <s v="PROD-015"/>
    <s v="R024"/>
    <n v="1"/>
    <n v="2720"/>
    <n v="15.2"/>
    <n v="2306.56"/>
    <s v="Completed"/>
    <x v="2"/>
    <s v="Apparel"/>
    <s v="West"/>
    <s v="Feb-24"/>
    <s v="Q1 2024"/>
    <n v="1962"/>
    <n v="0.2786764705882353"/>
  </r>
  <r>
    <s v="ORD-01088"/>
    <d v="2024-12-12T00:00:00"/>
    <s v="CUST-0022"/>
    <s v="PROD-004"/>
    <s v="R005"/>
    <n v="10"/>
    <n v="3870"/>
    <n v="4.9000000000000004"/>
    <n v="36803.699999999997"/>
    <s v="Cancelled"/>
    <x v="4"/>
    <s v="Electronics"/>
    <s v="North"/>
    <s v="Dec-24"/>
    <s v="Q4 2024"/>
    <n v="1559"/>
    <n v="0.59715762273901807"/>
  </r>
  <r>
    <s v="ORD-01089"/>
    <d v="2024-02-10T00:00:00"/>
    <s v="CUST-0100"/>
    <s v="PROD-011"/>
    <s v="R019"/>
    <n v="8"/>
    <n v="3450"/>
    <n v="20.6"/>
    <n v="21914.400000000001"/>
    <s v="Completed"/>
    <x v="5"/>
    <s v="Apparel"/>
    <s v="East"/>
    <s v="Feb-24"/>
    <s v="Q1 2024"/>
    <n v="1748"/>
    <n v="0.49333333333333335"/>
  </r>
  <r>
    <s v="ORD-01090"/>
    <d v="2024-04-24T00:00:00"/>
    <s v="CUST-0263"/>
    <s v="PROD-053"/>
    <s v="R002"/>
    <n v="1"/>
    <n v="470"/>
    <n v="5.4"/>
    <n v="444.62"/>
    <s v="Refunded"/>
    <x v="3"/>
    <s v="Sports"/>
    <s v="North"/>
    <s v="Apr-24"/>
    <s v="Q2 2024"/>
    <n v="302"/>
    <n v="0.35744680851063831"/>
  </r>
  <r>
    <s v="ORD-01091"/>
    <d v="2024-04-23T00:00:00"/>
    <s v="CUST-0032"/>
    <s v="PROD-006"/>
    <s v="R009"/>
    <n v="5"/>
    <n v="3970"/>
    <n v="5.8"/>
    <n v="18698.7"/>
    <s v="Completed"/>
    <x v="5"/>
    <s v="Electronics"/>
    <s v="South"/>
    <s v="Apr-24"/>
    <s v="Q2 2024"/>
    <n v="2865"/>
    <n v="0.27833753148614609"/>
  </r>
  <r>
    <s v="ORD-01092"/>
    <d v="2024-06-26T00:00:00"/>
    <s v="CUST-0227"/>
    <s v="PROD-048"/>
    <s v="R012"/>
    <n v="2"/>
    <n v="5100"/>
    <n v="19.899999999999999"/>
    <n v="8170.2"/>
    <s v="Completed"/>
    <x v="4"/>
    <s v="Beauty"/>
    <s v="South"/>
    <s v="Jun-24"/>
    <s v="Q2 2024"/>
    <n v="2237"/>
    <n v="0.56137254901960787"/>
  </r>
  <r>
    <s v="ORD-01093"/>
    <d v="2024-12-30T00:00:00"/>
    <s v="CUST-0124"/>
    <s v="PROD-047"/>
    <s v="R001"/>
    <n v="6"/>
    <n v="3450"/>
    <n v="13"/>
    <n v="18009"/>
    <s v="Completed"/>
    <x v="0"/>
    <s v="Beauty"/>
    <s v="North"/>
    <s v="Dec-24"/>
    <s v="Q4 2024"/>
    <n v="2420"/>
    <n v="0.29855072463768118"/>
  </r>
  <r>
    <s v="ORD-01094"/>
    <d v="2024-12-27T00:00:00"/>
    <s v="CUST-0276"/>
    <s v="PROD-031"/>
    <s v="R012"/>
    <n v="9"/>
    <n v="3730"/>
    <n v="15.5"/>
    <n v="28366.65"/>
    <s v="Completed"/>
    <x v="1"/>
    <s v="Home"/>
    <s v="South"/>
    <s v="Dec-24"/>
    <s v="Q4 2024"/>
    <n v="2135"/>
    <n v="0.42761394101876676"/>
  </r>
  <r>
    <s v="ORD-01095"/>
    <d v="2024-05-28T00:00:00"/>
    <s v="CUST-0100"/>
    <s v="PROD-049"/>
    <s v="R020"/>
    <n v="5"/>
    <n v="960"/>
    <n v="9.3000000000000007"/>
    <n v="4353.6000000000004"/>
    <s v="Completed"/>
    <x v="5"/>
    <s v="Beauty"/>
    <s v="East"/>
    <s v="May-24"/>
    <s v="Q2 2024"/>
    <n v="675"/>
    <n v="0.296875"/>
  </r>
  <r>
    <s v="ORD-01096"/>
    <d v="2024-08-07T00:00:00"/>
    <s v="CUST-0221"/>
    <s v="PROD-034"/>
    <s v="R008"/>
    <n v="3"/>
    <n v="5080"/>
    <n v="17.399999999999999"/>
    <n v="12588.24"/>
    <s v="Cancelled"/>
    <x v="2"/>
    <s v="Home"/>
    <s v="North"/>
    <s v="Aug-24"/>
    <s v="Q3 2024"/>
    <n v="2459"/>
    <n v="0.51594488188976373"/>
  </r>
  <r>
    <s v="ORD-01097"/>
    <d v="2024-01-09T00:00:00"/>
    <s v="CUST-0266"/>
    <s v="PROD-004"/>
    <s v="R003"/>
    <n v="4"/>
    <n v="3870"/>
    <n v="20.5"/>
    <n v="12306.6"/>
    <s v="Pending"/>
    <x v="0"/>
    <s v="Electronics"/>
    <s v="North"/>
    <s v="Jan-24"/>
    <s v="Q1 2024"/>
    <n v="1559"/>
    <n v="0.59715762273901807"/>
  </r>
  <r>
    <s v="ORD-01098"/>
    <d v="2024-08-24T00:00:00"/>
    <s v="CUST-0210"/>
    <s v="PROD-059"/>
    <s v="R024"/>
    <n v="1"/>
    <n v="3780"/>
    <n v="21.5"/>
    <n v="2967.3"/>
    <s v="Completed"/>
    <x v="0"/>
    <s v="Sports"/>
    <s v="West"/>
    <s v="Aug-24"/>
    <s v="Q3 2024"/>
    <n v="1860"/>
    <n v="0.50793650793650791"/>
  </r>
  <r>
    <s v="ORD-01099"/>
    <d v="2024-11-26T00:00:00"/>
    <s v="CUST-0293"/>
    <s v="PROD-004"/>
    <s v="R017"/>
    <n v="3"/>
    <n v="3870"/>
    <n v="21.9"/>
    <n v="9067.41"/>
    <s v="Pending"/>
    <x v="4"/>
    <s v="Electronics"/>
    <s v="East"/>
    <s v="Nov-24"/>
    <s v="Q4 2024"/>
    <n v="1559"/>
    <n v="0.59715762273901807"/>
  </r>
  <r>
    <s v="ORD-01100"/>
    <d v="2024-06-20T00:00:00"/>
    <s v="CUST-0291"/>
    <s v="PROD-033"/>
    <s v="R009"/>
    <n v="4"/>
    <n v="2030"/>
    <n v="23.4"/>
    <n v="6219.92"/>
    <s v="Completed"/>
    <x v="0"/>
    <s v="Home"/>
    <s v="South"/>
    <s v="Jun-24"/>
    <s v="Q2 2024"/>
    <n v="1143"/>
    <n v="0.43694581280788175"/>
  </r>
  <r>
    <s v="ORD-01101"/>
    <d v="2024-04-25T00:00:00"/>
    <s v="CUST-0295"/>
    <s v="PROD-029"/>
    <s v="R003"/>
    <n v="6"/>
    <n v="2210"/>
    <n v="9.1"/>
    <n v="12053.34"/>
    <s v="Completed"/>
    <x v="2"/>
    <s v="Grocery"/>
    <s v="North"/>
    <s v="Apr-24"/>
    <s v="Q2 2024"/>
    <n v="1010"/>
    <n v="0.54298642533936647"/>
  </r>
  <r>
    <s v="ORD-01102"/>
    <d v="2024-12-01T00:00:00"/>
    <s v="CUST-0123"/>
    <s v="PROD-041"/>
    <s v="R017"/>
    <n v="5"/>
    <n v="1540"/>
    <n v="18.100000000000001"/>
    <n v="6306.3"/>
    <s v="Completed"/>
    <x v="1"/>
    <s v="Beauty"/>
    <s v="East"/>
    <s v="Dec-24"/>
    <s v="Q4 2024"/>
    <n v="647"/>
    <n v="0.57987012987012987"/>
  </r>
  <r>
    <s v="ORD-01103"/>
    <d v="2024-04-11T00:00:00"/>
    <s v="CUST-0167"/>
    <s v="PROD-054"/>
    <s v="R011"/>
    <n v="1"/>
    <n v="1010"/>
    <n v="7.3"/>
    <n v="936.27"/>
    <s v="Completed"/>
    <x v="2"/>
    <s v="Sports"/>
    <s v="South"/>
    <s v="Apr-24"/>
    <s v="Q2 2024"/>
    <n v="516"/>
    <n v="0.4891089108910891"/>
  </r>
  <r>
    <s v="ORD-01104"/>
    <d v="2024-03-09T00:00:00"/>
    <s v="CUST-0247"/>
    <s v="PROD-001"/>
    <s v="R015"/>
    <n v="10"/>
    <n v="5330"/>
    <n v="27.3"/>
    <n v="38749.1"/>
    <s v="Completed"/>
    <x v="0"/>
    <s v="Electronics"/>
    <s v="South"/>
    <s v="Mar-24"/>
    <s v="Q1 2024"/>
    <n v="2405"/>
    <n v="0.54878048780487809"/>
  </r>
  <r>
    <s v="ORD-01105"/>
    <d v="2024-09-13T00:00:00"/>
    <s v="CUST-0224"/>
    <s v="PROD-003"/>
    <s v="R022"/>
    <n v="7"/>
    <n v="3570"/>
    <n v="24.3"/>
    <n v="18917.43"/>
    <s v="Completed"/>
    <x v="1"/>
    <s v="Electronics"/>
    <s v="East"/>
    <s v="Sep-24"/>
    <s v="Q3 2024"/>
    <n v="1665"/>
    <n v="0.53361344537815125"/>
  </r>
  <r>
    <s v="ORD-01106"/>
    <d v="2024-10-04T00:00:00"/>
    <s v="CUST-0102"/>
    <s v="PROD-043"/>
    <s v="R017"/>
    <n v="1"/>
    <n v="3350"/>
    <n v="14.9"/>
    <n v="2850.85"/>
    <s v="Completed"/>
    <x v="1"/>
    <s v="Beauty"/>
    <s v="East"/>
    <s v="Oct-24"/>
    <s v="Q4 2024"/>
    <n v="1728"/>
    <n v="0.48417910447761192"/>
  </r>
  <r>
    <s v="ORD-01107"/>
    <d v="2024-09-06T00:00:00"/>
    <s v="CUST-0151"/>
    <s v="PROD-017"/>
    <s v="R023"/>
    <n v="2"/>
    <n v="2510"/>
    <n v="10.6"/>
    <n v="4487.88"/>
    <s v="Completed"/>
    <x v="3"/>
    <s v="Apparel"/>
    <s v="East"/>
    <s v="Sep-24"/>
    <s v="Q3 2024"/>
    <n v="1075"/>
    <n v="0.57171314741035861"/>
  </r>
  <r>
    <s v="ORD-01108"/>
    <d v="2024-03-18T00:00:00"/>
    <s v="CUST-0182"/>
    <s v="PROD-030"/>
    <s v="R025"/>
    <n v="5"/>
    <n v="970"/>
    <n v="6.8"/>
    <n v="4520.2"/>
    <s v="Pending"/>
    <x v="3"/>
    <s v="Grocery"/>
    <s v="West"/>
    <s v="Mar-24"/>
    <s v="Q1 2024"/>
    <n v="434"/>
    <n v="0.5525773195876289"/>
  </r>
  <r>
    <s v="ORD-01109"/>
    <d v="2024-08-15T00:00:00"/>
    <s v="CUST-0152"/>
    <s v="PROD-027"/>
    <s v="R002"/>
    <n v="5"/>
    <n v="3780"/>
    <n v="16.600000000000001"/>
    <n v="15762.6"/>
    <s v="Completed"/>
    <x v="4"/>
    <s v="Grocery"/>
    <s v="North"/>
    <s v="Aug-24"/>
    <s v="Q3 2024"/>
    <n v="2436"/>
    <n v="0.35555555555555557"/>
  </r>
  <r>
    <s v="ORD-01110"/>
    <d v="2024-03-28T00:00:00"/>
    <s v="CUST-0247"/>
    <s v="PROD-017"/>
    <s v="R007"/>
    <n v="3"/>
    <n v="2510"/>
    <n v="24.9"/>
    <n v="5655.03"/>
    <s v="Cancelled"/>
    <x v="0"/>
    <s v="Apparel"/>
    <s v="North"/>
    <s v="Mar-24"/>
    <s v="Q1 2024"/>
    <n v="1075"/>
    <n v="0.57171314741035861"/>
  </r>
  <r>
    <s v="ORD-01111"/>
    <d v="2024-09-13T00:00:00"/>
    <s v="CUST-0220"/>
    <s v="PROD-033"/>
    <s v="R008"/>
    <n v="3"/>
    <n v="2030"/>
    <n v="3.8"/>
    <n v="5858.58"/>
    <s v="Completed"/>
    <x v="1"/>
    <s v="Home"/>
    <s v="North"/>
    <s v="Sep-24"/>
    <s v="Q3 2024"/>
    <n v="1143"/>
    <n v="0.43694581280788175"/>
  </r>
  <r>
    <s v="ORD-01112"/>
    <d v="2024-07-05T00:00:00"/>
    <s v="CUST-0206"/>
    <s v="PROD-060"/>
    <s v="R014"/>
    <n v="9"/>
    <n v="190"/>
    <n v="5.4"/>
    <n v="1617.66"/>
    <s v="Completed"/>
    <x v="3"/>
    <s v="Sports"/>
    <s v="South"/>
    <s v="Jul-24"/>
    <s v="Q3 2024"/>
    <n v="147"/>
    <n v="0.22631578947368422"/>
  </r>
  <r>
    <s v="ORD-01113"/>
    <d v="2024-02-16T00:00:00"/>
    <s v="CUST-0219"/>
    <s v="PROD-029"/>
    <s v="R020"/>
    <n v="6"/>
    <n v="2210"/>
    <n v="29.4"/>
    <n v="9361.56"/>
    <s v="Completed"/>
    <x v="1"/>
    <s v="Grocery"/>
    <s v="East"/>
    <s v="Feb-24"/>
    <s v="Q1 2024"/>
    <n v="1010"/>
    <n v="0.54298642533936647"/>
  </r>
  <r>
    <s v="ORD-01114"/>
    <d v="2024-09-11T00:00:00"/>
    <s v="CUST-0298"/>
    <s v="PROD-013"/>
    <s v="R005"/>
    <n v="4"/>
    <n v="3640"/>
    <n v="0.6"/>
    <n v="14472.64"/>
    <s v="Completed"/>
    <x v="2"/>
    <s v="Apparel"/>
    <s v="North"/>
    <s v="Sep-24"/>
    <s v="Q3 2024"/>
    <n v="2611"/>
    <n v="0.28269230769230769"/>
  </r>
  <r>
    <s v="ORD-01115"/>
    <d v="2024-11-30T00:00:00"/>
    <s v="CUST-0254"/>
    <s v="PROD-009"/>
    <s v="R009"/>
    <n v="9"/>
    <n v="1220"/>
    <n v="24.1"/>
    <n v="8333.82"/>
    <s v="Completed"/>
    <x v="4"/>
    <s v="Electronics"/>
    <s v="South"/>
    <s v="Nov-24"/>
    <s v="Q4 2024"/>
    <n v="517"/>
    <n v="0.57622950819672136"/>
  </r>
  <r>
    <s v="ORD-01116"/>
    <d v="2024-04-20T00:00:00"/>
    <s v="CUST-0085"/>
    <s v="PROD-056"/>
    <s v="R009"/>
    <n v="2"/>
    <n v="6940"/>
    <n v="27"/>
    <n v="10132.4"/>
    <s v="Completed"/>
    <x v="1"/>
    <s v="Sports"/>
    <s v="South"/>
    <s v="Apr-24"/>
    <s v="Q2 2024"/>
    <n v="2827"/>
    <n v="0.5926512968299712"/>
  </r>
  <r>
    <s v="ORD-01117"/>
    <d v="2024-11-08T00:00:00"/>
    <s v="CUST-0181"/>
    <s v="PROD-055"/>
    <s v="R010"/>
    <n v="6"/>
    <n v="2860"/>
    <n v="6.6"/>
    <n v="16027.44"/>
    <s v="Completed"/>
    <x v="2"/>
    <s v="Sports"/>
    <s v="South"/>
    <s v="Nov-24"/>
    <s v="Q4 2024"/>
    <n v="2028"/>
    <n v="0.29090909090909089"/>
  </r>
  <r>
    <s v="ORD-01118"/>
    <d v="2024-09-10T00:00:00"/>
    <s v="CUST-0143"/>
    <s v="PROD-015"/>
    <s v="R018"/>
    <n v="5"/>
    <n v="2720"/>
    <n v="21.4"/>
    <n v="10689.6"/>
    <s v="Completed"/>
    <x v="1"/>
    <s v="Apparel"/>
    <s v="East"/>
    <s v="Sep-24"/>
    <s v="Q3 2024"/>
    <n v="1962"/>
    <n v="0.2786764705882353"/>
  </r>
  <r>
    <s v="ORD-01119"/>
    <d v="2024-06-02T00:00:00"/>
    <s v="CUST-0263"/>
    <s v="PROD-020"/>
    <s v="R006"/>
    <n v="5"/>
    <n v="820"/>
    <n v="28.6"/>
    <n v="2927.4"/>
    <s v="Completed"/>
    <x v="3"/>
    <s v="Apparel"/>
    <s v="North"/>
    <s v="Jun-24"/>
    <s v="Q2 2024"/>
    <n v="391"/>
    <n v="0.52317073170731709"/>
  </r>
  <r>
    <s v="ORD-01120"/>
    <d v="2024-07-16T00:00:00"/>
    <s v="CUST-0105"/>
    <s v="PROD-042"/>
    <s v="R022"/>
    <n v="6"/>
    <n v="2290"/>
    <n v="18.8"/>
    <n v="11156.88"/>
    <s v="Completed"/>
    <x v="1"/>
    <s v="Beauty"/>
    <s v="East"/>
    <s v="Jul-24"/>
    <s v="Q3 2024"/>
    <n v="1219"/>
    <n v="0.46768558951965067"/>
  </r>
  <r>
    <s v="ORD-01121"/>
    <d v="2024-04-12T00:00:00"/>
    <s v="CUST-0256"/>
    <s v="PROD-047"/>
    <s v="R021"/>
    <n v="6"/>
    <n v="3450"/>
    <n v="28.4"/>
    <n v="14821.2"/>
    <s v="Completed"/>
    <x v="5"/>
    <s v="Beauty"/>
    <s v="East"/>
    <s v="Apr-24"/>
    <s v="Q2 2024"/>
    <n v="2420"/>
    <n v="0.29855072463768118"/>
  </r>
  <r>
    <s v="ORD-01122"/>
    <d v="2024-02-18T00:00:00"/>
    <s v="CUST-0260"/>
    <s v="PROD-033"/>
    <s v="R002"/>
    <n v="10"/>
    <n v="2030"/>
    <n v="8"/>
    <n v="18676"/>
    <s v="Completed"/>
    <x v="4"/>
    <s v="Home"/>
    <s v="North"/>
    <s v="Feb-24"/>
    <s v="Q1 2024"/>
    <n v="1143"/>
    <n v="0.43694581280788175"/>
  </r>
  <r>
    <s v="ORD-01123"/>
    <d v="2024-03-27T00:00:00"/>
    <s v="CUST-0233"/>
    <s v="PROD-058"/>
    <s v="R022"/>
    <n v="1"/>
    <n v="2400"/>
    <n v="9.6999999999999993"/>
    <n v="2167.1999999999998"/>
    <s v="Completed"/>
    <x v="3"/>
    <s v="Sports"/>
    <s v="East"/>
    <s v="Mar-24"/>
    <s v="Q1 2024"/>
    <n v="974"/>
    <n v="0.59416666666666662"/>
  </r>
  <r>
    <s v="ORD-01124"/>
    <d v="2024-03-18T00:00:00"/>
    <s v="CUST-0183"/>
    <s v="PROD-033"/>
    <s v="R014"/>
    <n v="4"/>
    <n v="2030"/>
    <n v="24.8"/>
    <n v="6106.24"/>
    <s v="Pending"/>
    <x v="3"/>
    <s v="Home"/>
    <s v="South"/>
    <s v="Mar-24"/>
    <s v="Q1 2024"/>
    <n v="1143"/>
    <n v="0.43694581280788175"/>
  </r>
  <r>
    <s v="ORD-01125"/>
    <d v="2024-08-09T00:00:00"/>
    <s v="CUST-0142"/>
    <s v="PROD-025"/>
    <s v="R002"/>
    <n v="5"/>
    <n v="4060"/>
    <n v="9.1"/>
    <n v="18452.7"/>
    <s v="Pending"/>
    <x v="1"/>
    <s v="Grocery"/>
    <s v="North"/>
    <s v="Aug-24"/>
    <s v="Q3 2024"/>
    <n v="2911"/>
    <n v="0.28300492610837441"/>
  </r>
  <r>
    <s v="ORD-01126"/>
    <d v="2024-05-26T00:00:00"/>
    <s v="CUST-0150"/>
    <s v="PROD-033"/>
    <s v="R013"/>
    <n v="9"/>
    <n v="2030"/>
    <n v="15.9"/>
    <n v="15365.07"/>
    <s v="Pending"/>
    <x v="0"/>
    <s v="Home"/>
    <s v="South"/>
    <s v="May-24"/>
    <s v="Q2 2024"/>
    <n v="1143"/>
    <n v="0.43694581280788175"/>
  </r>
  <r>
    <s v="ORD-01127"/>
    <d v="2024-08-25T00:00:00"/>
    <s v="CUST-0001"/>
    <s v="PROD-043"/>
    <s v="R014"/>
    <n v="1"/>
    <n v="3350"/>
    <n v="23.2"/>
    <n v="2572.8000000000002"/>
    <s v="Refunded"/>
    <x v="0"/>
    <s v="Beauty"/>
    <s v="South"/>
    <s v="Aug-24"/>
    <s v="Q3 2024"/>
    <n v="1728"/>
    <n v="0.48417910447761192"/>
  </r>
  <r>
    <s v="ORD-01128"/>
    <d v="2024-12-08T00:00:00"/>
    <s v="CUST-0104"/>
    <s v="PROD-037"/>
    <s v="R006"/>
    <n v="4"/>
    <n v="660"/>
    <n v="27.1"/>
    <n v="1924.56"/>
    <s v="Completed"/>
    <x v="5"/>
    <s v="Home"/>
    <s v="North"/>
    <s v="Dec-24"/>
    <s v="Q4 2024"/>
    <n v="329"/>
    <n v="0.50151515151515147"/>
  </r>
  <r>
    <s v="ORD-01129"/>
    <d v="2024-05-29T00:00:00"/>
    <s v="CUST-0261"/>
    <s v="PROD-045"/>
    <s v="R014"/>
    <n v="3"/>
    <n v="3020"/>
    <n v="7.2"/>
    <n v="8407.68"/>
    <s v="Completed"/>
    <x v="2"/>
    <s v="Beauty"/>
    <s v="South"/>
    <s v="May-24"/>
    <s v="Q2 2024"/>
    <n v="1626"/>
    <n v="0.46158940397350995"/>
  </r>
  <r>
    <s v="ORD-01130"/>
    <d v="2024-04-27T00:00:00"/>
    <s v="CUST-0010"/>
    <s v="PROD-008"/>
    <s v="R006"/>
    <n v="3"/>
    <n v="2660"/>
    <n v="0.2"/>
    <n v="7964.04"/>
    <s v="Completed"/>
    <x v="3"/>
    <s v="Electronics"/>
    <s v="North"/>
    <s v="Apr-24"/>
    <s v="Q2 2024"/>
    <n v="1259"/>
    <n v="0.52669172932330832"/>
  </r>
  <r>
    <s v="ORD-01131"/>
    <d v="2024-12-24T00:00:00"/>
    <s v="CUST-0237"/>
    <s v="PROD-054"/>
    <s v="R006"/>
    <n v="4"/>
    <n v="1010"/>
    <n v="3.1"/>
    <n v="3914.76"/>
    <s v="Completed"/>
    <x v="3"/>
    <s v="Sports"/>
    <s v="North"/>
    <s v="Dec-24"/>
    <s v="Q4 2024"/>
    <n v="516"/>
    <n v="0.4891089108910891"/>
  </r>
  <r>
    <s v="ORD-01132"/>
    <d v="2024-03-29T00:00:00"/>
    <s v="CUST-0128"/>
    <s v="PROD-038"/>
    <s v="R017"/>
    <n v="5"/>
    <n v="5490"/>
    <n v="3.6"/>
    <n v="26461.8"/>
    <s v="Completed"/>
    <x v="5"/>
    <s v="Home"/>
    <s v="East"/>
    <s v="Mar-24"/>
    <s v="Q1 2024"/>
    <n v="2549"/>
    <n v="0.53570127504553733"/>
  </r>
  <r>
    <s v="ORD-01133"/>
    <d v="2024-01-31T00:00:00"/>
    <s v="CUST-0182"/>
    <s v="PROD-058"/>
    <s v="R019"/>
    <n v="1"/>
    <n v="2400"/>
    <n v="24.3"/>
    <n v="1816.8"/>
    <s v="Completed"/>
    <x v="3"/>
    <s v="Sports"/>
    <s v="East"/>
    <s v="Jan-24"/>
    <s v="Q1 2024"/>
    <n v="974"/>
    <n v="0.59416666666666662"/>
  </r>
  <r>
    <s v="ORD-01134"/>
    <d v="2024-08-28T00:00:00"/>
    <s v="CUST-0131"/>
    <s v="PROD-037"/>
    <s v="R009"/>
    <n v="8"/>
    <n v="660"/>
    <n v="19.8"/>
    <n v="4234.5600000000004"/>
    <s v="Completed"/>
    <x v="2"/>
    <s v="Home"/>
    <s v="South"/>
    <s v="Aug-24"/>
    <s v="Q3 2024"/>
    <n v="329"/>
    <n v="0.50151515151515147"/>
  </r>
  <r>
    <s v="ORD-01135"/>
    <d v="2024-07-31T00:00:00"/>
    <s v="CUST-0023"/>
    <s v="PROD-001"/>
    <s v="R016"/>
    <n v="9"/>
    <n v="5330"/>
    <n v="16.5"/>
    <n v="40054.949999999997"/>
    <s v="Completed"/>
    <x v="1"/>
    <s v="Electronics"/>
    <s v="South"/>
    <s v="Jul-24"/>
    <s v="Q3 2024"/>
    <n v="2405"/>
    <n v="0.54878048780487809"/>
  </r>
  <r>
    <s v="ORD-01136"/>
    <d v="2024-08-12T00:00:00"/>
    <s v="CUST-0171"/>
    <s v="PROD-002"/>
    <s v="R007"/>
    <n v="5"/>
    <n v="2600"/>
    <n v="0.3"/>
    <n v="12961"/>
    <s v="Completed"/>
    <x v="1"/>
    <s v="Electronics"/>
    <s v="North"/>
    <s v="Aug-24"/>
    <s v="Q3 2024"/>
    <n v="1052"/>
    <n v="0.5953846153846154"/>
  </r>
  <r>
    <s v="ORD-01137"/>
    <d v="2024-06-19T00:00:00"/>
    <s v="CUST-0116"/>
    <s v="PROD-034"/>
    <s v="R018"/>
    <n v="4"/>
    <n v="5080"/>
    <n v="13.8"/>
    <n v="17515.84"/>
    <s v="Pending"/>
    <x v="4"/>
    <s v="Home"/>
    <s v="East"/>
    <s v="Jun-24"/>
    <s v="Q2 2024"/>
    <n v="2459"/>
    <n v="0.51594488188976373"/>
  </r>
  <r>
    <s v="ORD-01138"/>
    <d v="2024-11-01T00:00:00"/>
    <s v="CUST-0021"/>
    <s v="PROD-023"/>
    <s v="R002"/>
    <n v="7"/>
    <n v="2380"/>
    <n v="15.5"/>
    <n v="14077.7"/>
    <s v="Completed"/>
    <x v="0"/>
    <s v="Grocery"/>
    <s v="North"/>
    <s v="Nov-24"/>
    <s v="Q4 2024"/>
    <n v="1182"/>
    <n v="0.50336134453781511"/>
  </r>
  <r>
    <s v="ORD-01139"/>
    <d v="2024-12-22T00:00:00"/>
    <s v="CUST-0234"/>
    <s v="PROD-046"/>
    <s v="R006"/>
    <n v="3"/>
    <n v="4880"/>
    <n v="6.1"/>
    <n v="13746.96"/>
    <s v="Completed"/>
    <x v="4"/>
    <s v="Beauty"/>
    <s v="North"/>
    <s v="Dec-24"/>
    <s v="Q4 2024"/>
    <n v="2768"/>
    <n v="0.43278688524590164"/>
  </r>
  <r>
    <s v="ORD-01140"/>
    <d v="2024-03-04T00:00:00"/>
    <s v="CUST-0225"/>
    <s v="PROD-043"/>
    <s v="R009"/>
    <n v="2"/>
    <n v="3350"/>
    <n v="17.2"/>
    <n v="5547.6"/>
    <s v="Completed"/>
    <x v="1"/>
    <s v="Beauty"/>
    <s v="South"/>
    <s v="Mar-24"/>
    <s v="Q1 2024"/>
    <n v="1728"/>
    <n v="0.48417910447761192"/>
  </r>
  <r>
    <s v="ORD-01141"/>
    <d v="2024-02-09T00:00:00"/>
    <s v="CUST-0268"/>
    <s v="PROD-030"/>
    <s v="R024"/>
    <n v="5"/>
    <n v="970"/>
    <n v="23.6"/>
    <n v="3705.4"/>
    <s v="Completed"/>
    <x v="1"/>
    <s v="Grocery"/>
    <s v="West"/>
    <s v="Feb-24"/>
    <s v="Q1 2024"/>
    <n v="434"/>
    <n v="0.5525773195876289"/>
  </r>
  <r>
    <s v="ORD-01142"/>
    <d v="2024-12-06T00:00:00"/>
    <s v="CUST-0248"/>
    <s v="PROD-005"/>
    <s v="R022"/>
    <n v="5"/>
    <n v="300"/>
    <n v="3.8"/>
    <n v="1443"/>
    <s v="Completed"/>
    <x v="1"/>
    <s v="Electronics"/>
    <s v="East"/>
    <s v="Dec-24"/>
    <s v="Q4 2024"/>
    <n v="128"/>
    <n v="0.57333333333333336"/>
  </r>
  <r>
    <s v="ORD-01143"/>
    <d v="2024-03-07T00:00:00"/>
    <s v="CUST-0026"/>
    <s v="PROD-006"/>
    <s v="R005"/>
    <n v="9"/>
    <n v="3970"/>
    <n v="0.8"/>
    <n v="35444.160000000003"/>
    <s v="Completed"/>
    <x v="0"/>
    <s v="Electronics"/>
    <s v="North"/>
    <s v="Mar-24"/>
    <s v="Q1 2024"/>
    <n v="2865"/>
    <n v="0.27833753148614609"/>
  </r>
  <r>
    <s v="ORD-01144"/>
    <d v="2024-05-28T00:00:00"/>
    <s v="CUST-0257"/>
    <s v="PROD-015"/>
    <s v="R013"/>
    <n v="4"/>
    <n v="2720"/>
    <n v="12.7"/>
    <n v="9498.24"/>
    <s v="Completed"/>
    <x v="3"/>
    <s v="Apparel"/>
    <s v="South"/>
    <s v="May-24"/>
    <s v="Q2 2024"/>
    <n v="1962"/>
    <n v="0.2786764705882353"/>
  </r>
  <r>
    <s v="ORD-01145"/>
    <d v="2024-04-30T00:00:00"/>
    <s v="CUST-0258"/>
    <s v="PROD-016"/>
    <s v="R021"/>
    <n v="3"/>
    <n v="620"/>
    <n v="5.5"/>
    <n v="1757.7"/>
    <s v="Completed"/>
    <x v="0"/>
    <s v="Apparel"/>
    <s v="East"/>
    <s v="Apr-24"/>
    <s v="Q2 2024"/>
    <n v="396"/>
    <n v="0.36129032258064514"/>
  </r>
  <r>
    <s v="ORD-01146"/>
    <d v="2024-07-06T00:00:00"/>
    <s v="CUST-0142"/>
    <s v="PROD-041"/>
    <s v="R024"/>
    <n v="2"/>
    <n v="1540"/>
    <n v="2.2000000000000002"/>
    <n v="3012.24"/>
    <s v="Pending"/>
    <x v="1"/>
    <s v="Beauty"/>
    <s v="West"/>
    <s v="Jul-24"/>
    <s v="Q3 2024"/>
    <n v="647"/>
    <n v="0.57987012987012987"/>
  </r>
  <r>
    <s v="ORD-01147"/>
    <d v="2024-08-30T00:00:00"/>
    <s v="CUST-0020"/>
    <s v="PROD-042"/>
    <s v="R026"/>
    <n v="1"/>
    <n v="2290"/>
    <n v="24.4"/>
    <n v="1731.24"/>
    <s v="Cancelled"/>
    <x v="5"/>
    <s v="Beauty"/>
    <s v="West"/>
    <s v="Aug-24"/>
    <s v="Q3 2024"/>
    <n v="1219"/>
    <n v="0.46768558951965067"/>
  </r>
  <r>
    <s v="ORD-01148"/>
    <d v="2024-01-22T00:00:00"/>
    <s v="CUST-0016"/>
    <s v="PROD-015"/>
    <s v="R018"/>
    <n v="8"/>
    <n v="2720"/>
    <n v="1.7"/>
    <n v="21390.080000000002"/>
    <s v="Completed"/>
    <x v="2"/>
    <s v="Apparel"/>
    <s v="East"/>
    <s v="Jan-24"/>
    <s v="Q1 2024"/>
    <n v="1962"/>
    <n v="0.2786764705882353"/>
  </r>
  <r>
    <s v="ORD-01149"/>
    <d v="2024-04-08T00:00:00"/>
    <s v="CUST-0288"/>
    <s v="PROD-025"/>
    <s v="R023"/>
    <n v="4"/>
    <n v="4060"/>
    <n v="19.600000000000001"/>
    <n v="13056.96"/>
    <s v="Cancelled"/>
    <x v="5"/>
    <s v="Grocery"/>
    <s v="East"/>
    <s v="Apr-24"/>
    <s v="Q2 2024"/>
    <n v="2911"/>
    <n v="0.28300492610837441"/>
  </r>
  <r>
    <s v="ORD-01150"/>
    <d v="2024-03-19T00:00:00"/>
    <s v="CUST-0133"/>
    <s v="PROD-003"/>
    <s v="R016"/>
    <n v="8"/>
    <n v="3570"/>
    <n v="10.8"/>
    <n v="25475.52"/>
    <s v="Completed"/>
    <x v="1"/>
    <s v="Electronics"/>
    <s v="South"/>
    <s v="Mar-24"/>
    <s v="Q1 2024"/>
    <n v="1665"/>
    <n v="0.53361344537815125"/>
  </r>
  <r>
    <s v="ORD-01151"/>
    <d v="2024-02-02T00:00:00"/>
    <s v="CUST-0192"/>
    <s v="PROD-051"/>
    <s v="R004"/>
    <n v="10"/>
    <n v="3450"/>
    <n v="13.5"/>
    <n v="29842.5"/>
    <s v="Pending"/>
    <x v="4"/>
    <s v="Sports"/>
    <s v="North"/>
    <s v="Feb-24"/>
    <s v="Q1 2024"/>
    <n v="2467"/>
    <n v="0.28492753623188405"/>
  </r>
  <r>
    <s v="ORD-01152"/>
    <d v="2024-06-26T00:00:00"/>
    <s v="CUST-0298"/>
    <s v="PROD-010"/>
    <s v="R007"/>
    <n v="10"/>
    <n v="2640"/>
    <n v="29.8"/>
    <n v="18532.8"/>
    <s v="Completed"/>
    <x v="2"/>
    <s v="Electronics"/>
    <s v="North"/>
    <s v="Jun-24"/>
    <s v="Q2 2024"/>
    <n v="1149"/>
    <n v="0.56477272727272732"/>
  </r>
  <r>
    <s v="ORD-01153"/>
    <d v="2024-11-23T00:00:00"/>
    <s v="CUST-0088"/>
    <s v="PROD-032"/>
    <s v="R009"/>
    <n v="3"/>
    <n v="370"/>
    <n v="25.5"/>
    <n v="826.95"/>
    <s v="Completed"/>
    <x v="1"/>
    <s v="Home"/>
    <s v="South"/>
    <s v="Nov-24"/>
    <s v="Q4 2024"/>
    <n v="288"/>
    <n v="0.22162162162162163"/>
  </r>
  <r>
    <s v="ORD-01154"/>
    <d v="2024-12-01T00:00:00"/>
    <s v="CUST-0274"/>
    <s v="PROD-009"/>
    <s v="R030"/>
    <n v="3"/>
    <n v="1220"/>
    <n v="7.7"/>
    <n v="3378.18"/>
    <s v="Pending"/>
    <x v="4"/>
    <s v="Electronics"/>
    <s v="West"/>
    <s v="Dec-24"/>
    <s v="Q4 2024"/>
    <n v="517"/>
    <n v="0.57622950819672136"/>
  </r>
  <r>
    <s v="ORD-01155"/>
    <d v="2024-07-26T00:00:00"/>
    <s v="CUST-0165"/>
    <s v="PROD-010"/>
    <s v="R022"/>
    <n v="1"/>
    <n v="2640"/>
    <n v="23.6"/>
    <n v="2016.96"/>
    <s v="Completed"/>
    <x v="0"/>
    <s v="Electronics"/>
    <s v="East"/>
    <s v="Jul-24"/>
    <s v="Q3 2024"/>
    <n v="1149"/>
    <n v="0.56477272727272732"/>
  </r>
  <r>
    <s v="ORD-01156"/>
    <d v="2024-09-28T00:00:00"/>
    <s v="CUST-0275"/>
    <s v="PROD-048"/>
    <s v="R011"/>
    <n v="9"/>
    <n v="5100"/>
    <n v="9.5"/>
    <n v="41539.5"/>
    <s v="Completed"/>
    <x v="3"/>
    <s v="Beauty"/>
    <s v="South"/>
    <s v="Sep-24"/>
    <s v="Q3 2024"/>
    <n v="2237"/>
    <n v="0.56137254901960787"/>
  </r>
  <r>
    <s v="ORD-01157"/>
    <d v="2024-05-23T00:00:00"/>
    <s v="CUST-0225"/>
    <s v="PROD-050"/>
    <s v="R008"/>
    <n v="7"/>
    <n v="6080"/>
    <n v="17.5"/>
    <n v="35112"/>
    <s v="Completed"/>
    <x v="1"/>
    <s v="Beauty"/>
    <s v="North"/>
    <s v="May-24"/>
    <s v="Q2 2024"/>
    <n v="2617"/>
    <n v="0.56957236842105263"/>
  </r>
  <r>
    <s v="ORD-01158"/>
    <d v="2024-11-06T00:00:00"/>
    <s v="CUST-0059"/>
    <s v="PROD-005"/>
    <s v="R026"/>
    <n v="1"/>
    <n v="300"/>
    <n v="26.9"/>
    <n v="219.3"/>
    <s v="Completed"/>
    <x v="0"/>
    <s v="Electronics"/>
    <s v="West"/>
    <s v="Nov-24"/>
    <s v="Q4 2024"/>
    <n v="128"/>
    <n v="0.57333333333333336"/>
  </r>
  <r>
    <s v="ORD-01159"/>
    <d v="2024-12-24T00:00:00"/>
    <s v="CUST-0149"/>
    <s v="PROD-045"/>
    <s v="R020"/>
    <n v="6"/>
    <n v="3020"/>
    <n v="28.5"/>
    <n v="12955.8"/>
    <s v="Completed"/>
    <x v="5"/>
    <s v="Beauty"/>
    <s v="East"/>
    <s v="Dec-24"/>
    <s v="Q4 2024"/>
    <n v="1626"/>
    <n v="0.46158940397350995"/>
  </r>
  <r>
    <s v="ORD-01160"/>
    <d v="2024-01-03T00:00:00"/>
    <s v="CUST-0283"/>
    <s v="PROD-005"/>
    <s v="R018"/>
    <n v="8"/>
    <n v="300"/>
    <n v="1.2"/>
    <n v="2371.1999999999998"/>
    <s v="Completed"/>
    <x v="2"/>
    <s v="Electronics"/>
    <s v="East"/>
    <s v="Jan-24"/>
    <s v="Q1 2024"/>
    <n v="128"/>
    <n v="0.57333333333333336"/>
  </r>
  <r>
    <s v="ORD-01161"/>
    <d v="2024-08-19T00:00:00"/>
    <s v="CUST-0039"/>
    <s v="PROD-043"/>
    <s v="R011"/>
    <n v="9"/>
    <n v="3350"/>
    <n v="0.6"/>
    <n v="29969.1"/>
    <s v="Refunded"/>
    <x v="4"/>
    <s v="Beauty"/>
    <s v="South"/>
    <s v="Aug-24"/>
    <s v="Q3 2024"/>
    <n v="1728"/>
    <n v="0.48417910447761192"/>
  </r>
  <r>
    <s v="ORD-01162"/>
    <d v="2024-07-06T00:00:00"/>
    <s v="CUST-0046"/>
    <s v="PROD-026"/>
    <s v="R024"/>
    <n v="4"/>
    <n v="4070"/>
    <n v="10.1"/>
    <n v="14635.72"/>
    <s v="Completed"/>
    <x v="2"/>
    <s v="Grocery"/>
    <s v="West"/>
    <s v="Jul-24"/>
    <s v="Q3 2024"/>
    <n v="2027"/>
    <n v="0.50196560196560192"/>
  </r>
  <r>
    <s v="ORD-01163"/>
    <d v="2024-11-18T00:00:00"/>
    <s v="CUST-0105"/>
    <s v="PROD-059"/>
    <s v="R024"/>
    <n v="9"/>
    <n v="3780"/>
    <n v="27.8"/>
    <n v="24562.44"/>
    <s v="Cancelled"/>
    <x v="1"/>
    <s v="Sports"/>
    <s v="West"/>
    <s v="Nov-24"/>
    <s v="Q4 2024"/>
    <n v="1860"/>
    <n v="0.50793650793650791"/>
  </r>
  <r>
    <s v="ORD-01164"/>
    <d v="2024-04-25T00:00:00"/>
    <s v="CUST-0006"/>
    <s v="PROD-040"/>
    <s v="R030"/>
    <n v="6"/>
    <n v="1080"/>
    <n v="17.5"/>
    <n v="5346"/>
    <s v="Completed"/>
    <x v="0"/>
    <s v="Home"/>
    <s v="West"/>
    <s v="Apr-24"/>
    <s v="Q2 2024"/>
    <n v="519"/>
    <n v="0.51944444444444449"/>
  </r>
  <r>
    <s v="ORD-01165"/>
    <d v="2024-11-07T00:00:00"/>
    <s v="CUST-0192"/>
    <s v="PROD-002"/>
    <s v="R023"/>
    <n v="3"/>
    <n v="2600"/>
    <n v="1.9"/>
    <n v="7651.8"/>
    <s v="Completed"/>
    <x v="4"/>
    <s v="Electronics"/>
    <s v="East"/>
    <s v="Nov-24"/>
    <s v="Q4 2024"/>
    <n v="1052"/>
    <n v="0.5953846153846154"/>
  </r>
  <r>
    <s v="ORD-01166"/>
    <d v="2024-03-24T00:00:00"/>
    <s v="CUST-0290"/>
    <s v="PROD-015"/>
    <s v="R008"/>
    <n v="5"/>
    <n v="2720"/>
    <n v="1.8"/>
    <n v="13355.2"/>
    <s v="Cancelled"/>
    <x v="2"/>
    <s v="Apparel"/>
    <s v="North"/>
    <s v="Mar-24"/>
    <s v="Q1 2024"/>
    <n v="1962"/>
    <n v="0.2786764705882353"/>
  </r>
  <r>
    <s v="ORD-01167"/>
    <d v="2024-07-12T00:00:00"/>
    <s v="CUST-0287"/>
    <s v="PROD-028"/>
    <s v="R012"/>
    <n v="8"/>
    <n v="3660"/>
    <n v="29.5"/>
    <n v="20642.400000000001"/>
    <s v="Completed"/>
    <x v="1"/>
    <s v="Grocery"/>
    <s v="South"/>
    <s v="Jul-24"/>
    <s v="Q3 2024"/>
    <n v="2214"/>
    <n v="0.39508196721311473"/>
  </r>
  <r>
    <s v="ORD-01168"/>
    <d v="2024-10-02T00:00:00"/>
    <s v="CUST-0025"/>
    <s v="PROD-044"/>
    <s v="R005"/>
    <n v="9"/>
    <n v="1650"/>
    <n v="19.8"/>
    <n v="11909.7"/>
    <s v="Refunded"/>
    <x v="4"/>
    <s v="Beauty"/>
    <s v="North"/>
    <s v="Oct-24"/>
    <s v="Q4 2024"/>
    <n v="1222"/>
    <n v="0.2593939393939394"/>
  </r>
  <r>
    <s v="ORD-01169"/>
    <d v="2024-07-29T00:00:00"/>
    <s v="CUST-0139"/>
    <s v="PROD-055"/>
    <s v="R019"/>
    <n v="3"/>
    <n v="2860"/>
    <n v="22.7"/>
    <n v="6632.34"/>
    <s v="Completed"/>
    <x v="5"/>
    <s v="Sports"/>
    <s v="East"/>
    <s v="Jul-24"/>
    <s v="Q3 2024"/>
    <n v="2028"/>
    <n v="0.29090909090909089"/>
  </r>
  <r>
    <s v="ORD-01170"/>
    <d v="2024-05-17T00:00:00"/>
    <s v="CUST-0278"/>
    <s v="PROD-051"/>
    <s v="R025"/>
    <n v="4"/>
    <n v="3450"/>
    <n v="9.1999999999999993"/>
    <n v="12530.4"/>
    <s v="Completed"/>
    <x v="5"/>
    <s v="Sports"/>
    <s v="West"/>
    <s v="May-24"/>
    <s v="Q2 2024"/>
    <n v="2467"/>
    <n v="0.28492753623188405"/>
  </r>
  <r>
    <s v="ORD-01171"/>
    <d v="2024-04-23T00:00:00"/>
    <s v="CUST-0258"/>
    <s v="PROD-033"/>
    <s v="R003"/>
    <n v="4"/>
    <n v="2030"/>
    <n v="17.100000000000001"/>
    <n v="6731.48"/>
    <s v="Completed"/>
    <x v="0"/>
    <s v="Home"/>
    <s v="North"/>
    <s v="Apr-24"/>
    <s v="Q2 2024"/>
    <n v="1143"/>
    <n v="0.43694581280788175"/>
  </r>
  <r>
    <s v="ORD-01172"/>
    <d v="2024-04-19T00:00:00"/>
    <s v="CUST-0106"/>
    <s v="PROD-022"/>
    <s v="R016"/>
    <n v="4"/>
    <n v="2270"/>
    <n v="27.3"/>
    <n v="6601.16"/>
    <s v="Completed"/>
    <x v="0"/>
    <s v="Grocery"/>
    <s v="South"/>
    <s v="Apr-24"/>
    <s v="Q2 2024"/>
    <n v="1412"/>
    <n v="0.37797356828193834"/>
  </r>
  <r>
    <s v="ORD-01173"/>
    <d v="2024-03-22T00:00:00"/>
    <s v="CUST-0009"/>
    <s v="PROD-034"/>
    <s v="R013"/>
    <n v="9"/>
    <n v="5080"/>
    <n v="10.9"/>
    <n v="40736.519999999997"/>
    <s v="Completed"/>
    <x v="3"/>
    <s v="Home"/>
    <s v="South"/>
    <s v="Mar-24"/>
    <s v="Q1 2024"/>
    <n v="2459"/>
    <n v="0.51594488188976373"/>
  </r>
  <r>
    <s v="ORD-01174"/>
    <d v="2024-11-06T00:00:00"/>
    <s v="CUST-0209"/>
    <s v="PROD-026"/>
    <s v="R029"/>
    <n v="8"/>
    <n v="4070"/>
    <n v="17.7"/>
    <n v="26796.880000000001"/>
    <s v="Completed"/>
    <x v="0"/>
    <s v="Grocery"/>
    <s v="West"/>
    <s v="Nov-24"/>
    <s v="Q4 2024"/>
    <n v="2027"/>
    <n v="0.50196560196560192"/>
  </r>
  <r>
    <s v="ORD-01175"/>
    <d v="2024-03-21T00:00:00"/>
    <s v="CUST-0111"/>
    <s v="PROD-041"/>
    <s v="R005"/>
    <n v="1"/>
    <n v="1540"/>
    <n v="0.9"/>
    <n v="1526.14"/>
    <s v="Completed"/>
    <x v="1"/>
    <s v="Beauty"/>
    <s v="North"/>
    <s v="Mar-24"/>
    <s v="Q1 2024"/>
    <n v="647"/>
    <n v="0.57987012987012987"/>
  </r>
  <r>
    <s v="ORD-01176"/>
    <d v="2024-05-04T00:00:00"/>
    <s v="CUST-0014"/>
    <s v="PROD-048"/>
    <s v="R024"/>
    <n v="10"/>
    <n v="5100"/>
    <n v="3"/>
    <n v="49470"/>
    <s v="Completed"/>
    <x v="4"/>
    <s v="Beauty"/>
    <s v="West"/>
    <s v="May-24"/>
    <s v="Q2 2024"/>
    <n v="2237"/>
    <n v="0.56137254901960787"/>
  </r>
  <r>
    <s v="ORD-01177"/>
    <d v="2024-12-30T00:00:00"/>
    <s v="CUST-0073"/>
    <s v="PROD-014"/>
    <s v="R006"/>
    <n v="6"/>
    <n v="3620"/>
    <n v="20.2"/>
    <n v="17332.560000000001"/>
    <s v="Completed"/>
    <x v="0"/>
    <s v="Apparel"/>
    <s v="North"/>
    <s v="Dec-24"/>
    <s v="Q4 2024"/>
    <n v="2509"/>
    <n v="0.3069060773480663"/>
  </r>
  <r>
    <s v="ORD-01178"/>
    <d v="2024-02-02T00:00:00"/>
    <s v="CUST-0147"/>
    <s v="PROD-046"/>
    <s v="R003"/>
    <n v="7"/>
    <n v="4880"/>
    <n v="5"/>
    <n v="32452"/>
    <s v="Completed"/>
    <x v="0"/>
    <s v="Beauty"/>
    <s v="North"/>
    <s v="Feb-24"/>
    <s v="Q1 2024"/>
    <n v="2768"/>
    <n v="0.43278688524590164"/>
  </r>
  <r>
    <s v="ORD-01179"/>
    <d v="2024-06-29T00:00:00"/>
    <s v="CUST-0006"/>
    <s v="PROD-010"/>
    <s v="R024"/>
    <n v="1"/>
    <n v="2640"/>
    <n v="4.0999999999999996"/>
    <n v="2531.7600000000002"/>
    <s v="Completed"/>
    <x v="0"/>
    <s v="Electronics"/>
    <s v="West"/>
    <s v="Jun-24"/>
    <s v="Q2 2024"/>
    <n v="1149"/>
    <n v="0.56477272727272732"/>
  </r>
  <r>
    <s v="ORD-01180"/>
    <d v="2024-08-04T00:00:00"/>
    <s v="CUST-0031"/>
    <s v="PROD-026"/>
    <s v="R020"/>
    <n v="9"/>
    <n v="4070"/>
    <n v="4.4000000000000004"/>
    <n v="35018.28"/>
    <s v="Completed"/>
    <x v="5"/>
    <s v="Grocery"/>
    <s v="East"/>
    <s v="Aug-24"/>
    <s v="Q3 2024"/>
    <n v="2027"/>
    <n v="0.50196560196560192"/>
  </r>
  <r>
    <s v="ORD-01181"/>
    <d v="2024-11-21T00:00:00"/>
    <s v="CUST-0084"/>
    <s v="PROD-003"/>
    <s v="R025"/>
    <n v="9"/>
    <n v="3570"/>
    <n v="24.8"/>
    <n v="24161.759999999998"/>
    <s v="Completed"/>
    <x v="1"/>
    <s v="Electronics"/>
    <s v="West"/>
    <s v="Nov-24"/>
    <s v="Q4 2024"/>
    <n v="1665"/>
    <n v="0.53361344537815125"/>
  </r>
  <r>
    <s v="ORD-01182"/>
    <d v="2024-06-27T00:00:00"/>
    <s v="CUST-0203"/>
    <s v="PROD-043"/>
    <s v="R005"/>
    <n v="10"/>
    <n v="3350"/>
    <n v="25.1"/>
    <n v="25091.5"/>
    <s v="Cancelled"/>
    <x v="1"/>
    <s v="Beauty"/>
    <s v="North"/>
    <s v="Jun-24"/>
    <s v="Q2 2024"/>
    <n v="1728"/>
    <n v="0.48417910447761192"/>
  </r>
  <r>
    <s v="ORD-01183"/>
    <d v="2024-01-16T00:00:00"/>
    <s v="CUST-0138"/>
    <s v="PROD-059"/>
    <s v="R025"/>
    <n v="3"/>
    <n v="3780"/>
    <n v="3.8"/>
    <n v="10909.08"/>
    <s v="Completed"/>
    <x v="1"/>
    <s v="Sports"/>
    <s v="West"/>
    <s v="Jan-24"/>
    <s v="Q1 2024"/>
    <n v="1860"/>
    <n v="0.50793650793650791"/>
  </r>
  <r>
    <s v="ORD-01184"/>
    <d v="2024-12-25T00:00:00"/>
    <s v="CUST-0157"/>
    <s v="PROD-003"/>
    <s v="R008"/>
    <n v="4"/>
    <n v="3570"/>
    <n v="0.9"/>
    <n v="14151.48"/>
    <s v="Pending"/>
    <x v="0"/>
    <s v="Electronics"/>
    <s v="North"/>
    <s v="Dec-24"/>
    <s v="Q4 2024"/>
    <n v="1665"/>
    <n v="0.53361344537815125"/>
  </r>
  <r>
    <s v="ORD-01185"/>
    <d v="2024-05-24T00:00:00"/>
    <s v="CUST-0298"/>
    <s v="PROD-055"/>
    <s v="R024"/>
    <n v="5"/>
    <n v="2860"/>
    <n v="20.100000000000001"/>
    <n v="11425.7"/>
    <s v="Completed"/>
    <x v="2"/>
    <s v="Sports"/>
    <s v="West"/>
    <s v="May-24"/>
    <s v="Q2 2024"/>
    <n v="2028"/>
    <n v="0.29090909090909089"/>
  </r>
  <r>
    <s v="ORD-01186"/>
    <d v="2024-08-14T00:00:00"/>
    <s v="CUST-0132"/>
    <s v="PROD-016"/>
    <s v="R003"/>
    <n v="1"/>
    <n v="620"/>
    <n v="1.1000000000000001"/>
    <n v="613.17999999999995"/>
    <s v="Cancelled"/>
    <x v="2"/>
    <s v="Apparel"/>
    <s v="North"/>
    <s v="Aug-24"/>
    <s v="Q3 2024"/>
    <n v="396"/>
    <n v="0.36129032258064514"/>
  </r>
  <r>
    <s v="ORD-01187"/>
    <d v="2024-05-20T00:00:00"/>
    <s v="CUST-0006"/>
    <s v="PROD-003"/>
    <s v="R012"/>
    <n v="1"/>
    <n v="3570"/>
    <n v="11.1"/>
    <n v="3173.73"/>
    <s v="Cancelled"/>
    <x v="0"/>
    <s v="Electronics"/>
    <s v="South"/>
    <s v="May-24"/>
    <s v="Q2 2024"/>
    <n v="1665"/>
    <n v="0.53361344537815125"/>
  </r>
  <r>
    <s v="ORD-01188"/>
    <d v="2024-09-16T00:00:00"/>
    <s v="CUST-0011"/>
    <s v="PROD-001"/>
    <s v="R012"/>
    <n v="1"/>
    <n v="5330"/>
    <n v="3.5"/>
    <n v="5143.45"/>
    <s v="Completed"/>
    <x v="1"/>
    <s v="Electronics"/>
    <s v="South"/>
    <s v="Sep-24"/>
    <s v="Q3 2024"/>
    <n v="2405"/>
    <n v="0.54878048780487809"/>
  </r>
  <r>
    <s v="ORD-01189"/>
    <d v="2024-02-26T00:00:00"/>
    <s v="CUST-0170"/>
    <s v="PROD-052"/>
    <s v="R018"/>
    <n v="7"/>
    <n v="5410"/>
    <n v="26.2"/>
    <n v="27948.06"/>
    <s v="Completed"/>
    <x v="3"/>
    <s v="Sports"/>
    <s v="East"/>
    <s v="Feb-24"/>
    <s v="Q1 2024"/>
    <n v="2265"/>
    <n v="0.58133086876155271"/>
  </r>
  <r>
    <s v="ORD-01190"/>
    <d v="2024-03-23T00:00:00"/>
    <s v="CUST-0109"/>
    <s v="PROD-034"/>
    <s v="R016"/>
    <n v="10"/>
    <n v="5080"/>
    <n v="3.7"/>
    <n v="48920.4"/>
    <s v="Pending"/>
    <x v="0"/>
    <s v="Home"/>
    <s v="South"/>
    <s v="Mar-24"/>
    <s v="Q1 2024"/>
    <n v="2459"/>
    <n v="0.51594488188976373"/>
  </r>
  <r>
    <s v="ORD-01191"/>
    <d v="2024-03-19T00:00:00"/>
    <s v="CUST-0066"/>
    <s v="PROD-003"/>
    <s v="R005"/>
    <n v="9"/>
    <n v="3570"/>
    <n v="5.6"/>
    <n v="30330.720000000001"/>
    <s v="Completed"/>
    <x v="2"/>
    <s v="Electronics"/>
    <s v="North"/>
    <s v="Mar-24"/>
    <s v="Q1 2024"/>
    <n v="1665"/>
    <n v="0.53361344537815125"/>
  </r>
  <r>
    <s v="ORD-01192"/>
    <d v="2024-12-30T00:00:00"/>
    <s v="CUST-0055"/>
    <s v="PROD-030"/>
    <s v="R022"/>
    <n v="9"/>
    <n v="970"/>
    <n v="19.5"/>
    <n v="7027.65"/>
    <s v="Completed"/>
    <x v="4"/>
    <s v="Grocery"/>
    <s v="East"/>
    <s v="Dec-24"/>
    <s v="Q4 2024"/>
    <n v="434"/>
    <n v="0.5525773195876289"/>
  </r>
  <r>
    <s v="ORD-01193"/>
    <d v="2024-03-06T00:00:00"/>
    <s v="CUST-0298"/>
    <s v="PROD-005"/>
    <s v="R009"/>
    <n v="10"/>
    <n v="300"/>
    <n v="23"/>
    <n v="2310"/>
    <s v="Cancelled"/>
    <x v="2"/>
    <s v="Electronics"/>
    <s v="South"/>
    <s v="Mar-24"/>
    <s v="Q1 2024"/>
    <n v="128"/>
    <n v="0.57333333333333336"/>
  </r>
  <r>
    <s v="ORD-01194"/>
    <d v="2024-07-06T00:00:00"/>
    <s v="CUST-0024"/>
    <s v="PROD-050"/>
    <s v="R003"/>
    <n v="10"/>
    <n v="6080"/>
    <n v="3.9"/>
    <n v="58428.800000000003"/>
    <s v="Completed"/>
    <x v="1"/>
    <s v="Beauty"/>
    <s v="North"/>
    <s v="Jul-24"/>
    <s v="Q3 2024"/>
    <n v="2617"/>
    <n v="0.56957236842105263"/>
  </r>
  <r>
    <s v="ORD-01195"/>
    <d v="2024-09-04T00:00:00"/>
    <s v="CUST-0008"/>
    <s v="PROD-048"/>
    <s v="R011"/>
    <n v="2"/>
    <n v="5100"/>
    <n v="11"/>
    <n v="9078"/>
    <s v="Completed"/>
    <x v="0"/>
    <s v="Beauty"/>
    <s v="South"/>
    <s v="Sep-24"/>
    <s v="Q3 2024"/>
    <n v="2237"/>
    <n v="0.56137254901960787"/>
  </r>
  <r>
    <s v="ORD-01196"/>
    <d v="2024-04-12T00:00:00"/>
    <s v="CUST-0070"/>
    <s v="PROD-011"/>
    <s v="R019"/>
    <n v="9"/>
    <n v="3450"/>
    <n v="23.7"/>
    <n v="23691.15"/>
    <s v="Completed"/>
    <x v="3"/>
    <s v="Apparel"/>
    <s v="East"/>
    <s v="Apr-24"/>
    <s v="Q2 2024"/>
    <n v="1748"/>
    <n v="0.49333333333333335"/>
  </r>
  <r>
    <s v="ORD-01197"/>
    <d v="2024-02-13T00:00:00"/>
    <s v="CUST-0270"/>
    <s v="PROD-019"/>
    <s v="R011"/>
    <n v="5"/>
    <n v="2480"/>
    <n v="20.399999999999999"/>
    <n v="9870.4"/>
    <s v="Completed"/>
    <x v="4"/>
    <s v="Apparel"/>
    <s v="South"/>
    <s v="Feb-24"/>
    <s v="Q1 2024"/>
    <n v="1173"/>
    <n v="0.52701612903225803"/>
  </r>
  <r>
    <s v="ORD-01198"/>
    <d v="2024-02-12T00:00:00"/>
    <s v="CUST-0175"/>
    <s v="PROD-060"/>
    <s v="R010"/>
    <n v="4"/>
    <n v="190"/>
    <n v="2.6"/>
    <n v="740.24"/>
    <s v="Completed"/>
    <x v="2"/>
    <s v="Sports"/>
    <s v="South"/>
    <s v="Feb-24"/>
    <s v="Q1 2024"/>
    <n v="147"/>
    <n v="0.22631578947368422"/>
  </r>
  <r>
    <s v="ORD-01199"/>
    <d v="2024-01-09T00:00:00"/>
    <s v="CUST-0227"/>
    <s v="PROD-022"/>
    <s v="R020"/>
    <n v="4"/>
    <n v="2270"/>
    <n v="8.1"/>
    <n v="8344.52"/>
    <s v="Pending"/>
    <x v="4"/>
    <s v="Grocery"/>
    <s v="East"/>
    <s v="Jan-24"/>
    <s v="Q1 2024"/>
    <n v="1412"/>
    <n v="0.37797356828193834"/>
  </r>
  <r>
    <s v="ORD-01200"/>
    <d v="2024-04-18T00:00:00"/>
    <s v="CUST-0041"/>
    <s v="PROD-017"/>
    <s v="R028"/>
    <n v="7"/>
    <n v="2510"/>
    <n v="25.5"/>
    <n v="13089.65"/>
    <s v="Completed"/>
    <x v="4"/>
    <s v="Apparel"/>
    <s v="West"/>
    <s v="Apr-24"/>
    <s v="Q2 2024"/>
    <n v="1075"/>
    <n v="0.57171314741035861"/>
  </r>
  <r>
    <s v="ORD-01201"/>
    <d v="2024-05-11T00:00:00"/>
    <s v="CUST-0147"/>
    <s v="PROD-059"/>
    <s v="R004"/>
    <n v="3"/>
    <n v="3780"/>
    <n v="16.8"/>
    <n v="9434.8799999999992"/>
    <s v="Completed"/>
    <x v="0"/>
    <s v="Sports"/>
    <s v="North"/>
    <s v="May-24"/>
    <s v="Q2 2024"/>
    <n v="1860"/>
    <n v="0.50793650793650791"/>
  </r>
  <r>
    <s v="ORD-01202"/>
    <d v="2024-08-14T00:00:00"/>
    <s v="CUST-0185"/>
    <s v="PROD-003"/>
    <s v="R010"/>
    <n v="7"/>
    <n v="3570"/>
    <n v="23.7"/>
    <n v="19067.37"/>
    <s v="Completed"/>
    <x v="5"/>
    <s v="Electronics"/>
    <s v="South"/>
    <s v="Aug-24"/>
    <s v="Q3 2024"/>
    <n v="1665"/>
    <n v="0.53361344537815125"/>
  </r>
  <r>
    <s v="ORD-01203"/>
    <d v="2024-09-24T00:00:00"/>
    <s v="CUST-0210"/>
    <s v="PROD-037"/>
    <s v="R011"/>
    <n v="4"/>
    <n v="660"/>
    <n v="3.6"/>
    <n v="2544.96"/>
    <s v="Completed"/>
    <x v="0"/>
    <s v="Home"/>
    <s v="South"/>
    <s v="Sep-24"/>
    <s v="Q3 2024"/>
    <n v="329"/>
    <n v="0.50151515151515147"/>
  </r>
  <r>
    <s v="ORD-01204"/>
    <d v="2024-07-28T00:00:00"/>
    <s v="CUST-0289"/>
    <s v="PROD-030"/>
    <s v="R010"/>
    <n v="7"/>
    <n v="970"/>
    <n v="23.7"/>
    <n v="5180.7700000000004"/>
    <s v="Completed"/>
    <x v="3"/>
    <s v="Grocery"/>
    <s v="South"/>
    <s v="Jul-24"/>
    <s v="Q3 2024"/>
    <n v="434"/>
    <n v="0.5525773195876289"/>
  </r>
  <r>
    <s v="ORD-01205"/>
    <d v="2024-02-16T00:00:00"/>
    <s v="CUST-0017"/>
    <s v="PROD-024"/>
    <s v="R006"/>
    <n v="8"/>
    <n v="2270"/>
    <n v="6.8"/>
    <n v="16925.12"/>
    <s v="Completed"/>
    <x v="2"/>
    <s v="Grocery"/>
    <s v="North"/>
    <s v="Feb-24"/>
    <s v="Q1 2024"/>
    <n v="1203"/>
    <n v="0.47004405286343615"/>
  </r>
  <r>
    <s v="ORD-01206"/>
    <d v="2024-10-20T00:00:00"/>
    <s v="CUST-0115"/>
    <s v="PROD-058"/>
    <s v="R012"/>
    <n v="1"/>
    <n v="2400"/>
    <n v="26.5"/>
    <n v="1764"/>
    <s v="Completed"/>
    <x v="3"/>
    <s v="Sports"/>
    <s v="South"/>
    <s v="Oct-24"/>
    <s v="Q4 2024"/>
    <n v="974"/>
    <n v="0.59416666666666662"/>
  </r>
  <r>
    <s v="ORD-01207"/>
    <d v="2024-08-21T00:00:00"/>
    <s v="CUST-0183"/>
    <s v="PROD-034"/>
    <s v="R010"/>
    <n v="5"/>
    <n v="5080"/>
    <n v="29.6"/>
    <n v="17881.599999999999"/>
    <s v="Completed"/>
    <x v="3"/>
    <s v="Home"/>
    <s v="South"/>
    <s v="Aug-24"/>
    <s v="Q3 2024"/>
    <n v="2459"/>
    <n v="0.51594488188976373"/>
  </r>
  <r>
    <s v="ORD-01208"/>
    <d v="2024-02-29T00:00:00"/>
    <s v="CUST-0193"/>
    <s v="PROD-043"/>
    <s v="R014"/>
    <n v="9"/>
    <n v="3350"/>
    <n v="6.2"/>
    <n v="28280.7"/>
    <s v="Completed"/>
    <x v="4"/>
    <s v="Beauty"/>
    <s v="South"/>
    <s v="Feb-24"/>
    <s v="Q1 2024"/>
    <n v="1728"/>
    <n v="0.48417910447761192"/>
  </r>
  <r>
    <s v="ORD-01209"/>
    <d v="2024-09-25T00:00:00"/>
    <s v="CUST-0019"/>
    <s v="PROD-041"/>
    <s v="R001"/>
    <n v="4"/>
    <n v="1540"/>
    <n v="22.2"/>
    <n v="4792.4799999999996"/>
    <s v="Completed"/>
    <x v="1"/>
    <s v="Beauty"/>
    <s v="North"/>
    <s v="Sep-24"/>
    <s v="Q3 2024"/>
    <n v="647"/>
    <n v="0.57987012987012987"/>
  </r>
  <r>
    <s v="ORD-01210"/>
    <d v="2024-05-19T00:00:00"/>
    <s v="CUST-0097"/>
    <s v="PROD-034"/>
    <s v="R002"/>
    <n v="10"/>
    <n v="5080"/>
    <n v="11.8"/>
    <n v="44805.599999999999"/>
    <s v="Completed"/>
    <x v="3"/>
    <s v="Home"/>
    <s v="North"/>
    <s v="May-24"/>
    <s v="Q2 2024"/>
    <n v="2459"/>
    <n v="0.51594488188976373"/>
  </r>
  <r>
    <s v="ORD-01211"/>
    <d v="2024-01-05T00:00:00"/>
    <s v="CUST-0237"/>
    <s v="PROD-018"/>
    <s v="R012"/>
    <n v="9"/>
    <n v="3560"/>
    <n v="15.9"/>
    <n v="26945.64"/>
    <s v="Completed"/>
    <x v="3"/>
    <s v="Apparel"/>
    <s v="South"/>
    <s v="Jan-24"/>
    <s v="Q1 2024"/>
    <n v="2629"/>
    <n v="0.26151685393258428"/>
  </r>
  <r>
    <s v="ORD-01212"/>
    <d v="2024-12-03T00:00:00"/>
    <s v="CUST-0252"/>
    <s v="PROD-040"/>
    <s v="R009"/>
    <n v="2"/>
    <n v="1080"/>
    <n v="21.1"/>
    <n v="1704.24"/>
    <s v="Completed"/>
    <x v="4"/>
    <s v="Home"/>
    <s v="South"/>
    <s v="Dec-24"/>
    <s v="Q4 2024"/>
    <n v="519"/>
    <n v="0.51944444444444449"/>
  </r>
  <r>
    <s v="ORD-01213"/>
    <d v="2024-01-19T00:00:00"/>
    <s v="CUST-0216"/>
    <s v="PROD-023"/>
    <s v="R018"/>
    <n v="5"/>
    <n v="2380"/>
    <n v="20.5"/>
    <n v="9460.5"/>
    <s v="Completed"/>
    <x v="3"/>
    <s v="Grocery"/>
    <s v="East"/>
    <s v="Jan-24"/>
    <s v="Q1 2024"/>
    <n v="1182"/>
    <n v="0.50336134453781511"/>
  </r>
  <r>
    <s v="ORD-01214"/>
    <d v="2024-07-25T00:00:00"/>
    <s v="CUST-0248"/>
    <s v="PROD-019"/>
    <s v="R025"/>
    <n v="9"/>
    <n v="2480"/>
    <n v="1.2"/>
    <n v="22052.16"/>
    <s v="Completed"/>
    <x v="1"/>
    <s v="Apparel"/>
    <s v="West"/>
    <s v="Jul-24"/>
    <s v="Q3 2024"/>
    <n v="1173"/>
    <n v="0.52701612903225803"/>
  </r>
  <r>
    <s v="ORD-01215"/>
    <d v="2024-02-26T00:00:00"/>
    <s v="CUST-0044"/>
    <s v="PROD-042"/>
    <s v="R012"/>
    <n v="9"/>
    <n v="2290"/>
    <n v="0.9"/>
    <n v="20424.509999999998"/>
    <s v="Completed"/>
    <x v="5"/>
    <s v="Beauty"/>
    <s v="South"/>
    <s v="Feb-24"/>
    <s v="Q1 2024"/>
    <n v="1219"/>
    <n v="0.46768558951965067"/>
  </r>
  <r>
    <s v="ORD-01216"/>
    <d v="2024-03-31T00:00:00"/>
    <s v="CUST-0251"/>
    <s v="PROD-011"/>
    <s v="R011"/>
    <n v="3"/>
    <n v="3450"/>
    <n v="29.5"/>
    <n v="7296.75"/>
    <s v="Completed"/>
    <x v="3"/>
    <s v="Apparel"/>
    <s v="South"/>
    <s v="Mar-24"/>
    <s v="Q1 2024"/>
    <n v="1748"/>
    <n v="0.49333333333333335"/>
  </r>
  <r>
    <s v="ORD-01217"/>
    <d v="2024-10-04T00:00:00"/>
    <s v="CUST-0280"/>
    <s v="PROD-047"/>
    <s v="R024"/>
    <n v="9"/>
    <n v="3450"/>
    <n v="19.399999999999999"/>
    <n v="25026.3"/>
    <s v="Completed"/>
    <x v="2"/>
    <s v="Beauty"/>
    <s v="West"/>
    <s v="Oct-24"/>
    <s v="Q4 2024"/>
    <n v="2420"/>
    <n v="0.29855072463768118"/>
  </r>
  <r>
    <s v="ORD-01218"/>
    <d v="2024-08-12T00:00:00"/>
    <s v="CUST-0108"/>
    <s v="PROD-002"/>
    <s v="R030"/>
    <n v="2"/>
    <n v="2600"/>
    <n v="20.2"/>
    <n v="4149.6000000000004"/>
    <s v="Cancelled"/>
    <x v="4"/>
    <s v="Electronics"/>
    <s v="West"/>
    <s v="Aug-24"/>
    <s v="Q3 2024"/>
    <n v="1052"/>
    <n v="0.5953846153846154"/>
  </r>
  <r>
    <s v="ORD-01219"/>
    <d v="2024-08-15T00:00:00"/>
    <s v="CUST-0058"/>
    <s v="PROD-021"/>
    <s v="R025"/>
    <n v="1"/>
    <n v="2760"/>
    <n v="9.5"/>
    <n v="2497.8000000000002"/>
    <s v="Completed"/>
    <x v="4"/>
    <s v="Grocery"/>
    <s v="West"/>
    <s v="Aug-24"/>
    <s v="Q3 2024"/>
    <n v="1435"/>
    <n v="0.48007246376811596"/>
  </r>
  <r>
    <s v="ORD-01220"/>
    <d v="2024-10-28T00:00:00"/>
    <s v="CUST-0090"/>
    <s v="PROD-039"/>
    <s v="R003"/>
    <n v="4"/>
    <n v="4610"/>
    <n v="14.8"/>
    <n v="15710.88"/>
    <s v="Completed"/>
    <x v="4"/>
    <s v="Home"/>
    <s v="North"/>
    <s v="Oct-24"/>
    <s v="Q4 2024"/>
    <n v="1850"/>
    <n v="0.59869848156182215"/>
  </r>
  <r>
    <s v="ORD-01221"/>
    <d v="2024-08-28T00:00:00"/>
    <s v="CUST-0204"/>
    <s v="PROD-019"/>
    <s v="R024"/>
    <n v="3"/>
    <n v="2480"/>
    <n v="3.7"/>
    <n v="7164.72"/>
    <s v="Completed"/>
    <x v="5"/>
    <s v="Apparel"/>
    <s v="West"/>
    <s v="Aug-24"/>
    <s v="Q3 2024"/>
    <n v="1173"/>
    <n v="0.52701612903225803"/>
  </r>
  <r>
    <s v="ORD-01222"/>
    <d v="2024-11-14T00:00:00"/>
    <s v="CUST-0044"/>
    <s v="PROD-056"/>
    <s v="R011"/>
    <n v="5"/>
    <n v="6940"/>
    <n v="0.3"/>
    <n v="34595.9"/>
    <s v="Completed"/>
    <x v="5"/>
    <s v="Sports"/>
    <s v="South"/>
    <s v="Nov-24"/>
    <s v="Q4 2024"/>
    <n v="2827"/>
    <n v="0.5926512968299712"/>
  </r>
  <r>
    <s v="ORD-01223"/>
    <d v="2024-09-25T00:00:00"/>
    <s v="CUST-0068"/>
    <s v="PROD-022"/>
    <s v="R023"/>
    <n v="8"/>
    <n v="2270"/>
    <n v="15.6"/>
    <n v="15327.04"/>
    <s v="Pending"/>
    <x v="2"/>
    <s v="Grocery"/>
    <s v="East"/>
    <s v="Sep-24"/>
    <s v="Q3 2024"/>
    <n v="1412"/>
    <n v="0.37797356828193834"/>
  </r>
  <r>
    <s v="ORD-01224"/>
    <d v="2024-05-19T00:00:00"/>
    <s v="CUST-0127"/>
    <s v="PROD-048"/>
    <s v="R030"/>
    <n v="5"/>
    <n v="5100"/>
    <n v="9.5"/>
    <n v="23077.5"/>
    <s v="Completed"/>
    <x v="4"/>
    <s v="Beauty"/>
    <s v="West"/>
    <s v="May-24"/>
    <s v="Q2 2024"/>
    <n v="2237"/>
    <n v="0.56137254901960787"/>
  </r>
  <r>
    <s v="ORD-01225"/>
    <d v="2024-10-29T00:00:00"/>
    <s v="CUST-0191"/>
    <s v="PROD-036"/>
    <s v="R011"/>
    <n v="5"/>
    <n v="3250"/>
    <n v="8.1"/>
    <n v="14933.75"/>
    <s v="Completed"/>
    <x v="5"/>
    <s v="Home"/>
    <s v="South"/>
    <s v="Oct-24"/>
    <s v="Q4 2024"/>
    <n v="1556"/>
    <n v="0.52123076923076928"/>
  </r>
  <r>
    <s v="ORD-01226"/>
    <d v="2024-11-13T00:00:00"/>
    <s v="CUST-0028"/>
    <s v="PROD-006"/>
    <s v="R003"/>
    <n v="6"/>
    <n v="3970"/>
    <n v="18.8"/>
    <n v="19341.84"/>
    <s v="Pending"/>
    <x v="4"/>
    <s v="Electronics"/>
    <s v="North"/>
    <s v="Nov-24"/>
    <s v="Q4 2024"/>
    <n v="2865"/>
    <n v="0.27833753148614609"/>
  </r>
  <r>
    <s v="ORD-01227"/>
    <d v="2024-09-11T00:00:00"/>
    <s v="CUST-0027"/>
    <s v="PROD-001"/>
    <s v="R025"/>
    <n v="4"/>
    <n v="5330"/>
    <n v="19.7"/>
    <n v="17119.96"/>
    <s v="Completed"/>
    <x v="5"/>
    <s v="Electronics"/>
    <s v="West"/>
    <s v="Sep-24"/>
    <s v="Q3 2024"/>
    <n v="2405"/>
    <n v="0.54878048780487809"/>
  </r>
  <r>
    <s v="ORD-01228"/>
    <d v="2024-11-11T00:00:00"/>
    <s v="CUST-0193"/>
    <s v="PROD-008"/>
    <s v="R004"/>
    <n v="7"/>
    <n v="2660"/>
    <n v="8.5"/>
    <n v="17037.3"/>
    <s v="Completed"/>
    <x v="4"/>
    <s v="Electronics"/>
    <s v="North"/>
    <s v="Nov-24"/>
    <s v="Q4 2024"/>
    <n v="1259"/>
    <n v="0.52669172932330832"/>
  </r>
  <r>
    <s v="ORD-01229"/>
    <d v="2024-05-10T00:00:00"/>
    <s v="CUST-0202"/>
    <s v="PROD-012"/>
    <s v="R029"/>
    <n v="5"/>
    <n v="3160"/>
    <n v="13.4"/>
    <n v="13682.8"/>
    <s v="Pending"/>
    <x v="1"/>
    <s v="Apparel"/>
    <s v="West"/>
    <s v="May-24"/>
    <s v="Q2 2024"/>
    <n v="1886"/>
    <n v="0.4031645569620253"/>
  </r>
  <r>
    <s v="ORD-01230"/>
    <d v="2024-12-08T00:00:00"/>
    <s v="CUST-0230"/>
    <s v="PROD-054"/>
    <s v="R019"/>
    <n v="10"/>
    <n v="1010"/>
    <n v="14"/>
    <n v="8686"/>
    <s v="Completed"/>
    <x v="0"/>
    <s v="Sports"/>
    <s v="East"/>
    <s v="Dec-24"/>
    <s v="Q4 2024"/>
    <n v="516"/>
    <n v="0.4891089108910891"/>
  </r>
  <r>
    <s v="ORD-01231"/>
    <d v="2024-03-25T00:00:00"/>
    <s v="CUST-0280"/>
    <s v="PROD-041"/>
    <s v="R003"/>
    <n v="3"/>
    <n v="1540"/>
    <n v="13.7"/>
    <n v="3987.06"/>
    <s v="Pending"/>
    <x v="2"/>
    <s v="Beauty"/>
    <s v="North"/>
    <s v="Mar-24"/>
    <s v="Q1 2024"/>
    <n v="647"/>
    <n v="0.57987012987012987"/>
  </r>
  <r>
    <s v="ORD-01232"/>
    <d v="2024-01-22T00:00:00"/>
    <s v="CUST-0196"/>
    <s v="PROD-048"/>
    <s v="R009"/>
    <n v="10"/>
    <n v="5100"/>
    <n v="13.8"/>
    <n v="43962"/>
    <s v="Completed"/>
    <x v="1"/>
    <s v="Beauty"/>
    <s v="South"/>
    <s v="Jan-24"/>
    <s v="Q1 2024"/>
    <n v="2237"/>
    <n v="0.56137254901960787"/>
  </r>
  <r>
    <s v="ORD-01233"/>
    <d v="2024-06-14T00:00:00"/>
    <s v="CUST-0019"/>
    <s v="PROD-007"/>
    <s v="R030"/>
    <n v="3"/>
    <n v="1430"/>
    <n v="1.5"/>
    <n v="4225.6499999999996"/>
    <s v="Completed"/>
    <x v="1"/>
    <s v="Electronics"/>
    <s v="West"/>
    <s v="Jun-24"/>
    <s v="Q2 2024"/>
    <n v="861"/>
    <n v="0.39790209790209791"/>
  </r>
  <r>
    <s v="ORD-01234"/>
    <d v="2024-11-24T00:00:00"/>
    <s v="CUST-0201"/>
    <s v="PROD-038"/>
    <s v="R013"/>
    <n v="8"/>
    <n v="5490"/>
    <n v="23.2"/>
    <n v="33730.559999999998"/>
    <s v="Completed"/>
    <x v="5"/>
    <s v="Home"/>
    <s v="South"/>
    <s v="Nov-24"/>
    <s v="Q4 2024"/>
    <n v="2549"/>
    <n v="0.53570127504553733"/>
  </r>
  <r>
    <s v="ORD-01235"/>
    <d v="2024-07-22T00:00:00"/>
    <s v="CUST-0146"/>
    <s v="PROD-044"/>
    <s v="R008"/>
    <n v="6"/>
    <n v="1650"/>
    <n v="16.8"/>
    <n v="8236.7999999999993"/>
    <s v="Completed"/>
    <x v="5"/>
    <s v="Beauty"/>
    <s v="North"/>
    <s v="Jul-24"/>
    <s v="Q3 2024"/>
    <n v="1222"/>
    <n v="0.2593939393939394"/>
  </r>
  <r>
    <s v="ORD-01236"/>
    <d v="2024-06-17T00:00:00"/>
    <s v="CUST-0199"/>
    <s v="PROD-045"/>
    <s v="R018"/>
    <n v="3"/>
    <n v="3020"/>
    <n v="14.5"/>
    <n v="7746.3"/>
    <s v="Completed"/>
    <x v="5"/>
    <s v="Beauty"/>
    <s v="East"/>
    <s v="Jun-24"/>
    <s v="Q2 2024"/>
    <n v="1626"/>
    <n v="0.46158940397350995"/>
  </r>
  <r>
    <s v="ORD-01237"/>
    <d v="2024-05-26T00:00:00"/>
    <s v="CUST-0099"/>
    <s v="PROD-041"/>
    <s v="R003"/>
    <n v="5"/>
    <n v="1540"/>
    <n v="27.2"/>
    <n v="5605.6"/>
    <s v="Completed"/>
    <x v="4"/>
    <s v="Beauty"/>
    <s v="North"/>
    <s v="May-24"/>
    <s v="Q2 2024"/>
    <n v="647"/>
    <n v="0.57987012987012987"/>
  </r>
  <r>
    <s v="ORD-00372"/>
    <d v="2024-01-16T00:00:00"/>
    <s v="CUST-0094"/>
    <s v="PROD-056"/>
    <s v="R023"/>
    <n v="4"/>
    <n v="6940"/>
    <n v="3.2"/>
    <n v="26871.68"/>
    <s v="Completed"/>
    <x v="0"/>
    <s v="Sports"/>
    <s v="East"/>
    <s v="Jan-24"/>
    <s v="Q1 2024"/>
    <n v="2827"/>
    <n v="0.5926512968299712"/>
  </r>
  <r>
    <s v="ORD-01239"/>
    <d v="2024-08-13T00:00:00"/>
    <s v="CUST-0275"/>
    <s v="PROD-048"/>
    <s v="R017"/>
    <n v="2"/>
    <n v="5100"/>
    <n v="18.100000000000001"/>
    <n v="8353.7999999999993"/>
    <s v="Completed"/>
    <x v="3"/>
    <s v="Beauty"/>
    <s v="East"/>
    <s v="Aug-24"/>
    <s v="Q3 2024"/>
    <n v="2237"/>
    <n v="0.56137254901960787"/>
  </r>
  <r>
    <s v="ORD-01240"/>
    <d v="2024-10-10T00:00:00"/>
    <s v="CUST-0230"/>
    <s v="PROD-001"/>
    <s v="R016"/>
    <n v="6"/>
    <n v="5330"/>
    <n v="0.3"/>
    <n v="31884.06"/>
    <s v="Pending"/>
    <x v="0"/>
    <s v="Electronics"/>
    <s v="South"/>
    <s v="Oct-24"/>
    <s v="Q4 2024"/>
    <n v="2405"/>
    <n v="0.54878048780487809"/>
  </r>
  <r>
    <s v="ORD-01241"/>
    <d v="2024-06-06T00:00:00"/>
    <s v="CUST-0227"/>
    <s v="PROD-057"/>
    <s v="R029"/>
    <n v="5"/>
    <n v="960"/>
    <n v="16.600000000000001"/>
    <n v="4003.2"/>
    <s v="Completed"/>
    <x v="4"/>
    <s v="Sports"/>
    <s v="West"/>
    <s v="Jun-24"/>
    <s v="Q2 2024"/>
    <n v="705"/>
    <n v="0.265625"/>
  </r>
  <r>
    <s v="ORD-01365"/>
    <d v="2024-07-08T00:00:00"/>
    <s v="CUST-0200"/>
    <s v="PROD-014"/>
    <s v="R022"/>
    <n v="7"/>
    <n v="3620"/>
    <n v="5.4"/>
    <n v="23971.64"/>
    <s v="Completed"/>
    <x v="5"/>
    <s v="Apparel"/>
    <s v="East"/>
    <s v="Jul-24"/>
    <s v="Q3 2024"/>
    <n v="2509"/>
    <n v="0.3069060773480663"/>
  </r>
  <r>
    <s v="ORD-01243"/>
    <d v="2024-03-17T00:00:00"/>
    <s v="CUST-0268"/>
    <s v="PROD-002"/>
    <s v="R006"/>
    <n v="6"/>
    <n v="2600"/>
    <n v="25.9"/>
    <n v="11559.6"/>
    <s v="Completed"/>
    <x v="1"/>
    <s v="Electronics"/>
    <s v="North"/>
    <s v="Mar-24"/>
    <s v="Q1 2024"/>
    <n v="1052"/>
    <n v="0.5953846153846154"/>
  </r>
  <r>
    <s v="ORD-01244"/>
    <d v="2024-01-07T00:00:00"/>
    <s v="CUST-0163"/>
    <s v="PROD-008"/>
    <s v="R013"/>
    <n v="7"/>
    <n v="2660"/>
    <n v="20.2"/>
    <n v="14858.76"/>
    <s v="Completed"/>
    <x v="0"/>
    <s v="Electronics"/>
    <s v="South"/>
    <s v="Jan-24"/>
    <s v="Q1 2024"/>
    <n v="1259"/>
    <n v="0.52669172932330832"/>
  </r>
  <r>
    <s v="ORD-01245"/>
    <d v="2024-06-29T00:00:00"/>
    <s v="CUST-0233"/>
    <s v="PROD-019"/>
    <s v="R022"/>
    <n v="9"/>
    <n v="2480"/>
    <n v="14.7"/>
    <n v="19038.96"/>
    <s v="Completed"/>
    <x v="3"/>
    <s v="Apparel"/>
    <s v="East"/>
    <s v="Jun-24"/>
    <s v="Q2 2024"/>
    <n v="1173"/>
    <n v="0.52701612903225803"/>
  </r>
  <r>
    <s v="ORD-01246"/>
    <d v="2024-10-03T00:00:00"/>
    <s v="CUST-0181"/>
    <s v="PROD-008"/>
    <s v="R015"/>
    <n v="4"/>
    <n v="2660"/>
    <n v="8.9"/>
    <n v="9693.0400000000009"/>
    <s v="Completed"/>
    <x v="2"/>
    <s v="Electronics"/>
    <s v="South"/>
    <s v="Oct-24"/>
    <s v="Q4 2024"/>
    <n v="1259"/>
    <n v="0.52669172932330832"/>
  </r>
  <r>
    <s v="ORD-01247"/>
    <d v="2024-09-05T00:00:00"/>
    <s v="CUST-0254"/>
    <s v="PROD-001"/>
    <s v="R010"/>
    <n v="1"/>
    <n v="5330"/>
    <n v="26.8"/>
    <n v="3901.56"/>
    <s v="Completed"/>
    <x v="4"/>
    <s v="Electronics"/>
    <s v="South"/>
    <s v="Sep-24"/>
    <s v="Q3 2024"/>
    <n v="2405"/>
    <n v="0.54878048780487809"/>
  </r>
  <r>
    <s v="ORD-01248"/>
    <d v="2024-09-09T00:00:00"/>
    <s v="CUST-0116"/>
    <s v="PROD-051"/>
    <s v="R027"/>
    <n v="6"/>
    <n v="3450"/>
    <n v="19.2"/>
    <n v="16725.599999999999"/>
    <s v="Pending"/>
    <x v="4"/>
    <s v="Sports"/>
    <s v="West"/>
    <s v="Sep-24"/>
    <s v="Q3 2024"/>
    <n v="2467"/>
    <n v="0.28492753623188405"/>
  </r>
  <r>
    <s v="ORD-01249"/>
    <d v="2024-02-12T00:00:00"/>
    <s v="CUST-0259"/>
    <s v="PROD-060"/>
    <s v="R025"/>
    <n v="10"/>
    <n v="190"/>
    <n v="18.100000000000001"/>
    <n v="1556.1"/>
    <s v="Completed"/>
    <x v="3"/>
    <s v="Sports"/>
    <s v="West"/>
    <s v="Feb-24"/>
    <s v="Q1 2024"/>
    <n v="147"/>
    <n v="0.22631578947368422"/>
  </r>
  <r>
    <s v="ORD-01250"/>
    <d v="2024-10-19T00:00:00"/>
    <s v="CUST-0198"/>
    <s v="PROD-006"/>
    <s v="R009"/>
    <n v="9"/>
    <n v="3970"/>
    <n v="18.2"/>
    <n v="29227.14"/>
    <s v="Pending"/>
    <x v="1"/>
    <s v="Electronics"/>
    <s v="South"/>
    <s v="Oct-24"/>
    <s v="Q4 2024"/>
    <n v="2865"/>
    <n v="0.27833753148614609"/>
  </r>
  <r>
    <s v="ORD-01251"/>
    <d v="2024-04-22T00:00:00"/>
    <s v="CUST-0204"/>
    <s v="PROD-039"/>
    <s v="R002"/>
    <n v="4"/>
    <n v="4610"/>
    <n v="15.1"/>
    <n v="15655.56"/>
    <s v="Cancelled"/>
    <x v="5"/>
    <s v="Home"/>
    <s v="North"/>
    <s v="Apr-24"/>
    <s v="Q2 2024"/>
    <n v="1850"/>
    <n v="0.59869848156182215"/>
  </r>
  <r>
    <s v="ORD-01252"/>
    <d v="2024-07-03T00:00:00"/>
    <s v="CUST-0216"/>
    <s v="PROD-016"/>
    <s v="R025"/>
    <n v="2"/>
    <n v="620"/>
    <n v="3.3"/>
    <n v="1199.08"/>
    <s v="Completed"/>
    <x v="3"/>
    <s v="Apparel"/>
    <s v="West"/>
    <s v="Jul-24"/>
    <s v="Q3 2024"/>
    <n v="396"/>
    <n v="0.36129032258064514"/>
  </r>
  <r>
    <s v="ORD-01253"/>
    <d v="2024-07-08T00:00:00"/>
    <s v="CUST-0030"/>
    <s v="PROD-041"/>
    <s v="R025"/>
    <n v="7"/>
    <n v="1540"/>
    <n v="27.5"/>
    <n v="7815.5"/>
    <s v="Completed"/>
    <x v="4"/>
    <s v="Beauty"/>
    <s v="West"/>
    <s v="Jul-24"/>
    <s v="Q3 2024"/>
    <n v="647"/>
    <n v="0.57987012987012987"/>
  </r>
  <r>
    <s v="ORD-01254"/>
    <d v="2024-07-07T00:00:00"/>
    <s v="CUST-0019"/>
    <s v="PROD-053"/>
    <s v="R017"/>
    <n v="10"/>
    <n v="470"/>
    <n v="3.9"/>
    <n v="4516.7"/>
    <s v="Completed"/>
    <x v="1"/>
    <s v="Sports"/>
    <s v="East"/>
    <s v="Jul-24"/>
    <s v="Q3 2024"/>
    <n v="302"/>
    <n v="0.35744680851063831"/>
  </r>
  <r>
    <s v="ORD-01255"/>
    <d v="2024-11-07T00:00:00"/>
    <s v="CUST-0034"/>
    <s v="PROD-046"/>
    <s v="R002"/>
    <n v="5"/>
    <n v="4880"/>
    <n v="27.4"/>
    <n v="17714.400000000001"/>
    <s v="Completed"/>
    <x v="2"/>
    <s v="Beauty"/>
    <s v="North"/>
    <s v="Nov-24"/>
    <s v="Q4 2024"/>
    <n v="2768"/>
    <n v="0.43278688524590164"/>
  </r>
  <r>
    <s v="ORD-01256"/>
    <d v="2024-09-13T00:00:00"/>
    <s v="CUST-0063"/>
    <s v="PROD-052"/>
    <s v="R029"/>
    <n v="1"/>
    <n v="5410"/>
    <n v="8.3000000000000007"/>
    <n v="4960.97"/>
    <s v="Completed"/>
    <x v="3"/>
    <s v="Sports"/>
    <s v="West"/>
    <s v="Sep-24"/>
    <s v="Q3 2024"/>
    <n v="2265"/>
    <n v="0.58133086876155271"/>
  </r>
  <r>
    <s v="ORD-01257"/>
    <d v="2024-07-09T00:00:00"/>
    <s v="CUST-0203"/>
    <s v="PROD-004"/>
    <s v="R022"/>
    <n v="8"/>
    <n v="3870"/>
    <n v="9.3000000000000007"/>
    <n v="28080.720000000001"/>
    <s v="Pending"/>
    <x v="1"/>
    <s v="Electronics"/>
    <s v="East"/>
    <s v="Jul-24"/>
    <s v="Q3 2024"/>
    <n v="1559"/>
    <n v="0.59715762273901807"/>
  </r>
  <r>
    <s v="ORD-01258"/>
    <d v="2024-06-14T00:00:00"/>
    <s v="CUST-0016"/>
    <s v="PROD-010"/>
    <s v="R017"/>
    <n v="10"/>
    <n v="2640"/>
    <n v="19.899999999999999"/>
    <n v="21146.400000000001"/>
    <s v="Completed"/>
    <x v="2"/>
    <s v="Electronics"/>
    <s v="East"/>
    <s v="Jun-24"/>
    <s v="Q2 2024"/>
    <n v="1149"/>
    <n v="0.56477272727272732"/>
  </r>
  <r>
    <s v="ORD-01259"/>
    <d v="2024-08-04T00:00:00"/>
    <s v="CUST-0198"/>
    <s v="PROD-034"/>
    <s v="R007"/>
    <n v="1"/>
    <n v="5080"/>
    <n v="8.6"/>
    <n v="4643.12"/>
    <s v="Completed"/>
    <x v="1"/>
    <s v="Home"/>
    <s v="North"/>
    <s v="Aug-24"/>
    <s v="Q3 2024"/>
    <n v="2459"/>
    <n v="0.51594488188976373"/>
  </r>
  <r>
    <s v="ORD-01260"/>
    <d v="2024-04-17T00:00:00"/>
    <s v="CUST-0212"/>
    <s v="PROD-036"/>
    <s v="R018"/>
    <n v="9"/>
    <n v="3250"/>
    <n v="18.2"/>
    <n v="23926.5"/>
    <s v="Pending"/>
    <x v="1"/>
    <s v="Home"/>
    <s v="East"/>
    <s v="Apr-24"/>
    <s v="Q2 2024"/>
    <n v="1556"/>
    <n v="0.52123076923076928"/>
  </r>
  <r>
    <s v="ORD-01261"/>
    <d v="2024-11-11T00:00:00"/>
    <s v="CUST-0265"/>
    <s v="PROD-006"/>
    <s v="R002"/>
    <n v="8"/>
    <n v="3970"/>
    <n v="22.4"/>
    <n v="24645.759999999998"/>
    <s v="Completed"/>
    <x v="1"/>
    <s v="Electronics"/>
    <s v="North"/>
    <s v="Nov-24"/>
    <s v="Q4 2024"/>
    <n v="2865"/>
    <n v="0.27833753148614609"/>
  </r>
  <r>
    <s v="ORD-01262"/>
    <d v="2024-04-25T00:00:00"/>
    <s v="CUST-0165"/>
    <s v="PROD-037"/>
    <s v="R017"/>
    <n v="3"/>
    <n v="660"/>
    <n v="3.1"/>
    <n v="1918.62"/>
    <s v="Completed"/>
    <x v="0"/>
    <s v="Home"/>
    <s v="East"/>
    <s v="Apr-24"/>
    <s v="Q2 2024"/>
    <n v="329"/>
    <n v="0.50151515151515147"/>
  </r>
  <r>
    <s v="ORD-01263"/>
    <d v="2024-03-06T00:00:00"/>
    <s v="CUST-0109"/>
    <s v="PROD-002"/>
    <s v="R022"/>
    <n v="7"/>
    <n v="2600"/>
    <n v="15.4"/>
    <n v="15397.2"/>
    <s v="Completed"/>
    <x v="0"/>
    <s v="Electronics"/>
    <s v="East"/>
    <s v="Mar-24"/>
    <s v="Q1 2024"/>
    <n v="1052"/>
    <n v="0.5953846153846154"/>
  </r>
  <r>
    <s v="ORD-01264"/>
    <d v="2024-09-30T00:00:00"/>
    <s v="CUST-0155"/>
    <s v="PROD-037"/>
    <s v="R015"/>
    <n v="9"/>
    <n v="660"/>
    <n v="23.7"/>
    <n v="4532.22"/>
    <s v="Completed"/>
    <x v="0"/>
    <s v="Home"/>
    <s v="South"/>
    <s v="Sep-24"/>
    <s v="Q3 2024"/>
    <n v="329"/>
    <n v="0.50151515151515147"/>
  </r>
  <r>
    <s v="ORD-01265"/>
    <d v="2024-04-13T00:00:00"/>
    <s v="CUST-0194"/>
    <s v="PROD-023"/>
    <s v="R021"/>
    <n v="3"/>
    <n v="2380"/>
    <n v="19.5"/>
    <n v="5747.7"/>
    <s v="Cancelled"/>
    <x v="2"/>
    <s v="Grocery"/>
    <s v="East"/>
    <s v="Apr-24"/>
    <s v="Q2 2024"/>
    <n v="1182"/>
    <n v="0.50336134453781511"/>
  </r>
  <r>
    <s v="ORD-01266"/>
    <d v="2024-11-28T00:00:00"/>
    <s v="CUST-0084"/>
    <s v="PROD-044"/>
    <s v="R010"/>
    <n v="9"/>
    <n v="1650"/>
    <n v="2.5"/>
    <n v="14478.75"/>
    <s v="Completed"/>
    <x v="1"/>
    <s v="Beauty"/>
    <s v="South"/>
    <s v="Nov-24"/>
    <s v="Q4 2024"/>
    <n v="1222"/>
    <n v="0.2593939393939394"/>
  </r>
  <r>
    <s v="ORD-01267"/>
    <d v="2024-12-24T00:00:00"/>
    <s v="CUST-9684"/>
    <s v="PROD-010"/>
    <s v="R006"/>
    <n v="8"/>
    <n v="2640"/>
    <n v="24.4"/>
    <n v="15966.72"/>
    <s v="Completed"/>
    <x v="3"/>
    <s v="Electronics"/>
    <s v="North"/>
    <s v="Dec-24"/>
    <s v="Q4 2024"/>
    <n v="1149"/>
    <n v="0.56477272727272732"/>
  </r>
  <r>
    <s v="ORD-01268"/>
    <d v="2024-03-19T00:00:00"/>
    <s v="CUST-0218"/>
    <s v="PROD-023"/>
    <s v="R013"/>
    <n v="8"/>
    <n v="2380"/>
    <n v="24.2"/>
    <n v="14432.32"/>
    <s v="Completed"/>
    <x v="3"/>
    <s v="Grocery"/>
    <s v="South"/>
    <s v="Mar-24"/>
    <s v="Q1 2024"/>
    <n v="1182"/>
    <n v="0.50336134453781511"/>
  </r>
  <r>
    <s v="ORD-01269"/>
    <d v="2024-03-22T00:00:00"/>
    <s v="CUST-0194"/>
    <s v="PROD-029"/>
    <s v="R007"/>
    <n v="10"/>
    <n v="2210"/>
    <n v="3.6"/>
    <n v="21304.400000000001"/>
    <s v="Completed"/>
    <x v="2"/>
    <s v="Grocery"/>
    <s v="North"/>
    <s v="Mar-24"/>
    <s v="Q1 2024"/>
    <n v="1010"/>
    <n v="0.54298642533936647"/>
  </r>
  <r>
    <s v="ORD-01270"/>
    <d v="2024-04-09T00:00:00"/>
    <s v="CUST-0037"/>
    <s v="PROD-050"/>
    <s v="R018"/>
    <n v="9"/>
    <n v="6080"/>
    <n v="17.2"/>
    <n v="45308.160000000003"/>
    <s v="Pending"/>
    <x v="4"/>
    <s v="Beauty"/>
    <s v="East"/>
    <s v="Apr-24"/>
    <s v="Q2 2024"/>
    <n v="2617"/>
    <n v="0.56957236842105263"/>
  </r>
  <r>
    <s v="ORD-01271"/>
    <d v="2024-02-10T00:00:00"/>
    <s v="CUST-0245"/>
    <s v="PROD-054"/>
    <s v="R022"/>
    <n v="8"/>
    <n v="1010"/>
    <n v="12.3"/>
    <n v="7086.16"/>
    <s v="Completed"/>
    <x v="5"/>
    <s v="Sports"/>
    <s v="East"/>
    <s v="Feb-24"/>
    <s v="Q1 2024"/>
    <n v="516"/>
    <n v="0.4891089108910891"/>
  </r>
  <r>
    <s v="ORD-01272"/>
    <d v="2024-10-17T00:00:00"/>
    <s v="CUST-0266"/>
    <s v="PROD-028"/>
    <s v="R011"/>
    <n v="8"/>
    <n v="3660"/>
    <n v="8.4"/>
    <n v="26820.48"/>
    <s v="Completed"/>
    <x v="0"/>
    <s v="Grocery"/>
    <s v="South"/>
    <s v="Oct-24"/>
    <s v="Q4 2024"/>
    <n v="2214"/>
    <n v="0.39508196721311473"/>
  </r>
  <r>
    <s v="ORD-01273"/>
    <d v="2024-05-31T00:00:00"/>
    <s v="CUST-0058"/>
    <s v="PROD-039"/>
    <s v="R029"/>
    <n v="8"/>
    <n v="4610"/>
    <n v="15.4"/>
    <n v="31200.48"/>
    <s v="Cancelled"/>
    <x v="4"/>
    <s v="Home"/>
    <s v="West"/>
    <s v="May-24"/>
    <s v="Q2 2024"/>
    <n v="1850"/>
    <n v="0.59869848156182215"/>
  </r>
  <r>
    <s v="ORD-01274"/>
    <d v="2024-08-21T00:00:00"/>
    <s v="CUST-0058"/>
    <s v="PROD-048"/>
    <s v="R006"/>
    <n v="9"/>
    <n v="5100"/>
    <n v="25.2"/>
    <n v="34333.199999999997"/>
    <s v="Cancelled"/>
    <x v="4"/>
    <s v="Beauty"/>
    <s v="North"/>
    <s v="Aug-24"/>
    <s v="Q3 2024"/>
    <n v="2237"/>
    <n v="0.56137254901960787"/>
  </r>
  <r>
    <s v="ORD-01275"/>
    <d v="2024-03-26T00:00:00"/>
    <s v="CUST-0028"/>
    <s v="PROD-045"/>
    <s v="R019"/>
    <n v="5"/>
    <n v="3020"/>
    <n v="23"/>
    <n v="11627"/>
    <s v="Completed"/>
    <x v="4"/>
    <s v="Beauty"/>
    <s v="East"/>
    <s v="Mar-24"/>
    <s v="Q1 2024"/>
    <n v="1626"/>
    <n v="0.46158940397350995"/>
  </r>
  <r>
    <s v="ORD-01276"/>
    <d v="2024-05-01T00:00:00"/>
    <s v="CUST-0262"/>
    <s v="PROD-059"/>
    <s v="R015"/>
    <n v="8"/>
    <n v="3780"/>
    <n v="17.100000000000001"/>
    <n v="25068.959999999999"/>
    <s v="Completed"/>
    <x v="3"/>
    <s v="Sports"/>
    <s v="South"/>
    <s v="May-24"/>
    <s v="Q2 2024"/>
    <n v="1860"/>
    <n v="0.50793650793650791"/>
  </r>
  <r>
    <s v="ORD-01277"/>
    <d v="2024-05-25T00:00:00"/>
    <s v="CUST-0241"/>
    <s v="PROD-029"/>
    <s v="R001"/>
    <n v="10"/>
    <n v="2210"/>
    <n v="8.5"/>
    <n v="20221.5"/>
    <s v="Completed"/>
    <x v="0"/>
    <s v="Grocery"/>
    <s v="North"/>
    <s v="May-24"/>
    <s v="Q2 2024"/>
    <n v="1010"/>
    <n v="0.54298642533936647"/>
  </r>
  <r>
    <s v="ORD-01278"/>
    <d v="2024-11-08T00:00:00"/>
    <s v="CUST-0109"/>
    <s v="PROD-029"/>
    <s v="R015"/>
    <n v="4"/>
    <n v="2210"/>
    <n v="3.1"/>
    <n v="8565.9599999999991"/>
    <s v="Completed"/>
    <x v="0"/>
    <s v="Grocery"/>
    <s v="South"/>
    <s v="Nov-24"/>
    <s v="Q4 2024"/>
    <n v="1010"/>
    <n v="0.54298642533936647"/>
  </r>
  <r>
    <s v="ORD-01279"/>
    <d v="2024-09-05T00:00:00"/>
    <s v="CUST-0228"/>
    <s v="PROD-044"/>
    <s v="R015"/>
    <n v="1"/>
    <n v="1650"/>
    <n v="10"/>
    <n v="1485"/>
    <s v="Completed"/>
    <x v="0"/>
    <s v="Beauty"/>
    <s v="South"/>
    <s v="Sep-24"/>
    <s v="Q3 2024"/>
    <n v="1222"/>
    <n v="0.2593939393939394"/>
  </r>
  <r>
    <s v="ORD-01280"/>
    <d v="2024-11-01T00:00:00"/>
    <s v="CUST-0239"/>
    <s v="PROD-060"/>
    <s v="R005"/>
    <n v="6"/>
    <n v="190"/>
    <n v="3.5"/>
    <n v="1100.0999999999999"/>
    <s v="Cancelled"/>
    <x v="3"/>
    <s v="Sports"/>
    <s v="North"/>
    <s v="Nov-24"/>
    <s v="Q4 2024"/>
    <n v="147"/>
    <n v="0.22631578947368422"/>
  </r>
  <r>
    <s v="ORD-01281"/>
    <d v="2024-10-24T00:00:00"/>
    <s v="CUST-0092"/>
    <s v="PROD-055"/>
    <s v="R027"/>
    <n v="8"/>
    <n v="2860"/>
    <n v="14.7"/>
    <n v="19516.64"/>
    <s v="Completed"/>
    <x v="4"/>
    <s v="Sports"/>
    <s v="West"/>
    <s v="Oct-24"/>
    <s v="Q4 2024"/>
    <n v="2028"/>
    <n v="0.29090909090909089"/>
  </r>
  <r>
    <s v="ORD-01282"/>
    <d v="2024-06-05T00:00:00"/>
    <s v="CUST-0283"/>
    <s v="PROD-005"/>
    <s v="R030"/>
    <n v="9"/>
    <n v="300"/>
    <n v="19.5"/>
    <n v="2173.5"/>
    <s v="Completed"/>
    <x v="2"/>
    <s v="Electronics"/>
    <s v="West"/>
    <s v="Jun-24"/>
    <s v="Q2 2024"/>
    <n v="128"/>
    <n v="0.57333333333333336"/>
  </r>
  <r>
    <s v="ORD-01283"/>
    <d v="2024-11-12T00:00:00"/>
    <s v="CUST-0206"/>
    <s v="PROD-049"/>
    <s v="R007"/>
    <n v="10"/>
    <n v="960"/>
    <n v="9.6999999999999993"/>
    <n v="8668.7999999999993"/>
    <s v="Completed"/>
    <x v="3"/>
    <s v="Beauty"/>
    <s v="North"/>
    <s v="Nov-24"/>
    <s v="Q4 2024"/>
    <n v="675"/>
    <n v="0.296875"/>
  </r>
  <r>
    <s v="ORD-01284"/>
    <d v="2024-05-09T00:00:00"/>
    <s v="CUST-0174"/>
    <s v="PROD-020"/>
    <s v="R013"/>
    <n v="5"/>
    <n v="820"/>
    <n v="0.5"/>
    <n v="4079.5"/>
    <s v="Completed"/>
    <x v="0"/>
    <s v="Apparel"/>
    <s v="South"/>
    <s v="May-24"/>
    <s v="Q2 2024"/>
    <n v="391"/>
    <n v="0.52317073170731709"/>
  </r>
  <r>
    <s v="ORD-01285"/>
    <d v="2024-04-01T00:00:00"/>
    <s v="CUST-0040"/>
    <s v="PROD-032"/>
    <s v="R004"/>
    <n v="2"/>
    <n v="370"/>
    <n v="10.5"/>
    <n v="662.3"/>
    <s v="Pending"/>
    <x v="1"/>
    <s v="Home"/>
    <s v="North"/>
    <s v="Apr-24"/>
    <s v="Q2 2024"/>
    <n v="288"/>
    <n v="0.22162162162162163"/>
  </r>
  <r>
    <s v="ORD-01286"/>
    <d v="2024-06-10T00:00:00"/>
    <s v="CUST-0153"/>
    <s v="PROD-038"/>
    <s v="R023"/>
    <n v="9"/>
    <n v="5490"/>
    <n v="14.2"/>
    <n v="42393.78"/>
    <s v="Cancelled"/>
    <x v="3"/>
    <s v="Home"/>
    <s v="East"/>
    <s v="Jun-24"/>
    <s v="Q2 2024"/>
    <n v="2549"/>
    <n v="0.53570127504553733"/>
  </r>
  <r>
    <s v="ORD-01287"/>
    <d v="2024-04-16T00:00:00"/>
    <s v="CUST-0236"/>
    <s v="PROD-032"/>
    <s v="R018"/>
    <n v="3"/>
    <n v="370"/>
    <n v="18.399999999999999"/>
    <n v="905.76"/>
    <s v="Completed"/>
    <x v="5"/>
    <s v="Home"/>
    <s v="East"/>
    <s v="Apr-24"/>
    <s v="Q2 2024"/>
    <n v="288"/>
    <n v="0.22162162162162163"/>
  </r>
  <r>
    <s v="ORD-01288"/>
    <d v="2024-10-19T00:00:00"/>
    <s v="CUST-0295"/>
    <s v="PROD-060"/>
    <s v="R018"/>
    <n v="6"/>
    <n v="190"/>
    <n v="12.9"/>
    <n v="992.94"/>
    <s v="Completed"/>
    <x v="2"/>
    <s v="Sports"/>
    <s v="East"/>
    <s v="Oct-24"/>
    <s v="Q4 2024"/>
    <n v="147"/>
    <n v="0.22631578947368422"/>
  </r>
  <r>
    <s v="ORD-01289"/>
    <d v="2024-04-15T00:00:00"/>
    <s v="CUST-0145"/>
    <s v="PROD-029"/>
    <s v="R023"/>
    <n v="8"/>
    <n v="2210"/>
    <n v="9.8000000000000007"/>
    <n v="15947.36"/>
    <s v="Completed"/>
    <x v="4"/>
    <s v="Grocery"/>
    <s v="East"/>
    <s v="Apr-24"/>
    <s v="Q2 2024"/>
    <n v="1010"/>
    <n v="0.54298642533936647"/>
  </r>
  <r>
    <s v="ORD-01290"/>
    <d v="2024-06-10T00:00:00"/>
    <s v="CUST-0192"/>
    <s v="PROD-044"/>
    <s v="R009"/>
    <n v="7"/>
    <n v="1650"/>
    <n v="8.4"/>
    <n v="10579.8"/>
    <s v="Completed"/>
    <x v="4"/>
    <s v="Beauty"/>
    <s v="South"/>
    <s v="Jun-24"/>
    <s v="Q2 2024"/>
    <n v="1222"/>
    <n v="0.2593939393939394"/>
  </r>
  <r>
    <s v="ORD-01291"/>
    <d v="2024-03-08T00:00:00"/>
    <s v="CUST-0148"/>
    <s v="PROD-037"/>
    <s v="R013"/>
    <n v="8"/>
    <n v="660"/>
    <n v="7.5"/>
    <n v="4884"/>
    <s v="Completed"/>
    <x v="1"/>
    <s v="Home"/>
    <s v="South"/>
    <s v="Mar-24"/>
    <s v="Q1 2024"/>
    <n v="329"/>
    <n v="0.50151515151515147"/>
  </r>
  <r>
    <s v="ORD-01292"/>
    <d v="2024-12-18T00:00:00"/>
    <s v="CUST-0227"/>
    <s v="PROD-039"/>
    <s v="R004"/>
    <n v="3"/>
    <n v="4610"/>
    <n v="29.6"/>
    <n v="9736.32"/>
    <s v="Completed"/>
    <x v="4"/>
    <s v="Home"/>
    <s v="North"/>
    <s v="Dec-24"/>
    <s v="Q4 2024"/>
    <n v="1850"/>
    <n v="0.59869848156182215"/>
  </r>
  <r>
    <s v="ORD-01293"/>
    <d v="2024-02-03T00:00:00"/>
    <s v="CUST-0170"/>
    <s v="PROD-029"/>
    <s v="R025"/>
    <n v="6"/>
    <n v="2210"/>
    <n v="9.5"/>
    <n v="12000.3"/>
    <s v="Completed"/>
    <x v="3"/>
    <s v="Grocery"/>
    <s v="West"/>
    <s v="Feb-24"/>
    <s v="Q1 2024"/>
    <n v="1010"/>
    <n v="0.54298642533936647"/>
  </r>
  <r>
    <s v="ORD-01294"/>
    <d v="2024-08-29T00:00:00"/>
    <s v="CUST-0102"/>
    <s v="PROD-042"/>
    <s v="R017"/>
    <n v="4"/>
    <n v="2290"/>
    <n v="3.3"/>
    <n v="8857.7199999999993"/>
    <s v="Completed"/>
    <x v="1"/>
    <s v="Beauty"/>
    <s v="East"/>
    <s v="Aug-24"/>
    <s v="Q3 2024"/>
    <n v="1219"/>
    <n v="0.46768558951965067"/>
  </r>
  <r>
    <s v="ORD-01295"/>
    <d v="2024-03-18T00:00:00"/>
    <s v="CUST-0071"/>
    <s v="PROD-040"/>
    <s v="R026"/>
    <n v="5"/>
    <n v="1080"/>
    <n v="26.1"/>
    <n v="3990.6"/>
    <s v="Completed"/>
    <x v="2"/>
    <s v="Home"/>
    <s v="West"/>
    <s v="Mar-24"/>
    <s v="Q1 2024"/>
    <n v="519"/>
    <n v="0.51944444444444449"/>
  </r>
  <r>
    <s v="ORD-01296"/>
    <d v="2024-01-21T00:00:00"/>
    <s v="CUST-0080"/>
    <s v="PROD-057"/>
    <s v="R010"/>
    <n v="7"/>
    <n v="960"/>
    <n v="17.7"/>
    <n v="5530.56"/>
    <s v="Completed"/>
    <x v="0"/>
    <s v="Sports"/>
    <s v="South"/>
    <s v="Jan-24"/>
    <s v="Q1 2024"/>
    <n v="705"/>
    <n v="0.265625"/>
  </r>
  <r>
    <s v="ORD-01297"/>
    <d v="2024-06-02T00:00:00"/>
    <s v="CUST-0272"/>
    <s v="PROD-058"/>
    <s v="R008"/>
    <n v="1"/>
    <n v="2400"/>
    <n v="29.9"/>
    <n v="1682.4"/>
    <s v="Completed"/>
    <x v="3"/>
    <s v="Sports"/>
    <s v="North"/>
    <s v="Jun-24"/>
    <s v="Q2 2024"/>
    <n v="974"/>
    <n v="0.59416666666666662"/>
  </r>
  <r>
    <s v="ORD-01298"/>
    <d v="2024-12-10T00:00:00"/>
    <s v="CUST-0076"/>
    <s v="PROD-042"/>
    <s v="R010"/>
    <n v="9"/>
    <n v="2290"/>
    <n v="28.8"/>
    <n v="14674.32"/>
    <s v="Completed"/>
    <x v="3"/>
    <s v="Beauty"/>
    <s v="South"/>
    <s v="Dec-24"/>
    <s v="Q4 2024"/>
    <n v="1219"/>
    <n v="0.46768558951965067"/>
  </r>
  <r>
    <s v="ORD-01299"/>
    <d v="2024-01-03T00:00:00"/>
    <s v="CUST-0222"/>
    <s v="PROD-040"/>
    <s v="R018"/>
    <n v="9"/>
    <n v="1080"/>
    <n v="10.3"/>
    <n v="8718.84"/>
    <s v="Completed"/>
    <x v="1"/>
    <s v="Home"/>
    <s v="East"/>
    <s v="Jan-24"/>
    <s v="Q1 2024"/>
    <n v="519"/>
    <n v="0.51944444444444449"/>
  </r>
  <r>
    <s v="ORD-01300"/>
    <d v="2024-06-06T00:00:00"/>
    <s v="CUST-0091"/>
    <s v="PROD-035"/>
    <s v="R004"/>
    <n v="1"/>
    <n v="1090"/>
    <n v="5.8"/>
    <n v="1026.78"/>
    <s v="Cancelled"/>
    <x v="2"/>
    <s v="Home"/>
    <s v="North"/>
    <s v="Jun-24"/>
    <s v="Q2 2024"/>
    <n v="464"/>
    <n v="0.57431192660550456"/>
  </r>
  <r>
    <s v="ORD-01301"/>
    <d v="2024-09-25T00:00:00"/>
    <s v="CUST-0126"/>
    <s v="PROD-029"/>
    <s v="R018"/>
    <n v="3"/>
    <n v="2210"/>
    <n v="18.2"/>
    <n v="5423.34"/>
    <s v="Pending"/>
    <x v="3"/>
    <s v="Grocery"/>
    <s v="East"/>
    <s v="Sep-24"/>
    <s v="Q3 2024"/>
    <n v="1010"/>
    <n v="0.54298642533936647"/>
  </r>
  <r>
    <s v="ORD-01302"/>
    <d v="2024-10-23T00:00:00"/>
    <s v="CUST-0241"/>
    <s v="PROD-014"/>
    <s v="R015"/>
    <n v="8"/>
    <n v="3620"/>
    <n v="1.4"/>
    <n v="28554.560000000001"/>
    <s v="Completed"/>
    <x v="0"/>
    <s v="Apparel"/>
    <s v="South"/>
    <s v="Oct-24"/>
    <s v="Q4 2024"/>
    <n v="2509"/>
    <n v="0.3069060773480663"/>
  </r>
  <r>
    <s v="ORD-01303"/>
    <d v="2024-03-09T00:00:00"/>
    <s v="CUST-0118"/>
    <s v="PROD-033"/>
    <s v="R011"/>
    <n v="7"/>
    <n v="2030"/>
    <n v="27.7"/>
    <n v="10273.83"/>
    <s v="Completed"/>
    <x v="5"/>
    <s v="Home"/>
    <s v="South"/>
    <s v="Mar-24"/>
    <s v="Q1 2024"/>
    <n v="1143"/>
    <n v="0.43694581280788175"/>
  </r>
  <r>
    <s v="ORD-01304"/>
    <d v="2024-01-25T00:00:00"/>
    <s v="CUST-0090"/>
    <s v="PROD-004"/>
    <s v="R023"/>
    <n v="1"/>
    <n v="3870"/>
    <n v="29.6"/>
    <n v="2724.48"/>
    <s v="Completed"/>
    <x v="4"/>
    <s v="Electronics"/>
    <s v="East"/>
    <s v="Jan-24"/>
    <s v="Q1 2024"/>
    <n v="1559"/>
    <n v="0.59715762273901807"/>
  </r>
  <r>
    <s v="ORD-01305"/>
    <d v="2024-02-02T00:00:00"/>
    <s v="CUST-0037"/>
    <s v="PROD-003"/>
    <s v="R014"/>
    <n v="5"/>
    <n v="3570"/>
    <n v="11.8"/>
    <n v="15743.7"/>
    <s v="Refunded"/>
    <x v="4"/>
    <s v="Electronics"/>
    <s v="South"/>
    <s v="Feb-24"/>
    <s v="Q1 2024"/>
    <n v="1665"/>
    <n v="0.53361344537815125"/>
  </r>
  <r>
    <s v="ORD-01306"/>
    <d v="2024-12-24T00:00:00"/>
    <s v="CUST-0083"/>
    <s v="PROD-001"/>
    <s v="R019"/>
    <n v="7"/>
    <n v="5330"/>
    <n v="8.1999999999999993"/>
    <n v="34250.58"/>
    <s v="Completed"/>
    <x v="4"/>
    <s v="Electronics"/>
    <s v="East"/>
    <s v="Dec-24"/>
    <s v="Q4 2024"/>
    <n v="2405"/>
    <n v="0.54878048780487809"/>
  </r>
  <r>
    <s v="ORD-01307"/>
    <d v="2024-09-29T00:00:00"/>
    <s v="CUST-0154"/>
    <s v="PROD-009"/>
    <s v="R009"/>
    <n v="5"/>
    <n v="1220"/>
    <n v="17.8"/>
    <n v="5014.2"/>
    <s v="Refunded"/>
    <x v="0"/>
    <s v="Electronics"/>
    <s v="South"/>
    <s v="Sep-24"/>
    <s v="Q3 2024"/>
    <n v="517"/>
    <n v="0.57622950819672136"/>
  </r>
  <r>
    <s v="ORD-01308"/>
    <d v="2024-10-22T00:00:00"/>
    <s v="CUST-0265"/>
    <s v="PROD-011"/>
    <s v="R019"/>
    <n v="7"/>
    <n v="3450"/>
    <n v="29.3"/>
    <n v="17074.05"/>
    <s v="Completed"/>
    <x v="1"/>
    <s v="Apparel"/>
    <s v="East"/>
    <s v="Oct-24"/>
    <s v="Q4 2024"/>
    <n v="1748"/>
    <n v="0.49333333333333335"/>
  </r>
  <r>
    <s v="ORD-01309"/>
    <d v="2024-09-03T00:00:00"/>
    <s v="CUST-0115"/>
    <s v="PROD-018"/>
    <s v="R013"/>
    <n v="6"/>
    <n v="3560"/>
    <n v="9.4"/>
    <n v="19352.16"/>
    <s v="Pending"/>
    <x v="3"/>
    <s v="Apparel"/>
    <s v="South"/>
    <s v="Sep-24"/>
    <s v="Q3 2024"/>
    <n v="2629"/>
    <n v="0.26151685393258428"/>
  </r>
  <r>
    <s v="ORD-01310"/>
    <d v="2024-04-03T00:00:00"/>
    <s v="CUST-0274"/>
    <s v="PROD-032"/>
    <s v="R005"/>
    <n v="4"/>
    <n v="370"/>
    <n v="4.9000000000000004"/>
    <n v="1407.48"/>
    <s v="Completed"/>
    <x v="4"/>
    <s v="Home"/>
    <s v="North"/>
    <s v="Apr-24"/>
    <s v="Q2 2024"/>
    <n v="288"/>
    <n v="0.22162162162162163"/>
  </r>
  <r>
    <s v="ORD-01311"/>
    <d v="2024-12-21T00:00:00"/>
    <s v="CUST-0269"/>
    <s v="PROD-009"/>
    <s v="R003"/>
    <n v="1"/>
    <n v="1220"/>
    <n v="15.2"/>
    <n v="1034.56"/>
    <s v="Completed"/>
    <x v="0"/>
    <s v="Electronics"/>
    <s v="North"/>
    <s v="Dec-24"/>
    <s v="Q4 2024"/>
    <n v="517"/>
    <n v="0.57622950819672136"/>
  </r>
  <r>
    <s v="ORD-01312"/>
    <d v="2024-06-23T00:00:00"/>
    <s v="CUST-0045"/>
    <s v="PROD-013"/>
    <s v="R006"/>
    <n v="3"/>
    <n v="3640"/>
    <n v="12.3"/>
    <n v="9576.84"/>
    <s v="Pending"/>
    <x v="1"/>
    <s v="Apparel"/>
    <s v="North"/>
    <s v="Jun-24"/>
    <s v="Q2 2024"/>
    <n v="2611"/>
    <n v="0.28269230769230769"/>
  </r>
  <r>
    <s v="ORD-01313"/>
    <d v="2024-09-24T00:00:00"/>
    <s v="CUST-0054"/>
    <s v="PROD-045"/>
    <s v="R010"/>
    <n v="8"/>
    <n v="3020"/>
    <n v="28.2"/>
    <n v="17346.88"/>
    <s v="Pending"/>
    <x v="3"/>
    <s v="Beauty"/>
    <s v="South"/>
    <s v="Sep-24"/>
    <s v="Q3 2024"/>
    <n v="1626"/>
    <n v="0.46158940397350995"/>
  </r>
  <r>
    <s v="ORD-01314"/>
    <d v="2024-06-26T00:00:00"/>
    <s v="CUST-0160"/>
    <s v="PROD-048"/>
    <s v="R008"/>
    <n v="3"/>
    <n v="5100"/>
    <n v="7.8"/>
    <n v="14106.6"/>
    <s v="Completed"/>
    <x v="5"/>
    <s v="Beauty"/>
    <s v="North"/>
    <s v="Jun-24"/>
    <s v="Q2 2024"/>
    <n v="2237"/>
    <n v="0.56137254901960787"/>
  </r>
  <r>
    <s v="ORD-01315"/>
    <d v="2024-04-25T00:00:00"/>
    <s v="CUST-0163"/>
    <s v="PROD-005"/>
    <s v="R001"/>
    <n v="9"/>
    <n v="300"/>
    <n v="19"/>
    <n v="2187"/>
    <s v="Completed"/>
    <x v="0"/>
    <s v="Electronics"/>
    <s v="North"/>
    <s v="Apr-24"/>
    <s v="Q2 2024"/>
    <n v="128"/>
    <n v="0.57333333333333336"/>
  </r>
  <r>
    <s v="ORD-01316"/>
    <d v="2024-12-08T00:00:00"/>
    <s v="CUST-0006"/>
    <s v="PROD-042"/>
    <s v="R007"/>
    <n v="10"/>
    <n v="2290"/>
    <n v="27.7"/>
    <n v="16556.7"/>
    <s v="Completed"/>
    <x v="0"/>
    <s v="Beauty"/>
    <s v="North"/>
    <s v="Dec-24"/>
    <s v="Q4 2024"/>
    <n v="1219"/>
    <n v="0.46768558951965067"/>
  </r>
  <r>
    <s v="ORD-01317"/>
    <d v="2024-06-11T00:00:00"/>
    <s v="CUST-0142"/>
    <s v="PROD-013"/>
    <s v="R024"/>
    <n v="9"/>
    <n v="3640"/>
    <n v="20.100000000000001"/>
    <n v="26175.24"/>
    <s v="Completed"/>
    <x v="1"/>
    <s v="Apparel"/>
    <s v="West"/>
    <s v="Jun-24"/>
    <s v="Q2 2024"/>
    <n v="2611"/>
    <n v="0.28269230769230769"/>
  </r>
  <r>
    <s v="ORD-01318"/>
    <d v="2024-09-30T00:00:00"/>
    <s v="CUST-0262"/>
    <s v="PROD-020"/>
    <s v="R022"/>
    <n v="4"/>
    <n v="820"/>
    <n v="7.6"/>
    <n v="3030.72"/>
    <s v="Completed"/>
    <x v="3"/>
    <s v="Apparel"/>
    <s v="East"/>
    <s v="Sep-24"/>
    <s v="Q3 2024"/>
    <n v="391"/>
    <n v="0.52317073170731709"/>
  </r>
  <r>
    <s v="ORD-01319"/>
    <d v="2024-05-31T00:00:00"/>
    <s v="CUST-0049"/>
    <s v="PROD-030"/>
    <s v="R014"/>
    <n v="1"/>
    <n v="970"/>
    <n v="1.7"/>
    <n v="953.51"/>
    <s v="Completed"/>
    <x v="3"/>
    <s v="Grocery"/>
    <s v="South"/>
    <s v="May-24"/>
    <s v="Q2 2024"/>
    <n v="434"/>
    <n v="0.5525773195876289"/>
  </r>
  <r>
    <s v="ORD-01320"/>
    <d v="2024-01-27T00:00:00"/>
    <s v="CUST-0204"/>
    <s v="PROD-018"/>
    <s v="R019"/>
    <n v="5"/>
    <n v="3560"/>
    <n v="10.5"/>
    <n v="15931"/>
    <s v="Completed"/>
    <x v="5"/>
    <s v="Apparel"/>
    <s v="East"/>
    <s v="Jan-24"/>
    <s v="Q1 2024"/>
    <n v="2629"/>
    <n v="0.26151685393258428"/>
  </r>
  <r>
    <s v="ORD-01321"/>
    <d v="2024-01-17T00:00:00"/>
    <s v="CUST-0164"/>
    <s v="PROD-035"/>
    <s v="R009"/>
    <n v="6"/>
    <n v="1090"/>
    <n v="2.4"/>
    <n v="6383.04"/>
    <s v="Pending"/>
    <x v="1"/>
    <s v="Home"/>
    <s v="South"/>
    <s v="Jan-24"/>
    <s v="Q1 2024"/>
    <n v="464"/>
    <n v="0.57431192660550456"/>
  </r>
  <r>
    <s v="ORD-01322"/>
    <d v="2024-01-15T00:00:00"/>
    <s v="CUST-0003"/>
    <s v="PROD-008"/>
    <s v="R017"/>
    <n v="6"/>
    <n v="2660"/>
    <n v="6.4"/>
    <n v="14938.56"/>
    <s v="Completed"/>
    <x v="3"/>
    <s v="Electronics"/>
    <s v="East"/>
    <s v="Jan-24"/>
    <s v="Q1 2024"/>
    <n v="1259"/>
    <n v="0.52669172932330832"/>
  </r>
  <r>
    <s v="ORD-01323"/>
    <d v="2024-05-20T00:00:00"/>
    <s v="CUST-0032"/>
    <s v="PROD-006"/>
    <s v="R001"/>
    <n v="5"/>
    <n v="3970"/>
    <n v="18.8"/>
    <n v="16118.2"/>
    <s v="Pending"/>
    <x v="5"/>
    <s v="Electronics"/>
    <s v="North"/>
    <s v="May-24"/>
    <s v="Q2 2024"/>
    <n v="2865"/>
    <n v="0.27833753148614609"/>
  </r>
  <r>
    <s v="ORD-01324"/>
    <d v="2024-03-18T00:00:00"/>
    <s v="CUST-0208"/>
    <s v="PROD-056"/>
    <s v="R021"/>
    <n v="7"/>
    <n v="6940"/>
    <n v="23.8"/>
    <n v="37017.96"/>
    <s v="Refunded"/>
    <x v="3"/>
    <s v="Sports"/>
    <s v="East"/>
    <s v="Mar-24"/>
    <s v="Q1 2024"/>
    <n v="2827"/>
    <n v="0.5926512968299712"/>
  </r>
  <r>
    <s v="ORD-01325"/>
    <d v="2024-09-09T00:00:00"/>
    <s v="CUST-0183"/>
    <s v="PROD-058"/>
    <s v="R004"/>
    <n v="3"/>
    <n v="2400"/>
    <n v="9.8000000000000007"/>
    <n v="6494.4"/>
    <s v="Completed"/>
    <x v="3"/>
    <s v="Sports"/>
    <s v="North"/>
    <s v="Sep-24"/>
    <s v="Q3 2024"/>
    <n v="974"/>
    <n v="0.59416666666666662"/>
  </r>
  <r>
    <s v="ORD-01326"/>
    <d v="2024-04-13T00:00:00"/>
    <s v="CUST-0021"/>
    <s v="PROD-051"/>
    <s v="R023"/>
    <n v="8"/>
    <n v="3450"/>
    <n v="26.6"/>
    <n v="20258.400000000001"/>
    <s v="Cancelled"/>
    <x v="0"/>
    <s v="Sports"/>
    <s v="East"/>
    <s v="Apr-24"/>
    <s v="Q2 2024"/>
    <n v="2467"/>
    <n v="0.28492753623188405"/>
  </r>
  <r>
    <s v="ORD-01327"/>
    <d v="2024-04-07T00:00:00"/>
    <s v="CUST-0080"/>
    <s v="PROD-009"/>
    <s v="R004"/>
    <n v="4"/>
    <n v="1220"/>
    <n v="5.5"/>
    <n v="4611.6000000000004"/>
    <s v="Completed"/>
    <x v="0"/>
    <s v="Electronics"/>
    <s v="North"/>
    <s v="Apr-24"/>
    <s v="Q2 2024"/>
    <n v="517"/>
    <n v="0.57622950819672136"/>
  </r>
  <r>
    <s v="ORD-01328"/>
    <d v="2024-09-01T00:00:00"/>
    <s v="CUST-0286"/>
    <s v="PROD-016"/>
    <s v="R007"/>
    <n v="1"/>
    <n v="620"/>
    <n v="22.3"/>
    <n v="481.74"/>
    <s v="Pending"/>
    <x v="2"/>
    <s v="Apparel"/>
    <s v="North"/>
    <s v="Sep-24"/>
    <s v="Q3 2024"/>
    <n v="396"/>
    <n v="0.36129032258064514"/>
  </r>
  <r>
    <s v="ORD-01329"/>
    <d v="2024-02-26T00:00:00"/>
    <s v="CUST-0152"/>
    <s v="PROD-005"/>
    <s v="R023"/>
    <n v="1"/>
    <n v="300"/>
    <n v="12.5"/>
    <n v="262.5"/>
    <s v="Completed"/>
    <x v="4"/>
    <s v="Electronics"/>
    <s v="East"/>
    <s v="Feb-24"/>
    <s v="Q1 2024"/>
    <n v="128"/>
    <n v="0.57333333333333336"/>
  </r>
  <r>
    <s v="ORD-01330"/>
    <d v="2024-07-29T00:00:00"/>
    <s v="CUST-0254"/>
    <s v="PROD-054"/>
    <s v="R020"/>
    <n v="3"/>
    <n v="1010"/>
    <n v="14.1"/>
    <n v="2602.77"/>
    <s v="Completed"/>
    <x v="4"/>
    <s v="Sports"/>
    <s v="East"/>
    <s v="Jul-24"/>
    <s v="Q3 2024"/>
    <n v="516"/>
    <n v="0.4891089108910891"/>
  </r>
  <r>
    <s v="ORD-01331"/>
    <d v="2024-11-04T00:00:00"/>
    <s v="CUST-0290"/>
    <s v="PROD-034"/>
    <s v="R027"/>
    <n v="2"/>
    <n v="5080"/>
    <n v="16.8"/>
    <n v="8453.1200000000008"/>
    <s v="Completed"/>
    <x v="2"/>
    <s v="Home"/>
    <s v="West"/>
    <s v="Nov-24"/>
    <s v="Q4 2024"/>
    <n v="2459"/>
    <n v="0.51594488188976373"/>
  </r>
  <r>
    <s v="ORD-01332"/>
    <d v="2024-05-04T00:00:00"/>
    <s v="CUST-0101"/>
    <s v="PROD-012"/>
    <s v="R027"/>
    <n v="2"/>
    <n v="3160"/>
    <n v="21.4"/>
    <n v="4967.5200000000004"/>
    <s v="Completed"/>
    <x v="5"/>
    <s v="Apparel"/>
    <s v="West"/>
    <s v="May-24"/>
    <s v="Q2 2024"/>
    <n v="1886"/>
    <n v="0.4031645569620253"/>
  </r>
  <r>
    <s v="ORD-01333"/>
    <d v="2024-08-31T00:00:00"/>
    <s v="CUST-0058"/>
    <s v="PROD-047"/>
    <s v="R016"/>
    <n v="7"/>
    <n v="3450"/>
    <n v="21.3"/>
    <n v="19006.05"/>
    <s v="Completed"/>
    <x v="4"/>
    <s v="Beauty"/>
    <s v="South"/>
    <s v="Aug-24"/>
    <s v="Q3 2024"/>
    <n v="2420"/>
    <n v="0.29855072463768118"/>
  </r>
  <r>
    <s v="ORD-01334"/>
    <d v="2024-01-31T00:00:00"/>
    <s v="CUST-0296"/>
    <s v="PROD-001"/>
    <s v="R006"/>
    <n v="2"/>
    <n v="5330"/>
    <n v="4.3"/>
    <n v="10201.620000000001"/>
    <s v="Completed"/>
    <x v="2"/>
    <s v="Electronics"/>
    <s v="North"/>
    <s v="Jan-24"/>
    <s v="Q1 2024"/>
    <n v="2405"/>
    <n v="0.54878048780487809"/>
  </r>
  <r>
    <s v="ORD-01335"/>
    <d v="2024-11-30T00:00:00"/>
    <s v="CUST-0249"/>
    <s v="PROD-056"/>
    <s v="R014"/>
    <n v="5"/>
    <n v="6940"/>
    <n v="2.9"/>
    <n v="33693.699999999997"/>
    <s v="Completed"/>
    <x v="3"/>
    <s v="Sports"/>
    <s v="South"/>
    <s v="Nov-24"/>
    <s v="Q4 2024"/>
    <n v="2827"/>
    <n v="0.5926512968299712"/>
  </r>
  <r>
    <s v="ORD-01336"/>
    <d v="2024-08-30T00:00:00"/>
    <s v="CUST-0055"/>
    <s v="PROD-037"/>
    <s v="R028"/>
    <n v="5"/>
    <n v="660"/>
    <n v="15.8"/>
    <n v="2778.6"/>
    <s v="Completed"/>
    <x v="4"/>
    <s v="Home"/>
    <s v="West"/>
    <s v="Aug-24"/>
    <s v="Q3 2024"/>
    <n v="329"/>
    <n v="0.50151515151515147"/>
  </r>
  <r>
    <s v="ORD-01337"/>
    <d v="2024-08-15T00:00:00"/>
    <s v="CUST-0005"/>
    <s v="PROD-048"/>
    <s v="R013"/>
    <n v="9"/>
    <n v="5100"/>
    <n v="0.4"/>
    <n v="45716.4"/>
    <s v="Completed"/>
    <x v="1"/>
    <s v="Beauty"/>
    <s v="South"/>
    <s v="Aug-24"/>
    <s v="Q3 2024"/>
    <n v="2237"/>
    <n v="0.56137254901960787"/>
  </r>
  <r>
    <s v="ORD-01338"/>
    <d v="2024-01-24T00:00:00"/>
    <s v="CUST-9595"/>
    <s v="PROD-044"/>
    <s v="R014"/>
    <n v="5"/>
    <n v="1650"/>
    <n v="0.8"/>
    <n v="8184"/>
    <s v="Pending"/>
    <x v="1"/>
    <s v="Beauty"/>
    <s v="South"/>
    <s v="Jan-24"/>
    <s v="Q1 2024"/>
    <n v="1222"/>
    <n v="0.2593939393939394"/>
  </r>
  <r>
    <s v="ORD-01339"/>
    <d v="2024-10-01T00:00:00"/>
    <s v="CUST-0138"/>
    <s v="PROD-013"/>
    <s v="R018"/>
    <n v="7"/>
    <n v="3640"/>
    <n v="25.5"/>
    <n v="18982.599999999999"/>
    <s v="Completed"/>
    <x v="1"/>
    <s v="Apparel"/>
    <s v="East"/>
    <s v="Oct-24"/>
    <s v="Q4 2024"/>
    <n v="2611"/>
    <n v="0.28269230769230769"/>
  </r>
  <r>
    <s v="ORD-01340"/>
    <d v="2024-12-17T00:00:00"/>
    <s v="CUST-0112"/>
    <s v="PROD-046"/>
    <s v="R029"/>
    <n v="6"/>
    <n v="4880"/>
    <n v="12.6"/>
    <n v="25590.720000000001"/>
    <s v="Cancelled"/>
    <x v="5"/>
    <s v="Beauty"/>
    <s v="West"/>
    <s v="Dec-24"/>
    <s v="Q4 2024"/>
    <n v="2768"/>
    <n v="0.43278688524590164"/>
  </r>
  <r>
    <s v="ORD-01341"/>
    <d v="2024-05-10T00:00:00"/>
    <s v="CUST-0254"/>
    <s v="PROD-001"/>
    <s v="R028"/>
    <n v="4"/>
    <n v="5330"/>
    <n v="16.2"/>
    <n v="17866.16"/>
    <s v="Completed"/>
    <x v="4"/>
    <s v="Electronics"/>
    <s v="West"/>
    <s v="May-24"/>
    <s v="Q2 2024"/>
    <n v="2405"/>
    <n v="0.54878048780487809"/>
  </r>
  <r>
    <s v="ORD-01342"/>
    <d v="2024-04-18T00:00:00"/>
    <s v="CUST-0087"/>
    <s v="PROD-038"/>
    <s v="R023"/>
    <n v="3"/>
    <n v="5490"/>
    <n v="26.7"/>
    <n v="12072.51"/>
    <s v="Completed"/>
    <x v="0"/>
    <s v="Home"/>
    <s v="East"/>
    <s v="Apr-24"/>
    <s v="Q2 2024"/>
    <n v="2549"/>
    <n v="0.53570127504553733"/>
  </r>
  <r>
    <s v="ORD-01343"/>
    <d v="2024-09-29T00:00:00"/>
    <s v="CUST-0142"/>
    <s v="PROD-060"/>
    <s v="R002"/>
    <n v="7"/>
    <n v="190"/>
    <n v="11.6"/>
    <n v="1175.72"/>
    <s v="Completed"/>
    <x v="1"/>
    <s v="Sports"/>
    <s v="North"/>
    <s v="Sep-24"/>
    <s v="Q3 2024"/>
    <n v="147"/>
    <n v="0.22631578947368422"/>
  </r>
  <r>
    <s v="ORD-01344"/>
    <d v="2024-05-25T00:00:00"/>
    <s v="CUST-0293"/>
    <s v="PROD-012"/>
    <s v="R016"/>
    <n v="5"/>
    <n v="3160"/>
    <n v="24.1"/>
    <n v="11992.2"/>
    <s v="Completed"/>
    <x v="4"/>
    <s v="Apparel"/>
    <s v="South"/>
    <s v="May-24"/>
    <s v="Q2 2024"/>
    <n v="1886"/>
    <n v="0.4031645569620253"/>
  </r>
  <r>
    <s v="ORD-01345"/>
    <d v="2024-04-13T00:00:00"/>
    <s v="CUST-0025"/>
    <s v="PROD-035"/>
    <s v="R023"/>
    <n v="1"/>
    <n v="1090"/>
    <n v="9.6"/>
    <n v="985.36"/>
    <s v="Refunded"/>
    <x v="4"/>
    <s v="Home"/>
    <s v="East"/>
    <s v="Apr-24"/>
    <s v="Q2 2024"/>
    <n v="464"/>
    <n v="0.57431192660550456"/>
  </r>
  <r>
    <s v="ORD-01346"/>
    <d v="2024-06-04T00:00:00"/>
    <s v="CUST-0096"/>
    <s v="PROD-032"/>
    <s v="R004"/>
    <n v="9"/>
    <n v="370"/>
    <n v="4"/>
    <n v="3196.8"/>
    <s v="Completed"/>
    <x v="2"/>
    <s v="Home"/>
    <s v="North"/>
    <s v="Jun-24"/>
    <s v="Q2 2024"/>
    <n v="288"/>
    <n v="0.22162162162162163"/>
  </r>
  <r>
    <s v="ORD-01347"/>
    <d v="2024-01-09T00:00:00"/>
    <s v="CUST-0069"/>
    <s v="PROD-008"/>
    <s v="R002"/>
    <n v="5"/>
    <n v="2660"/>
    <n v="24.6"/>
    <n v="10028.200000000001"/>
    <s v="Cancelled"/>
    <x v="1"/>
    <s v="Electronics"/>
    <s v="North"/>
    <s v="Jan-24"/>
    <s v="Q1 2024"/>
    <n v="1259"/>
    <n v="0.52669172932330832"/>
  </r>
  <r>
    <s v="ORD-01348"/>
    <d v="2024-02-05T00:00:00"/>
    <s v="CUST-0220"/>
    <s v="PROD-018"/>
    <s v="R018"/>
    <n v="4"/>
    <n v="3560"/>
    <n v="25.7"/>
    <n v="10580.32"/>
    <s v="Completed"/>
    <x v="1"/>
    <s v="Apparel"/>
    <s v="East"/>
    <s v="Feb-24"/>
    <s v="Q1 2024"/>
    <n v="2629"/>
    <n v="0.26151685393258428"/>
  </r>
  <r>
    <s v="ORD-01349"/>
    <d v="2024-04-28T00:00:00"/>
    <s v="CUST-0005"/>
    <s v="PROD-049"/>
    <s v="R005"/>
    <n v="8"/>
    <n v="960"/>
    <n v="0.1"/>
    <n v="7672.32"/>
    <s v="Completed"/>
    <x v="1"/>
    <s v="Beauty"/>
    <s v="North"/>
    <s v="Apr-24"/>
    <s v="Q2 2024"/>
    <n v="675"/>
    <n v="0.296875"/>
  </r>
  <r>
    <s v="ORD-01350"/>
    <d v="2024-12-18T00:00:00"/>
    <s v="CUST-0222"/>
    <s v="PROD-032"/>
    <s v="R024"/>
    <n v="10"/>
    <n v="370"/>
    <n v="16.399999999999999"/>
    <n v="3093.2"/>
    <s v="Cancelled"/>
    <x v="1"/>
    <s v="Home"/>
    <s v="West"/>
    <s v="Dec-24"/>
    <s v="Q4 2024"/>
    <n v="288"/>
    <n v="0.22162162162162163"/>
  </r>
  <r>
    <s v="ORD-01351"/>
    <d v="2024-04-17T00:00:00"/>
    <s v="CUST-0039"/>
    <s v="PROD-015"/>
    <s v="R029"/>
    <n v="4"/>
    <n v="2720"/>
    <n v="3.1"/>
    <n v="10542.72"/>
    <s v="Completed"/>
    <x v="4"/>
    <s v="Apparel"/>
    <s v="West"/>
    <s v="Apr-24"/>
    <s v="Q2 2024"/>
    <n v="1962"/>
    <n v="0.2786764705882353"/>
  </r>
  <r>
    <s v="ORD-01352"/>
    <d v="2024-05-29T00:00:00"/>
    <s v="CUST-0224"/>
    <s v="PROD-034"/>
    <s v="R005"/>
    <n v="10"/>
    <n v="5080"/>
    <n v="6.8"/>
    <n v="47345.599999999999"/>
    <s v="Completed"/>
    <x v="1"/>
    <s v="Home"/>
    <s v="North"/>
    <s v="May-24"/>
    <s v="Q2 2024"/>
    <n v="2459"/>
    <n v="0.51594488188976373"/>
  </r>
  <r>
    <s v="ORD-01353"/>
    <d v="2024-03-28T00:00:00"/>
    <s v="CUST-0288"/>
    <s v="PROD-042"/>
    <s v="R008"/>
    <n v="6"/>
    <n v="2290"/>
    <n v="22.6"/>
    <n v="10634.76"/>
    <s v="Completed"/>
    <x v="5"/>
    <s v="Beauty"/>
    <s v="North"/>
    <s v="Mar-24"/>
    <s v="Q1 2024"/>
    <n v="1219"/>
    <n v="0.46768558951965067"/>
  </r>
  <r>
    <s v="ORD-01354"/>
    <d v="2024-07-29T00:00:00"/>
    <s v="CUST-0002"/>
    <s v="PROD-021"/>
    <s v="R006"/>
    <n v="4"/>
    <n v="2760"/>
    <n v="27.2"/>
    <n v="8037.12"/>
    <s v="Refunded"/>
    <x v="0"/>
    <s v="Grocery"/>
    <s v="North"/>
    <s v="Jul-24"/>
    <s v="Q3 2024"/>
    <n v="1435"/>
    <n v="0.48007246376811596"/>
  </r>
  <r>
    <s v="ORD-01355"/>
    <d v="2024-06-23T00:00:00"/>
    <s v="CUST-0172"/>
    <s v="PROD-024"/>
    <s v="R027"/>
    <n v="9"/>
    <n v="2270"/>
    <n v="5.2"/>
    <n v="19367.64"/>
    <s v="Completed"/>
    <x v="0"/>
    <s v="Grocery"/>
    <s v="West"/>
    <s v="Jun-24"/>
    <s v="Q2 2024"/>
    <n v="1203"/>
    <n v="0.47004405286343615"/>
  </r>
  <r>
    <s v="ORD-01356"/>
    <d v="2024-07-27T00:00:00"/>
    <s v="CUST-0287"/>
    <s v="PROD-017"/>
    <s v="R008"/>
    <n v="3"/>
    <n v="2510"/>
    <n v="16.399999999999999"/>
    <n v="6295.08"/>
    <s v="Completed"/>
    <x v="1"/>
    <s v="Apparel"/>
    <s v="North"/>
    <s v="Jul-24"/>
    <s v="Q3 2024"/>
    <n v="1075"/>
    <n v="0.57171314741035861"/>
  </r>
  <r>
    <s v="ORD-01357"/>
    <d v="2024-02-15T00:00:00"/>
    <s v="CUST-0020"/>
    <s v="PROD-023"/>
    <s v="R012"/>
    <n v="1"/>
    <n v="2380"/>
    <n v="23.5"/>
    <n v="1820.7"/>
    <s v="Completed"/>
    <x v="5"/>
    <s v="Grocery"/>
    <s v="South"/>
    <s v="Feb-24"/>
    <s v="Q1 2024"/>
    <n v="1182"/>
    <n v="0.50336134453781511"/>
  </r>
  <r>
    <s v="ORD-01358"/>
    <d v="2024-06-04T00:00:00"/>
    <s v="CUST-0039"/>
    <s v="PROD-059"/>
    <s v="R019"/>
    <n v="2"/>
    <n v="3780"/>
    <n v="29.1"/>
    <n v="5360.04"/>
    <s v="Completed"/>
    <x v="4"/>
    <s v="Sports"/>
    <s v="East"/>
    <s v="Jun-24"/>
    <s v="Q2 2024"/>
    <n v="1860"/>
    <n v="0.50793650793650791"/>
  </r>
  <r>
    <s v="ORD-01359"/>
    <d v="2024-09-11T00:00:00"/>
    <s v="CUST-0128"/>
    <s v="PROD-011"/>
    <s v="R026"/>
    <n v="1"/>
    <n v="3450"/>
    <n v="17.8"/>
    <n v="2835.9"/>
    <s v="Completed"/>
    <x v="5"/>
    <s v="Apparel"/>
    <s v="West"/>
    <s v="Sep-24"/>
    <s v="Q3 2024"/>
    <n v="1748"/>
    <n v="0.49333333333333335"/>
  </r>
  <r>
    <s v="ORD-01360"/>
    <d v="2024-06-08T00:00:00"/>
    <s v="CUST-0149"/>
    <s v="PROD-046"/>
    <s v="R006"/>
    <n v="6"/>
    <n v="4880"/>
    <n v="15.6"/>
    <n v="24712.32"/>
    <s v="Pending"/>
    <x v="5"/>
    <s v="Beauty"/>
    <s v="North"/>
    <s v="Jun-24"/>
    <s v="Q2 2024"/>
    <n v="2768"/>
    <n v="0.43278688524590164"/>
  </r>
  <r>
    <s v="ORD-01361"/>
    <d v="2024-05-15T00:00:00"/>
    <s v="CUST-0101"/>
    <s v="PROD-049"/>
    <s v="R016"/>
    <n v="6"/>
    <n v="960"/>
    <n v="7.5"/>
    <n v="5328"/>
    <s v="Pending"/>
    <x v="5"/>
    <s v="Beauty"/>
    <s v="South"/>
    <s v="May-24"/>
    <s v="Q2 2024"/>
    <n v="675"/>
    <n v="0.296875"/>
  </r>
  <r>
    <s v="ORD-01362"/>
    <d v="2024-08-28T00:00:00"/>
    <s v="CUST-0106"/>
    <s v="PROD-018"/>
    <s v="R023"/>
    <n v="1"/>
    <n v="3560"/>
    <n v="12.9"/>
    <n v="3100.76"/>
    <s v="Completed"/>
    <x v="0"/>
    <s v="Apparel"/>
    <s v="East"/>
    <s v="Aug-24"/>
    <s v="Q3 2024"/>
    <n v="2629"/>
    <n v="0.26151685393258428"/>
  </r>
  <r>
    <s v="ORD-01363"/>
    <d v="2024-06-23T00:00:00"/>
    <s v="CUST-0085"/>
    <s v="PROD-025"/>
    <s v="R005"/>
    <n v="5"/>
    <n v="4060"/>
    <n v="18.100000000000001"/>
    <n v="16625.7"/>
    <s v="Pending"/>
    <x v="1"/>
    <s v="Grocery"/>
    <s v="North"/>
    <s v="Jun-24"/>
    <s v="Q2 2024"/>
    <n v="2911"/>
    <n v="0.28300492610837441"/>
  </r>
  <r>
    <s v="ORD-01364"/>
    <d v="2024-09-10T00:00:00"/>
    <s v="CUST-0071"/>
    <s v="PROD-015"/>
    <s v="R020"/>
    <n v="10"/>
    <n v="2720"/>
    <n v="23.2"/>
    <n v="20889.599999999999"/>
    <s v="Completed"/>
    <x v="2"/>
    <s v="Apparel"/>
    <s v="East"/>
    <s v="Sep-24"/>
    <s v="Q3 2024"/>
    <n v="1962"/>
    <n v="0.2786764705882353"/>
  </r>
  <r>
    <s v="ORD-01365"/>
    <d v="2024-09-12T00:00:00"/>
    <s v="CUST-0185"/>
    <s v="PROD-029"/>
    <s v="R022"/>
    <n v="1"/>
    <n v="2210"/>
    <n v="5.8"/>
    <n v="2081.8200000000002"/>
    <s v="Pending"/>
    <x v="5"/>
    <s v="Grocery"/>
    <s v="East"/>
    <s v="Sep-24"/>
    <s v="Q3 2024"/>
    <n v="1010"/>
    <n v="0.54298642533936647"/>
  </r>
  <r>
    <s v="ORD-01366"/>
    <d v="2024-09-12T00:00:00"/>
    <s v="CUST-0182"/>
    <s v="PROD-047"/>
    <s v="R013"/>
    <n v="5"/>
    <n v="3450"/>
    <n v="27.9"/>
    <n v="12437.25"/>
    <s v="Pending"/>
    <x v="3"/>
    <s v="Beauty"/>
    <s v="South"/>
    <s v="Sep-24"/>
    <s v="Q3 2024"/>
    <n v="2420"/>
    <n v="0.29855072463768118"/>
  </r>
  <r>
    <s v="ORD-01367"/>
    <d v="2024-09-15T00:00:00"/>
    <s v="CUST-0177"/>
    <s v="PROD-023"/>
    <s v="R023"/>
    <n v="9"/>
    <n v="2380"/>
    <n v="15.2"/>
    <n v="18164.16"/>
    <s v="Refunded"/>
    <x v="3"/>
    <s v="Grocery"/>
    <s v="East"/>
    <s v="Sep-24"/>
    <s v="Q3 2024"/>
    <n v="1182"/>
    <n v="0.50336134453781511"/>
  </r>
  <r>
    <s v="ORD-01368"/>
    <d v="2024-09-16T00:00:00"/>
    <s v="CUST-0253"/>
    <s v="PROD-023"/>
    <s v="R002"/>
    <n v="2"/>
    <n v="2380"/>
    <n v="24.3"/>
    <n v="3603.32"/>
    <s v="Completed"/>
    <x v="2"/>
    <s v="Grocery"/>
    <s v="North"/>
    <s v="Sep-24"/>
    <s v="Q3 2024"/>
    <n v="1182"/>
    <n v="0.50336134453781511"/>
  </r>
  <r>
    <s v="ORD-01369"/>
    <d v="2024-09-25T00:00:00"/>
    <s v="CUST-0071"/>
    <s v="PROD-018"/>
    <s v="R012"/>
    <n v="9"/>
    <n v="3560"/>
    <n v="6.6"/>
    <n v="29925.360000000001"/>
    <s v="Refunded"/>
    <x v="2"/>
    <s v="Apparel"/>
    <s v="South"/>
    <s v="Sep-24"/>
    <s v="Q3 2024"/>
    <n v="2629"/>
    <n v="0.26151685393258428"/>
  </r>
  <r>
    <s v="ORD-01370"/>
    <d v="2024-02-08T00:00:00"/>
    <s v="CUST-0240"/>
    <s v="PROD-009"/>
    <s v="R018"/>
    <n v="7"/>
    <n v="1220"/>
    <n v="29.4"/>
    <n v="6029.24"/>
    <s v="Completed"/>
    <x v="1"/>
    <s v="Electronics"/>
    <s v="East"/>
    <s v="Feb-24"/>
    <s v="Q1 2024"/>
    <n v="517"/>
    <n v="0.57622950819672136"/>
  </r>
  <r>
    <s v="ORD-01371"/>
    <d v="2024-09-25T00:00:00"/>
    <s v="CUST-0050"/>
    <s v="PROD-056"/>
    <s v="R017"/>
    <n v="7"/>
    <n v="6940"/>
    <n v="9.6"/>
    <n v="43916.32"/>
    <s v="Completed"/>
    <x v="3"/>
    <s v="Sports"/>
    <s v="East"/>
    <s v="Sep-24"/>
    <s v="Q3 2024"/>
    <n v="2827"/>
    <n v="0.5926512968299712"/>
  </r>
  <r>
    <s v="ORD-01372"/>
    <d v="2024-04-13T00:00:00"/>
    <s v="CUST-0089"/>
    <s v="PROD-035"/>
    <s v="R022"/>
    <n v="2"/>
    <n v="1090"/>
    <n v="17"/>
    <n v="1809.4"/>
    <s v="Completed"/>
    <x v="3"/>
    <s v="Home"/>
    <s v="East"/>
    <s v="Apr-24"/>
    <s v="Q2 2024"/>
    <n v="464"/>
    <n v="0.57431192660550456"/>
  </r>
  <r>
    <s v="ORD-01373"/>
    <d v="2024-07-13T00:00:00"/>
    <s v="CUST-0209"/>
    <s v="PROD-023"/>
    <s v="R028"/>
    <n v="4"/>
    <n v="2380"/>
    <n v="18.899999999999999"/>
    <n v="7720.72"/>
    <s v="Pending"/>
    <x v="0"/>
    <s v="Grocery"/>
    <s v="West"/>
    <s v="Jul-24"/>
    <s v="Q3 2024"/>
    <n v="1182"/>
    <n v="0.50336134453781511"/>
  </r>
  <r>
    <s v="ORD-01374"/>
    <d v="2024-10-13T00:00:00"/>
    <s v="CUST-0089"/>
    <s v="PROD-024"/>
    <s v="R004"/>
    <n v="6"/>
    <n v="2270"/>
    <n v="20.9"/>
    <n v="10773.42"/>
    <s v="Pending"/>
    <x v="3"/>
    <s v="Grocery"/>
    <s v="North"/>
    <s v="Oct-24"/>
    <s v="Q4 2024"/>
    <n v="1203"/>
    <n v="0.47004405286343615"/>
  </r>
  <r>
    <s v="ORD-01375"/>
    <d v="2024-10-16T00:00:00"/>
    <s v="CUST-0093"/>
    <s v="PROD-033"/>
    <s v="R019"/>
    <n v="10"/>
    <n v="2030"/>
    <n v="25"/>
    <n v="15225"/>
    <s v="Completed"/>
    <x v="0"/>
    <s v="Home"/>
    <s v="East"/>
    <s v="Oct-24"/>
    <s v="Q4 2024"/>
    <n v="1143"/>
    <n v="0.43694581280788175"/>
  </r>
  <r>
    <s v="ORD-01376"/>
    <d v="2024-08-04T00:00:00"/>
    <s v="CUST-0018"/>
    <s v="PROD-035"/>
    <s v="R027"/>
    <n v="3"/>
    <n v="1090"/>
    <n v="12.1"/>
    <n v="2874.33"/>
    <s v="Completed"/>
    <x v="0"/>
    <s v="Home"/>
    <s v="West"/>
    <s v="Aug-24"/>
    <s v="Q3 2024"/>
    <n v="464"/>
    <n v="0.57431192660550456"/>
  </r>
  <r>
    <s v="ORD-01377"/>
    <d v="2024-01-12T00:00:00"/>
    <s v="CUST-0089"/>
    <s v="PROD-017"/>
    <s v="R017"/>
    <n v="3"/>
    <n v="2510"/>
    <n v="28.7"/>
    <n v="5368.89"/>
    <s v="Completed"/>
    <x v="3"/>
    <s v="Apparel"/>
    <s v="East"/>
    <s v="Jan-24"/>
    <s v="Q1 2024"/>
    <n v="1075"/>
    <n v="0.57171314741035861"/>
  </r>
  <r>
    <s v="ORD-01378"/>
    <d v="2024-04-30T00:00:00"/>
    <s v="CUST-0116"/>
    <s v="PROD-024"/>
    <s v="R026"/>
    <n v="9"/>
    <n v="2270"/>
    <n v="25.4"/>
    <n v="15240.78"/>
    <s v="Pending"/>
    <x v="4"/>
    <s v="Grocery"/>
    <s v="West"/>
    <s v="Apr-24"/>
    <s v="Q2 2024"/>
    <n v="1203"/>
    <n v="0.47004405286343615"/>
  </r>
  <r>
    <s v="ORD-01379"/>
    <d v="2024-04-18T00:00:00"/>
    <s v="CUST-0071"/>
    <s v="PROD-006"/>
    <s v="R029"/>
    <n v="9"/>
    <n v="3970"/>
    <n v="10.1"/>
    <n v="32121.27"/>
    <s v="Cancelled"/>
    <x v="2"/>
    <s v="Electronics"/>
    <s v="West"/>
    <s v="Apr-24"/>
    <s v="Q2 2024"/>
    <n v="2865"/>
    <n v="0.27833753148614609"/>
  </r>
  <r>
    <s v="ORD-01380"/>
    <d v="2024-10-05T00:00:00"/>
    <s v="CUST-0115"/>
    <s v="PROD-029"/>
    <s v="R014"/>
    <n v="6"/>
    <n v="2210"/>
    <n v="7.4"/>
    <n v="12278.76"/>
    <s v="Completed"/>
    <x v="3"/>
    <s v="Grocery"/>
    <s v="South"/>
    <s v="Oct-24"/>
    <s v="Q4 2024"/>
    <n v="1010"/>
    <n v="0.54298642533936647"/>
  </r>
  <r>
    <s v="ORD-01381"/>
    <d v="2024-03-09T00:00:00"/>
    <s v="CUST-0258"/>
    <s v="PROD-041"/>
    <s v="R017"/>
    <n v="7"/>
    <n v="1540"/>
    <n v="20.6"/>
    <n v="8559.32"/>
    <s v="Completed"/>
    <x v="0"/>
    <s v="Beauty"/>
    <s v="East"/>
    <s v="Mar-24"/>
    <s v="Q1 2024"/>
    <n v="647"/>
    <n v="0.57987012987012987"/>
  </r>
  <r>
    <s v="ORD-01382"/>
    <d v="2024-02-12T00:00:00"/>
    <s v="CUST-0290"/>
    <s v="PROD-039"/>
    <s v="R027"/>
    <n v="9"/>
    <n v="4610"/>
    <n v="2.1"/>
    <n v="40618.71"/>
    <s v="Completed"/>
    <x v="2"/>
    <s v="Home"/>
    <s v="West"/>
    <s v="Feb-24"/>
    <s v="Q1 2024"/>
    <n v="1850"/>
    <n v="0.59869848156182215"/>
  </r>
  <r>
    <s v="ORD-01383"/>
    <d v="2024-08-23T00:00:00"/>
    <s v="CUST-0279"/>
    <s v="PROD-006"/>
    <s v="R002"/>
    <n v="10"/>
    <n v="3970"/>
    <n v="13.3"/>
    <n v="34419.9"/>
    <s v="Pending"/>
    <x v="3"/>
    <s v="Electronics"/>
    <s v="North"/>
    <s v="Aug-24"/>
    <s v="Q3 2024"/>
    <n v="2865"/>
    <n v="0.27833753148614609"/>
  </r>
  <r>
    <s v="ORD-01384"/>
    <d v="2024-08-30T00:00:00"/>
    <s v="CUST-0132"/>
    <s v="PROD-008"/>
    <s v="R008"/>
    <n v="8"/>
    <n v="2660"/>
    <n v="16.8"/>
    <n v="17704.96"/>
    <s v="Completed"/>
    <x v="2"/>
    <s v="Electronics"/>
    <s v="North"/>
    <s v="Aug-24"/>
    <s v="Q3 2024"/>
    <n v="1259"/>
    <n v="0.52669172932330832"/>
  </r>
  <r>
    <s v="ORD-01385"/>
    <d v="2024-02-07T00:00:00"/>
    <s v="CUST-0029"/>
    <s v="PROD-047"/>
    <s v="R021"/>
    <n v="6"/>
    <n v="3450"/>
    <n v="23.4"/>
    <n v="15856.2"/>
    <s v="Completed"/>
    <x v="1"/>
    <s v="Beauty"/>
    <s v="East"/>
    <s v="Feb-24"/>
    <s v="Q1 2024"/>
    <n v="2420"/>
    <n v="0.29855072463768118"/>
  </r>
  <r>
    <s v="ORD-01386"/>
    <d v="2024-11-25T00:00:00"/>
    <s v="CUST-0295"/>
    <s v="PROD-053"/>
    <s v="R007"/>
    <n v="10"/>
    <n v="470"/>
    <n v="21.2"/>
    <n v="3703.6"/>
    <s v="Completed"/>
    <x v="2"/>
    <s v="Sports"/>
    <s v="North"/>
    <s v="Nov-24"/>
    <s v="Q4 2024"/>
    <n v="302"/>
    <n v="0.35744680851063831"/>
  </r>
  <r>
    <s v="ORD-00168"/>
    <d v="2024-02-12T00:00:00"/>
    <s v="CUST-0106"/>
    <s v="PROD-059"/>
    <s v="R022"/>
    <n v="7"/>
    <n v="3780"/>
    <n v="10.1"/>
    <n v="23787.54"/>
    <s v="Completed"/>
    <x v="0"/>
    <s v="Sports"/>
    <s v="East"/>
    <s v="Feb-24"/>
    <s v="Q1 2024"/>
    <n v="1860"/>
    <n v="0.50793650793650791"/>
  </r>
  <r>
    <s v="ORD-01388"/>
    <d v="2024-02-02T00:00:00"/>
    <s v="CUST-0127"/>
    <s v="PROD-014"/>
    <s v="R027"/>
    <n v="3"/>
    <n v="3620"/>
    <n v="4.2"/>
    <n v="10403.879999999999"/>
    <s v="Completed"/>
    <x v="4"/>
    <s v="Apparel"/>
    <s v="West"/>
    <s v="Feb-24"/>
    <s v="Q1 2024"/>
    <n v="2509"/>
    <n v="0.3069060773480663"/>
  </r>
  <r>
    <s v="ORD-01389"/>
    <d v="2024-09-06T00:00:00"/>
    <s v="CUST-0031"/>
    <s v="PROD-049"/>
    <s v="R028"/>
    <n v="7"/>
    <n v="960"/>
    <n v="9"/>
    <n v="6115.2"/>
    <s v="Completed"/>
    <x v="5"/>
    <s v="Beauty"/>
    <s v="West"/>
    <s v="Sep-24"/>
    <s v="Q3 2024"/>
    <n v="675"/>
    <n v="0.296875"/>
  </r>
  <r>
    <s v="ORD-01390"/>
    <d v="2024-02-22T00:00:00"/>
    <s v="CUST-0256"/>
    <s v="PROD-043"/>
    <s v="R007"/>
    <n v="10"/>
    <n v="3350"/>
    <n v="1.2"/>
    <n v="33098"/>
    <s v="Cancelled"/>
    <x v="5"/>
    <s v="Beauty"/>
    <s v="North"/>
    <s v="Feb-24"/>
    <s v="Q1 2024"/>
    <n v="1728"/>
    <n v="0.48417910447761192"/>
  </r>
  <r>
    <s v="ORD-01391"/>
    <d v="2024-04-06T00:00:00"/>
    <s v="CUST-0131"/>
    <s v="PROD-058"/>
    <s v="R030"/>
    <n v="3"/>
    <n v="2400"/>
    <n v="15.4"/>
    <n v="6091.2"/>
    <s v="Completed"/>
    <x v="2"/>
    <s v="Sports"/>
    <s v="West"/>
    <s v="Apr-24"/>
    <s v="Q2 2024"/>
    <n v="974"/>
    <n v="0.59416666666666662"/>
  </r>
  <r>
    <s v="ORD-01392"/>
    <d v="2024-04-25T00:00:00"/>
    <s v="CUST-0270"/>
    <s v="PROD-055"/>
    <s v="R002"/>
    <n v="2"/>
    <n v="2860"/>
    <n v="10.5"/>
    <n v="5119.3999999999996"/>
    <s v="Completed"/>
    <x v="4"/>
    <s v="Sports"/>
    <s v="North"/>
    <s v="Apr-24"/>
    <s v="Q2 2024"/>
    <n v="2028"/>
    <n v="0.29090909090909089"/>
  </r>
  <r>
    <s v="ORD-01393"/>
    <d v="2024-11-24T00:00:00"/>
    <s v="CUST-0212"/>
    <s v="PROD-042"/>
    <s v="R008"/>
    <n v="4"/>
    <n v="2290"/>
    <n v="5.9"/>
    <n v="8619.56"/>
    <s v="Completed"/>
    <x v="1"/>
    <s v="Beauty"/>
    <s v="North"/>
    <s v="Nov-24"/>
    <s v="Q4 2024"/>
    <n v="1219"/>
    <n v="0.46768558951965067"/>
  </r>
  <r>
    <s v="ORD-01394"/>
    <d v="2024-07-26T00:00:00"/>
    <s v="CUST-0216"/>
    <s v="PROD-001"/>
    <s v="R023"/>
    <n v="7"/>
    <n v="5330"/>
    <n v="3.5"/>
    <n v="36004.15"/>
    <s v="Cancelled"/>
    <x v="3"/>
    <s v="Electronics"/>
    <s v="East"/>
    <s v="Jul-24"/>
    <s v="Q3 2024"/>
    <n v="2405"/>
    <n v="0.54878048780487809"/>
  </r>
  <r>
    <s v="ORD-01395"/>
    <d v="2024-10-20T00:00:00"/>
    <s v="CUST-0189"/>
    <s v="PROD-013"/>
    <s v="R018"/>
    <n v="10"/>
    <n v="3640"/>
    <n v="20.100000000000001"/>
    <n v="29083.599999999999"/>
    <s v="Completed"/>
    <x v="1"/>
    <s v="Apparel"/>
    <s v="East"/>
    <s v="Oct-24"/>
    <s v="Q4 2024"/>
    <n v="2611"/>
    <n v="0.28269230769230769"/>
  </r>
  <r>
    <s v="ORD-01396"/>
    <d v="2024-12-07T00:00:00"/>
    <s v="CUST-0064"/>
    <s v="PROD-034"/>
    <s v="R024"/>
    <n v="10"/>
    <n v="5080"/>
    <n v="2.1"/>
    <n v="49733.2"/>
    <s v="Completed"/>
    <x v="5"/>
    <s v="Home"/>
    <s v="West"/>
    <s v="Dec-24"/>
    <s v="Q4 2024"/>
    <n v="2459"/>
    <n v="0.51594488188976373"/>
  </r>
  <r>
    <s v="ORD-01397"/>
    <d v="2024-08-13T00:00:00"/>
    <s v="CUST-0016"/>
    <s v="PROD-035"/>
    <s v="R018"/>
    <n v="4"/>
    <n v="1090"/>
    <n v="18.5"/>
    <n v="3553.4"/>
    <s v="Refunded"/>
    <x v="2"/>
    <s v="Home"/>
    <s v="East"/>
    <s v="Aug-24"/>
    <s v="Q3 2024"/>
    <n v="464"/>
    <n v="0.57431192660550456"/>
  </r>
  <r>
    <s v="ORD-01398"/>
    <d v="2024-12-19T00:00:00"/>
    <s v="CUST-0296"/>
    <s v="PROD-047"/>
    <s v="R030"/>
    <n v="10"/>
    <n v="3450"/>
    <n v="26.5"/>
    <n v="25357.5"/>
    <s v="Refunded"/>
    <x v="2"/>
    <s v="Beauty"/>
    <s v="West"/>
    <s v="Dec-24"/>
    <s v="Q4 2024"/>
    <n v="2420"/>
    <n v="0.29855072463768118"/>
  </r>
  <r>
    <s v="ORD-01399"/>
    <d v="2024-07-10T00:00:00"/>
    <s v="CUST-0031"/>
    <s v="PROD-052"/>
    <s v="R009"/>
    <n v="9"/>
    <n v="5410"/>
    <n v="11.5"/>
    <n v="43090.65"/>
    <s v="Completed"/>
    <x v="5"/>
    <s v="Sports"/>
    <s v="South"/>
    <s v="Jul-24"/>
    <s v="Q3 2024"/>
    <n v="2265"/>
    <n v="0.58133086876155271"/>
  </r>
  <r>
    <s v="ORD-01400"/>
    <d v="2024-06-02T00:00:00"/>
    <s v="CUST-0207"/>
    <s v="PROD-011"/>
    <s v="R030"/>
    <n v="9"/>
    <n v="3450"/>
    <n v="0.3"/>
    <n v="30956.85"/>
    <s v="Refunded"/>
    <x v="5"/>
    <s v="Apparel"/>
    <s v="West"/>
    <s v="Jun-24"/>
    <s v="Q2 2024"/>
    <n v="1748"/>
    <n v="0.49333333333333335"/>
  </r>
  <r>
    <s v="ORD-01401"/>
    <d v="2024-11-18T00:00:00"/>
    <s v="CUST-0165"/>
    <s v="PROD-012"/>
    <s v="R025"/>
    <n v="10"/>
    <n v="3160"/>
    <n v="13.6"/>
    <n v="27302.400000000001"/>
    <s v="Completed"/>
    <x v="0"/>
    <s v="Apparel"/>
    <s v="West"/>
    <s v="Nov-24"/>
    <s v="Q4 2024"/>
    <n v="1886"/>
    <n v="0.4031645569620253"/>
  </r>
  <r>
    <s v="ORD-01402"/>
    <d v="2024-05-21T00:00:00"/>
    <s v="CUST-0281"/>
    <s v="PROD-041"/>
    <s v="R026"/>
    <n v="3"/>
    <n v="1540"/>
    <n v="21.2"/>
    <n v="3640.56"/>
    <s v="Completed"/>
    <x v="4"/>
    <s v="Beauty"/>
    <s v="West"/>
    <s v="May-24"/>
    <s v="Q2 2024"/>
    <n v="647"/>
    <n v="0.57987012987012987"/>
  </r>
  <r>
    <s v="ORD-01403"/>
    <d v="2024-04-20T00:00:00"/>
    <s v="CUST-0018"/>
    <s v="PROD-013"/>
    <s v="R022"/>
    <n v="5"/>
    <n v="3640"/>
    <n v="17.5"/>
    <n v="15015"/>
    <s v="Completed"/>
    <x v="0"/>
    <s v="Apparel"/>
    <s v="East"/>
    <s v="Apr-24"/>
    <s v="Q2 2024"/>
    <n v="2611"/>
    <n v="0.28269230769230769"/>
  </r>
  <r>
    <s v="ORD-01404"/>
    <d v="2024-01-11T00:00:00"/>
    <s v="CUST-0204"/>
    <s v="PROD-059"/>
    <s v="R002"/>
    <n v="4"/>
    <n v="3780"/>
    <n v="9"/>
    <n v="13759.2"/>
    <s v="Pending"/>
    <x v="5"/>
    <s v="Sports"/>
    <s v="North"/>
    <s v="Jan-24"/>
    <s v="Q1 2024"/>
    <n v="1860"/>
    <n v="0.50793650793650791"/>
  </r>
  <r>
    <s v="ORD-01405"/>
    <d v="2024-08-22T00:00:00"/>
    <s v="CUST-0028"/>
    <s v="PROD-015"/>
    <s v="R025"/>
    <n v="9"/>
    <n v="2720"/>
    <n v="8.9"/>
    <n v="22301.279999999999"/>
    <s v="Completed"/>
    <x v="4"/>
    <s v="Apparel"/>
    <s v="West"/>
    <s v="Aug-24"/>
    <s v="Q3 2024"/>
    <n v="1962"/>
    <n v="0.2786764705882353"/>
  </r>
  <r>
    <s v="ORD-01406"/>
    <d v="2024-12-22T00:00:00"/>
    <s v="CUST-0144"/>
    <s v="PROD-014"/>
    <s v="R004"/>
    <n v="4"/>
    <n v="3620"/>
    <n v="8"/>
    <n v="13321.6"/>
    <s v="Pending"/>
    <x v="1"/>
    <s v="Apparel"/>
    <s v="North"/>
    <s v="Dec-24"/>
    <s v="Q4 2024"/>
    <n v="2509"/>
    <n v="0.3069060773480663"/>
  </r>
  <r>
    <s v="ORD-01407"/>
    <d v="2024-02-03T00:00:00"/>
    <s v="CUST-0043"/>
    <s v="PROD-011"/>
    <s v="R004"/>
    <n v="1"/>
    <n v="3450"/>
    <n v="0.2"/>
    <n v="3443.1"/>
    <s v="Completed"/>
    <x v="5"/>
    <s v="Apparel"/>
    <s v="North"/>
    <s v="Feb-24"/>
    <s v="Q1 2024"/>
    <n v="1748"/>
    <n v="0.49333333333333335"/>
  </r>
  <r>
    <s v="ORD-01408"/>
    <d v="2024-12-14T00:00:00"/>
    <s v="CUST-0246"/>
    <s v="PROD-013"/>
    <s v="R014"/>
    <n v="7"/>
    <n v="3640"/>
    <n v="4.5999999999999996"/>
    <n v="24307.919999999998"/>
    <s v="Completed"/>
    <x v="2"/>
    <s v="Apparel"/>
    <s v="South"/>
    <s v="Dec-24"/>
    <s v="Q4 2024"/>
    <n v="2611"/>
    <n v="0.28269230769230769"/>
  </r>
  <r>
    <s v="ORD-01409"/>
    <d v="2024-05-11T00:00:00"/>
    <s v="CUST-0156"/>
    <s v="PROD-016"/>
    <s v="R023"/>
    <n v="9"/>
    <n v="620"/>
    <n v="8.5"/>
    <n v="5105.7"/>
    <s v="Completed"/>
    <x v="3"/>
    <s v="Apparel"/>
    <s v="East"/>
    <s v="May-24"/>
    <s v="Q2 2024"/>
    <n v="396"/>
    <n v="0.36129032258064514"/>
  </r>
  <r>
    <s v="ORD-01410"/>
    <d v="2024-05-11T00:00:00"/>
    <s v="CUST-0066"/>
    <s v="PROD-059"/>
    <s v="R016"/>
    <n v="10"/>
    <n v="3780"/>
    <n v="5.8"/>
    <n v="35607.599999999999"/>
    <s v="Completed"/>
    <x v="2"/>
    <s v="Sports"/>
    <s v="South"/>
    <s v="May-24"/>
    <s v="Q2 2024"/>
    <n v="1860"/>
    <n v="0.50793650793650791"/>
  </r>
  <r>
    <s v="ORD-01411"/>
    <d v="2024-08-14T00:00:00"/>
    <s v="CUST-0121"/>
    <s v="PROD-003"/>
    <s v="R009"/>
    <n v="7"/>
    <n v="3570"/>
    <n v="26.1"/>
    <n v="18467.61"/>
    <s v="Completed"/>
    <x v="2"/>
    <s v="Electronics"/>
    <s v="South"/>
    <s v="Aug-24"/>
    <s v="Q3 2024"/>
    <n v="1665"/>
    <n v="0.53361344537815125"/>
  </r>
  <r>
    <s v="ORD-01412"/>
    <d v="2024-01-15T00:00:00"/>
    <s v="CUST-0066"/>
    <s v="PROD-044"/>
    <s v="R002"/>
    <n v="2"/>
    <n v="1650"/>
    <n v="3.8"/>
    <n v="3174.6"/>
    <s v="Completed"/>
    <x v="2"/>
    <s v="Beauty"/>
    <s v="North"/>
    <s v="Jan-24"/>
    <s v="Q1 2024"/>
    <n v="1222"/>
    <n v="0.2593939393939394"/>
  </r>
  <r>
    <s v="ORD-01413"/>
    <d v="2024-02-24T00:00:00"/>
    <s v="CUST-0099"/>
    <s v="PROD-049"/>
    <s v="R012"/>
    <n v="2"/>
    <n v="960"/>
    <n v="6.8"/>
    <n v="1789.44"/>
    <s v="Completed"/>
    <x v="4"/>
    <s v="Beauty"/>
    <s v="South"/>
    <s v="Feb-24"/>
    <s v="Q1 2024"/>
    <n v="675"/>
    <n v="0.296875"/>
  </r>
  <r>
    <s v="ORD-01414"/>
    <d v="2024-03-25T00:00:00"/>
    <s v="CUST-0054"/>
    <s v="PROD-005"/>
    <s v="R006"/>
    <n v="2"/>
    <n v="300"/>
    <n v="2.8"/>
    <n v="583.20000000000005"/>
    <s v="Completed"/>
    <x v="3"/>
    <s v="Electronics"/>
    <s v="North"/>
    <s v="Mar-24"/>
    <s v="Q1 2024"/>
    <n v="128"/>
    <n v="0.57333333333333336"/>
  </r>
  <r>
    <s v="ORD-01415"/>
    <d v="2024-09-26T00:00:00"/>
    <s v="CUST-0124"/>
    <s v="PROD-025"/>
    <s v="R027"/>
    <n v="10"/>
    <n v="4060"/>
    <n v="15.1"/>
    <n v="34469.4"/>
    <s v="Completed"/>
    <x v="0"/>
    <s v="Grocery"/>
    <s v="West"/>
    <s v="Sep-24"/>
    <s v="Q3 2024"/>
    <n v="2911"/>
    <n v="0.28300492610837441"/>
  </r>
  <r>
    <s v="ORD-01416"/>
    <d v="2024-01-29T00:00:00"/>
    <s v="CUST-0211"/>
    <s v="PROD-001"/>
    <s v="R022"/>
    <n v="6"/>
    <n v="5330"/>
    <n v="2"/>
    <n v="31340.400000000001"/>
    <s v="Completed"/>
    <x v="4"/>
    <s v="Electronics"/>
    <s v="East"/>
    <s v="Jan-24"/>
    <s v="Q1 2024"/>
    <n v="2405"/>
    <n v="0.54878048780487809"/>
  </r>
  <r>
    <s v="ORD-01417"/>
    <d v="2024-10-07T00:00:00"/>
    <s v="CUST-0298"/>
    <s v="PROD-031"/>
    <s v="R021"/>
    <n v="9"/>
    <n v="3730"/>
    <n v="24.5"/>
    <n v="25345.35"/>
    <s v="Refunded"/>
    <x v="2"/>
    <s v="Home"/>
    <s v="East"/>
    <s v="Oct-24"/>
    <s v="Q4 2024"/>
    <n v="2135"/>
    <n v="0.42761394101876676"/>
  </r>
  <r>
    <s v="ORD-01418"/>
    <d v="2024-11-15T00:00:00"/>
    <s v="CUST-0164"/>
    <s v="PROD-050"/>
    <s v="R030"/>
    <n v="1"/>
    <n v="6080"/>
    <n v="4.4000000000000004"/>
    <n v="5812.48"/>
    <s v="Cancelled"/>
    <x v="1"/>
    <s v="Beauty"/>
    <s v="West"/>
    <s v="Nov-24"/>
    <s v="Q4 2024"/>
    <n v="2617"/>
    <n v="0.56957236842105263"/>
  </r>
  <r>
    <s v="ORD-01419"/>
    <d v="2024-08-20T00:00:00"/>
    <s v="CUST-0003"/>
    <s v="PROD-015"/>
    <s v="R025"/>
    <n v="5"/>
    <n v="2720"/>
    <n v="9.1999999999999993"/>
    <n v="12348.8"/>
    <s v="Completed"/>
    <x v="3"/>
    <s v="Apparel"/>
    <s v="West"/>
    <s v="Aug-24"/>
    <s v="Q3 2024"/>
    <n v="1962"/>
    <n v="0.2786764705882353"/>
  </r>
  <r>
    <s v="ORD-01420"/>
    <d v="2024-05-26T00:00:00"/>
    <s v="CUST-0239"/>
    <s v="PROD-011"/>
    <s v="R023"/>
    <n v="1"/>
    <n v="3450"/>
    <n v="15.6"/>
    <n v="2911.8"/>
    <s v="Completed"/>
    <x v="3"/>
    <s v="Apparel"/>
    <s v="East"/>
    <s v="May-24"/>
    <s v="Q2 2024"/>
    <n v="1748"/>
    <n v="0.49333333333333335"/>
  </r>
  <r>
    <s v="ORD-01421"/>
    <d v="2024-07-11T00:00:00"/>
    <s v="CUST-0116"/>
    <s v="PROD-035"/>
    <s v="R022"/>
    <n v="2"/>
    <n v="1090"/>
    <n v="0.4"/>
    <n v="2171.2800000000002"/>
    <s v="Refunded"/>
    <x v="4"/>
    <s v="Home"/>
    <s v="East"/>
    <s v="Jul-24"/>
    <s v="Q3 2024"/>
    <n v="464"/>
    <n v="0.57431192660550456"/>
  </r>
  <r>
    <s v="ORD-01422"/>
    <d v="2024-12-17T00:00:00"/>
    <s v="CUST-0232"/>
    <s v="PROD-003"/>
    <s v="R017"/>
    <n v="2"/>
    <n v="3570"/>
    <n v="9"/>
    <n v="6497.4"/>
    <s v="Completed"/>
    <x v="5"/>
    <s v="Electronics"/>
    <s v="East"/>
    <s v="Dec-24"/>
    <s v="Q4 2024"/>
    <n v="1665"/>
    <n v="0.53361344537815125"/>
  </r>
  <r>
    <s v="ORD-01423"/>
    <d v="2024-05-25T00:00:00"/>
    <s v="CUST-0121"/>
    <s v="PROD-019"/>
    <s v="R014"/>
    <n v="9"/>
    <n v="2480"/>
    <n v="3.6"/>
    <n v="21516.48"/>
    <s v="Pending"/>
    <x v="2"/>
    <s v="Apparel"/>
    <s v="South"/>
    <s v="May-24"/>
    <s v="Q2 2024"/>
    <n v="1173"/>
    <n v="0.52701612903225803"/>
  </r>
  <r>
    <s v="ORD-01424"/>
    <d v="2024-01-12T00:00:00"/>
    <s v="CUST-0178"/>
    <s v="PROD-027"/>
    <s v="R022"/>
    <n v="9"/>
    <n v="3780"/>
    <n v="4.5"/>
    <n v="32489.1"/>
    <s v="Completed"/>
    <x v="5"/>
    <s v="Grocery"/>
    <s v="East"/>
    <s v="Jan-24"/>
    <s v="Q1 2024"/>
    <n v="2436"/>
    <n v="0.35555555555555557"/>
  </r>
  <r>
    <s v="ORD-01425"/>
    <d v="2024-12-05T00:00:00"/>
    <s v="CUST-0131"/>
    <s v="PROD-025"/>
    <s v="R010"/>
    <n v="5"/>
    <n v="4060"/>
    <n v="2.7"/>
    <n v="19751.900000000001"/>
    <s v="Completed"/>
    <x v="2"/>
    <s v="Grocery"/>
    <s v="South"/>
    <s v="Dec-24"/>
    <s v="Q4 2024"/>
    <n v="2911"/>
    <n v="0.28300492610837441"/>
  </r>
  <r>
    <s v="ORD-01426"/>
    <d v="2024-09-29T00:00:00"/>
    <s v="CUST-0155"/>
    <s v="PROD-005"/>
    <s v="R002"/>
    <n v="8"/>
    <n v="300"/>
    <n v="19.8"/>
    <n v="1924.8"/>
    <s v="Cancelled"/>
    <x v="0"/>
    <s v="Electronics"/>
    <s v="North"/>
    <s v="Sep-24"/>
    <s v="Q3 2024"/>
    <n v="128"/>
    <n v="0.57333333333333336"/>
  </r>
  <r>
    <s v="ORD-01427"/>
    <d v="2024-06-11T00:00:00"/>
    <s v="CUST-0170"/>
    <s v="PROD-036"/>
    <s v="R002"/>
    <n v="10"/>
    <n v="3250"/>
    <n v="21.3"/>
    <n v="25577.5"/>
    <s v="Cancelled"/>
    <x v="3"/>
    <s v="Home"/>
    <s v="North"/>
    <s v="Jun-24"/>
    <s v="Q2 2024"/>
    <n v="1556"/>
    <n v="0.52123076923076928"/>
  </r>
  <r>
    <s v="ORD-01428"/>
    <d v="2024-11-20T00:00:00"/>
    <s v="CUST-0180"/>
    <s v="PROD-055"/>
    <s v="R009"/>
    <n v="2"/>
    <n v="2860"/>
    <n v="13.7"/>
    <n v="4936.3599999999997"/>
    <s v="Completed"/>
    <x v="1"/>
    <s v="Sports"/>
    <s v="South"/>
    <s v="Nov-24"/>
    <s v="Q4 2024"/>
    <n v="2028"/>
    <n v="0.29090909090909089"/>
  </r>
  <r>
    <s v="ORD-01429"/>
    <d v="2024-08-19T00:00:00"/>
    <s v="CUST-0066"/>
    <s v="PROD-009"/>
    <s v="R017"/>
    <n v="10"/>
    <n v="1220"/>
    <n v="15.4"/>
    <n v="10321.200000000001"/>
    <s v="Completed"/>
    <x v="2"/>
    <s v="Electronics"/>
    <s v="East"/>
    <s v="Aug-24"/>
    <s v="Q3 2024"/>
    <n v="517"/>
    <n v="0.57622950819672136"/>
  </r>
  <r>
    <s v="ORD-01430"/>
    <d v="2024-05-27T00:00:00"/>
    <s v="CUST-0267"/>
    <s v="PROD-027"/>
    <s v="R010"/>
    <n v="3"/>
    <n v="3780"/>
    <n v="1.9"/>
    <n v="11124.54"/>
    <s v="Completed"/>
    <x v="5"/>
    <s v="Grocery"/>
    <s v="South"/>
    <s v="May-24"/>
    <s v="Q2 2024"/>
    <n v="2436"/>
    <n v="0.35555555555555557"/>
  </r>
  <r>
    <s v="ORD-01431"/>
    <d v="2024-10-14T00:00:00"/>
    <s v="CUST-0034"/>
    <s v="PROD-038"/>
    <s v="R018"/>
    <n v="6"/>
    <n v="5490"/>
    <n v="0.5"/>
    <n v="32775.300000000003"/>
    <s v="Pending"/>
    <x v="2"/>
    <s v="Home"/>
    <s v="East"/>
    <s v="Oct-24"/>
    <s v="Q4 2024"/>
    <n v="2549"/>
    <n v="0.53570127504553733"/>
  </r>
  <r>
    <s v="ORD-01432"/>
    <d v="2024-07-22T00:00:00"/>
    <s v="CUST-0029"/>
    <s v="PROD-022"/>
    <s v="R029"/>
    <n v="6"/>
    <n v="2270"/>
    <n v="21.5"/>
    <n v="10691.7"/>
    <s v="Completed"/>
    <x v="1"/>
    <s v="Grocery"/>
    <s v="West"/>
    <s v="Jul-24"/>
    <s v="Q3 2024"/>
    <n v="1412"/>
    <n v="0.37797356828193834"/>
  </r>
  <r>
    <s v="ORD-01433"/>
    <d v="2024-11-04T00:00:00"/>
    <s v="CUST-0224"/>
    <s v="PROD-029"/>
    <s v="R023"/>
    <n v="7"/>
    <n v="2210"/>
    <n v="10.3"/>
    <n v="13876.59"/>
    <s v="Completed"/>
    <x v="1"/>
    <s v="Grocery"/>
    <s v="East"/>
    <s v="Nov-24"/>
    <s v="Q4 2024"/>
    <n v="1010"/>
    <n v="0.54298642533936647"/>
  </r>
  <r>
    <s v="ORD-01434"/>
    <d v="2024-11-09T00:00:00"/>
    <s v="CUST-9889"/>
    <s v="PROD-035"/>
    <s v="R009"/>
    <n v="8"/>
    <n v="1090"/>
    <n v="21.7"/>
    <n v="6827.76"/>
    <s v="Completed"/>
    <x v="0"/>
    <s v="Home"/>
    <s v="South"/>
    <s v="Nov-24"/>
    <s v="Q4 2024"/>
    <n v="464"/>
    <n v="0.57431192660550456"/>
  </r>
  <r>
    <s v="ORD-01435"/>
    <d v="2024-11-02T00:00:00"/>
    <s v="CUST-0130"/>
    <s v="PROD-018"/>
    <s v="R002"/>
    <n v="5"/>
    <n v="3560"/>
    <n v="19.399999999999999"/>
    <n v="14346.8"/>
    <s v="Pending"/>
    <x v="4"/>
    <s v="Apparel"/>
    <s v="North"/>
    <s v="Nov-24"/>
    <s v="Q4 2024"/>
    <n v="2629"/>
    <n v="0.26151685393258428"/>
  </r>
  <r>
    <s v="ORD-01436"/>
    <d v="2024-06-09T00:00:00"/>
    <s v="CUST-0060"/>
    <s v="PROD-054"/>
    <s v="R028"/>
    <n v="7"/>
    <n v="1010"/>
    <n v="28.2"/>
    <n v="5076.26"/>
    <s v="Completed"/>
    <x v="0"/>
    <s v="Sports"/>
    <s v="West"/>
    <s v="Jun-24"/>
    <s v="Q2 2024"/>
    <n v="516"/>
    <n v="0.4891089108910891"/>
  </r>
  <r>
    <s v="ORD-01437"/>
    <d v="2024-06-27T00:00:00"/>
    <s v="CUST-0299"/>
    <s v="PROD-033"/>
    <s v="R015"/>
    <n v="2"/>
    <n v="2030"/>
    <n v="27.3"/>
    <n v="2951.62"/>
    <s v="Refunded"/>
    <x v="3"/>
    <s v="Home"/>
    <s v="South"/>
    <s v="Jun-24"/>
    <s v="Q2 2024"/>
    <n v="1143"/>
    <n v="0.43694581280788175"/>
  </r>
  <r>
    <s v="ORD-01438"/>
    <d v="2024-02-28T00:00:00"/>
    <s v="CUST-0013"/>
    <s v="PROD-001"/>
    <s v="R012"/>
    <n v="6"/>
    <n v="5330"/>
    <n v="0.6"/>
    <n v="31788.12"/>
    <s v="Completed"/>
    <x v="2"/>
    <s v="Electronics"/>
    <s v="South"/>
    <s v="Feb-24"/>
    <s v="Q1 2024"/>
    <n v="2405"/>
    <n v="0.54878048780487809"/>
  </r>
  <r>
    <s v="ORD-01439"/>
    <d v="2024-08-10T00:00:00"/>
    <s v="CUST-0193"/>
    <s v="PROD-010"/>
    <s v="R007"/>
    <n v="2"/>
    <n v="2640"/>
    <n v="26"/>
    <n v="3907.2"/>
    <s v="Pending"/>
    <x v="4"/>
    <s v="Electronics"/>
    <s v="North"/>
    <s v="Aug-24"/>
    <s v="Q3 2024"/>
    <n v="1149"/>
    <n v="0.56477272727272732"/>
  </r>
  <r>
    <s v="ORD-01440"/>
    <d v="2024-06-04T00:00:00"/>
    <s v="CUST-0170"/>
    <s v="PROD-008"/>
    <s v="R012"/>
    <n v="8"/>
    <n v="2660"/>
    <n v="2.9"/>
    <n v="20662.88"/>
    <s v="Completed"/>
    <x v="3"/>
    <s v="Electronics"/>
    <s v="South"/>
    <s v="Jun-24"/>
    <s v="Q2 2024"/>
    <n v="1259"/>
    <n v="0.52669172932330832"/>
  </r>
  <r>
    <s v="ORD-01441"/>
    <d v="2024-04-08T00:00:00"/>
    <s v="CUST-0063"/>
    <s v="PROD-036"/>
    <s v="R023"/>
    <n v="6"/>
    <n v="3250"/>
    <n v="11.1"/>
    <n v="17335.5"/>
    <s v="Completed"/>
    <x v="3"/>
    <s v="Home"/>
    <s v="East"/>
    <s v="Apr-24"/>
    <s v="Q2 2024"/>
    <n v="1556"/>
    <n v="0.52123076923076928"/>
  </r>
  <r>
    <s v="ORD-01442"/>
    <d v="2024-01-16T00:00:00"/>
    <s v="CUST-0168"/>
    <s v="PROD-029"/>
    <s v="R004"/>
    <n v="1"/>
    <n v="2210"/>
    <n v="3.5"/>
    <n v="2132.65"/>
    <s v="Completed"/>
    <x v="0"/>
    <s v="Grocery"/>
    <s v="North"/>
    <s v="Jan-24"/>
    <s v="Q1 2024"/>
    <n v="1010"/>
    <n v="0.54298642533936647"/>
  </r>
  <r>
    <s v="ORD-01443"/>
    <d v="2024-05-20T00:00:00"/>
    <s v="CUST-0124"/>
    <s v="PROD-032"/>
    <s v="R019"/>
    <n v="9"/>
    <n v="370"/>
    <n v="12.4"/>
    <n v="2917.08"/>
    <s v="Completed"/>
    <x v="0"/>
    <s v="Home"/>
    <s v="East"/>
    <s v="May-24"/>
    <s v="Q2 2024"/>
    <n v="288"/>
    <n v="0.22162162162162163"/>
  </r>
  <r>
    <s v="ORD-01444"/>
    <d v="2024-06-10T00:00:00"/>
    <s v="CUST-0138"/>
    <s v="PROD-059"/>
    <s v="R022"/>
    <n v="3"/>
    <n v="3780"/>
    <n v="8.5"/>
    <n v="10376.1"/>
    <s v="Pending"/>
    <x v="1"/>
    <s v="Sports"/>
    <s v="East"/>
    <s v="Jun-24"/>
    <s v="Q2 2024"/>
    <n v="1860"/>
    <n v="0.50793650793650791"/>
  </r>
  <r>
    <s v="ORD-01445"/>
    <d v="2024-04-15T00:00:00"/>
    <s v="CUST-0146"/>
    <s v="PROD-054"/>
    <s v="R002"/>
    <n v="2"/>
    <n v="1010"/>
    <n v="2.7"/>
    <n v="1965.46"/>
    <s v="Completed"/>
    <x v="5"/>
    <s v="Sports"/>
    <s v="North"/>
    <s v="Apr-24"/>
    <s v="Q2 2024"/>
    <n v="516"/>
    <n v="0.4891089108910891"/>
  </r>
  <r>
    <s v="ORD-01446"/>
    <d v="2024-12-13T00:00:00"/>
    <s v="CUST-0244"/>
    <s v="PROD-020"/>
    <s v="R012"/>
    <n v="2"/>
    <n v="820"/>
    <n v="13.2"/>
    <n v="1423.52"/>
    <s v="Pending"/>
    <x v="4"/>
    <s v="Apparel"/>
    <s v="South"/>
    <s v="Dec-24"/>
    <s v="Q4 2024"/>
    <n v="391"/>
    <n v="0.52317073170731709"/>
  </r>
  <r>
    <s v="ORD-01447"/>
    <d v="2024-07-09T00:00:00"/>
    <s v="CUST-0291"/>
    <s v="PROD-028"/>
    <s v="R012"/>
    <n v="1"/>
    <n v="3660"/>
    <n v="14"/>
    <n v="3147.6"/>
    <s v="Refunded"/>
    <x v="0"/>
    <s v="Grocery"/>
    <s v="South"/>
    <s v="Jul-24"/>
    <s v="Q3 2024"/>
    <n v="2214"/>
    <n v="0.39508196721311473"/>
  </r>
  <r>
    <s v="ORD-01448"/>
    <d v="2024-06-04T00:00:00"/>
    <s v="CUST-0222"/>
    <s v="PROD-022"/>
    <s v="R017"/>
    <n v="6"/>
    <n v="2270"/>
    <n v="16"/>
    <n v="11440.8"/>
    <s v="Completed"/>
    <x v="1"/>
    <s v="Grocery"/>
    <s v="East"/>
    <s v="Jun-24"/>
    <s v="Q2 2024"/>
    <n v="1412"/>
    <n v="0.37797356828193834"/>
  </r>
  <r>
    <s v="ORD-01449"/>
    <d v="2024-11-02T00:00:00"/>
    <s v="CUST-0137"/>
    <s v="PROD-049"/>
    <s v="R019"/>
    <n v="7"/>
    <n v="960"/>
    <n v="28.8"/>
    <n v="4784.6400000000003"/>
    <s v="Refunded"/>
    <x v="3"/>
    <s v="Beauty"/>
    <s v="East"/>
    <s v="Nov-24"/>
    <s v="Q4 2024"/>
    <n v="675"/>
    <n v="0.296875"/>
  </r>
  <r>
    <s v="ORD-01450"/>
    <d v="2024-12-19T00:00:00"/>
    <s v="CUST-0150"/>
    <s v="PROD-033"/>
    <s v="R025"/>
    <n v="9"/>
    <n v="2030"/>
    <n v="3.4"/>
    <n v="17648.82"/>
    <s v="Completed"/>
    <x v="0"/>
    <s v="Home"/>
    <s v="West"/>
    <s v="Dec-24"/>
    <s v="Q4 2024"/>
    <n v="1143"/>
    <n v="0.43694581280788175"/>
  </r>
  <r>
    <s v="ORD-01451"/>
    <d v="2024-01-08T00:00:00"/>
    <s v="CUST-0058"/>
    <s v="PROD-023"/>
    <s v="R005"/>
    <n v="6"/>
    <n v="2380"/>
    <n v="13.2"/>
    <n v="12395.04"/>
    <s v="Completed"/>
    <x v="4"/>
    <s v="Grocery"/>
    <s v="North"/>
    <s v="Jan-24"/>
    <s v="Q1 2024"/>
    <n v="1182"/>
    <n v="0.50336134453781511"/>
  </r>
  <r>
    <s v="ORD-01452"/>
    <d v="2024-01-17T00:00:00"/>
    <s v="CUST-0187"/>
    <s v="PROD-047"/>
    <s v="R009"/>
    <n v="10"/>
    <n v="3450"/>
    <n v="8.6999999999999993"/>
    <n v="31498.5"/>
    <s v="Completed"/>
    <x v="1"/>
    <s v="Beauty"/>
    <s v="South"/>
    <s v="Jan-24"/>
    <s v="Q1 2024"/>
    <n v="2420"/>
    <n v="0.29855072463768118"/>
  </r>
  <r>
    <s v="ORD-01453"/>
    <d v="2024-07-14T00:00:00"/>
    <s v="CUST-0116"/>
    <s v="PROD-049"/>
    <s v="R021"/>
    <n v="6"/>
    <n v="960"/>
    <n v="20.6"/>
    <n v="4573.4399999999996"/>
    <s v="Pending"/>
    <x v="4"/>
    <s v="Beauty"/>
    <s v="East"/>
    <s v="Jul-24"/>
    <s v="Q3 2024"/>
    <n v="675"/>
    <n v="0.296875"/>
  </r>
  <r>
    <s v="ORD-01454"/>
    <d v="2024-02-19T00:00:00"/>
    <s v="CUST-0290"/>
    <s v="PROD-018"/>
    <s v="R013"/>
    <n v="10"/>
    <n v="3560"/>
    <n v="1.4"/>
    <n v="35101.599999999999"/>
    <s v="Pending"/>
    <x v="2"/>
    <s v="Apparel"/>
    <s v="South"/>
    <s v="Feb-24"/>
    <s v="Q1 2024"/>
    <n v="2629"/>
    <n v="0.26151685393258428"/>
  </r>
  <r>
    <s v="ORD-01455"/>
    <d v="2024-03-03T00:00:00"/>
    <s v="CUST-0053"/>
    <s v="PROD-015"/>
    <s v="R014"/>
    <n v="4"/>
    <n v="2720"/>
    <n v="19.399999999999999"/>
    <n v="8769.2800000000007"/>
    <s v="Refunded"/>
    <x v="2"/>
    <s v="Apparel"/>
    <s v="South"/>
    <s v="Mar-24"/>
    <s v="Q1 2024"/>
    <n v="1962"/>
    <n v="0.2786764705882353"/>
  </r>
  <r>
    <s v="ORD-01456"/>
    <d v="2024-06-15T00:00:00"/>
    <s v="CUST-0044"/>
    <s v="PROD-009"/>
    <s v="R029"/>
    <n v="5"/>
    <n v="1220"/>
    <n v="15.6"/>
    <n v="5148.3999999999996"/>
    <s v="Completed"/>
    <x v="5"/>
    <s v="Electronics"/>
    <s v="West"/>
    <s v="Jun-24"/>
    <s v="Q2 2024"/>
    <n v="517"/>
    <n v="0.57622950819672136"/>
  </r>
  <r>
    <s v="ORD-01457"/>
    <d v="2024-03-13T00:00:00"/>
    <s v="CUST-0267"/>
    <s v="PROD-035"/>
    <s v="R026"/>
    <n v="5"/>
    <n v="1090"/>
    <n v="15"/>
    <n v="4632.5"/>
    <s v="Completed"/>
    <x v="5"/>
    <s v="Home"/>
    <s v="West"/>
    <s v="Mar-24"/>
    <s v="Q1 2024"/>
    <n v="464"/>
    <n v="0.57431192660550456"/>
  </r>
  <r>
    <s v="ORD-01458"/>
    <d v="2024-11-22T00:00:00"/>
    <s v="CUST-0179"/>
    <s v="PROD-032"/>
    <s v="R029"/>
    <n v="9"/>
    <n v="370"/>
    <n v="25.4"/>
    <n v="2484.1799999999998"/>
    <s v="Completed"/>
    <x v="3"/>
    <s v="Home"/>
    <s v="West"/>
    <s v="Nov-24"/>
    <s v="Q4 2024"/>
    <n v="288"/>
    <n v="0.22162162162162163"/>
  </r>
  <r>
    <s v="ORD-01459"/>
    <d v="2024-06-13T00:00:00"/>
    <s v="CUST-0089"/>
    <s v="PROD-055"/>
    <s v="R007"/>
    <n v="7"/>
    <n v="2860"/>
    <n v="14"/>
    <n v="17217.2"/>
    <s v="Completed"/>
    <x v="3"/>
    <s v="Sports"/>
    <s v="North"/>
    <s v="Jun-24"/>
    <s v="Q2 2024"/>
    <n v="2028"/>
    <n v="0.29090909090909089"/>
  </r>
  <r>
    <s v="ORD-01460"/>
    <d v="2024-07-17T00:00:00"/>
    <s v="CUST-0090"/>
    <s v="PROD-029"/>
    <s v="R026"/>
    <n v="1"/>
    <n v="2210"/>
    <n v="1.7"/>
    <n v="2172.4299999999998"/>
    <s v="Completed"/>
    <x v="4"/>
    <s v="Grocery"/>
    <s v="West"/>
    <s v="Jul-24"/>
    <s v="Q3 2024"/>
    <n v="1010"/>
    <n v="0.54298642533936647"/>
  </r>
  <r>
    <s v="ORD-01461"/>
    <d v="2024-10-19T00:00:00"/>
    <s v="CUST-0135"/>
    <s v="PROD-030"/>
    <s v="R025"/>
    <n v="3"/>
    <n v="970"/>
    <n v="20.3"/>
    <n v="2319.27"/>
    <s v="Pending"/>
    <x v="0"/>
    <s v="Grocery"/>
    <s v="West"/>
    <s v="Oct-24"/>
    <s v="Q4 2024"/>
    <n v="434"/>
    <n v="0.5525773195876289"/>
  </r>
  <r>
    <s v="ORD-01462"/>
    <d v="2024-07-03T00:00:00"/>
    <s v="CUST-0252"/>
    <s v="PROD-018"/>
    <s v="R021"/>
    <n v="5"/>
    <n v="3560"/>
    <n v="17.100000000000001"/>
    <n v="14756.2"/>
    <s v="Completed"/>
    <x v="4"/>
    <s v="Apparel"/>
    <s v="East"/>
    <s v="Jul-24"/>
    <s v="Q3 2024"/>
    <n v="2629"/>
    <n v="0.26151685393258428"/>
  </r>
  <r>
    <s v="ORD-01463"/>
    <d v="2024-04-05T00:00:00"/>
    <s v="CUST-0086"/>
    <s v="PROD-040"/>
    <s v="R023"/>
    <n v="10"/>
    <n v="1080"/>
    <n v="12.8"/>
    <n v="9417.6"/>
    <s v="Completed"/>
    <x v="5"/>
    <s v="Home"/>
    <s v="East"/>
    <s v="Apr-24"/>
    <s v="Q2 2024"/>
    <n v="519"/>
    <n v="0.51944444444444449"/>
  </r>
  <r>
    <s v="ORD-01464"/>
    <d v="2024-02-02T00:00:00"/>
    <s v="CUST-0264"/>
    <s v="PROD-009"/>
    <s v="R011"/>
    <n v="3"/>
    <n v="1220"/>
    <n v="1.9"/>
    <n v="3590.46"/>
    <s v="Completed"/>
    <x v="0"/>
    <s v="Electronics"/>
    <s v="South"/>
    <s v="Feb-24"/>
    <s v="Q1 2024"/>
    <n v="517"/>
    <n v="0.57622950819672136"/>
  </r>
  <r>
    <s v="ORD-01465"/>
    <d v="2024-07-06T00:00:00"/>
    <s v="CUST-9851"/>
    <s v="PROD-031"/>
    <s v="R009"/>
    <n v="1"/>
    <n v="3730"/>
    <n v="14.7"/>
    <n v="3181.69"/>
    <s v="Pending"/>
    <x v="0"/>
    <s v="Home"/>
    <s v="South"/>
    <s v="Jul-24"/>
    <s v="Q3 2024"/>
    <n v="2135"/>
    <n v="0.42761394101876676"/>
  </r>
  <r>
    <s v="ORD-01466"/>
    <d v="2024-12-02T00:00:00"/>
    <s v="CUST-0143"/>
    <s v="PROD-007"/>
    <s v="R001"/>
    <n v="3"/>
    <n v="1430"/>
    <n v="13.2"/>
    <n v="3723.72"/>
    <s v="Completed"/>
    <x v="1"/>
    <s v="Electronics"/>
    <s v="North"/>
    <s v="Dec-24"/>
    <s v="Q4 2024"/>
    <n v="861"/>
    <n v="0.39790209790209791"/>
  </r>
  <r>
    <s v="ORD-01467"/>
    <d v="2024-05-01T00:00:00"/>
    <s v="CUST-0086"/>
    <s v="PROD-050"/>
    <s v="R018"/>
    <n v="2"/>
    <n v="6080"/>
    <n v="21.8"/>
    <n v="9509.1200000000008"/>
    <s v="Cancelled"/>
    <x v="5"/>
    <s v="Beauty"/>
    <s v="East"/>
    <s v="May-24"/>
    <s v="Q2 2024"/>
    <n v="2617"/>
    <n v="0.56957236842105263"/>
  </r>
  <r>
    <s v="ORD-01468"/>
    <d v="2024-02-21T00:00:00"/>
    <s v="CUST-0196"/>
    <s v="PROD-048"/>
    <s v="R015"/>
    <n v="9"/>
    <n v="5100"/>
    <n v="29.3"/>
    <n v="32451.3"/>
    <s v="Completed"/>
    <x v="1"/>
    <s v="Beauty"/>
    <s v="South"/>
    <s v="Feb-24"/>
    <s v="Q1 2024"/>
    <n v="2237"/>
    <n v="0.56137254901960787"/>
  </r>
  <r>
    <s v="ORD-01469"/>
    <d v="2024-05-12T00:00:00"/>
    <s v="CUST-0089"/>
    <s v="PROD-011"/>
    <s v="R014"/>
    <n v="5"/>
    <n v="3450"/>
    <n v="5.3"/>
    <n v="16335.75"/>
    <s v="Completed"/>
    <x v="3"/>
    <s v="Apparel"/>
    <s v="South"/>
    <s v="May-24"/>
    <s v="Q2 2024"/>
    <n v="1748"/>
    <n v="0.49333333333333335"/>
  </r>
  <r>
    <s v="ORD-01470"/>
    <d v="2024-12-06T00:00:00"/>
    <s v="CUST-0149"/>
    <s v="PROD-003"/>
    <s v="R002"/>
    <n v="6"/>
    <n v="3570"/>
    <n v="17.3"/>
    <n v="17714.34"/>
    <s v="Completed"/>
    <x v="5"/>
    <s v="Electronics"/>
    <s v="North"/>
    <s v="Dec-24"/>
    <s v="Q4 2024"/>
    <n v="1665"/>
    <n v="0.53361344537815125"/>
  </r>
  <r>
    <s v="ORD-01471"/>
    <d v="2024-06-01T00:00:00"/>
    <s v="CUST-0161"/>
    <s v="PROD-031"/>
    <s v="R018"/>
    <n v="6"/>
    <n v="3730"/>
    <n v="1"/>
    <n v="22156.2"/>
    <s v="Completed"/>
    <x v="1"/>
    <s v="Home"/>
    <s v="East"/>
    <s v="Jun-24"/>
    <s v="Q2 2024"/>
    <n v="2135"/>
    <n v="0.42761394101876676"/>
  </r>
  <r>
    <s v="ORD-01472"/>
    <d v="2024-09-10T00:00:00"/>
    <s v="CUST-0022"/>
    <s v="PROD-059"/>
    <s v="R019"/>
    <n v="4"/>
    <n v="3780"/>
    <n v="13.1"/>
    <n v="13139.28"/>
    <s v="Completed"/>
    <x v="4"/>
    <s v="Sports"/>
    <s v="East"/>
    <s v="Sep-24"/>
    <s v="Q3 2024"/>
    <n v="1860"/>
    <n v="0.50793650793650791"/>
  </r>
  <r>
    <s v="ORD-01473"/>
    <d v="2024-08-07T00:00:00"/>
    <s v="CUST-0169"/>
    <s v="PROD-017"/>
    <s v="R011"/>
    <n v="1"/>
    <n v="2510"/>
    <n v="27.8"/>
    <n v="1812.22"/>
    <s v="Cancelled"/>
    <x v="4"/>
    <s v="Apparel"/>
    <s v="South"/>
    <s v="Aug-24"/>
    <s v="Q3 2024"/>
    <n v="1075"/>
    <n v="0.57171314741035861"/>
  </r>
  <r>
    <s v="ORD-01474"/>
    <d v="2024-10-12T00:00:00"/>
    <s v="CUST-0290"/>
    <s v="PROD-037"/>
    <s v="R007"/>
    <n v="9"/>
    <n v="660"/>
    <n v="29.3"/>
    <n v="4199.58"/>
    <s v="Completed"/>
    <x v="2"/>
    <s v="Home"/>
    <s v="North"/>
    <s v="Oct-24"/>
    <s v="Q4 2024"/>
    <n v="329"/>
    <n v="0.50151515151515147"/>
  </r>
  <r>
    <s v="ORD-01475"/>
    <d v="2024-08-03T00:00:00"/>
    <s v="CUST-0156"/>
    <s v="PROD-013"/>
    <s v="R030"/>
    <n v="7"/>
    <n v="3640"/>
    <n v="11.6"/>
    <n v="22524.32"/>
    <s v="Completed"/>
    <x v="3"/>
    <s v="Apparel"/>
    <s v="West"/>
    <s v="Aug-24"/>
    <s v="Q3 2024"/>
    <n v="2611"/>
    <n v="0.28269230769230769"/>
  </r>
  <r>
    <s v="ORD-01476"/>
    <d v="2024-05-03T00:00:00"/>
    <s v="CUST-0005"/>
    <s v="PROD-052"/>
    <s v="R019"/>
    <n v="8"/>
    <n v="5410"/>
    <n v="25.6"/>
    <n v="32200.32"/>
    <s v="Completed"/>
    <x v="1"/>
    <s v="Sports"/>
    <s v="East"/>
    <s v="May-24"/>
    <s v="Q2 2024"/>
    <n v="2265"/>
    <n v="0.58133086876155271"/>
  </r>
  <r>
    <s v="ORD-01477"/>
    <d v="2024-02-20T00:00:00"/>
    <s v="CUST-0206"/>
    <s v="PROD-058"/>
    <s v="R008"/>
    <n v="4"/>
    <n v="2400"/>
    <n v="10.4"/>
    <n v="8601.6"/>
    <s v="Completed"/>
    <x v="3"/>
    <s v="Sports"/>
    <s v="North"/>
    <s v="Feb-24"/>
    <s v="Q1 2024"/>
    <n v="974"/>
    <n v="0.59416666666666662"/>
  </r>
  <r>
    <s v="ORD-01478"/>
    <d v="2024-02-11T00:00:00"/>
    <s v="CUST-0240"/>
    <s v="PROD-038"/>
    <s v="R028"/>
    <n v="2"/>
    <n v="5490"/>
    <n v="5.4"/>
    <n v="10387.08"/>
    <s v="Completed"/>
    <x v="1"/>
    <s v="Home"/>
    <s v="West"/>
    <s v="Feb-24"/>
    <s v="Q1 2024"/>
    <n v="2549"/>
    <n v="0.53570127504553733"/>
  </r>
  <r>
    <s v="ORD-01479"/>
    <d v="2024-08-12T00:00:00"/>
    <s v="CUST-0109"/>
    <s v="PROD-041"/>
    <s v="R016"/>
    <n v="6"/>
    <n v="1540"/>
    <n v="0.6"/>
    <n v="9184.56"/>
    <s v="Completed"/>
    <x v="0"/>
    <s v="Beauty"/>
    <s v="South"/>
    <s v="Aug-24"/>
    <s v="Q3 2024"/>
    <n v="647"/>
    <n v="0.57987012987012987"/>
  </r>
  <r>
    <s v="ORD-01480"/>
    <d v="2024-02-21T00:00:00"/>
    <s v="CUST-0201"/>
    <s v="PROD-001"/>
    <s v="R001"/>
    <n v="3"/>
    <n v="5330"/>
    <n v="1"/>
    <n v="15830.1"/>
    <s v="Pending"/>
    <x v="5"/>
    <s v="Electronics"/>
    <s v="North"/>
    <s v="Feb-24"/>
    <s v="Q1 2024"/>
    <n v="2405"/>
    <n v="0.54878048780487809"/>
  </r>
  <r>
    <s v="ORD-01481"/>
    <d v="2024-08-18T00:00:00"/>
    <s v="CUST-0100"/>
    <s v="PROD-055"/>
    <s v="R012"/>
    <n v="6"/>
    <n v="2860"/>
    <n v="13.3"/>
    <n v="14877.72"/>
    <s v="Completed"/>
    <x v="5"/>
    <s v="Sports"/>
    <s v="South"/>
    <s v="Aug-24"/>
    <s v="Q3 2024"/>
    <n v="2028"/>
    <n v="0.29090909090909089"/>
  </r>
  <r>
    <s v="ORD-01482"/>
    <d v="2024-01-14T00:00:00"/>
    <s v="CUST-0262"/>
    <s v="PROD-046"/>
    <s v="R006"/>
    <n v="3"/>
    <n v="4880"/>
    <n v="12.1"/>
    <n v="12868.56"/>
    <s v="Completed"/>
    <x v="3"/>
    <s v="Beauty"/>
    <s v="North"/>
    <s v="Jan-24"/>
    <s v="Q1 2024"/>
    <n v="2768"/>
    <n v="0.43278688524590164"/>
  </r>
  <r>
    <s v="ORD-01483"/>
    <d v="2024-03-02T00:00:00"/>
    <s v="CUST-0067"/>
    <s v="PROD-017"/>
    <s v="R005"/>
    <n v="5"/>
    <n v="2510"/>
    <n v="2.9"/>
    <n v="12186.05"/>
    <s v="Pending"/>
    <x v="2"/>
    <s v="Apparel"/>
    <s v="North"/>
    <s v="Mar-24"/>
    <s v="Q1 2024"/>
    <n v="1075"/>
    <n v="0.57171314741035861"/>
  </r>
  <r>
    <s v="ORD-01484"/>
    <d v="2024-08-21T00:00:00"/>
    <s v="CUST-9844"/>
    <s v="PROD-006"/>
    <s v="R020"/>
    <n v="9"/>
    <n v="3970"/>
    <n v="28"/>
    <n v="25725.599999999999"/>
    <s v="Completed"/>
    <x v="0"/>
    <s v="Electronics"/>
    <s v="East"/>
    <s v="Aug-24"/>
    <s v="Q3 2024"/>
    <n v="2865"/>
    <n v="0.27833753148614609"/>
  </r>
  <r>
    <s v="ORD-01485"/>
    <d v="2024-10-28T00:00:00"/>
    <s v="CUST-0122"/>
    <s v="PROD-053"/>
    <s v="R027"/>
    <n v="4"/>
    <n v="470"/>
    <n v="19.100000000000001"/>
    <n v="1520.92"/>
    <s v="Pending"/>
    <x v="3"/>
    <s v="Sports"/>
    <s v="West"/>
    <s v="Oct-24"/>
    <s v="Q4 2024"/>
    <n v="302"/>
    <n v="0.35744680851063831"/>
  </r>
  <r>
    <s v="ORD-01486"/>
    <d v="2024-09-15T00:00:00"/>
    <s v="CUST-0129"/>
    <s v="PROD-001"/>
    <s v="R025"/>
    <n v="7"/>
    <n v="5330"/>
    <n v="17.2"/>
    <n v="30892.68"/>
    <s v="Cancelled"/>
    <x v="5"/>
    <s v="Electronics"/>
    <s v="West"/>
    <s v="Sep-24"/>
    <s v="Q3 2024"/>
    <n v="2405"/>
    <n v="0.54878048780487809"/>
  </r>
  <r>
    <s v="ORD-01487"/>
    <d v="2024-08-07T00:00:00"/>
    <s v="CUST-0056"/>
    <s v="PROD-035"/>
    <s v="R012"/>
    <n v="4"/>
    <n v="1090"/>
    <n v="4.9000000000000004"/>
    <n v="4146.3599999999997"/>
    <s v="Cancelled"/>
    <x v="4"/>
    <s v="Home"/>
    <s v="South"/>
    <s v="Aug-24"/>
    <s v="Q3 2024"/>
    <n v="464"/>
    <n v="0.57431192660550456"/>
  </r>
  <r>
    <s v="ORD-01488"/>
    <d v="2024-06-13T00:00:00"/>
    <s v="CUST-0080"/>
    <s v="PROD-054"/>
    <s v="R009"/>
    <n v="2"/>
    <n v="1010"/>
    <n v="14"/>
    <n v="1737.2"/>
    <s v="Completed"/>
    <x v="0"/>
    <s v="Sports"/>
    <s v="South"/>
    <s v="Jun-24"/>
    <s v="Q2 2024"/>
    <n v="516"/>
    <n v="0.4891089108910891"/>
  </r>
  <r>
    <s v="ORD-01489"/>
    <d v="2024-02-21T00:00:00"/>
    <s v="CUST-0155"/>
    <s v="PROD-004"/>
    <s v="R016"/>
    <n v="9"/>
    <n v="3870"/>
    <n v="8.1999999999999993"/>
    <n v="31973.94"/>
    <s v="Completed"/>
    <x v="0"/>
    <s v="Electronics"/>
    <s v="South"/>
    <s v="Feb-24"/>
    <s v="Q1 2024"/>
    <n v="1559"/>
    <n v="0.59715762273901807"/>
  </r>
  <r>
    <s v="ORD-01490"/>
    <d v="2024-07-18T00:00:00"/>
    <s v="CUST-0278"/>
    <s v="PROD-008"/>
    <s v="R013"/>
    <n v="7"/>
    <n v="2660"/>
    <n v="15.9"/>
    <n v="15659.42"/>
    <s v="Completed"/>
    <x v="5"/>
    <s v="Electronics"/>
    <s v="South"/>
    <s v="Jul-24"/>
    <s v="Q3 2024"/>
    <n v="1259"/>
    <n v="0.52669172932330832"/>
  </r>
  <r>
    <s v="ORD-01491"/>
    <d v="2024-11-23T00:00:00"/>
    <s v="CUST-0075"/>
    <s v="PROD-007"/>
    <s v="R019"/>
    <n v="4"/>
    <n v="1430"/>
    <n v="25.6"/>
    <n v="4255.68"/>
    <s v="Completed"/>
    <x v="3"/>
    <s v="Electronics"/>
    <s v="East"/>
    <s v="Nov-24"/>
    <s v="Q4 2024"/>
    <n v="861"/>
    <n v="0.39790209790209791"/>
  </r>
  <r>
    <s v="ORD-01492"/>
    <d v="2024-03-23T00:00:00"/>
    <s v="CUST-0274"/>
    <s v="PROD-046"/>
    <s v="R023"/>
    <n v="4"/>
    <n v="4880"/>
    <n v="19.399999999999999"/>
    <n v="15733.12"/>
    <s v="Cancelled"/>
    <x v="4"/>
    <s v="Beauty"/>
    <s v="East"/>
    <s v="Mar-24"/>
    <s v="Q1 2024"/>
    <n v="2768"/>
    <n v="0.43278688524590164"/>
  </r>
  <r>
    <s v="ORD-01493"/>
    <d v="2024-10-01T00:00:00"/>
    <s v="CUST-0197"/>
    <s v="PROD-060"/>
    <s v="R001"/>
    <n v="2"/>
    <n v="190"/>
    <n v="9"/>
    <n v="345.8"/>
    <s v="Completed"/>
    <x v="4"/>
    <s v="Sports"/>
    <s v="North"/>
    <s v="Oct-24"/>
    <s v="Q4 2024"/>
    <n v="147"/>
    <n v="0.22631578947368422"/>
  </r>
  <r>
    <s v="ORD-01494"/>
    <d v="2024-05-03T00:00:00"/>
    <s v="CUST-0294"/>
    <s v="PROD-045"/>
    <s v="R019"/>
    <n v="1"/>
    <n v="3020"/>
    <n v="3.6"/>
    <n v="2911.28"/>
    <s v="Refunded"/>
    <x v="2"/>
    <s v="Beauty"/>
    <s v="East"/>
    <s v="May-24"/>
    <s v="Q2 2024"/>
    <n v="1626"/>
    <n v="0.46158940397350995"/>
  </r>
  <r>
    <s v="ORD-01495"/>
    <d v="2024-11-05T00:00:00"/>
    <s v="CUST-0281"/>
    <s v="PROD-046"/>
    <s v="R019"/>
    <n v="2"/>
    <n v="4880"/>
    <n v="2"/>
    <n v="9564.7999999999993"/>
    <s v="Cancelled"/>
    <x v="4"/>
    <s v="Beauty"/>
    <s v="East"/>
    <s v="Nov-24"/>
    <s v="Q4 2024"/>
    <n v="2768"/>
    <n v="0.43278688524590164"/>
  </r>
  <r>
    <s v="ORD-01496"/>
    <d v="2024-01-28T00:00:00"/>
    <s v="CUST-0130"/>
    <s v="PROD-058"/>
    <s v="R027"/>
    <n v="4"/>
    <n v="2400"/>
    <n v="11.5"/>
    <n v="8496"/>
    <s v="Completed"/>
    <x v="4"/>
    <s v="Sports"/>
    <s v="West"/>
    <s v="Jan-24"/>
    <s v="Q1 2024"/>
    <n v="974"/>
    <n v="0.59416666666666662"/>
  </r>
  <r>
    <s v="ORD-01497"/>
    <d v="2024-03-06T00:00:00"/>
    <s v="CUST-0097"/>
    <s v="PROD-050"/>
    <s v="R002"/>
    <n v="2"/>
    <n v="6080"/>
    <n v="0.5"/>
    <n v="12099.2"/>
    <s v="Cancelled"/>
    <x v="3"/>
    <s v="Beauty"/>
    <s v="North"/>
    <s v="Mar-24"/>
    <s v="Q1 2024"/>
    <n v="2617"/>
    <n v="0.56957236842105263"/>
  </r>
  <r>
    <s v="ORD-01498"/>
    <d v="2024-04-02T00:00:00"/>
    <s v="CUST-0148"/>
    <s v="PROD-023"/>
    <s v="R023"/>
    <n v="7"/>
    <n v="2380"/>
    <n v="12.3"/>
    <n v="14610.82"/>
    <s v="Completed"/>
    <x v="1"/>
    <s v="Grocery"/>
    <s v="East"/>
    <s v="Apr-24"/>
    <s v="Q2 2024"/>
    <n v="1182"/>
    <n v="0.50336134453781511"/>
  </r>
  <r>
    <s v="ORD-01499"/>
    <d v="2024-08-05T00:00:00"/>
    <s v="CUST-0102"/>
    <s v="PROD-041"/>
    <s v="R001"/>
    <n v="10"/>
    <n v="1540"/>
    <n v="20.6"/>
    <n v="12227.6"/>
    <s v="Completed"/>
    <x v="1"/>
    <s v="Beauty"/>
    <s v="North"/>
    <s v="Aug-24"/>
    <s v="Q3 2024"/>
    <n v="647"/>
    <n v="0.57987012987012987"/>
  </r>
  <r>
    <s v="ORD-01500"/>
    <d v="2024-08-16T00:00:00"/>
    <s v="CUST-0265"/>
    <s v="PROD-004"/>
    <s v="R028"/>
    <n v="7"/>
    <n v="3870"/>
    <n v="6.1"/>
    <n v="25437.51"/>
    <s v="Completed"/>
    <x v="1"/>
    <s v="Electronics"/>
    <s v="West"/>
    <s v="Aug-24"/>
    <s v="Q3 2024"/>
    <n v="1559"/>
    <n v="0.59715762273901807"/>
  </r>
  <r>
    <s v="ORD-01501"/>
    <d v="2024-04-01T00:00:00"/>
    <s v="CUST-0073"/>
    <s v="PROD-032"/>
    <s v="R021"/>
    <n v="3"/>
    <n v="370"/>
    <n v="13.7"/>
    <n v="957.93"/>
    <s v="Completed"/>
    <x v="0"/>
    <s v="Home"/>
    <s v="East"/>
    <s v="Apr-24"/>
    <s v="Q2 2024"/>
    <n v="288"/>
    <n v="0.22162162162162163"/>
  </r>
  <r>
    <s v="ORD-01502"/>
    <d v="2024-02-06T00:00:00"/>
    <s v="CUST-0070"/>
    <s v="PROD-060"/>
    <s v="R027"/>
    <n v="8"/>
    <n v="190"/>
    <n v="0.2"/>
    <n v="1516.96"/>
    <s v="Completed"/>
    <x v="3"/>
    <s v="Sports"/>
    <s v="West"/>
    <s v="Feb-24"/>
    <s v="Q1 2024"/>
    <n v="147"/>
    <n v="0.22631578947368422"/>
  </r>
  <r>
    <s v="ORD-01503"/>
    <d v="2024-07-28T00:00:00"/>
    <s v="CUST-0202"/>
    <s v="PROD-007"/>
    <s v="R011"/>
    <n v="6"/>
    <n v="1430"/>
    <n v="0.1"/>
    <n v="8571.42"/>
    <s v="Completed"/>
    <x v="1"/>
    <s v="Electronics"/>
    <s v="South"/>
    <s v="Jul-24"/>
    <s v="Q3 2024"/>
    <n v="861"/>
    <n v="0.39790209790209791"/>
  </r>
  <r>
    <s v="ORD-01504"/>
    <d v="2024-02-24T00:00:00"/>
    <s v="CUST-0240"/>
    <s v="PROD-053"/>
    <s v="R020"/>
    <n v="4"/>
    <n v="470"/>
    <n v="3"/>
    <n v="1823.6"/>
    <s v="Completed"/>
    <x v="1"/>
    <s v="Sports"/>
    <s v="East"/>
    <s v="Feb-24"/>
    <s v="Q1 2024"/>
    <n v="302"/>
    <n v="0.35744680851063831"/>
  </r>
  <r>
    <s v="ORD-01505"/>
    <d v="2024-06-03T00:00:00"/>
    <s v="CUST-0163"/>
    <s v="PROD-018"/>
    <s v="R004"/>
    <n v="4"/>
    <n v="3560"/>
    <n v="1.1000000000000001"/>
    <n v="14083.36"/>
    <s v="Completed"/>
    <x v="0"/>
    <s v="Apparel"/>
    <s v="North"/>
    <s v="Jun-24"/>
    <s v="Q2 2024"/>
    <n v="2629"/>
    <n v="0.26151685393258428"/>
  </r>
  <r>
    <s v="ORD-01506"/>
    <d v="2024-08-17T00:00:00"/>
    <s v="CUST-0238"/>
    <s v="PROD-046"/>
    <s v="R012"/>
    <n v="5"/>
    <n v="4880"/>
    <n v="17"/>
    <n v="20252"/>
    <s v="Completed"/>
    <x v="2"/>
    <s v="Beauty"/>
    <s v="South"/>
    <s v="Aug-24"/>
    <s v="Q3 2024"/>
    <n v="2768"/>
    <n v="0.43278688524590164"/>
  </r>
  <r>
    <s v="ORD-01507"/>
    <d v="2024-07-10T00:00:00"/>
    <s v="CUST-0196"/>
    <s v="PROD-003"/>
    <s v="R009"/>
    <n v="9"/>
    <n v="3570"/>
    <n v="12"/>
    <n v="28274.400000000001"/>
    <s v="Completed"/>
    <x v="1"/>
    <s v="Electronics"/>
    <s v="South"/>
    <s v="Jul-24"/>
    <s v="Q3 2024"/>
    <n v="1665"/>
    <n v="0.53361344537815125"/>
  </r>
  <r>
    <s v="ORD-01508"/>
    <d v="2024-03-19T00:00:00"/>
    <s v="CUST-0220"/>
    <s v="PROD-051"/>
    <s v="R025"/>
    <n v="6"/>
    <n v="3450"/>
    <n v="22.7"/>
    <n v="16001.1"/>
    <s v="Cancelled"/>
    <x v="1"/>
    <s v="Sports"/>
    <s v="West"/>
    <s v="Mar-24"/>
    <s v="Q1 2024"/>
    <n v="2467"/>
    <n v="0.28492753623188405"/>
  </r>
  <r>
    <s v="ORD-01509"/>
    <d v="2024-06-13T00:00:00"/>
    <s v="CUST-0142"/>
    <s v="PROD-040"/>
    <s v="R002"/>
    <n v="10"/>
    <n v="1080"/>
    <n v="27.4"/>
    <n v="7840.8"/>
    <s v="Completed"/>
    <x v="1"/>
    <s v="Home"/>
    <s v="North"/>
    <s v="Jun-24"/>
    <s v="Q2 2024"/>
    <n v="519"/>
    <n v="0.51944444444444449"/>
  </r>
  <r>
    <s v="ORD-01510"/>
    <d v="2024-11-09T00:00:00"/>
    <s v="CUST-0217"/>
    <s v="PROD-041"/>
    <s v="R025"/>
    <n v="6"/>
    <n v="1540"/>
    <n v="17.100000000000001"/>
    <n v="7659.96"/>
    <s v="Completed"/>
    <x v="0"/>
    <s v="Beauty"/>
    <s v="West"/>
    <s v="Nov-24"/>
    <s v="Q4 2024"/>
    <n v="647"/>
    <n v="0.57987012987012987"/>
  </r>
  <r>
    <s v="ORD-01511"/>
    <d v="2024-09-21T00:00:00"/>
    <s v="CUST-9582"/>
    <s v="PROD-015"/>
    <s v="R013"/>
    <n v="6"/>
    <n v="2720"/>
    <n v="28.1"/>
    <n v="11734.08"/>
    <s v="Completed"/>
    <x v="3"/>
    <s v="Apparel"/>
    <s v="South"/>
    <s v="Sep-24"/>
    <s v="Q3 2024"/>
    <n v="1962"/>
    <n v="0.2786764705882353"/>
  </r>
  <r>
    <s v="ORD-01512"/>
    <d v="2024-10-04T00:00:00"/>
    <s v="CUST-0267"/>
    <s v="PROD-034"/>
    <s v="R005"/>
    <n v="2"/>
    <n v="5080"/>
    <n v="11.1"/>
    <n v="9032.24"/>
    <s v="Completed"/>
    <x v="5"/>
    <s v="Home"/>
    <s v="North"/>
    <s v="Oct-24"/>
    <s v="Q4 2024"/>
    <n v="2459"/>
    <n v="0.51594488188976373"/>
  </r>
  <r>
    <s v="ORD-01513"/>
    <d v="2024-02-07T00:00:00"/>
    <s v="CUST-9565"/>
    <s v="PROD-016"/>
    <s v="R008"/>
    <n v="5"/>
    <n v="620"/>
    <n v="10.9"/>
    <n v="2762.1"/>
    <s v="Pending"/>
    <x v="1"/>
    <s v="Apparel"/>
    <s v="North"/>
    <s v="Feb-24"/>
    <s v="Q1 2024"/>
    <n v="396"/>
    <n v="0.36129032258064514"/>
  </r>
  <r>
    <s v="ORD-01514"/>
    <d v="2024-03-26T00:00:00"/>
    <s v="CUST-0051"/>
    <s v="PROD-019"/>
    <s v="R003"/>
    <n v="3"/>
    <n v="2480"/>
    <n v="5"/>
    <n v="7068"/>
    <s v="Completed"/>
    <x v="0"/>
    <s v="Apparel"/>
    <s v="North"/>
    <s v="Mar-24"/>
    <s v="Q1 2024"/>
    <n v="1173"/>
    <n v="0.52701612903225803"/>
  </r>
  <r>
    <s v="ORD-01515"/>
    <d v="2024-09-02T00:00:00"/>
    <s v="CUST-0075"/>
    <s v="PROD-054"/>
    <s v="R005"/>
    <n v="9"/>
    <n v="1010"/>
    <n v="21.9"/>
    <n v="7099.29"/>
    <s v="Completed"/>
    <x v="3"/>
    <s v="Sports"/>
    <s v="North"/>
    <s v="Sep-24"/>
    <s v="Q3 2024"/>
    <n v="516"/>
    <n v="0.4891089108910891"/>
  </r>
  <r>
    <s v="ORD-01516"/>
    <d v="2024-09-15T00:00:00"/>
    <s v="CUST-0106"/>
    <s v="PROD-040"/>
    <s v="R004"/>
    <n v="2"/>
    <n v="1080"/>
    <n v="8.5"/>
    <n v="1976.4"/>
    <s v="Completed"/>
    <x v="0"/>
    <s v="Home"/>
    <s v="North"/>
    <s v="Sep-24"/>
    <s v="Q3 2024"/>
    <n v="519"/>
    <n v="0.51944444444444449"/>
  </r>
  <r>
    <s v="ORD-01517"/>
    <d v="2024-02-03T00:00:00"/>
    <s v="CUST-0053"/>
    <s v="PROD-053"/>
    <s v="R025"/>
    <n v="5"/>
    <n v="470"/>
    <n v="8"/>
    <n v="2162"/>
    <s v="Completed"/>
    <x v="2"/>
    <s v="Sports"/>
    <s v="West"/>
    <s v="Feb-24"/>
    <s v="Q1 2024"/>
    <n v="302"/>
    <n v="0.35744680851063831"/>
  </r>
  <r>
    <s v="ORD-01518"/>
    <d v="2024-03-24T00:00:00"/>
    <s v="CUST-0042"/>
    <s v="PROD-006"/>
    <s v="R020"/>
    <n v="9"/>
    <n v="3970"/>
    <n v="18.5"/>
    <n v="29119.95"/>
    <s v="Completed"/>
    <x v="0"/>
    <s v="Electronics"/>
    <s v="East"/>
    <s v="Mar-24"/>
    <s v="Q1 2024"/>
    <n v="2865"/>
    <n v="0.27833753148614609"/>
  </r>
  <r>
    <s v="ORD-01519"/>
    <d v="2024-11-18T00:00:00"/>
    <s v="CUST-0120"/>
    <s v="PROD-044"/>
    <s v="R010"/>
    <n v="9"/>
    <n v="1650"/>
    <n v="19.5"/>
    <n v="11954.25"/>
    <s v="Completed"/>
    <x v="3"/>
    <s v="Beauty"/>
    <s v="South"/>
    <s v="Nov-24"/>
    <s v="Q4 2024"/>
    <n v="1222"/>
    <n v="0.2593939393939394"/>
  </r>
  <r>
    <s v="ORD-01520"/>
    <d v="2024-03-13T00:00:00"/>
    <s v="CUST-0166"/>
    <s v="PROD-043"/>
    <s v="R006"/>
    <n v="9"/>
    <n v="3350"/>
    <n v="4.0999999999999996"/>
    <n v="28913.85"/>
    <s v="Completed"/>
    <x v="5"/>
    <s v="Beauty"/>
    <s v="North"/>
    <s v="Mar-24"/>
    <s v="Q1 2024"/>
    <n v="1728"/>
    <n v="0.48417910447761192"/>
  </r>
  <r>
    <s v="ORD-01521"/>
    <d v="2024-02-20T00:00:00"/>
    <s v="CUST-0175"/>
    <s v="PROD-006"/>
    <s v="R023"/>
    <n v="7"/>
    <n v="3970"/>
    <n v="15.6"/>
    <n v="23454.76"/>
    <s v="Completed"/>
    <x v="2"/>
    <s v="Electronics"/>
    <s v="East"/>
    <s v="Feb-24"/>
    <s v="Q1 2024"/>
    <n v="2865"/>
    <n v="0.27833753148614609"/>
  </r>
  <r>
    <s v="ORD-01522"/>
    <d v="2024-06-11T00:00:00"/>
    <s v="CUST-0001"/>
    <s v="PROD-027"/>
    <s v="R018"/>
    <n v="7"/>
    <n v="3780"/>
    <n v="18.7"/>
    <n v="21511.98"/>
    <s v="Completed"/>
    <x v="0"/>
    <s v="Grocery"/>
    <s v="East"/>
    <s v="Jun-24"/>
    <s v="Q2 2024"/>
    <n v="2436"/>
    <n v="0.35555555555555557"/>
  </r>
  <r>
    <s v="ORD-01523"/>
    <d v="2024-11-29T00:00:00"/>
    <s v="CUST-0238"/>
    <s v="PROD-020"/>
    <s v="R013"/>
    <n v="4"/>
    <n v="820"/>
    <n v="18.8"/>
    <n v="2663.36"/>
    <s v="Cancelled"/>
    <x v="2"/>
    <s v="Apparel"/>
    <s v="South"/>
    <s v="Nov-24"/>
    <s v="Q4 2024"/>
    <n v="391"/>
    <n v="0.52317073170731709"/>
  </r>
  <r>
    <s v="ORD-01524"/>
    <d v="2024-11-04T00:00:00"/>
    <s v="CUST-0279"/>
    <s v="PROD-044"/>
    <s v="R022"/>
    <n v="1"/>
    <n v="1650"/>
    <n v="18.8"/>
    <n v="1339.8"/>
    <s v="Cancelled"/>
    <x v="3"/>
    <s v="Beauty"/>
    <s v="East"/>
    <s v="Nov-24"/>
    <s v="Q4 2024"/>
    <n v="1222"/>
    <n v="0.2593939393939394"/>
  </r>
  <r>
    <s v="ORD-01525"/>
    <d v="2024-04-15T00:00:00"/>
    <s v="CUST-0042"/>
    <s v="PROD-027"/>
    <s v="R021"/>
    <n v="2"/>
    <n v="3780"/>
    <n v="1"/>
    <n v="7484.4"/>
    <s v="Refunded"/>
    <x v="0"/>
    <s v="Grocery"/>
    <s v="East"/>
    <s v="Apr-24"/>
    <s v="Q2 2024"/>
    <n v="2436"/>
    <n v="0.35555555555555557"/>
  </r>
  <r>
    <s v="ORD-01526"/>
    <d v="2024-05-05T00:00:00"/>
    <s v="CUST-0137"/>
    <s v="PROD-029"/>
    <s v="R027"/>
    <n v="5"/>
    <n v="2210"/>
    <n v="16.600000000000001"/>
    <n v="9215.7000000000007"/>
    <s v="Completed"/>
    <x v="3"/>
    <s v="Grocery"/>
    <s v="West"/>
    <s v="May-24"/>
    <s v="Q2 2024"/>
    <n v="1010"/>
    <n v="0.54298642533936647"/>
  </r>
  <r>
    <s v="ORD-01527"/>
    <d v="2024-07-14T00:00:00"/>
    <s v="CUST-0160"/>
    <s v="PROD-056"/>
    <s v="R010"/>
    <n v="10"/>
    <n v="6940"/>
    <n v="10.6"/>
    <n v="62043.6"/>
    <s v="Completed"/>
    <x v="5"/>
    <s v="Sports"/>
    <s v="South"/>
    <s v="Jul-24"/>
    <s v="Q3 2024"/>
    <n v="2827"/>
    <n v="0.5926512968299712"/>
  </r>
  <r>
    <s v="ORD-01528"/>
    <d v="2024-06-11T00:00:00"/>
    <s v="CUST-0102"/>
    <s v="PROD-042"/>
    <s v="R005"/>
    <n v="8"/>
    <n v="2290"/>
    <n v="12.2"/>
    <n v="16084.96"/>
    <s v="Completed"/>
    <x v="1"/>
    <s v="Beauty"/>
    <s v="North"/>
    <s v="Jun-24"/>
    <s v="Q2 2024"/>
    <n v="1219"/>
    <n v="0.46768558951965067"/>
  </r>
  <r>
    <s v="ORD-01529"/>
    <d v="2024-08-25T00:00:00"/>
    <s v="CUST-0133"/>
    <s v="PROD-033"/>
    <s v="R025"/>
    <n v="5"/>
    <n v="2030"/>
    <n v="23.8"/>
    <n v="7734.3"/>
    <s v="Cancelled"/>
    <x v="1"/>
    <s v="Home"/>
    <s v="West"/>
    <s v="Aug-24"/>
    <s v="Q3 2024"/>
    <n v="1143"/>
    <n v="0.43694581280788175"/>
  </r>
  <r>
    <s v="ORD-01530"/>
    <d v="2024-09-11T00:00:00"/>
    <s v="CUST-0080"/>
    <s v="PROD-006"/>
    <s v="R029"/>
    <n v="3"/>
    <n v="3970"/>
    <n v="7.7"/>
    <n v="10992.93"/>
    <s v="Completed"/>
    <x v="0"/>
    <s v="Electronics"/>
    <s v="West"/>
    <s v="Sep-24"/>
    <s v="Q3 2024"/>
    <n v="2865"/>
    <n v="0.27833753148614609"/>
  </r>
  <r>
    <s v="ORD-01821"/>
    <d v="2024-07-08T00:00:00"/>
    <s v="CUST-0299"/>
    <s v="PROD-020"/>
    <s v="R016"/>
    <n v="1"/>
    <n v="820"/>
    <n v="5.4"/>
    <n v="775.72"/>
    <s v="Completed"/>
    <x v="3"/>
    <s v="Apparel"/>
    <s v="South"/>
    <s v="Jul-24"/>
    <s v="Q3 2024"/>
    <n v="391"/>
    <n v="0.52317073170731709"/>
  </r>
  <r>
    <s v="ORD-01532"/>
    <d v="2024-06-29T00:00:00"/>
    <s v="CUST-0078"/>
    <s v="PROD-004"/>
    <s v="R025"/>
    <n v="3"/>
    <n v="3870"/>
    <n v="1.9"/>
    <n v="11389.41"/>
    <s v="Completed"/>
    <x v="2"/>
    <s v="Electronics"/>
    <s v="West"/>
    <s v="Jun-24"/>
    <s v="Q2 2024"/>
    <n v="1559"/>
    <n v="0.59715762273901807"/>
  </r>
  <r>
    <s v="ORD-01533"/>
    <d v="2024-01-05T00:00:00"/>
    <s v="CUST-0251"/>
    <s v="PROD-030"/>
    <s v="R022"/>
    <n v="6"/>
    <n v="970"/>
    <n v="27.1"/>
    <n v="4242.78"/>
    <s v="Completed"/>
    <x v="3"/>
    <s v="Grocery"/>
    <s v="East"/>
    <s v="Jan-24"/>
    <s v="Q1 2024"/>
    <n v="434"/>
    <n v="0.5525773195876289"/>
  </r>
  <r>
    <s v="ORD-01534"/>
    <d v="2024-10-02T00:00:00"/>
    <s v="CUST-0191"/>
    <s v="PROD-046"/>
    <s v="R025"/>
    <n v="1"/>
    <n v="4880"/>
    <n v="26.8"/>
    <n v="3572.16"/>
    <s v="Completed"/>
    <x v="5"/>
    <s v="Beauty"/>
    <s v="West"/>
    <s v="Oct-24"/>
    <s v="Q4 2024"/>
    <n v="2768"/>
    <n v="0.43278688524590164"/>
  </r>
  <r>
    <s v="ORD-01535"/>
    <d v="2024-02-15T00:00:00"/>
    <s v="CUST-0130"/>
    <s v="PROD-022"/>
    <s v="R023"/>
    <n v="1"/>
    <n v="2270"/>
    <n v="22.2"/>
    <n v="1766.06"/>
    <s v="Completed"/>
    <x v="4"/>
    <s v="Grocery"/>
    <s v="East"/>
    <s v="Feb-24"/>
    <s v="Q1 2024"/>
    <n v="1412"/>
    <n v="0.37797356828193834"/>
  </r>
  <r>
    <s v="ORD-01536"/>
    <d v="2024-03-25T00:00:00"/>
    <s v="CUST-0056"/>
    <s v="PROD-047"/>
    <s v="R026"/>
    <n v="10"/>
    <n v="3450"/>
    <n v="21.9"/>
    <n v="26944.5"/>
    <s v="Completed"/>
    <x v="4"/>
    <s v="Beauty"/>
    <s v="West"/>
    <s v="Mar-24"/>
    <s v="Q1 2024"/>
    <n v="2420"/>
    <n v="0.29855072463768118"/>
  </r>
  <r>
    <s v="ORD-01537"/>
    <d v="2024-11-20T00:00:00"/>
    <s v="CUST-0185"/>
    <s v="PROD-022"/>
    <s v="R011"/>
    <n v="3"/>
    <n v="2270"/>
    <n v="19.100000000000001"/>
    <n v="5509.29"/>
    <s v="Cancelled"/>
    <x v="5"/>
    <s v="Grocery"/>
    <s v="South"/>
    <s v="Nov-24"/>
    <s v="Q4 2024"/>
    <n v="1412"/>
    <n v="0.37797356828193834"/>
  </r>
  <r>
    <s v="ORD-01538"/>
    <d v="2024-03-09T00:00:00"/>
    <s v="CUST-0195"/>
    <s v="PROD-029"/>
    <s v="R030"/>
    <n v="10"/>
    <n v="2210"/>
    <n v="22.3"/>
    <n v="17171.7"/>
    <s v="Completed"/>
    <x v="4"/>
    <s v="Grocery"/>
    <s v="West"/>
    <s v="Mar-24"/>
    <s v="Q1 2024"/>
    <n v="1010"/>
    <n v="0.54298642533936647"/>
  </r>
  <r>
    <s v="ORD-01539"/>
    <d v="2024-06-22T00:00:00"/>
    <s v="CUST-0067"/>
    <s v="PROD-033"/>
    <s v="R011"/>
    <n v="9"/>
    <n v="2030"/>
    <n v="24.8"/>
    <n v="13739.04"/>
    <s v="Completed"/>
    <x v="2"/>
    <s v="Home"/>
    <s v="South"/>
    <s v="Jun-24"/>
    <s v="Q2 2024"/>
    <n v="1143"/>
    <n v="0.43694581280788175"/>
  </r>
  <r>
    <s v="ORD-01540"/>
    <d v="2024-03-29T00:00:00"/>
    <s v="CUST-0149"/>
    <s v="PROD-043"/>
    <s v="R023"/>
    <n v="5"/>
    <n v="3350"/>
    <n v="18.2"/>
    <n v="13701.5"/>
    <s v="Completed"/>
    <x v="5"/>
    <s v="Beauty"/>
    <s v="East"/>
    <s v="Mar-24"/>
    <s v="Q1 2024"/>
    <n v="1728"/>
    <n v="0.48417910447761192"/>
  </r>
  <r>
    <s v="ORD-01541"/>
    <d v="2024-03-07T00:00:00"/>
    <s v="CUST-0268"/>
    <s v="PROD-013"/>
    <s v="R008"/>
    <n v="7"/>
    <n v="3640"/>
    <n v="14.4"/>
    <n v="21810.880000000001"/>
    <s v="Completed"/>
    <x v="1"/>
    <s v="Apparel"/>
    <s v="North"/>
    <s v="Mar-24"/>
    <s v="Q1 2024"/>
    <n v="2611"/>
    <n v="0.28269230769230769"/>
  </r>
  <r>
    <s v="ORD-01542"/>
    <d v="2024-04-03T00:00:00"/>
    <s v="CUST-0126"/>
    <s v="PROD-051"/>
    <s v="R018"/>
    <n v="9"/>
    <n v="3450"/>
    <n v="20.100000000000001"/>
    <n v="24808.95"/>
    <s v="Completed"/>
    <x v="3"/>
    <s v="Sports"/>
    <s v="East"/>
    <s v="Apr-24"/>
    <s v="Q2 2024"/>
    <n v="2467"/>
    <n v="0.28492753623188405"/>
  </r>
  <r>
    <s v="ORD-01543"/>
    <d v="2024-05-31T00:00:00"/>
    <s v="CUST-0017"/>
    <s v="PROD-047"/>
    <s v="R003"/>
    <n v="6"/>
    <n v="3450"/>
    <n v="19.899999999999999"/>
    <n v="16580.7"/>
    <s v="Pending"/>
    <x v="2"/>
    <s v="Beauty"/>
    <s v="North"/>
    <s v="May-24"/>
    <s v="Q2 2024"/>
    <n v="2420"/>
    <n v="0.29855072463768118"/>
  </r>
  <r>
    <s v="ORD-01544"/>
    <d v="2024-11-03T00:00:00"/>
    <s v="CUST-0250"/>
    <s v="PROD-042"/>
    <s v="R022"/>
    <n v="4"/>
    <n v="2290"/>
    <n v="4.8"/>
    <n v="8720.32"/>
    <s v="Pending"/>
    <x v="2"/>
    <s v="Beauty"/>
    <s v="East"/>
    <s v="Nov-24"/>
    <s v="Q4 2024"/>
    <n v="1219"/>
    <n v="0.46768558951965067"/>
  </r>
  <r>
    <s v="ORD-01545"/>
    <d v="2024-07-06T00:00:00"/>
    <s v="CUST-0245"/>
    <s v="PROD-057"/>
    <s v="R010"/>
    <n v="9"/>
    <n v="960"/>
    <n v="2.4"/>
    <n v="8432.64"/>
    <s v="Completed"/>
    <x v="5"/>
    <s v="Sports"/>
    <s v="South"/>
    <s v="Jul-24"/>
    <s v="Q3 2024"/>
    <n v="705"/>
    <n v="0.265625"/>
  </r>
  <r>
    <s v="ORD-01546"/>
    <d v="2024-07-16T00:00:00"/>
    <s v="CUST-0016"/>
    <s v="PROD-039"/>
    <s v="R025"/>
    <n v="9"/>
    <n v="4610"/>
    <n v="21.3"/>
    <n v="32652.63"/>
    <s v="Completed"/>
    <x v="2"/>
    <s v="Home"/>
    <s v="West"/>
    <s v="Jul-24"/>
    <s v="Q3 2024"/>
    <n v="1850"/>
    <n v="0.59869848156182215"/>
  </r>
  <r>
    <s v="ORD-01547"/>
    <d v="2024-08-10T00:00:00"/>
    <s v="CUST-0063"/>
    <s v="PROD-028"/>
    <s v="R003"/>
    <n v="1"/>
    <n v="3660"/>
    <n v="15.6"/>
    <n v="3089.04"/>
    <s v="Completed"/>
    <x v="3"/>
    <s v="Grocery"/>
    <s v="North"/>
    <s v="Aug-24"/>
    <s v="Q3 2024"/>
    <n v="2214"/>
    <n v="0.39508196721311473"/>
  </r>
  <r>
    <s v="ORD-01548"/>
    <d v="2024-12-27T00:00:00"/>
    <s v="CUST-0200"/>
    <s v="PROD-008"/>
    <s v="R012"/>
    <n v="5"/>
    <n v="2660"/>
    <n v="20.399999999999999"/>
    <n v="10586.8"/>
    <s v="Completed"/>
    <x v="5"/>
    <s v="Electronics"/>
    <s v="South"/>
    <s v="Dec-24"/>
    <s v="Q4 2024"/>
    <n v="1259"/>
    <n v="0.52669172932330832"/>
  </r>
  <r>
    <s v="ORD-01549"/>
    <d v="2024-04-19T00:00:00"/>
    <s v="CUST-0017"/>
    <s v="PROD-041"/>
    <s v="R026"/>
    <n v="8"/>
    <n v="1540"/>
    <n v="0.5"/>
    <n v="12258.4"/>
    <s v="Completed"/>
    <x v="2"/>
    <s v="Beauty"/>
    <s v="West"/>
    <s v="Apr-24"/>
    <s v="Q2 2024"/>
    <n v="647"/>
    <n v="0.57987012987012987"/>
  </r>
  <r>
    <s v="ORD-01550"/>
    <d v="2024-11-25T00:00:00"/>
    <s v="CUST-0264"/>
    <s v="PROD-006"/>
    <s v="R004"/>
    <n v="4"/>
    <n v="3970"/>
    <n v="22.5"/>
    <n v="12307"/>
    <s v="Completed"/>
    <x v="0"/>
    <s v="Electronics"/>
    <s v="North"/>
    <s v="Nov-24"/>
    <s v="Q4 2024"/>
    <n v="2865"/>
    <n v="0.27833753148614609"/>
  </r>
  <r>
    <s v="ORD-01551"/>
    <d v="2024-03-17T00:00:00"/>
    <s v="CUST-0102"/>
    <s v="PROD-059"/>
    <s v="R007"/>
    <n v="8"/>
    <n v="3780"/>
    <n v="3.8"/>
    <n v="29090.880000000001"/>
    <s v="Completed"/>
    <x v="1"/>
    <s v="Sports"/>
    <s v="North"/>
    <s v="Mar-24"/>
    <s v="Q1 2024"/>
    <n v="1860"/>
    <n v="0.50793650793650791"/>
  </r>
  <r>
    <s v="ORD-01552"/>
    <d v="2024-09-15T00:00:00"/>
    <s v="CUST-0092"/>
    <s v="PROD-022"/>
    <s v="R004"/>
    <n v="4"/>
    <n v="2270"/>
    <n v="3.8"/>
    <n v="8734.9599999999991"/>
    <s v="Cancelled"/>
    <x v="4"/>
    <s v="Grocery"/>
    <s v="North"/>
    <s v="Sep-24"/>
    <s v="Q3 2024"/>
    <n v="1412"/>
    <n v="0.37797356828193834"/>
  </r>
  <r>
    <s v="ORD-01553"/>
    <d v="2024-01-13T00:00:00"/>
    <s v="CUST-0139"/>
    <s v="PROD-009"/>
    <s v="R009"/>
    <n v="10"/>
    <n v="1220"/>
    <n v="19.5"/>
    <n v="9821"/>
    <s v="Completed"/>
    <x v="5"/>
    <s v="Electronics"/>
    <s v="South"/>
    <s v="Jan-24"/>
    <s v="Q1 2024"/>
    <n v="517"/>
    <n v="0.57622950819672136"/>
  </r>
  <r>
    <s v="ORD-01554"/>
    <d v="2024-01-30T00:00:00"/>
    <s v="CUST-0129"/>
    <s v="PROD-043"/>
    <s v="R015"/>
    <n v="10"/>
    <n v="3350"/>
    <n v="7.8"/>
    <n v="30887"/>
    <s v="Completed"/>
    <x v="5"/>
    <s v="Beauty"/>
    <s v="South"/>
    <s v="Jan-24"/>
    <s v="Q1 2024"/>
    <n v="1728"/>
    <n v="0.48417910447761192"/>
  </r>
  <r>
    <s v="ORD-01555"/>
    <d v="2024-03-07T00:00:00"/>
    <s v="CUST-9841"/>
    <s v="PROD-043"/>
    <s v="R030"/>
    <n v="7"/>
    <n v="3350"/>
    <n v="14.5"/>
    <n v="20049.75"/>
    <s v="Completed"/>
    <x v="4"/>
    <s v="Beauty"/>
    <s v="West"/>
    <s v="Mar-24"/>
    <s v="Q1 2024"/>
    <n v="1728"/>
    <n v="0.48417910447761192"/>
  </r>
  <r>
    <s v="ORD-01556"/>
    <d v="2024-05-28T00:00:00"/>
    <s v="CUST-0069"/>
    <s v="PROD-038"/>
    <s v="R014"/>
    <n v="6"/>
    <n v="5490"/>
    <n v="8"/>
    <n v="30304.799999999999"/>
    <s v="Completed"/>
    <x v="1"/>
    <s v="Home"/>
    <s v="South"/>
    <s v="May-24"/>
    <s v="Q2 2024"/>
    <n v="2549"/>
    <n v="0.53570127504553733"/>
  </r>
  <r>
    <s v="ORD-01557"/>
    <d v="2024-11-22T00:00:00"/>
    <s v="CUST-0140"/>
    <s v="PROD-055"/>
    <s v="R018"/>
    <n v="3"/>
    <n v="2860"/>
    <n v="19.899999999999999"/>
    <n v="6872.58"/>
    <s v="Completed"/>
    <x v="5"/>
    <s v="Sports"/>
    <s v="East"/>
    <s v="Nov-24"/>
    <s v="Q4 2024"/>
    <n v="2028"/>
    <n v="0.29090909090909089"/>
  </r>
  <r>
    <s v="ORD-01558"/>
    <d v="2024-01-04T00:00:00"/>
    <s v="CUST-0138"/>
    <s v="PROD-010"/>
    <s v="R024"/>
    <n v="3"/>
    <n v="2640"/>
    <n v="29.3"/>
    <n v="5599.44"/>
    <s v="Completed"/>
    <x v="1"/>
    <s v="Electronics"/>
    <s v="West"/>
    <s v="Jan-24"/>
    <s v="Q1 2024"/>
    <n v="1149"/>
    <n v="0.56477272727272732"/>
  </r>
  <r>
    <s v="ORD-01559"/>
    <d v="2024-04-02T00:00:00"/>
    <s v="CUST-0277"/>
    <s v="PROD-011"/>
    <s v="R029"/>
    <n v="8"/>
    <n v="3450"/>
    <n v="15.2"/>
    <n v="23404.799999999999"/>
    <s v="Cancelled"/>
    <x v="1"/>
    <s v="Apparel"/>
    <s v="West"/>
    <s v="Apr-24"/>
    <s v="Q2 2024"/>
    <n v="1748"/>
    <n v="0.49333333333333335"/>
  </r>
  <r>
    <s v="ORD-01560"/>
    <d v="2024-02-27T00:00:00"/>
    <s v="CUST-0017"/>
    <s v="PROD-032"/>
    <s v="R025"/>
    <n v="6"/>
    <n v="370"/>
    <n v="7"/>
    <n v="2064.6"/>
    <s v="Completed"/>
    <x v="2"/>
    <s v="Home"/>
    <s v="West"/>
    <s v="Feb-24"/>
    <s v="Q1 2024"/>
    <n v="288"/>
    <n v="0.22162162162162163"/>
  </r>
  <r>
    <s v="ORD-01561"/>
    <d v="2024-05-27T00:00:00"/>
    <s v="CUST-0170"/>
    <s v="PROD-025"/>
    <s v="R029"/>
    <n v="10"/>
    <n v="4060"/>
    <n v="4.7"/>
    <n v="38691.800000000003"/>
    <s v="Cancelled"/>
    <x v="3"/>
    <s v="Grocery"/>
    <s v="West"/>
    <s v="May-24"/>
    <s v="Q2 2024"/>
    <n v="2911"/>
    <n v="0.28300492610837441"/>
  </r>
  <r>
    <s v="ORD-01562"/>
    <d v="2024-05-14T00:00:00"/>
    <s v="CUST-0022"/>
    <s v="PROD-004"/>
    <s v="R024"/>
    <n v="1"/>
    <n v="3870"/>
    <n v="18.2"/>
    <n v="3165.66"/>
    <s v="Pending"/>
    <x v="4"/>
    <s v="Electronics"/>
    <s v="West"/>
    <s v="May-24"/>
    <s v="Q2 2024"/>
    <n v="1559"/>
    <n v="0.59715762273901807"/>
  </r>
  <r>
    <s v="ORD-01563"/>
    <d v="2024-04-03T00:00:00"/>
    <s v="CUST-0158"/>
    <s v="PROD-001"/>
    <s v="R006"/>
    <n v="1"/>
    <n v="5330"/>
    <n v="3.9"/>
    <n v="5122.13"/>
    <s v="Refunded"/>
    <x v="0"/>
    <s v="Electronics"/>
    <s v="North"/>
    <s v="Apr-24"/>
    <s v="Q2 2024"/>
    <n v="2405"/>
    <n v="0.54878048780487809"/>
  </r>
  <r>
    <s v="ORD-01564"/>
    <d v="2024-01-21T00:00:00"/>
    <s v="CUST-0160"/>
    <s v="PROD-032"/>
    <s v="R020"/>
    <n v="8"/>
    <n v="370"/>
    <n v="1.3"/>
    <n v="2921.52"/>
    <s v="Completed"/>
    <x v="5"/>
    <s v="Home"/>
    <s v="East"/>
    <s v="Jan-24"/>
    <s v="Q1 2024"/>
    <n v="288"/>
    <n v="0.22162162162162163"/>
  </r>
  <r>
    <s v="ORD-01565"/>
    <d v="2024-11-26T00:00:00"/>
    <s v="CUST-0009"/>
    <s v="PROD-005"/>
    <s v="R020"/>
    <n v="7"/>
    <n v="300"/>
    <n v="7.1"/>
    <n v="1950.9"/>
    <s v="Completed"/>
    <x v="3"/>
    <s v="Electronics"/>
    <s v="East"/>
    <s v="Nov-24"/>
    <s v="Q4 2024"/>
    <n v="128"/>
    <n v="0.57333333333333336"/>
  </r>
  <r>
    <s v="ORD-01566"/>
    <d v="2024-08-04T00:00:00"/>
    <s v="CUST-0151"/>
    <s v="PROD-043"/>
    <s v="R012"/>
    <n v="8"/>
    <n v="3350"/>
    <n v="11.2"/>
    <n v="23798.400000000001"/>
    <s v="Completed"/>
    <x v="3"/>
    <s v="Beauty"/>
    <s v="South"/>
    <s v="Aug-24"/>
    <s v="Q3 2024"/>
    <n v="1728"/>
    <n v="0.48417910447761192"/>
  </r>
  <r>
    <s v="ORD-01567"/>
    <d v="2024-08-24T00:00:00"/>
    <s v="CUST-0105"/>
    <s v="PROD-056"/>
    <s v="R009"/>
    <n v="6"/>
    <n v="6940"/>
    <n v="0.3"/>
    <n v="41515.08"/>
    <s v="Completed"/>
    <x v="1"/>
    <s v="Sports"/>
    <s v="South"/>
    <s v="Aug-24"/>
    <s v="Q3 2024"/>
    <n v="2827"/>
    <n v="0.5926512968299712"/>
  </r>
  <r>
    <s v="ORD-01568"/>
    <d v="2024-07-10T00:00:00"/>
    <s v="CUST-0292"/>
    <s v="PROD-049"/>
    <s v="R008"/>
    <n v="10"/>
    <n v="960"/>
    <n v="9.3000000000000007"/>
    <n v="8707.2000000000007"/>
    <s v="Cancelled"/>
    <x v="4"/>
    <s v="Beauty"/>
    <s v="North"/>
    <s v="Jul-24"/>
    <s v="Q3 2024"/>
    <n v="675"/>
    <n v="0.296875"/>
  </r>
  <r>
    <s v="ORD-01569"/>
    <d v="2024-11-29T00:00:00"/>
    <s v="CUST-0076"/>
    <s v="PROD-021"/>
    <s v="R021"/>
    <n v="10"/>
    <n v="2760"/>
    <n v="17.2"/>
    <n v="22852.799999999999"/>
    <s v="Completed"/>
    <x v="3"/>
    <s v="Grocery"/>
    <s v="East"/>
    <s v="Nov-24"/>
    <s v="Q4 2024"/>
    <n v="1435"/>
    <n v="0.48007246376811596"/>
  </r>
  <r>
    <s v="ORD-01570"/>
    <d v="2024-03-07T00:00:00"/>
    <s v="CUST-0152"/>
    <s v="PROD-024"/>
    <s v="R026"/>
    <n v="4"/>
    <n v="2270"/>
    <n v="26.8"/>
    <n v="6646.56"/>
    <s v="Completed"/>
    <x v="4"/>
    <s v="Grocery"/>
    <s v="West"/>
    <s v="Mar-24"/>
    <s v="Q1 2024"/>
    <n v="1203"/>
    <n v="0.47004405286343615"/>
  </r>
  <r>
    <s v="ORD-01571"/>
    <d v="2024-02-20T00:00:00"/>
    <s v="CUST-0146"/>
    <s v="PROD-002"/>
    <s v="R021"/>
    <n v="2"/>
    <n v="2600"/>
    <n v="27"/>
    <n v="3796"/>
    <s v="Completed"/>
    <x v="5"/>
    <s v="Electronics"/>
    <s v="East"/>
    <s v="Feb-24"/>
    <s v="Q1 2024"/>
    <n v="1052"/>
    <n v="0.5953846153846154"/>
  </r>
  <r>
    <s v="ORD-01572"/>
    <d v="2024-01-13T00:00:00"/>
    <s v="CUST-0127"/>
    <s v="PROD-003"/>
    <s v="R024"/>
    <n v="4"/>
    <n v="3570"/>
    <n v="12.3"/>
    <n v="12523.56"/>
    <s v="Completed"/>
    <x v="4"/>
    <s v="Electronics"/>
    <s v="West"/>
    <s v="Jan-24"/>
    <s v="Q1 2024"/>
    <n v="1665"/>
    <n v="0.53361344537815125"/>
  </r>
  <r>
    <s v="ORD-01573"/>
    <d v="2024-01-25T00:00:00"/>
    <s v="CUST-0173"/>
    <s v="PROD-034"/>
    <s v="R016"/>
    <n v="5"/>
    <n v="5080"/>
    <n v="1.3"/>
    <n v="25069.8"/>
    <s v="Completed"/>
    <x v="3"/>
    <s v="Home"/>
    <s v="South"/>
    <s v="Jan-24"/>
    <s v="Q1 2024"/>
    <n v="2459"/>
    <n v="0.51594488188976373"/>
  </r>
  <r>
    <s v="ORD-01574"/>
    <d v="2024-02-18T00:00:00"/>
    <s v="CUST-0206"/>
    <s v="PROD-049"/>
    <s v="R016"/>
    <n v="5"/>
    <n v="960"/>
    <n v="25.2"/>
    <n v="3590.4"/>
    <s v="Completed"/>
    <x v="3"/>
    <s v="Beauty"/>
    <s v="South"/>
    <s v="Feb-24"/>
    <s v="Q1 2024"/>
    <n v="675"/>
    <n v="0.296875"/>
  </r>
  <r>
    <s v="ORD-01575"/>
    <d v="2024-11-08T00:00:00"/>
    <s v="CUST-0072"/>
    <s v="PROD-053"/>
    <s v="R010"/>
    <n v="7"/>
    <n v="470"/>
    <n v="21.6"/>
    <n v="2579.36"/>
    <s v="Completed"/>
    <x v="3"/>
    <s v="Sports"/>
    <s v="South"/>
    <s v="Nov-24"/>
    <s v="Q4 2024"/>
    <n v="302"/>
    <n v="0.35744680851063831"/>
  </r>
  <r>
    <s v="ORD-01576"/>
    <d v="2024-11-29T00:00:00"/>
    <s v="CUST-0004"/>
    <s v="PROD-009"/>
    <s v="R027"/>
    <n v="4"/>
    <n v="1220"/>
    <n v="12.6"/>
    <n v="4265.12"/>
    <s v="Completed"/>
    <x v="2"/>
    <s v="Electronics"/>
    <s v="West"/>
    <s v="Nov-24"/>
    <s v="Q4 2024"/>
    <n v="517"/>
    <n v="0.57622950819672136"/>
  </r>
  <r>
    <s v="ORD-01577"/>
    <d v="2024-01-02T00:00:00"/>
    <s v="CUST-0249"/>
    <s v="PROD-054"/>
    <s v="R008"/>
    <n v="4"/>
    <n v="1010"/>
    <n v="11.3"/>
    <n v="3583.48"/>
    <s v="Completed"/>
    <x v="3"/>
    <s v="Sports"/>
    <s v="North"/>
    <s v="Jan-24"/>
    <s v="Q1 2024"/>
    <n v="516"/>
    <n v="0.4891089108910891"/>
  </r>
  <r>
    <s v="ORD-01578"/>
    <d v="2024-06-11T00:00:00"/>
    <s v="CUST-0139"/>
    <s v="PROD-028"/>
    <s v="R005"/>
    <n v="4"/>
    <n v="3660"/>
    <n v="7.2"/>
    <n v="13585.92"/>
    <s v="Completed"/>
    <x v="5"/>
    <s v="Grocery"/>
    <s v="North"/>
    <s v="Jun-24"/>
    <s v="Q2 2024"/>
    <n v="2214"/>
    <n v="0.39508196721311473"/>
  </r>
  <r>
    <s v="ORD-01579"/>
    <d v="2024-02-23T00:00:00"/>
    <s v="CUST-0019"/>
    <s v="PROD-038"/>
    <s v="R010"/>
    <n v="4"/>
    <n v="5490"/>
    <n v="8"/>
    <n v="20203.2"/>
    <s v="Completed"/>
    <x v="1"/>
    <s v="Home"/>
    <s v="South"/>
    <s v="Feb-24"/>
    <s v="Q1 2024"/>
    <n v="2549"/>
    <n v="0.53570127504553733"/>
  </r>
  <r>
    <s v="ORD-01580"/>
    <d v="2024-12-19T00:00:00"/>
    <s v="CUST-0210"/>
    <s v="PROD-022"/>
    <s v="R003"/>
    <n v="6"/>
    <n v="2270"/>
    <n v="17.100000000000001"/>
    <n v="11290.98"/>
    <s v="Completed"/>
    <x v="0"/>
    <s v="Grocery"/>
    <s v="North"/>
    <s v="Dec-24"/>
    <s v="Q4 2024"/>
    <n v="1412"/>
    <n v="0.37797356828193834"/>
  </r>
  <r>
    <s v="ORD-01581"/>
    <d v="2024-10-23T00:00:00"/>
    <s v="CUST-0168"/>
    <s v="PROD-022"/>
    <s v="R015"/>
    <n v="8"/>
    <n v="2270"/>
    <n v="11.9"/>
    <n v="15998.96"/>
    <s v="Pending"/>
    <x v="0"/>
    <s v="Grocery"/>
    <s v="South"/>
    <s v="Oct-24"/>
    <s v="Q4 2024"/>
    <n v="1412"/>
    <n v="0.37797356828193834"/>
  </r>
  <r>
    <s v="ORD-01582"/>
    <d v="2024-10-27T00:00:00"/>
    <s v="CUST-0094"/>
    <s v="PROD-002"/>
    <s v="R018"/>
    <n v="6"/>
    <n v="2600"/>
    <n v="5.0999999999999996"/>
    <n v="14804.4"/>
    <s v="Completed"/>
    <x v="0"/>
    <s v="Electronics"/>
    <s v="East"/>
    <s v="Oct-24"/>
    <s v="Q4 2024"/>
    <n v="1052"/>
    <n v="0.5953846153846154"/>
  </r>
  <r>
    <s v="ORD-01583"/>
    <d v="2024-04-21T00:00:00"/>
    <s v="CUST-0259"/>
    <s v="PROD-004"/>
    <s v="R027"/>
    <n v="9"/>
    <n v="3870"/>
    <n v="1.8"/>
    <n v="34203.06"/>
    <s v="Cancelled"/>
    <x v="3"/>
    <s v="Electronics"/>
    <s v="West"/>
    <s v="Apr-24"/>
    <s v="Q2 2024"/>
    <n v="1559"/>
    <n v="0.59715762273901807"/>
  </r>
  <r>
    <s v="ORD-01584"/>
    <d v="2024-06-16T00:00:00"/>
    <s v="CUST-0150"/>
    <s v="PROD-006"/>
    <s v="R006"/>
    <n v="3"/>
    <n v="3970"/>
    <n v="8.1999999999999993"/>
    <n v="10933.38"/>
    <s v="Completed"/>
    <x v="0"/>
    <s v="Electronics"/>
    <s v="North"/>
    <s v="Jun-24"/>
    <s v="Q2 2024"/>
    <n v="2865"/>
    <n v="0.27833753148614609"/>
  </r>
  <r>
    <s v="ORD-01585"/>
    <d v="2024-05-26T00:00:00"/>
    <s v="CUST-0040"/>
    <s v="PROD-049"/>
    <s v="R028"/>
    <n v="9"/>
    <n v="960"/>
    <n v="21.7"/>
    <n v="6765.12"/>
    <s v="Cancelled"/>
    <x v="1"/>
    <s v="Beauty"/>
    <s v="West"/>
    <s v="May-24"/>
    <s v="Q2 2024"/>
    <n v="675"/>
    <n v="0.296875"/>
  </r>
  <r>
    <s v="ORD-01586"/>
    <d v="2024-12-06T00:00:00"/>
    <s v="CUST-0290"/>
    <s v="PROD-052"/>
    <s v="R025"/>
    <n v="3"/>
    <n v="5410"/>
    <n v="20.3"/>
    <n v="12935.31"/>
    <s v="Completed"/>
    <x v="2"/>
    <s v="Sports"/>
    <s v="West"/>
    <s v="Dec-24"/>
    <s v="Q4 2024"/>
    <n v="2265"/>
    <n v="0.58133086876155271"/>
  </r>
  <r>
    <s v="ORD-01587"/>
    <d v="2024-10-14T00:00:00"/>
    <s v="CUST-0123"/>
    <s v="PROD-011"/>
    <s v="R005"/>
    <n v="3"/>
    <n v="3450"/>
    <n v="11.6"/>
    <n v="9149.4"/>
    <s v="Completed"/>
    <x v="1"/>
    <s v="Apparel"/>
    <s v="North"/>
    <s v="Oct-24"/>
    <s v="Q4 2024"/>
    <n v="1748"/>
    <n v="0.49333333333333335"/>
  </r>
  <r>
    <s v="ORD-01588"/>
    <d v="2024-04-10T00:00:00"/>
    <s v="CUST-0053"/>
    <s v="PROD-045"/>
    <s v="R008"/>
    <n v="2"/>
    <n v="3020"/>
    <n v="20.8"/>
    <n v="4783.68"/>
    <s v="Pending"/>
    <x v="2"/>
    <s v="Beauty"/>
    <s v="North"/>
    <s v="Apr-24"/>
    <s v="Q2 2024"/>
    <n v="1626"/>
    <n v="0.46158940397350995"/>
  </r>
  <r>
    <s v="ORD-01589"/>
    <d v="2024-09-28T00:00:00"/>
    <s v="CUST-0179"/>
    <s v="PROD-060"/>
    <s v="R002"/>
    <n v="3"/>
    <n v="190"/>
    <n v="10.7"/>
    <n v="509.01"/>
    <s v="Completed"/>
    <x v="3"/>
    <s v="Sports"/>
    <s v="North"/>
    <s v="Sep-24"/>
    <s v="Q3 2024"/>
    <n v="147"/>
    <n v="0.22631578947368422"/>
  </r>
  <r>
    <s v="ORD-01590"/>
    <d v="2024-01-03T00:00:00"/>
    <s v="CUST-0006"/>
    <s v="PROD-031"/>
    <s v="R012"/>
    <n v="4"/>
    <n v="3730"/>
    <n v="6.9"/>
    <n v="13890.52"/>
    <s v="Completed"/>
    <x v="0"/>
    <s v="Home"/>
    <s v="South"/>
    <s v="Jan-24"/>
    <s v="Q1 2024"/>
    <n v="2135"/>
    <n v="0.42761394101876676"/>
  </r>
  <r>
    <s v="ORD-01591"/>
    <d v="2024-07-30T00:00:00"/>
    <s v="CUST-0272"/>
    <s v="PROD-051"/>
    <s v="R025"/>
    <n v="9"/>
    <n v="3450"/>
    <n v="22.2"/>
    <n v="24156.9"/>
    <s v="Cancelled"/>
    <x v="3"/>
    <s v="Sports"/>
    <s v="West"/>
    <s v="Jul-24"/>
    <s v="Q3 2024"/>
    <n v="2467"/>
    <n v="0.28492753623188405"/>
  </r>
  <r>
    <s v="ORD-01592"/>
    <d v="2024-02-14T00:00:00"/>
    <s v="CUST-0274"/>
    <s v="PROD-006"/>
    <s v="R002"/>
    <n v="3"/>
    <n v="3970"/>
    <n v="6.8"/>
    <n v="11100.12"/>
    <s v="Completed"/>
    <x v="4"/>
    <s v="Electronics"/>
    <s v="North"/>
    <s v="Feb-24"/>
    <s v="Q1 2024"/>
    <n v="2865"/>
    <n v="0.27833753148614609"/>
  </r>
  <r>
    <s v="ORD-01593"/>
    <d v="2024-06-19T00:00:00"/>
    <s v="CUST-0262"/>
    <s v="PROD-035"/>
    <s v="R022"/>
    <n v="3"/>
    <n v="1090"/>
    <n v="23.7"/>
    <n v="2495.0100000000002"/>
    <s v="Completed"/>
    <x v="3"/>
    <s v="Home"/>
    <s v="East"/>
    <s v="Jun-24"/>
    <s v="Q2 2024"/>
    <n v="464"/>
    <n v="0.57431192660550456"/>
  </r>
  <r>
    <s v="ORD-01594"/>
    <d v="2024-01-09T00:00:00"/>
    <s v="CUST-0087"/>
    <s v="PROD-033"/>
    <s v="R023"/>
    <n v="3"/>
    <n v="2030"/>
    <n v="18.8"/>
    <n v="4945.08"/>
    <s v="Completed"/>
    <x v="0"/>
    <s v="Home"/>
    <s v="East"/>
    <s v="Jan-24"/>
    <s v="Q1 2024"/>
    <n v="1143"/>
    <n v="0.43694581280788175"/>
  </r>
  <r>
    <s v="ORD-01595"/>
    <d v="2024-03-16T00:00:00"/>
    <s v="CUST-0198"/>
    <s v="PROD-026"/>
    <s v="R008"/>
    <n v="2"/>
    <n v="4070"/>
    <n v="14.3"/>
    <n v="6975.98"/>
    <s v="Completed"/>
    <x v="1"/>
    <s v="Grocery"/>
    <s v="North"/>
    <s v="Mar-24"/>
    <s v="Q1 2024"/>
    <n v="2027"/>
    <n v="0.50196560196560192"/>
  </r>
  <r>
    <s v="ORD-01596"/>
    <d v="2024-04-28T00:00:00"/>
    <s v="CUST-0065"/>
    <s v="PROD-014"/>
    <s v="R028"/>
    <n v="3"/>
    <n v="3620"/>
    <n v="13.5"/>
    <n v="9393.9"/>
    <s v="Completed"/>
    <x v="1"/>
    <s v="Apparel"/>
    <s v="West"/>
    <s v="Apr-24"/>
    <s v="Q2 2024"/>
    <n v="2509"/>
    <n v="0.3069060773480663"/>
  </r>
  <r>
    <s v="ORD-01597"/>
    <d v="2024-11-27T00:00:00"/>
    <s v="CUST-0209"/>
    <s v="PROD-054"/>
    <s v="R001"/>
    <n v="4"/>
    <n v="1010"/>
    <n v="3.3"/>
    <n v="3906.68"/>
    <s v="Completed"/>
    <x v="0"/>
    <s v="Sports"/>
    <s v="North"/>
    <s v="Nov-24"/>
    <s v="Q4 2024"/>
    <n v="516"/>
    <n v="0.4891089108910891"/>
  </r>
  <r>
    <s v="ORD-01598"/>
    <d v="2024-07-18T00:00:00"/>
    <s v="CUST-0181"/>
    <s v="PROD-030"/>
    <s v="R005"/>
    <n v="7"/>
    <n v="970"/>
    <n v="0.1"/>
    <n v="6783.21"/>
    <s v="Completed"/>
    <x v="2"/>
    <s v="Grocery"/>
    <s v="North"/>
    <s v="Jul-24"/>
    <s v="Q3 2024"/>
    <n v="434"/>
    <n v="0.5525773195876289"/>
  </r>
  <r>
    <s v="ORD-01599"/>
    <d v="2024-10-06T00:00:00"/>
    <s v="CUST-0007"/>
    <s v="PROD-053"/>
    <s v="R027"/>
    <n v="5"/>
    <n v="470"/>
    <n v="18.3"/>
    <n v="1919.95"/>
    <s v="Refunded"/>
    <x v="4"/>
    <s v="Sports"/>
    <s v="West"/>
    <s v="Oct-24"/>
    <s v="Q4 2024"/>
    <n v="302"/>
    <n v="0.35744680851063831"/>
  </r>
  <r>
    <s v="ORD-01600"/>
    <d v="2024-04-11T00:00:00"/>
    <s v="CUST-0050"/>
    <s v="PROD-011"/>
    <s v="R010"/>
    <n v="8"/>
    <n v="3450"/>
    <n v="5.0999999999999996"/>
    <n v="26192.400000000001"/>
    <s v="Refunded"/>
    <x v="3"/>
    <s v="Apparel"/>
    <s v="South"/>
    <s v="Apr-24"/>
    <s v="Q2 2024"/>
    <n v="1748"/>
    <n v="0.49333333333333335"/>
  </r>
  <r>
    <s v="ORD-01601"/>
    <d v="2024-06-22T00:00:00"/>
    <s v="CUST-0155"/>
    <s v="PROD-010"/>
    <s v="R022"/>
    <n v="1"/>
    <n v="2640"/>
    <n v="5.9"/>
    <n v="2484.2399999999998"/>
    <s v="Completed"/>
    <x v="0"/>
    <s v="Electronics"/>
    <s v="East"/>
    <s v="Jun-24"/>
    <s v="Q2 2024"/>
    <n v="1149"/>
    <n v="0.56477272727272732"/>
  </r>
  <r>
    <s v="ORD-01602"/>
    <d v="2024-03-03T00:00:00"/>
    <s v="CUST-0085"/>
    <s v="PROD-003"/>
    <s v="R020"/>
    <n v="10"/>
    <n v="3570"/>
    <n v="21.5"/>
    <n v="28024.5"/>
    <s v="Completed"/>
    <x v="1"/>
    <s v="Electronics"/>
    <s v="East"/>
    <s v="Mar-24"/>
    <s v="Q1 2024"/>
    <n v="1665"/>
    <n v="0.53361344537815125"/>
  </r>
  <r>
    <s v="ORD-01603"/>
    <d v="2024-10-16T00:00:00"/>
    <s v="CUST-0285"/>
    <s v="PROD-007"/>
    <s v="R016"/>
    <n v="10"/>
    <n v="1430"/>
    <n v="11.4"/>
    <n v="12669.8"/>
    <s v="Cancelled"/>
    <x v="5"/>
    <s v="Electronics"/>
    <s v="South"/>
    <s v="Oct-24"/>
    <s v="Q4 2024"/>
    <n v="861"/>
    <n v="0.39790209790209791"/>
  </r>
  <r>
    <s v="ORD-01604"/>
    <d v="2024-12-17T00:00:00"/>
    <s v="CUST-0148"/>
    <s v="PROD-057"/>
    <s v="R013"/>
    <n v="7"/>
    <n v="960"/>
    <n v="22.9"/>
    <n v="5181.12"/>
    <s v="Completed"/>
    <x v="1"/>
    <s v="Sports"/>
    <s v="South"/>
    <s v="Dec-24"/>
    <s v="Q4 2024"/>
    <n v="705"/>
    <n v="0.265625"/>
  </r>
  <r>
    <s v="ORD-01605"/>
    <d v="2024-11-10T00:00:00"/>
    <s v="CUST-0252"/>
    <s v="PROD-036"/>
    <s v="R010"/>
    <n v="8"/>
    <n v="3250"/>
    <n v="1.9"/>
    <n v="25506"/>
    <s v="Completed"/>
    <x v="4"/>
    <s v="Home"/>
    <s v="South"/>
    <s v="Nov-24"/>
    <s v="Q4 2024"/>
    <n v="1556"/>
    <n v="0.52123076923076928"/>
  </r>
  <r>
    <s v="ORD-01606"/>
    <d v="2024-03-05T00:00:00"/>
    <s v="CUST-0141"/>
    <s v="PROD-051"/>
    <s v="R018"/>
    <n v="9"/>
    <n v="3450"/>
    <n v="18"/>
    <n v="25461"/>
    <s v="Completed"/>
    <x v="5"/>
    <s v="Sports"/>
    <s v="East"/>
    <s v="Mar-24"/>
    <s v="Q1 2024"/>
    <n v="2467"/>
    <n v="0.28492753623188405"/>
  </r>
  <r>
    <s v="ORD-01607"/>
    <d v="2024-02-21T00:00:00"/>
    <s v="CUST-0101"/>
    <s v="PROD-024"/>
    <s v="R016"/>
    <n v="5"/>
    <n v="2270"/>
    <n v="11.5"/>
    <n v="10044.75"/>
    <s v="Completed"/>
    <x v="5"/>
    <s v="Grocery"/>
    <s v="South"/>
    <s v="Feb-24"/>
    <s v="Q1 2024"/>
    <n v="1203"/>
    <n v="0.47004405286343615"/>
  </r>
  <r>
    <s v="ORD-01608"/>
    <d v="2024-06-06T00:00:00"/>
    <s v="CUST-0223"/>
    <s v="PROD-045"/>
    <s v="R019"/>
    <n v="6"/>
    <n v="3020"/>
    <n v="12.6"/>
    <n v="15836.88"/>
    <s v="Completed"/>
    <x v="4"/>
    <s v="Beauty"/>
    <s v="East"/>
    <s v="Jun-24"/>
    <s v="Q2 2024"/>
    <n v="1626"/>
    <n v="0.46158940397350995"/>
  </r>
  <r>
    <s v="ORD-01609"/>
    <d v="2024-01-26T00:00:00"/>
    <s v="CUST-0197"/>
    <s v="PROD-010"/>
    <s v="R008"/>
    <n v="8"/>
    <n v="2640"/>
    <n v="14.5"/>
    <n v="18057.599999999999"/>
    <s v="Refunded"/>
    <x v="4"/>
    <s v="Electronics"/>
    <s v="North"/>
    <s v="Jan-24"/>
    <s v="Q1 2024"/>
    <n v="1149"/>
    <n v="0.56477272727272732"/>
  </r>
  <r>
    <s v="ORD-01610"/>
    <d v="2024-09-26T00:00:00"/>
    <s v="CUST-0260"/>
    <s v="PROD-024"/>
    <s v="R027"/>
    <n v="2"/>
    <n v="2270"/>
    <n v="27"/>
    <n v="3314.2"/>
    <s v="Completed"/>
    <x v="4"/>
    <s v="Grocery"/>
    <s v="West"/>
    <s v="Sep-24"/>
    <s v="Q3 2024"/>
    <n v="1203"/>
    <n v="0.47004405286343615"/>
  </r>
  <r>
    <s v="ORD-01611"/>
    <d v="2024-12-10T00:00:00"/>
    <s v="CUST-0180"/>
    <s v="PROD-021"/>
    <s v="R027"/>
    <n v="8"/>
    <n v="2760"/>
    <n v="18"/>
    <n v="18105.599999999999"/>
    <s v="Cancelled"/>
    <x v="1"/>
    <s v="Grocery"/>
    <s v="West"/>
    <s v="Dec-24"/>
    <s v="Q4 2024"/>
    <n v="1435"/>
    <n v="0.48007246376811596"/>
  </r>
  <r>
    <s v="ORD-01612"/>
    <d v="2024-04-16T00:00:00"/>
    <s v="CUST-0166"/>
    <s v="PROD-014"/>
    <s v="R023"/>
    <n v="8"/>
    <n v="3620"/>
    <n v="7.1"/>
    <n v="26903.84"/>
    <s v="Completed"/>
    <x v="5"/>
    <s v="Apparel"/>
    <s v="East"/>
    <s v="Apr-24"/>
    <s v="Q2 2024"/>
    <n v="2509"/>
    <n v="0.3069060773480663"/>
  </r>
  <r>
    <s v="ORD-01613"/>
    <d v="2024-07-04T00:00:00"/>
    <s v="CUST-0062"/>
    <s v="PROD-042"/>
    <s v="R021"/>
    <n v="8"/>
    <n v="2290"/>
    <n v="16.399999999999999"/>
    <n v="15315.52"/>
    <s v="Completed"/>
    <x v="0"/>
    <s v="Beauty"/>
    <s v="East"/>
    <s v="Jul-24"/>
    <s v="Q3 2024"/>
    <n v="1219"/>
    <n v="0.46768558951965067"/>
  </r>
  <r>
    <s v="ORD-01614"/>
    <d v="2024-06-19T00:00:00"/>
    <s v="CUST-0130"/>
    <s v="PROD-044"/>
    <s v="R019"/>
    <n v="3"/>
    <n v="1650"/>
    <n v="1.8"/>
    <n v="4860.8999999999996"/>
    <s v="Cancelled"/>
    <x v="4"/>
    <s v="Beauty"/>
    <s v="East"/>
    <s v="Jun-24"/>
    <s v="Q2 2024"/>
    <n v="1222"/>
    <n v="0.2593939393939394"/>
  </r>
  <r>
    <s v="ORD-01615"/>
    <d v="2024-12-16T00:00:00"/>
    <s v="CUST-0162"/>
    <s v="PROD-001"/>
    <s v="R018"/>
    <n v="3"/>
    <n v="5330"/>
    <n v="22.2"/>
    <n v="12440.22"/>
    <s v="Completed"/>
    <x v="3"/>
    <s v="Electronics"/>
    <s v="East"/>
    <s v="Dec-24"/>
    <s v="Q4 2024"/>
    <n v="2405"/>
    <n v="0.54878048780487809"/>
  </r>
  <r>
    <s v="ORD-01616"/>
    <d v="2024-08-30T00:00:00"/>
    <s v="CUST-0153"/>
    <s v="PROD-040"/>
    <s v="R022"/>
    <n v="7"/>
    <n v="1080"/>
    <n v="17.899999999999999"/>
    <n v="6206.76"/>
    <s v="Completed"/>
    <x v="3"/>
    <s v="Home"/>
    <s v="East"/>
    <s v="Aug-24"/>
    <s v="Q3 2024"/>
    <n v="519"/>
    <n v="0.51944444444444449"/>
  </r>
  <r>
    <s v="ORD-01617"/>
    <d v="2024-06-17T00:00:00"/>
    <s v="CUST-0071"/>
    <s v="PROD-009"/>
    <s v="R022"/>
    <n v="10"/>
    <n v="1220"/>
    <n v="5.7"/>
    <n v="11504.6"/>
    <s v="Completed"/>
    <x v="2"/>
    <s v="Electronics"/>
    <s v="East"/>
    <s v="Jun-24"/>
    <s v="Q2 2024"/>
    <n v="517"/>
    <n v="0.57622950819672136"/>
  </r>
  <r>
    <s v="ORD-01618"/>
    <d v="2024-12-22T00:00:00"/>
    <s v="CUST-0200"/>
    <s v="PROD-037"/>
    <s v="R030"/>
    <n v="10"/>
    <n v="660"/>
    <n v="7.5"/>
    <n v="6105"/>
    <s v="Completed"/>
    <x v="5"/>
    <s v="Home"/>
    <s v="West"/>
    <s v="Dec-24"/>
    <s v="Q4 2024"/>
    <n v="329"/>
    <n v="0.50151515151515147"/>
  </r>
  <r>
    <s v="ORD-01619"/>
    <d v="2024-09-22T00:00:00"/>
    <s v="CUST-0266"/>
    <s v="PROD-040"/>
    <s v="R020"/>
    <n v="6"/>
    <n v="1080"/>
    <n v="28.9"/>
    <n v="4607.28"/>
    <s v="Completed"/>
    <x v="0"/>
    <s v="Home"/>
    <s v="East"/>
    <s v="Sep-24"/>
    <s v="Q3 2024"/>
    <n v="519"/>
    <n v="0.51944444444444449"/>
  </r>
  <r>
    <s v="ORD-01620"/>
    <d v="2024-10-19T00:00:00"/>
    <s v="CUST-0171"/>
    <s v="PROD-022"/>
    <s v="R020"/>
    <n v="7"/>
    <n v="2270"/>
    <n v="1.4"/>
    <n v="15667.54"/>
    <s v="Completed"/>
    <x v="1"/>
    <s v="Grocery"/>
    <s v="East"/>
    <s v="Oct-24"/>
    <s v="Q4 2024"/>
    <n v="1412"/>
    <n v="0.37797356828193834"/>
  </r>
  <r>
    <s v="ORD-01621"/>
    <d v="2024-07-02T00:00:00"/>
    <s v="CUST-0221"/>
    <s v="PROD-032"/>
    <s v="R028"/>
    <n v="3"/>
    <n v="370"/>
    <n v="9.6"/>
    <n v="1003.44"/>
    <s v="Refunded"/>
    <x v="2"/>
    <s v="Home"/>
    <s v="West"/>
    <s v="Jul-24"/>
    <s v="Q3 2024"/>
    <n v="288"/>
    <n v="0.22162162162162163"/>
  </r>
  <r>
    <s v="ORD-01622"/>
    <d v="2024-03-14T00:00:00"/>
    <s v="CUST-0038"/>
    <s v="PROD-030"/>
    <s v="R009"/>
    <n v="9"/>
    <n v="970"/>
    <n v="29.7"/>
    <n v="6137.19"/>
    <s v="Completed"/>
    <x v="3"/>
    <s v="Grocery"/>
    <s v="South"/>
    <s v="Mar-24"/>
    <s v="Q1 2024"/>
    <n v="434"/>
    <n v="0.5525773195876289"/>
  </r>
  <r>
    <s v="ORD-00613"/>
    <d v="2024-04-23T00:00:00"/>
    <s v="CUST-0174"/>
    <s v="PROD-016"/>
    <s v="R003"/>
    <n v="1"/>
    <n v="620"/>
    <n v="10.4"/>
    <n v="555.52"/>
    <s v="Cancelled"/>
    <x v="0"/>
    <s v="Apparel"/>
    <s v="North"/>
    <s v="Apr-24"/>
    <s v="Q2 2024"/>
    <n v="396"/>
    <n v="0.36129032258064514"/>
  </r>
  <r>
    <s v="ORD-01624"/>
    <d v="2024-08-29T00:00:00"/>
    <s v="CUST-0054"/>
    <s v="PROD-028"/>
    <s v="R029"/>
    <n v="5"/>
    <n v="3660"/>
    <n v="8"/>
    <n v="16836"/>
    <s v="Completed"/>
    <x v="3"/>
    <s v="Grocery"/>
    <s v="West"/>
    <s v="Aug-24"/>
    <s v="Q3 2024"/>
    <n v="2214"/>
    <n v="0.39508196721311473"/>
  </r>
  <r>
    <s v="ORD-01625"/>
    <d v="2024-12-02T00:00:00"/>
    <s v="CUST-0071"/>
    <s v="PROD-029"/>
    <s v="R024"/>
    <n v="7"/>
    <n v="2210"/>
    <n v="13.7"/>
    <n v="13350.61"/>
    <s v="Refunded"/>
    <x v="2"/>
    <s v="Grocery"/>
    <s v="West"/>
    <s v="Dec-24"/>
    <s v="Q4 2024"/>
    <n v="1010"/>
    <n v="0.54298642533936647"/>
  </r>
  <r>
    <s v="ORD-01626"/>
    <d v="2024-12-05T00:00:00"/>
    <s v="CUST-0004"/>
    <s v="PROD-059"/>
    <s v="R028"/>
    <n v="1"/>
    <n v="3780"/>
    <n v="11.5"/>
    <n v="3345.3"/>
    <s v="Completed"/>
    <x v="2"/>
    <s v="Sports"/>
    <s v="West"/>
    <s v="Dec-24"/>
    <s v="Q4 2024"/>
    <n v="1860"/>
    <n v="0.50793650793650791"/>
  </r>
  <r>
    <s v="ORD-01627"/>
    <d v="2024-11-05T00:00:00"/>
    <s v="CUST-0033"/>
    <s v="PROD-002"/>
    <s v="R005"/>
    <n v="10"/>
    <n v="2600"/>
    <n v="29.4"/>
    <n v="18356"/>
    <s v="Completed"/>
    <x v="2"/>
    <s v="Electronics"/>
    <s v="North"/>
    <s v="Nov-24"/>
    <s v="Q4 2024"/>
    <n v="1052"/>
    <n v="0.5953846153846154"/>
  </r>
  <r>
    <s v="ORD-01628"/>
    <d v="2024-03-14T00:00:00"/>
    <s v="CUST-0079"/>
    <s v="PROD-027"/>
    <s v="R017"/>
    <n v="3"/>
    <n v="3780"/>
    <n v="14.4"/>
    <n v="9707.0400000000009"/>
    <s v="Completed"/>
    <x v="3"/>
    <s v="Grocery"/>
    <s v="East"/>
    <s v="Mar-24"/>
    <s v="Q1 2024"/>
    <n v="2436"/>
    <n v="0.35555555555555557"/>
  </r>
  <r>
    <s v="ORD-01629"/>
    <d v="2024-05-09T00:00:00"/>
    <s v="CUST-0176"/>
    <s v="PROD-010"/>
    <s v="R003"/>
    <n v="10"/>
    <n v="2640"/>
    <n v="26.8"/>
    <n v="19324.8"/>
    <s v="Pending"/>
    <x v="4"/>
    <s v="Electronics"/>
    <s v="North"/>
    <s v="May-24"/>
    <s v="Q2 2024"/>
    <n v="1149"/>
    <n v="0.56477272727272732"/>
  </r>
  <r>
    <s v="ORD-01630"/>
    <d v="2024-02-25T00:00:00"/>
    <s v="CUST-0254"/>
    <s v="PROD-035"/>
    <s v="R013"/>
    <n v="3"/>
    <n v="1090"/>
    <n v="9.1"/>
    <n v="2972.43"/>
    <s v="Completed"/>
    <x v="4"/>
    <s v="Home"/>
    <s v="South"/>
    <s v="Feb-24"/>
    <s v="Q1 2024"/>
    <n v="464"/>
    <n v="0.57431192660550456"/>
  </r>
  <r>
    <s v="ORD-01631"/>
    <d v="2024-10-09T00:00:00"/>
    <s v="CUST-0212"/>
    <s v="PROD-011"/>
    <s v="R024"/>
    <n v="3"/>
    <n v="3450"/>
    <n v="23"/>
    <n v="7969.5"/>
    <s v="Pending"/>
    <x v="1"/>
    <s v="Apparel"/>
    <s v="West"/>
    <s v="Oct-24"/>
    <s v="Q4 2024"/>
    <n v="1748"/>
    <n v="0.49333333333333335"/>
  </r>
  <r>
    <s v="ORD-01632"/>
    <d v="2024-03-14T00:00:00"/>
    <s v="CUST-0109"/>
    <s v="PROD-049"/>
    <s v="R015"/>
    <n v="1"/>
    <n v="960"/>
    <n v="1.1000000000000001"/>
    <n v="949.44"/>
    <s v="Completed"/>
    <x v="0"/>
    <s v="Beauty"/>
    <s v="South"/>
    <s v="Mar-24"/>
    <s v="Q1 2024"/>
    <n v="675"/>
    <n v="0.296875"/>
  </r>
  <r>
    <s v="ORD-01633"/>
    <d v="2024-10-12T00:00:00"/>
    <s v="CUST-0087"/>
    <s v="PROD-028"/>
    <s v="R030"/>
    <n v="9"/>
    <n v="3660"/>
    <n v="9"/>
    <n v="29975.4"/>
    <s v="Completed"/>
    <x v="0"/>
    <s v="Grocery"/>
    <s v="West"/>
    <s v="Oct-24"/>
    <s v="Q4 2024"/>
    <n v="2214"/>
    <n v="0.39508196721311473"/>
  </r>
  <r>
    <s v="ORD-01634"/>
    <d v="2024-05-08T00:00:00"/>
    <s v="CUST-0167"/>
    <s v="PROD-031"/>
    <s v="R008"/>
    <n v="3"/>
    <n v="3730"/>
    <n v="15.8"/>
    <n v="9421.98"/>
    <s v="Completed"/>
    <x v="2"/>
    <s v="Home"/>
    <s v="North"/>
    <s v="May-24"/>
    <s v="Q2 2024"/>
    <n v="2135"/>
    <n v="0.42761394101876676"/>
  </r>
  <r>
    <s v="ORD-01635"/>
    <d v="2024-02-25T00:00:00"/>
    <s v="CUST-0079"/>
    <s v="PROD-026"/>
    <s v="R004"/>
    <n v="6"/>
    <n v="4070"/>
    <n v="6.2"/>
    <n v="22905.96"/>
    <s v="Completed"/>
    <x v="3"/>
    <s v="Grocery"/>
    <s v="North"/>
    <s v="Feb-24"/>
    <s v="Q1 2024"/>
    <n v="2027"/>
    <n v="0.50196560196560192"/>
  </r>
  <r>
    <s v="ORD-01636"/>
    <d v="2024-02-07T00:00:00"/>
    <s v="CUST-0115"/>
    <s v="PROD-008"/>
    <s v="R022"/>
    <n v="1"/>
    <n v="2660"/>
    <n v="14.6"/>
    <n v="2271.64"/>
    <s v="Completed"/>
    <x v="3"/>
    <s v="Electronics"/>
    <s v="East"/>
    <s v="Feb-24"/>
    <s v="Q1 2024"/>
    <n v="1259"/>
    <n v="0.52669172932330832"/>
  </r>
  <r>
    <s v="ORD-01637"/>
    <d v="2024-03-27T00:00:00"/>
    <s v="CUST-0184"/>
    <s v="PROD-033"/>
    <s v="R003"/>
    <n v="3"/>
    <n v="2030"/>
    <n v="13.3"/>
    <n v="5280.03"/>
    <s v="Cancelled"/>
    <x v="0"/>
    <s v="Home"/>
    <s v="North"/>
    <s v="Mar-24"/>
    <s v="Q1 2024"/>
    <n v="1143"/>
    <n v="0.43694581280788175"/>
  </r>
  <r>
    <s v="ORD-01638"/>
    <d v="2024-04-11T00:00:00"/>
    <s v="CUST-0084"/>
    <s v="PROD-028"/>
    <s v="R001"/>
    <n v="4"/>
    <n v="3660"/>
    <n v="2.2000000000000002"/>
    <n v="14317.92"/>
    <s v="Completed"/>
    <x v="1"/>
    <s v="Grocery"/>
    <s v="North"/>
    <s v="Apr-24"/>
    <s v="Q2 2024"/>
    <n v="2214"/>
    <n v="0.39508196721311473"/>
  </r>
  <r>
    <s v="ORD-01639"/>
    <d v="2024-03-13T00:00:00"/>
    <s v="CUST-0186"/>
    <s v="PROD-008"/>
    <s v="R006"/>
    <n v="2"/>
    <n v="2660"/>
    <n v="7.2"/>
    <n v="4936.96"/>
    <s v="Cancelled"/>
    <x v="4"/>
    <s v="Electronics"/>
    <s v="North"/>
    <s v="Mar-24"/>
    <s v="Q1 2024"/>
    <n v="1259"/>
    <n v="0.52669172932330832"/>
  </r>
  <r>
    <s v="ORD-01640"/>
    <d v="2024-11-28T00:00:00"/>
    <s v="CUST-0077"/>
    <s v="PROD-046"/>
    <s v="R013"/>
    <n v="2"/>
    <n v="4880"/>
    <n v="23.8"/>
    <n v="7437.12"/>
    <s v="Completed"/>
    <x v="5"/>
    <s v="Beauty"/>
    <s v="South"/>
    <s v="Nov-24"/>
    <s v="Q4 2024"/>
    <n v="2768"/>
    <n v="0.43278688524590164"/>
  </r>
  <r>
    <s v="ORD-01641"/>
    <d v="2024-04-29T00:00:00"/>
    <s v="CUST-0093"/>
    <s v="PROD-011"/>
    <s v="R011"/>
    <n v="1"/>
    <n v="3450"/>
    <n v="1.7"/>
    <n v="3391.35"/>
    <s v="Completed"/>
    <x v="0"/>
    <s v="Apparel"/>
    <s v="South"/>
    <s v="Apr-24"/>
    <s v="Q2 2024"/>
    <n v="1748"/>
    <n v="0.49333333333333335"/>
  </r>
  <r>
    <s v="ORD-01642"/>
    <d v="2024-09-15T00:00:00"/>
    <s v="CUST-0018"/>
    <s v="PROD-045"/>
    <s v="R023"/>
    <n v="4"/>
    <n v="3020"/>
    <n v="17.8"/>
    <n v="9929.76"/>
    <s v="Completed"/>
    <x v="0"/>
    <s v="Beauty"/>
    <s v="East"/>
    <s v="Sep-24"/>
    <s v="Q3 2024"/>
    <n v="1626"/>
    <n v="0.46158940397350995"/>
  </r>
  <r>
    <s v="ORD-01643"/>
    <d v="2024-08-08T00:00:00"/>
    <s v="CUST-0034"/>
    <s v="PROD-056"/>
    <s v="R021"/>
    <n v="6"/>
    <n v="6940"/>
    <n v="8.9"/>
    <n v="37934.04"/>
    <s v="Completed"/>
    <x v="2"/>
    <s v="Sports"/>
    <s v="East"/>
    <s v="Aug-24"/>
    <s v="Q3 2024"/>
    <n v="2827"/>
    <n v="0.5926512968299712"/>
  </r>
  <r>
    <s v="ORD-01644"/>
    <d v="2024-08-19T00:00:00"/>
    <s v="CUST-0111"/>
    <s v="PROD-021"/>
    <s v="R023"/>
    <n v="10"/>
    <n v="2760"/>
    <n v="8.9"/>
    <n v="25143.599999999999"/>
    <s v="Completed"/>
    <x v="1"/>
    <s v="Grocery"/>
    <s v="East"/>
    <s v="Aug-24"/>
    <s v="Q3 2024"/>
    <n v="1435"/>
    <n v="0.48007246376811596"/>
  </r>
  <r>
    <s v="ORD-01645"/>
    <d v="2024-01-19T00:00:00"/>
    <s v="CUST-0210"/>
    <s v="PROD-049"/>
    <s v="R020"/>
    <n v="8"/>
    <n v="960"/>
    <n v="20.9"/>
    <n v="6074.88"/>
    <s v="Completed"/>
    <x v="0"/>
    <s v="Beauty"/>
    <s v="East"/>
    <s v="Jan-24"/>
    <s v="Q1 2024"/>
    <n v="675"/>
    <n v="0.296875"/>
  </r>
  <r>
    <s v="ORD-01646"/>
    <d v="2024-07-25T00:00:00"/>
    <s v="CUST-0037"/>
    <s v="PROD-049"/>
    <s v="R012"/>
    <n v="4"/>
    <n v="960"/>
    <n v="29.1"/>
    <n v="2722.56"/>
    <s v="Completed"/>
    <x v="4"/>
    <s v="Beauty"/>
    <s v="South"/>
    <s v="Jul-24"/>
    <s v="Q3 2024"/>
    <n v="675"/>
    <n v="0.296875"/>
  </r>
  <r>
    <s v="ORD-01647"/>
    <d v="2024-04-28T00:00:00"/>
    <s v="CUST-0192"/>
    <s v="PROD-030"/>
    <s v="R021"/>
    <n v="1"/>
    <n v="970"/>
    <n v="8.4"/>
    <n v="888.52"/>
    <s v="Cancelled"/>
    <x v="4"/>
    <s v="Grocery"/>
    <s v="East"/>
    <s v="Apr-24"/>
    <s v="Q2 2024"/>
    <n v="434"/>
    <n v="0.5525773195876289"/>
  </r>
  <r>
    <s v="ORD-01648"/>
    <d v="2024-04-18T00:00:00"/>
    <s v="CUST-0038"/>
    <s v="PROD-050"/>
    <s v="R023"/>
    <n v="5"/>
    <n v="6080"/>
    <n v="17.600000000000001"/>
    <n v="25049.599999999999"/>
    <s v="Completed"/>
    <x v="3"/>
    <s v="Beauty"/>
    <s v="East"/>
    <s v="Apr-24"/>
    <s v="Q2 2024"/>
    <n v="2617"/>
    <n v="0.56957236842105263"/>
  </r>
  <r>
    <s v="ORD-01649"/>
    <d v="2024-08-21T00:00:00"/>
    <s v="CUST-0034"/>
    <s v="PROD-028"/>
    <s v="R013"/>
    <n v="4"/>
    <n v="3660"/>
    <n v="21.8"/>
    <n v="11448.48"/>
    <s v="Pending"/>
    <x v="2"/>
    <s v="Grocery"/>
    <s v="South"/>
    <s v="Aug-24"/>
    <s v="Q3 2024"/>
    <n v="2214"/>
    <n v="0.39508196721311473"/>
  </r>
  <r>
    <s v="ORD-01650"/>
    <d v="2024-06-19T00:00:00"/>
    <s v="CUST-0248"/>
    <s v="PROD-031"/>
    <s v="R008"/>
    <n v="6"/>
    <n v="3730"/>
    <n v="13.3"/>
    <n v="19403.46"/>
    <s v="Cancelled"/>
    <x v="1"/>
    <s v="Home"/>
    <s v="North"/>
    <s v="Jun-24"/>
    <s v="Q2 2024"/>
    <n v="2135"/>
    <n v="0.42761394101876676"/>
  </r>
  <r>
    <s v="ORD-01651"/>
    <d v="2024-11-29T00:00:00"/>
    <s v="CUST-0194"/>
    <s v="PROD-004"/>
    <s v="R029"/>
    <n v="8"/>
    <n v="3870"/>
    <n v="21.2"/>
    <n v="24396.48"/>
    <s v="Pending"/>
    <x v="2"/>
    <s v="Electronics"/>
    <s v="West"/>
    <s v="Nov-24"/>
    <s v="Q4 2024"/>
    <n v="1559"/>
    <n v="0.59715762273901807"/>
  </r>
  <r>
    <s v="ORD-01652"/>
    <d v="2024-04-08T00:00:00"/>
    <s v="CUST-0114"/>
    <s v="PROD-021"/>
    <s v="R016"/>
    <n v="4"/>
    <n v="2760"/>
    <n v="14"/>
    <n v="9494.4"/>
    <s v="Completed"/>
    <x v="4"/>
    <s v="Grocery"/>
    <s v="South"/>
    <s v="Apr-24"/>
    <s v="Q2 2024"/>
    <n v="1435"/>
    <n v="0.48007246376811596"/>
  </r>
  <r>
    <s v="ORD-01653"/>
    <d v="2024-11-01T00:00:00"/>
    <s v="CUST-0118"/>
    <s v="PROD-023"/>
    <s v="R020"/>
    <n v="5"/>
    <n v="2380"/>
    <n v="16.399999999999999"/>
    <n v="9948.4"/>
    <s v="Completed"/>
    <x v="5"/>
    <s v="Grocery"/>
    <s v="East"/>
    <s v="Nov-24"/>
    <s v="Q4 2024"/>
    <n v="1182"/>
    <n v="0.50336134453781511"/>
  </r>
  <r>
    <s v="ORD-01654"/>
    <d v="2024-01-16T00:00:00"/>
    <s v="CUST-9719"/>
    <s v="PROD-050"/>
    <s v="R015"/>
    <n v="2"/>
    <n v="6080"/>
    <n v="20.100000000000001"/>
    <n v="9715.84"/>
    <s v="Cancelled"/>
    <x v="3"/>
    <s v="Beauty"/>
    <s v="South"/>
    <s v="Jan-24"/>
    <s v="Q1 2024"/>
    <n v="2617"/>
    <n v="0.56957236842105263"/>
  </r>
  <r>
    <s v="ORD-01655"/>
    <d v="2024-10-03T00:00:00"/>
    <s v="CUST-0232"/>
    <s v="PROD-016"/>
    <s v="R016"/>
    <n v="2"/>
    <n v="620"/>
    <n v="4.3"/>
    <n v="1186.68"/>
    <s v="Completed"/>
    <x v="5"/>
    <s v="Apparel"/>
    <s v="South"/>
    <s v="Oct-24"/>
    <s v="Q4 2024"/>
    <n v="396"/>
    <n v="0.36129032258064514"/>
  </r>
  <r>
    <s v="ORD-01656"/>
    <d v="2024-12-28T00:00:00"/>
    <s v="CUST-0240"/>
    <s v="PROD-004"/>
    <s v="R012"/>
    <n v="7"/>
    <n v="3870"/>
    <n v="5.9"/>
    <n v="25491.69"/>
    <s v="Completed"/>
    <x v="1"/>
    <s v="Electronics"/>
    <s v="South"/>
    <s v="Dec-24"/>
    <s v="Q4 2024"/>
    <n v="1559"/>
    <n v="0.59715762273901807"/>
  </r>
  <r>
    <s v="ORD-01657"/>
    <d v="2024-04-30T00:00:00"/>
    <s v="CUST-0227"/>
    <s v="PROD-003"/>
    <s v="R020"/>
    <n v="8"/>
    <n v="3570"/>
    <n v="24.6"/>
    <n v="21534.240000000002"/>
    <s v="Completed"/>
    <x v="4"/>
    <s v="Electronics"/>
    <s v="East"/>
    <s v="Apr-24"/>
    <s v="Q2 2024"/>
    <n v="1665"/>
    <n v="0.53361344537815125"/>
  </r>
  <r>
    <s v="ORD-01658"/>
    <d v="2024-12-27T00:00:00"/>
    <s v="CUST-0234"/>
    <s v="PROD-026"/>
    <s v="R010"/>
    <n v="1"/>
    <n v="4070"/>
    <n v="29.1"/>
    <n v="2885.63"/>
    <s v="Pending"/>
    <x v="4"/>
    <s v="Grocery"/>
    <s v="South"/>
    <s v="Dec-24"/>
    <s v="Q4 2024"/>
    <n v="2027"/>
    <n v="0.50196560196560192"/>
  </r>
  <r>
    <s v="ORD-01659"/>
    <d v="2024-10-03T00:00:00"/>
    <s v="CUST-0041"/>
    <s v="PROD-020"/>
    <s v="R017"/>
    <n v="1"/>
    <n v="820"/>
    <n v="17.899999999999999"/>
    <n v="673.22"/>
    <s v="Completed"/>
    <x v="4"/>
    <s v="Apparel"/>
    <s v="East"/>
    <s v="Oct-24"/>
    <s v="Q4 2024"/>
    <n v="391"/>
    <n v="0.52317073170731709"/>
  </r>
  <r>
    <s v="ORD-01660"/>
    <d v="2024-12-17T00:00:00"/>
    <s v="CUST-0129"/>
    <s v="PROD-045"/>
    <s v="R029"/>
    <n v="5"/>
    <n v="3020"/>
    <n v="26.2"/>
    <n v="11143.8"/>
    <s v="Completed"/>
    <x v="5"/>
    <s v="Beauty"/>
    <s v="West"/>
    <s v="Dec-24"/>
    <s v="Q4 2024"/>
    <n v="1626"/>
    <n v="0.46158940397350995"/>
  </r>
  <r>
    <s v="ORD-01661"/>
    <d v="2024-04-29T00:00:00"/>
    <s v="CUST-0141"/>
    <s v="PROD-018"/>
    <s v="R022"/>
    <n v="10"/>
    <n v="3560"/>
    <n v="15.4"/>
    <n v="30117.599999999999"/>
    <s v="Refunded"/>
    <x v="5"/>
    <s v="Apparel"/>
    <s v="East"/>
    <s v="Apr-24"/>
    <s v="Q2 2024"/>
    <n v="2629"/>
    <n v="0.26151685393258428"/>
  </r>
  <r>
    <s v="ORD-01662"/>
    <d v="2024-06-24T00:00:00"/>
    <s v="CUST-0282"/>
    <s v="PROD-043"/>
    <s v="R001"/>
    <n v="3"/>
    <n v="3350"/>
    <n v="8.1"/>
    <n v="9235.9500000000007"/>
    <s v="Completed"/>
    <x v="5"/>
    <s v="Beauty"/>
    <s v="North"/>
    <s v="Jun-24"/>
    <s v="Q2 2024"/>
    <n v="1728"/>
    <n v="0.48417910447761192"/>
  </r>
  <r>
    <s v="ORD-01663"/>
    <d v="2024-09-07T00:00:00"/>
    <s v="CUST-0269"/>
    <s v="PROD-042"/>
    <s v="R025"/>
    <n v="10"/>
    <n v="2290"/>
    <n v="7"/>
    <n v="21297"/>
    <s v="Completed"/>
    <x v="0"/>
    <s v="Beauty"/>
    <s v="West"/>
    <s v="Sep-24"/>
    <s v="Q3 2024"/>
    <n v="1219"/>
    <n v="0.46768558951965067"/>
  </r>
  <r>
    <s v="ORD-01664"/>
    <d v="2024-07-10T00:00:00"/>
    <s v="CUST-0239"/>
    <s v="PROD-028"/>
    <s v="R003"/>
    <n v="6"/>
    <n v="3660"/>
    <n v="29.9"/>
    <n v="15393.96"/>
    <s v="Completed"/>
    <x v="3"/>
    <s v="Grocery"/>
    <s v="North"/>
    <s v="Jul-24"/>
    <s v="Q3 2024"/>
    <n v="2214"/>
    <n v="0.39508196721311473"/>
  </r>
  <r>
    <s v="ORD-01665"/>
    <d v="2024-05-14T00:00:00"/>
    <s v="CUST-0075"/>
    <s v="PROD-010"/>
    <s v="R013"/>
    <n v="8"/>
    <n v="2640"/>
    <n v="4.2"/>
    <n v="20232.96"/>
    <s v="Refunded"/>
    <x v="3"/>
    <s v="Electronics"/>
    <s v="South"/>
    <s v="May-24"/>
    <s v="Q2 2024"/>
    <n v="1149"/>
    <n v="0.56477272727272732"/>
  </r>
  <r>
    <s v="ORD-01666"/>
    <d v="2024-04-04T00:00:00"/>
    <s v="CUST-0184"/>
    <s v="PROD-032"/>
    <s v="R006"/>
    <n v="5"/>
    <n v="370"/>
    <n v="6"/>
    <n v="1739"/>
    <s v="Completed"/>
    <x v="0"/>
    <s v="Home"/>
    <s v="North"/>
    <s v="Apr-24"/>
    <s v="Q2 2024"/>
    <n v="288"/>
    <n v="0.22162162162162163"/>
  </r>
  <r>
    <s v="ORD-01667"/>
    <d v="2024-03-26T00:00:00"/>
    <s v="CUST-0144"/>
    <s v="PROD-024"/>
    <s v="R007"/>
    <n v="9"/>
    <n v="2270"/>
    <n v="4.7"/>
    <n v="19469.79"/>
    <s v="Completed"/>
    <x v="1"/>
    <s v="Grocery"/>
    <s v="North"/>
    <s v="Mar-24"/>
    <s v="Q1 2024"/>
    <n v="1203"/>
    <n v="0.47004405286343615"/>
  </r>
  <r>
    <s v="ORD-01668"/>
    <d v="2024-05-02T00:00:00"/>
    <s v="CUST-0039"/>
    <s v="PROD-037"/>
    <s v="R011"/>
    <n v="5"/>
    <n v="660"/>
    <n v="21"/>
    <n v="2607"/>
    <s v="Completed"/>
    <x v="4"/>
    <s v="Home"/>
    <s v="South"/>
    <s v="May-24"/>
    <s v="Q2 2024"/>
    <n v="329"/>
    <n v="0.50151515151515147"/>
  </r>
  <r>
    <s v="ORD-01669"/>
    <d v="2024-04-25T00:00:00"/>
    <s v="CUST-9765"/>
    <s v="PROD-057"/>
    <s v="R003"/>
    <n v="2"/>
    <n v="960"/>
    <n v="7.3"/>
    <n v="1779.84"/>
    <s v="Completed"/>
    <x v="4"/>
    <s v="Sports"/>
    <s v="North"/>
    <s v="Apr-24"/>
    <s v="Q2 2024"/>
    <n v="705"/>
    <n v="0.265625"/>
  </r>
  <r>
    <s v="ORD-01670"/>
    <d v="2024-08-05T00:00:00"/>
    <s v="CUST-0159"/>
    <s v="PROD-048"/>
    <s v="R009"/>
    <n v="3"/>
    <n v="5100"/>
    <n v="21"/>
    <n v="12087"/>
    <s v="Completed"/>
    <x v="5"/>
    <s v="Beauty"/>
    <s v="South"/>
    <s v="Aug-24"/>
    <s v="Q3 2024"/>
    <n v="2237"/>
    <n v="0.56137254901960787"/>
  </r>
  <r>
    <s v="ORD-01671"/>
    <d v="2024-10-01T00:00:00"/>
    <s v="CUST-0168"/>
    <s v="PROD-012"/>
    <s v="R004"/>
    <n v="3"/>
    <n v="3160"/>
    <n v="13.5"/>
    <n v="8200.2000000000007"/>
    <s v="Completed"/>
    <x v="0"/>
    <s v="Apparel"/>
    <s v="North"/>
    <s v="Oct-24"/>
    <s v="Q4 2024"/>
    <n v="1886"/>
    <n v="0.4031645569620253"/>
  </r>
  <r>
    <s v="ORD-01672"/>
    <d v="2024-08-20T00:00:00"/>
    <s v="CUST-9552"/>
    <s v="PROD-041"/>
    <s v="R005"/>
    <n v="9"/>
    <n v="1540"/>
    <n v="18.2"/>
    <n v="11337.48"/>
    <s v="Cancelled"/>
    <x v="4"/>
    <s v="Beauty"/>
    <s v="North"/>
    <s v="Aug-24"/>
    <s v="Q3 2024"/>
    <n v="647"/>
    <n v="0.57987012987012987"/>
  </r>
  <r>
    <s v="ORD-01673"/>
    <d v="2024-05-19T00:00:00"/>
    <s v="CUST-0056"/>
    <s v="PROD-047"/>
    <s v="R024"/>
    <n v="4"/>
    <n v="3450"/>
    <n v="26.4"/>
    <n v="10156.799999999999"/>
    <s v="Pending"/>
    <x v="4"/>
    <s v="Beauty"/>
    <s v="West"/>
    <s v="May-24"/>
    <s v="Q2 2024"/>
    <n v="2420"/>
    <n v="0.29855072463768118"/>
  </r>
  <r>
    <s v="ORD-01674"/>
    <d v="2024-11-02T00:00:00"/>
    <s v="CUST-0239"/>
    <s v="PROD-023"/>
    <s v="R026"/>
    <n v="4"/>
    <n v="2380"/>
    <n v="6.9"/>
    <n v="8863.1200000000008"/>
    <s v="Completed"/>
    <x v="3"/>
    <s v="Grocery"/>
    <s v="West"/>
    <s v="Nov-24"/>
    <s v="Q4 2024"/>
    <n v="1182"/>
    <n v="0.50336134453781511"/>
  </r>
  <r>
    <s v="ORD-01675"/>
    <d v="2024-05-07T00:00:00"/>
    <s v="CUST-0168"/>
    <s v="PROD-031"/>
    <s v="R003"/>
    <n v="2"/>
    <n v="3730"/>
    <n v="22.9"/>
    <n v="5751.66"/>
    <s v="Completed"/>
    <x v="0"/>
    <s v="Home"/>
    <s v="North"/>
    <s v="May-24"/>
    <s v="Q2 2024"/>
    <n v="2135"/>
    <n v="0.42761394101876676"/>
  </r>
  <r>
    <s v="ORD-01676"/>
    <d v="2024-09-14T00:00:00"/>
    <s v="CUST-0012"/>
    <s v="PROD-036"/>
    <s v="R002"/>
    <n v="7"/>
    <n v="3250"/>
    <n v="6"/>
    <n v="21385"/>
    <s v="Completed"/>
    <x v="0"/>
    <s v="Home"/>
    <s v="North"/>
    <s v="Sep-24"/>
    <s v="Q3 2024"/>
    <n v="1556"/>
    <n v="0.52123076923076928"/>
  </r>
  <r>
    <s v="ORD-01677"/>
    <d v="2024-08-15T00:00:00"/>
    <s v="CUST-0057"/>
    <s v="PROD-053"/>
    <s v="R020"/>
    <n v="9"/>
    <n v="470"/>
    <n v="11.6"/>
    <n v="3739.32"/>
    <s v="Completed"/>
    <x v="0"/>
    <s v="Sports"/>
    <s v="East"/>
    <s v="Aug-24"/>
    <s v="Q3 2024"/>
    <n v="302"/>
    <n v="0.35744680851063831"/>
  </r>
  <r>
    <s v="ORD-01678"/>
    <d v="2024-10-09T00:00:00"/>
    <s v="CUST-0030"/>
    <s v="PROD-042"/>
    <s v="R026"/>
    <n v="5"/>
    <n v="2290"/>
    <n v="27.6"/>
    <n v="8289.7999999999993"/>
    <s v="Completed"/>
    <x v="4"/>
    <s v="Beauty"/>
    <s v="West"/>
    <s v="Oct-24"/>
    <s v="Q4 2024"/>
    <n v="1219"/>
    <n v="0.46768558951965067"/>
  </r>
  <r>
    <s v="ORD-01679"/>
    <d v="2024-06-19T00:00:00"/>
    <s v="CUST-0166"/>
    <s v="PROD-007"/>
    <s v="R029"/>
    <n v="6"/>
    <n v="1430"/>
    <n v="18.399999999999999"/>
    <n v="7001.28"/>
    <s v="Pending"/>
    <x v="5"/>
    <s v="Electronics"/>
    <s v="West"/>
    <s v="Jun-24"/>
    <s v="Q2 2024"/>
    <n v="861"/>
    <n v="0.39790209790209791"/>
  </r>
  <r>
    <s v="ORD-01680"/>
    <d v="2024-02-14T00:00:00"/>
    <s v="CUST-0188"/>
    <s v="PROD-055"/>
    <s v="R002"/>
    <n v="7"/>
    <n v="2860"/>
    <n v="19.5"/>
    <n v="16116.1"/>
    <s v="Completed"/>
    <x v="4"/>
    <s v="Sports"/>
    <s v="North"/>
    <s v="Feb-24"/>
    <s v="Q1 2024"/>
    <n v="2028"/>
    <n v="0.29090909090909089"/>
  </r>
  <r>
    <s v="ORD-01681"/>
    <d v="2024-05-27T00:00:00"/>
    <s v="CUST-0097"/>
    <s v="PROD-047"/>
    <s v="R020"/>
    <n v="8"/>
    <n v="3450"/>
    <n v="25.5"/>
    <n v="20562"/>
    <s v="Pending"/>
    <x v="3"/>
    <s v="Beauty"/>
    <s v="East"/>
    <s v="May-24"/>
    <s v="Q2 2024"/>
    <n v="2420"/>
    <n v="0.29855072463768118"/>
  </r>
  <r>
    <s v="ORD-01682"/>
    <d v="2024-10-13T00:00:00"/>
    <s v="CUST-0026"/>
    <s v="PROD-052"/>
    <s v="R019"/>
    <n v="7"/>
    <n v="5410"/>
    <n v="15.2"/>
    <n v="32113.759999999998"/>
    <s v="Cancelled"/>
    <x v="0"/>
    <s v="Sports"/>
    <s v="East"/>
    <s v="Oct-24"/>
    <s v="Q4 2024"/>
    <n v="2265"/>
    <n v="0.58133086876155271"/>
  </r>
  <r>
    <s v="ORD-01683"/>
    <d v="2024-10-23T00:00:00"/>
    <s v="CUST-0026"/>
    <s v="PROD-040"/>
    <s v="R025"/>
    <n v="3"/>
    <n v="1080"/>
    <n v="26"/>
    <n v="2397.6"/>
    <s v="Completed"/>
    <x v="0"/>
    <s v="Home"/>
    <s v="West"/>
    <s v="Oct-24"/>
    <s v="Q4 2024"/>
    <n v="519"/>
    <n v="0.51944444444444449"/>
  </r>
  <r>
    <s v="ORD-01684"/>
    <d v="2024-03-03T00:00:00"/>
    <s v="CUST-0020"/>
    <s v="PROD-055"/>
    <s v="R019"/>
    <n v="8"/>
    <n v="2860"/>
    <n v="14.8"/>
    <n v="19493.759999999998"/>
    <s v="Completed"/>
    <x v="5"/>
    <s v="Sports"/>
    <s v="East"/>
    <s v="Mar-24"/>
    <s v="Q1 2024"/>
    <n v="2028"/>
    <n v="0.29090909090909089"/>
  </r>
  <r>
    <s v="ORD-01685"/>
    <d v="2024-02-10T00:00:00"/>
    <s v="CUST-9740"/>
    <s v="PROD-045"/>
    <s v="R013"/>
    <n v="4"/>
    <n v="3020"/>
    <n v="8.1"/>
    <n v="11101.52"/>
    <s v="Completed"/>
    <x v="5"/>
    <s v="Beauty"/>
    <s v="South"/>
    <s v="Feb-24"/>
    <s v="Q1 2024"/>
    <n v="1626"/>
    <n v="0.46158940397350995"/>
  </r>
  <r>
    <s v="ORD-01686"/>
    <d v="2024-12-23T00:00:00"/>
    <s v="CUST-0095"/>
    <s v="PROD-057"/>
    <s v="R025"/>
    <n v="4"/>
    <n v="960"/>
    <n v="6.4"/>
    <n v="3594.24"/>
    <s v="Cancelled"/>
    <x v="3"/>
    <s v="Sports"/>
    <s v="West"/>
    <s v="Dec-24"/>
    <s v="Q4 2024"/>
    <n v="705"/>
    <n v="0.265625"/>
  </r>
  <r>
    <s v="ORD-01687"/>
    <d v="2024-10-31T00:00:00"/>
    <s v="CUST-0079"/>
    <s v="PROD-004"/>
    <s v="R029"/>
    <n v="4"/>
    <n v="3870"/>
    <n v="15.9"/>
    <n v="13018.68"/>
    <s v="Completed"/>
    <x v="3"/>
    <s v="Electronics"/>
    <s v="West"/>
    <s v="Oct-24"/>
    <s v="Q4 2024"/>
    <n v="1559"/>
    <n v="0.59715762273901807"/>
  </r>
  <r>
    <s v="ORD-01688"/>
    <d v="2024-03-27T00:00:00"/>
    <s v="CUST-0060"/>
    <s v="PROD-012"/>
    <s v="R020"/>
    <n v="5"/>
    <n v="3160"/>
    <n v="29.8"/>
    <n v="11091.6"/>
    <s v="Completed"/>
    <x v="0"/>
    <s v="Apparel"/>
    <s v="East"/>
    <s v="Mar-24"/>
    <s v="Q1 2024"/>
    <n v="1886"/>
    <n v="0.4031645569620253"/>
  </r>
  <r>
    <s v="ORD-01689"/>
    <d v="2024-04-21T00:00:00"/>
    <s v="CUST-0080"/>
    <s v="PROD-047"/>
    <s v="R027"/>
    <n v="5"/>
    <n v="3450"/>
    <n v="29.4"/>
    <n v="12178.5"/>
    <s v="Completed"/>
    <x v="0"/>
    <s v="Beauty"/>
    <s v="West"/>
    <s v="Apr-24"/>
    <s v="Q2 2024"/>
    <n v="2420"/>
    <n v="0.29855072463768118"/>
  </r>
  <r>
    <s v="ORD-01690"/>
    <d v="2024-08-31T00:00:00"/>
    <s v="CUST-0136"/>
    <s v="PROD-049"/>
    <s v="R018"/>
    <n v="10"/>
    <n v="960"/>
    <n v="27"/>
    <n v="7008"/>
    <s v="Cancelled"/>
    <x v="1"/>
    <s v="Beauty"/>
    <s v="East"/>
    <s v="Aug-24"/>
    <s v="Q3 2024"/>
    <n v="675"/>
    <n v="0.296875"/>
  </r>
  <r>
    <s v="ORD-01691"/>
    <d v="2024-05-17T00:00:00"/>
    <s v="CUST-0074"/>
    <s v="PROD-056"/>
    <s v="R018"/>
    <n v="10"/>
    <n v="6940"/>
    <n v="20.100000000000001"/>
    <n v="55450.6"/>
    <s v="Completed"/>
    <x v="4"/>
    <s v="Sports"/>
    <s v="East"/>
    <s v="May-24"/>
    <s v="Q2 2024"/>
    <n v="2827"/>
    <n v="0.5926512968299712"/>
  </r>
  <r>
    <s v="ORD-01692"/>
    <d v="2024-05-24T00:00:00"/>
    <s v="CUST-0090"/>
    <s v="PROD-058"/>
    <s v="R009"/>
    <n v="9"/>
    <n v="2400"/>
    <n v="7.8"/>
    <n v="19915.2"/>
    <s v="Completed"/>
    <x v="4"/>
    <s v="Sports"/>
    <s v="South"/>
    <s v="May-24"/>
    <s v="Q2 2024"/>
    <n v="974"/>
    <n v="0.59416666666666662"/>
  </r>
  <r>
    <s v="ORD-01693"/>
    <d v="2024-04-15T00:00:00"/>
    <s v="CUST-0300"/>
    <s v="PROD-052"/>
    <s v="R017"/>
    <n v="1"/>
    <n v="5410"/>
    <n v="22.8"/>
    <n v="4176.5200000000004"/>
    <s v="Completed"/>
    <x v="3"/>
    <s v="Sports"/>
    <s v="East"/>
    <s v="Apr-24"/>
    <s v="Q2 2024"/>
    <n v="2265"/>
    <n v="0.58133086876155271"/>
  </r>
  <r>
    <s v="ORD-01694"/>
    <d v="2024-12-03T00:00:00"/>
    <s v="CUST-0188"/>
    <s v="PROD-009"/>
    <s v="R004"/>
    <n v="7"/>
    <n v="1220"/>
    <n v="18.8"/>
    <n v="6934.48"/>
    <s v="Pending"/>
    <x v="4"/>
    <s v="Electronics"/>
    <s v="North"/>
    <s v="Dec-24"/>
    <s v="Q4 2024"/>
    <n v="517"/>
    <n v="0.57622950819672136"/>
  </r>
  <r>
    <s v="ORD-01695"/>
    <d v="2024-10-30T00:00:00"/>
    <s v="CUST-0250"/>
    <s v="PROD-035"/>
    <s v="R019"/>
    <n v="1"/>
    <n v="1090"/>
    <n v="23.5"/>
    <n v="833.85"/>
    <s v="Completed"/>
    <x v="2"/>
    <s v="Home"/>
    <s v="East"/>
    <s v="Oct-24"/>
    <s v="Q4 2024"/>
    <n v="464"/>
    <n v="0.57431192660550456"/>
  </r>
  <r>
    <s v="ORD-01696"/>
    <d v="2024-08-27T00:00:00"/>
    <s v="CUST-0195"/>
    <s v="PROD-021"/>
    <s v="R023"/>
    <n v="2"/>
    <n v="2760"/>
    <n v="2.2999999999999998"/>
    <n v="5393.04"/>
    <s v="Completed"/>
    <x v="4"/>
    <s v="Grocery"/>
    <s v="East"/>
    <s v="Aug-24"/>
    <s v="Q3 2024"/>
    <n v="1435"/>
    <n v="0.48007246376811596"/>
  </r>
  <r>
    <s v="ORD-01697"/>
    <d v="2024-11-30T00:00:00"/>
    <s v="CUST-0185"/>
    <s v="PROD-003"/>
    <s v="R026"/>
    <n v="3"/>
    <n v="3570"/>
    <n v="18.399999999999999"/>
    <n v="8739.36"/>
    <s v="Refunded"/>
    <x v="5"/>
    <s v="Electronics"/>
    <s v="West"/>
    <s v="Nov-24"/>
    <s v="Q4 2024"/>
    <n v="1665"/>
    <n v="0.53361344537815125"/>
  </r>
  <r>
    <s v="ORD-01698"/>
    <d v="2024-07-29T00:00:00"/>
    <s v="CUST-0256"/>
    <s v="PROD-009"/>
    <s v="R004"/>
    <n v="7"/>
    <n v="1220"/>
    <n v="25.8"/>
    <n v="6336.68"/>
    <s v="Refunded"/>
    <x v="5"/>
    <s v="Electronics"/>
    <s v="North"/>
    <s v="Jul-24"/>
    <s v="Q3 2024"/>
    <n v="517"/>
    <n v="0.57622950819672136"/>
  </r>
  <r>
    <s v="ORD-01699"/>
    <d v="2024-07-28T00:00:00"/>
    <s v="CUST-0060"/>
    <s v="PROD-051"/>
    <s v="R029"/>
    <n v="6"/>
    <n v="3450"/>
    <n v="13.1"/>
    <n v="17988.3"/>
    <s v="Completed"/>
    <x v="0"/>
    <s v="Sports"/>
    <s v="West"/>
    <s v="Jul-24"/>
    <s v="Q3 2024"/>
    <n v="2467"/>
    <n v="0.28492753623188405"/>
  </r>
  <r>
    <s v="ORD-01700"/>
    <d v="2024-05-23T00:00:00"/>
    <s v="CUST-0275"/>
    <s v="PROD-029"/>
    <s v="R004"/>
    <n v="10"/>
    <n v="2210"/>
    <n v="16.600000000000001"/>
    <n v="18431.400000000001"/>
    <s v="Completed"/>
    <x v="3"/>
    <s v="Grocery"/>
    <s v="North"/>
    <s v="May-24"/>
    <s v="Q2 2024"/>
    <n v="1010"/>
    <n v="0.54298642533936647"/>
  </r>
  <r>
    <s v="ORD-01701"/>
    <d v="2024-01-04T00:00:00"/>
    <s v="CUST-0114"/>
    <s v="PROD-019"/>
    <s v="R027"/>
    <n v="10"/>
    <n v="2480"/>
    <n v="17.5"/>
    <n v="20460"/>
    <s v="Completed"/>
    <x v="4"/>
    <s v="Apparel"/>
    <s v="West"/>
    <s v="Jan-24"/>
    <s v="Q1 2024"/>
    <n v="1173"/>
    <n v="0.52701612903225803"/>
  </r>
  <r>
    <s v="ORD-01702"/>
    <d v="2024-10-01T00:00:00"/>
    <s v="CUST-0060"/>
    <s v="PROD-036"/>
    <s v="R019"/>
    <n v="9"/>
    <n v="3250"/>
    <n v="25.9"/>
    <n v="21674.25"/>
    <s v="Completed"/>
    <x v="0"/>
    <s v="Home"/>
    <s v="East"/>
    <s v="Oct-24"/>
    <s v="Q4 2024"/>
    <n v="1556"/>
    <n v="0.52123076923076928"/>
  </r>
  <r>
    <s v="ORD-01703"/>
    <d v="2024-07-01T00:00:00"/>
    <s v="CUST-0039"/>
    <s v="PROD-058"/>
    <s v="R008"/>
    <n v="3"/>
    <n v="2400"/>
    <n v="17.5"/>
    <n v="5940"/>
    <s v="Completed"/>
    <x v="4"/>
    <s v="Sports"/>
    <s v="North"/>
    <s v="Jul-24"/>
    <s v="Q3 2024"/>
    <n v="974"/>
    <n v="0.59416666666666662"/>
  </r>
  <r>
    <s v="ORD-01704"/>
    <d v="2024-03-21T00:00:00"/>
    <s v="CUST-0033"/>
    <s v="PROD-052"/>
    <s v="R006"/>
    <n v="8"/>
    <n v="5410"/>
    <n v="8.3000000000000007"/>
    <n v="39687.760000000002"/>
    <s v="Completed"/>
    <x v="2"/>
    <s v="Sports"/>
    <s v="North"/>
    <s v="Mar-24"/>
    <s v="Q1 2024"/>
    <n v="2265"/>
    <n v="0.58133086876155271"/>
  </r>
  <r>
    <s v="ORD-01705"/>
    <d v="2024-11-26T00:00:00"/>
    <s v="CUST-0037"/>
    <s v="PROD-002"/>
    <s v="R018"/>
    <n v="1"/>
    <n v="2600"/>
    <n v="5.9"/>
    <n v="2446.6"/>
    <s v="Completed"/>
    <x v="4"/>
    <s v="Electronics"/>
    <s v="East"/>
    <s v="Nov-24"/>
    <s v="Q4 2024"/>
    <n v="1052"/>
    <n v="0.5953846153846154"/>
  </r>
  <r>
    <s v="ORD-01706"/>
    <d v="2024-11-07T00:00:00"/>
    <s v="CUST-0081"/>
    <s v="PROD-025"/>
    <s v="R003"/>
    <n v="10"/>
    <n v="4060"/>
    <n v="2.2999999999999998"/>
    <n v="39666.199999999997"/>
    <s v="Completed"/>
    <x v="3"/>
    <s v="Grocery"/>
    <s v="North"/>
    <s v="Nov-24"/>
    <s v="Q4 2024"/>
    <n v="2911"/>
    <n v="0.28300492610837441"/>
  </r>
  <r>
    <s v="ORD-01707"/>
    <d v="2024-03-01T00:00:00"/>
    <s v="CUST-0279"/>
    <s v="PROD-001"/>
    <s v="R020"/>
    <n v="9"/>
    <n v="5330"/>
    <n v="23.5"/>
    <n v="36697.050000000003"/>
    <s v="Completed"/>
    <x v="3"/>
    <s v="Electronics"/>
    <s v="East"/>
    <s v="Mar-24"/>
    <s v="Q1 2024"/>
    <n v="2405"/>
    <n v="0.54878048780487809"/>
  </r>
  <r>
    <s v="ORD-01708"/>
    <d v="2024-11-04T00:00:00"/>
    <s v="CUST-0129"/>
    <s v="PROD-043"/>
    <s v="R025"/>
    <n v="7"/>
    <n v="3350"/>
    <n v="13.4"/>
    <n v="20307.7"/>
    <s v="Pending"/>
    <x v="5"/>
    <s v="Beauty"/>
    <s v="West"/>
    <s v="Nov-24"/>
    <s v="Q4 2024"/>
    <n v="1728"/>
    <n v="0.48417910447761192"/>
  </r>
  <r>
    <s v="ORD-01709"/>
    <d v="2024-12-05T00:00:00"/>
    <s v="CUST-0010"/>
    <s v="PROD-017"/>
    <s v="R014"/>
    <n v="4"/>
    <n v="2510"/>
    <n v="26.6"/>
    <n v="7369.36"/>
    <s v="Completed"/>
    <x v="3"/>
    <s v="Apparel"/>
    <s v="South"/>
    <s v="Dec-24"/>
    <s v="Q4 2024"/>
    <n v="1075"/>
    <n v="0.57171314741035861"/>
  </r>
  <r>
    <s v="ORD-01710"/>
    <d v="2024-06-13T00:00:00"/>
    <s v="CUST-0006"/>
    <s v="PROD-045"/>
    <s v="R021"/>
    <n v="1"/>
    <n v="3020"/>
    <n v="15.2"/>
    <n v="2560.96"/>
    <s v="Cancelled"/>
    <x v="0"/>
    <s v="Beauty"/>
    <s v="East"/>
    <s v="Jun-24"/>
    <s v="Q2 2024"/>
    <n v="1626"/>
    <n v="0.46158940397350995"/>
  </r>
  <r>
    <s v="ORD-01711"/>
    <d v="2024-09-04T00:00:00"/>
    <s v="CUST-0206"/>
    <s v="PROD-020"/>
    <s v="R029"/>
    <n v="1"/>
    <n v="820"/>
    <n v="6.3"/>
    <n v="768.34"/>
    <s v="Completed"/>
    <x v="3"/>
    <s v="Apparel"/>
    <s v="West"/>
    <s v="Sep-24"/>
    <s v="Q3 2024"/>
    <n v="391"/>
    <n v="0.52317073170731709"/>
  </r>
  <r>
    <s v="ORD-01712"/>
    <d v="2024-07-15T00:00:00"/>
    <s v="CUST-0034"/>
    <s v="PROD-012"/>
    <s v="R027"/>
    <n v="4"/>
    <n v="3160"/>
    <n v="3.6"/>
    <n v="12184.96"/>
    <s v="Pending"/>
    <x v="2"/>
    <s v="Apparel"/>
    <s v="West"/>
    <s v="Jul-24"/>
    <s v="Q3 2024"/>
    <n v="1886"/>
    <n v="0.4031645569620253"/>
  </r>
  <r>
    <s v="ORD-01713"/>
    <d v="2024-03-19T00:00:00"/>
    <s v="CUST-0121"/>
    <s v="PROD-028"/>
    <s v="R012"/>
    <n v="1"/>
    <n v="3660"/>
    <n v="28.2"/>
    <n v="2627.88"/>
    <s v="Pending"/>
    <x v="2"/>
    <s v="Grocery"/>
    <s v="South"/>
    <s v="Mar-24"/>
    <s v="Q1 2024"/>
    <n v="2214"/>
    <n v="0.39508196721311473"/>
  </r>
  <r>
    <s v="ORD-01714"/>
    <d v="2024-04-12T00:00:00"/>
    <s v="CUST-0098"/>
    <s v="PROD-020"/>
    <s v="R026"/>
    <n v="2"/>
    <n v="820"/>
    <n v="7"/>
    <n v="1525.2"/>
    <s v="Completed"/>
    <x v="2"/>
    <s v="Apparel"/>
    <s v="West"/>
    <s v="Apr-24"/>
    <s v="Q2 2024"/>
    <n v="391"/>
    <n v="0.52317073170731709"/>
  </r>
  <r>
    <s v="ORD-01715"/>
    <d v="2024-06-03T00:00:00"/>
    <s v="CUST-0031"/>
    <s v="PROD-023"/>
    <s v="R022"/>
    <n v="5"/>
    <n v="2380"/>
    <n v="23"/>
    <n v="9163"/>
    <s v="Completed"/>
    <x v="5"/>
    <s v="Grocery"/>
    <s v="East"/>
    <s v="Jun-24"/>
    <s v="Q2 2024"/>
    <n v="1182"/>
    <n v="0.50336134453781511"/>
  </r>
  <r>
    <s v="ORD-01716"/>
    <d v="2024-11-16T00:00:00"/>
    <s v="CUST-0185"/>
    <s v="PROD-004"/>
    <s v="R013"/>
    <n v="1"/>
    <n v="3870"/>
    <n v="27.3"/>
    <n v="2813.49"/>
    <s v="Completed"/>
    <x v="5"/>
    <s v="Electronics"/>
    <s v="South"/>
    <s v="Nov-24"/>
    <s v="Q4 2024"/>
    <n v="1559"/>
    <n v="0.59715762273901807"/>
  </r>
  <r>
    <s v="ORD-01717"/>
    <d v="2024-01-10T00:00:00"/>
    <s v="CUST-0011"/>
    <s v="PROD-005"/>
    <s v="R007"/>
    <n v="10"/>
    <n v="300"/>
    <n v="14.1"/>
    <n v="2577"/>
    <s v="Cancelled"/>
    <x v="1"/>
    <s v="Electronics"/>
    <s v="North"/>
    <s v="Jan-24"/>
    <s v="Q1 2024"/>
    <n v="128"/>
    <n v="0.57333333333333336"/>
  </r>
  <r>
    <s v="ORD-01718"/>
    <d v="2024-12-21T00:00:00"/>
    <s v="CUST-0223"/>
    <s v="PROD-048"/>
    <s v="R027"/>
    <n v="10"/>
    <n v="5100"/>
    <n v="12.7"/>
    <n v="44523"/>
    <s v="Completed"/>
    <x v="4"/>
    <s v="Beauty"/>
    <s v="West"/>
    <s v="Dec-24"/>
    <s v="Q4 2024"/>
    <n v="2237"/>
    <n v="0.56137254901960787"/>
  </r>
  <r>
    <s v="ORD-01719"/>
    <d v="2024-10-24T00:00:00"/>
    <s v="CUST-0126"/>
    <s v="PROD-021"/>
    <s v="R013"/>
    <n v="1"/>
    <n v="2760"/>
    <n v="17.8"/>
    <n v="2268.7199999999998"/>
    <s v="Refunded"/>
    <x v="3"/>
    <s v="Grocery"/>
    <s v="South"/>
    <s v="Oct-24"/>
    <s v="Q4 2024"/>
    <n v="1435"/>
    <n v="0.48007246376811596"/>
  </r>
  <r>
    <s v="ORD-01720"/>
    <d v="2024-03-31T00:00:00"/>
    <s v="CUST-0284"/>
    <s v="PROD-001"/>
    <s v="R002"/>
    <n v="8"/>
    <n v="5330"/>
    <n v="16.399999999999999"/>
    <n v="35647.040000000001"/>
    <s v="Completed"/>
    <x v="5"/>
    <s v="Electronics"/>
    <s v="North"/>
    <s v="Mar-24"/>
    <s v="Q1 2024"/>
    <n v="2405"/>
    <n v="0.54878048780487809"/>
  </r>
  <r>
    <s v="ORD-01721"/>
    <d v="2024-06-14T00:00:00"/>
    <s v="CUST-0011"/>
    <s v="PROD-054"/>
    <s v="R016"/>
    <n v="1"/>
    <n v="1010"/>
    <n v="20.399999999999999"/>
    <n v="803.96"/>
    <s v="Cancelled"/>
    <x v="1"/>
    <s v="Sports"/>
    <s v="South"/>
    <s v="Jun-24"/>
    <s v="Q2 2024"/>
    <n v="516"/>
    <n v="0.4891089108910891"/>
  </r>
  <r>
    <s v="ORD-01722"/>
    <d v="2024-03-25T00:00:00"/>
    <s v="CUST-0275"/>
    <s v="PROD-008"/>
    <s v="R019"/>
    <n v="10"/>
    <n v="2660"/>
    <n v="29.3"/>
    <n v="18806.2"/>
    <s v="Completed"/>
    <x v="3"/>
    <s v="Electronics"/>
    <s v="East"/>
    <s v="Mar-24"/>
    <s v="Q1 2024"/>
    <n v="1259"/>
    <n v="0.52669172932330832"/>
  </r>
  <r>
    <s v="ORD-01723"/>
    <d v="2024-08-02T00:00:00"/>
    <s v="CUST-0259"/>
    <s v="PROD-006"/>
    <s v="R011"/>
    <n v="9"/>
    <n v="3970"/>
    <n v="10.4"/>
    <n v="32014.080000000002"/>
    <s v="Pending"/>
    <x v="3"/>
    <s v="Electronics"/>
    <s v="South"/>
    <s v="Aug-24"/>
    <s v="Q3 2024"/>
    <n v="2865"/>
    <n v="0.27833753148614609"/>
  </r>
  <r>
    <s v="ORD-01724"/>
    <d v="2024-06-29T00:00:00"/>
    <s v="CUST-0089"/>
    <s v="PROD-014"/>
    <s v="R008"/>
    <n v="3"/>
    <n v="3620"/>
    <n v="22"/>
    <n v="8470.7999999999993"/>
    <s v="Completed"/>
    <x v="3"/>
    <s v="Apparel"/>
    <s v="North"/>
    <s v="Jun-24"/>
    <s v="Q2 2024"/>
    <n v="2509"/>
    <n v="0.3069060773480663"/>
  </r>
  <r>
    <s v="ORD-01725"/>
    <d v="2024-04-01T00:00:00"/>
    <s v="CUST-0232"/>
    <s v="PROD-022"/>
    <s v="R018"/>
    <n v="6"/>
    <n v="2270"/>
    <n v="11.1"/>
    <n v="12108.18"/>
    <s v="Cancelled"/>
    <x v="5"/>
    <s v="Grocery"/>
    <s v="East"/>
    <s v="Apr-24"/>
    <s v="Q2 2024"/>
    <n v="1412"/>
    <n v="0.37797356828193834"/>
  </r>
  <r>
    <s v="ORD-01726"/>
    <d v="2024-09-08T00:00:00"/>
    <s v="CUST-0220"/>
    <s v="PROD-022"/>
    <s v="R014"/>
    <n v="4"/>
    <n v="2270"/>
    <n v="27.2"/>
    <n v="6610.24"/>
    <s v="Pending"/>
    <x v="1"/>
    <s v="Grocery"/>
    <s v="South"/>
    <s v="Sep-24"/>
    <s v="Q3 2024"/>
    <n v="1412"/>
    <n v="0.37797356828193834"/>
  </r>
  <r>
    <s v="ORD-01727"/>
    <d v="2024-10-11T00:00:00"/>
    <s v="CUST-0137"/>
    <s v="PROD-039"/>
    <s v="R012"/>
    <n v="8"/>
    <n v="4610"/>
    <n v="24.5"/>
    <n v="27844.400000000001"/>
    <s v="Completed"/>
    <x v="3"/>
    <s v="Home"/>
    <s v="South"/>
    <s v="Oct-24"/>
    <s v="Q4 2024"/>
    <n v="1850"/>
    <n v="0.59869848156182215"/>
  </r>
  <r>
    <s v="ORD-01728"/>
    <d v="2024-03-15T00:00:00"/>
    <s v="CUST-0132"/>
    <s v="PROD-060"/>
    <s v="R020"/>
    <n v="6"/>
    <n v="190"/>
    <n v="8.6999999999999993"/>
    <n v="1040.82"/>
    <s v="Cancelled"/>
    <x v="2"/>
    <s v="Sports"/>
    <s v="East"/>
    <s v="Mar-24"/>
    <s v="Q1 2024"/>
    <n v="147"/>
    <n v="0.22631578947368422"/>
  </r>
  <r>
    <s v="ORD-01729"/>
    <d v="2024-11-21T00:00:00"/>
    <s v="CUST-0226"/>
    <s v="PROD-033"/>
    <s v="R026"/>
    <n v="5"/>
    <n v="2030"/>
    <n v="0.9"/>
    <n v="10058.65"/>
    <s v="Cancelled"/>
    <x v="1"/>
    <s v="Home"/>
    <s v="West"/>
    <s v="Nov-24"/>
    <s v="Q4 2024"/>
    <n v="1143"/>
    <n v="0.43694581280788175"/>
  </r>
  <r>
    <s v="ORD-01730"/>
    <d v="2024-11-18T00:00:00"/>
    <s v="CUST-0080"/>
    <s v="PROD-026"/>
    <s v="R020"/>
    <n v="1"/>
    <n v="4070"/>
    <n v="9.3000000000000007"/>
    <n v="3691.49"/>
    <s v="Refunded"/>
    <x v="0"/>
    <s v="Grocery"/>
    <s v="East"/>
    <s v="Nov-24"/>
    <s v="Q4 2024"/>
    <n v="2027"/>
    <n v="0.50196560196560192"/>
  </r>
  <r>
    <s v="ORD-01731"/>
    <d v="2024-06-17T00:00:00"/>
    <s v="CUST-0068"/>
    <s v="PROD-042"/>
    <s v="R001"/>
    <n v="3"/>
    <n v="2290"/>
    <n v="12.1"/>
    <n v="6038.73"/>
    <s v="Completed"/>
    <x v="2"/>
    <s v="Beauty"/>
    <s v="North"/>
    <s v="Jun-24"/>
    <s v="Q2 2024"/>
    <n v="1219"/>
    <n v="0.46768558951965067"/>
  </r>
  <r>
    <s v="ORD-01732"/>
    <d v="2024-08-10T00:00:00"/>
    <s v="CUST-0146"/>
    <s v="PROD-031"/>
    <s v="R020"/>
    <n v="7"/>
    <n v="3730"/>
    <n v="4.5"/>
    <n v="24935.05"/>
    <s v="Completed"/>
    <x v="5"/>
    <s v="Home"/>
    <s v="East"/>
    <s v="Aug-24"/>
    <s v="Q3 2024"/>
    <n v="2135"/>
    <n v="0.42761394101876676"/>
  </r>
  <r>
    <s v="ORD-01733"/>
    <d v="2024-01-15T00:00:00"/>
    <s v="CUST-0106"/>
    <s v="PROD-016"/>
    <s v="R005"/>
    <n v="5"/>
    <n v="620"/>
    <n v="7.5"/>
    <n v="2867.5"/>
    <s v="Completed"/>
    <x v="0"/>
    <s v="Apparel"/>
    <s v="North"/>
    <s v="Jan-24"/>
    <s v="Q1 2024"/>
    <n v="396"/>
    <n v="0.36129032258064514"/>
  </r>
  <r>
    <s v="ORD-01734"/>
    <d v="2024-06-12T00:00:00"/>
    <s v="CUST-0096"/>
    <s v="PROD-010"/>
    <s v="R010"/>
    <n v="8"/>
    <n v="2640"/>
    <n v="16.399999999999999"/>
    <n v="17656.32"/>
    <s v="Completed"/>
    <x v="2"/>
    <s v="Electronics"/>
    <s v="South"/>
    <s v="Jun-24"/>
    <s v="Q2 2024"/>
    <n v="1149"/>
    <n v="0.56477272727272732"/>
  </r>
  <r>
    <s v="ORD-01735"/>
    <d v="2024-09-29T00:00:00"/>
    <s v="CUST-0248"/>
    <s v="PROD-028"/>
    <s v="R004"/>
    <n v="6"/>
    <n v="3660"/>
    <n v="6.2"/>
    <n v="20598.48"/>
    <s v="Completed"/>
    <x v="1"/>
    <s v="Grocery"/>
    <s v="North"/>
    <s v="Sep-24"/>
    <s v="Q3 2024"/>
    <n v="2214"/>
    <n v="0.39508196721311473"/>
  </r>
  <r>
    <s v="ORD-01736"/>
    <d v="2024-08-03T00:00:00"/>
    <s v="CUST-0297"/>
    <s v="PROD-020"/>
    <s v="R020"/>
    <n v="2"/>
    <n v="820"/>
    <n v="25.4"/>
    <n v="1223.44"/>
    <s v="Completed"/>
    <x v="5"/>
    <s v="Apparel"/>
    <s v="East"/>
    <s v="Aug-24"/>
    <s v="Q3 2024"/>
    <n v="391"/>
    <n v="0.52317073170731709"/>
  </r>
  <r>
    <s v="ORD-01737"/>
    <d v="2024-10-31T00:00:00"/>
    <s v="CUST-0120"/>
    <s v="PROD-019"/>
    <s v="R021"/>
    <n v="3"/>
    <n v="2480"/>
    <n v="28.7"/>
    <n v="5304.72"/>
    <s v="Pending"/>
    <x v="3"/>
    <s v="Apparel"/>
    <s v="East"/>
    <s v="Oct-24"/>
    <s v="Q4 2024"/>
    <n v="1173"/>
    <n v="0.52701612903225803"/>
  </r>
  <r>
    <s v="ORD-01738"/>
    <d v="2024-08-30T00:00:00"/>
    <s v="CUST-0148"/>
    <s v="PROD-050"/>
    <s v="R028"/>
    <n v="10"/>
    <n v="6080"/>
    <n v="18.899999999999999"/>
    <n v="49308.800000000003"/>
    <s v="Completed"/>
    <x v="1"/>
    <s v="Beauty"/>
    <s v="West"/>
    <s v="Aug-24"/>
    <s v="Q3 2024"/>
    <n v="2617"/>
    <n v="0.56957236842105263"/>
  </r>
  <r>
    <s v="ORD-01739"/>
    <d v="2024-02-14T00:00:00"/>
    <s v="CUST-0008"/>
    <s v="PROD-060"/>
    <s v="R022"/>
    <n v="1"/>
    <n v="190"/>
    <n v="5.7"/>
    <n v="179.17"/>
    <s v="Completed"/>
    <x v="0"/>
    <s v="Sports"/>
    <s v="East"/>
    <s v="Feb-24"/>
    <s v="Q1 2024"/>
    <n v="147"/>
    <n v="0.22631578947368422"/>
  </r>
  <r>
    <s v="ORD-01740"/>
    <d v="2024-06-20T00:00:00"/>
    <s v="CUST-0013"/>
    <s v="PROD-059"/>
    <s v="R026"/>
    <n v="2"/>
    <n v="3780"/>
    <n v="11.8"/>
    <n v="6667.92"/>
    <s v="Completed"/>
    <x v="2"/>
    <s v="Sports"/>
    <s v="West"/>
    <s v="Jun-24"/>
    <s v="Q2 2024"/>
    <n v="1860"/>
    <n v="0.50793650793650791"/>
  </r>
  <r>
    <s v="ORD-01741"/>
    <d v="2024-11-06T00:00:00"/>
    <s v="CUST-0234"/>
    <s v="PROD-036"/>
    <s v="R001"/>
    <n v="5"/>
    <n v="3250"/>
    <n v="19.899999999999999"/>
    <n v="13016.25"/>
    <s v="Completed"/>
    <x v="4"/>
    <s v="Home"/>
    <s v="North"/>
    <s v="Nov-24"/>
    <s v="Q4 2024"/>
    <n v="1556"/>
    <n v="0.52123076923076928"/>
  </r>
  <r>
    <s v="ORD-01742"/>
    <d v="2024-03-14T00:00:00"/>
    <s v="CUST-0207"/>
    <s v="PROD-033"/>
    <s v="R008"/>
    <n v="7"/>
    <n v="2030"/>
    <n v="4.0999999999999996"/>
    <n v="13627.39"/>
    <s v="Completed"/>
    <x v="5"/>
    <s v="Home"/>
    <s v="North"/>
    <s v="Mar-24"/>
    <s v="Q1 2024"/>
    <n v="1143"/>
    <n v="0.43694581280788175"/>
  </r>
  <r>
    <s v="ORD-01743"/>
    <d v="2024-12-25T00:00:00"/>
    <s v="CUST-0245"/>
    <s v="PROD-046"/>
    <s v="R012"/>
    <n v="5"/>
    <n v="4880"/>
    <n v="22.9"/>
    <n v="18812.400000000001"/>
    <s v="Completed"/>
    <x v="5"/>
    <s v="Beauty"/>
    <s v="South"/>
    <s v="Dec-24"/>
    <s v="Q4 2024"/>
    <n v="2768"/>
    <n v="0.43278688524590164"/>
  </r>
  <r>
    <s v="ORD-01744"/>
    <d v="2024-01-06T00:00:00"/>
    <s v="CUST-0044"/>
    <s v="PROD-043"/>
    <s v="R020"/>
    <n v="3"/>
    <n v="3350"/>
    <n v="15.2"/>
    <n v="8522.4"/>
    <s v="Pending"/>
    <x v="5"/>
    <s v="Beauty"/>
    <s v="East"/>
    <s v="Jan-24"/>
    <s v="Q1 2024"/>
    <n v="1728"/>
    <n v="0.48417910447761192"/>
  </r>
  <r>
    <s v="ORD-01745"/>
    <d v="2024-05-13T00:00:00"/>
    <s v="CUST-0264"/>
    <s v="PROD-055"/>
    <s v="R029"/>
    <n v="10"/>
    <n v="2860"/>
    <n v="15"/>
    <n v="24310"/>
    <s v="Completed"/>
    <x v="0"/>
    <s v="Sports"/>
    <s v="West"/>
    <s v="May-24"/>
    <s v="Q2 2024"/>
    <n v="2028"/>
    <n v="0.29090909090909089"/>
  </r>
  <r>
    <s v="ORD-01746"/>
    <d v="2024-06-01T00:00:00"/>
    <s v="CUST-0193"/>
    <s v="PROD-047"/>
    <s v="R018"/>
    <n v="5"/>
    <n v="3450"/>
    <n v="2.2999999999999998"/>
    <n v="16853.25"/>
    <s v="Completed"/>
    <x v="4"/>
    <s v="Beauty"/>
    <s v="East"/>
    <s v="Jun-24"/>
    <s v="Q2 2024"/>
    <n v="2420"/>
    <n v="0.29855072463768118"/>
  </r>
  <r>
    <s v="ORD-01747"/>
    <d v="2024-04-15T00:00:00"/>
    <s v="CUST-0006"/>
    <s v="PROD-024"/>
    <s v="R015"/>
    <n v="3"/>
    <n v="2270"/>
    <n v="2.8"/>
    <n v="6619.32"/>
    <s v="Pending"/>
    <x v="0"/>
    <s v="Grocery"/>
    <s v="South"/>
    <s v="Apr-24"/>
    <s v="Q2 2024"/>
    <n v="1203"/>
    <n v="0.47004405286343615"/>
  </r>
  <r>
    <s v="ORD-01748"/>
    <d v="2024-03-03T00:00:00"/>
    <s v="CUST-0221"/>
    <s v="PROD-028"/>
    <s v="R007"/>
    <n v="8"/>
    <n v="3660"/>
    <n v="16.8"/>
    <n v="24360.959999999999"/>
    <s v="Completed"/>
    <x v="2"/>
    <s v="Grocery"/>
    <s v="North"/>
    <s v="Mar-24"/>
    <s v="Q1 2024"/>
    <n v="2214"/>
    <n v="0.39508196721311473"/>
  </r>
  <r>
    <s v="ORD-01749"/>
    <d v="2024-06-26T00:00:00"/>
    <s v="CUST-0151"/>
    <s v="PROD-045"/>
    <s v="R008"/>
    <n v="7"/>
    <n v="3020"/>
    <n v="17.8"/>
    <n v="17377.080000000002"/>
    <s v="Completed"/>
    <x v="3"/>
    <s v="Beauty"/>
    <s v="North"/>
    <s v="Jun-24"/>
    <s v="Q2 2024"/>
    <n v="1626"/>
    <n v="0.46158940397350995"/>
  </r>
  <r>
    <s v="ORD-01750"/>
    <d v="2024-10-22T00:00:00"/>
    <s v="CUST-0188"/>
    <s v="PROD-040"/>
    <s v="R014"/>
    <n v="7"/>
    <n v="1080"/>
    <n v="12.9"/>
    <n v="6584.76"/>
    <s v="Completed"/>
    <x v="4"/>
    <s v="Home"/>
    <s v="South"/>
    <s v="Oct-24"/>
    <s v="Q4 2024"/>
    <n v="519"/>
    <n v="0.51944444444444449"/>
  </r>
  <r>
    <s v="ORD-01751"/>
    <d v="2024-07-21T00:00:00"/>
    <s v="CUST-0010"/>
    <s v="PROD-022"/>
    <s v="R012"/>
    <n v="2"/>
    <n v="2270"/>
    <n v="8.6"/>
    <n v="4149.5600000000004"/>
    <s v="Cancelled"/>
    <x v="3"/>
    <s v="Grocery"/>
    <s v="South"/>
    <s v="Jul-24"/>
    <s v="Q3 2024"/>
    <n v="1412"/>
    <n v="0.37797356828193834"/>
  </r>
  <r>
    <s v="ORD-01752"/>
    <d v="2024-06-02T00:00:00"/>
    <s v="CUST-0018"/>
    <s v="PROD-016"/>
    <s v="R012"/>
    <n v="10"/>
    <n v="620"/>
    <n v="26.1"/>
    <n v="4581.8"/>
    <s v="Completed"/>
    <x v="0"/>
    <s v="Apparel"/>
    <s v="South"/>
    <s v="Jun-24"/>
    <s v="Q2 2024"/>
    <n v="396"/>
    <n v="0.36129032258064514"/>
  </r>
  <r>
    <s v="ORD-01753"/>
    <d v="2024-09-26T00:00:00"/>
    <s v="CUST-0262"/>
    <s v="PROD-025"/>
    <s v="R015"/>
    <n v="2"/>
    <n v="4060"/>
    <n v="3.8"/>
    <n v="7811.44"/>
    <s v="Completed"/>
    <x v="3"/>
    <s v="Grocery"/>
    <s v="South"/>
    <s v="Sep-24"/>
    <s v="Q3 2024"/>
    <n v="2911"/>
    <n v="0.28300492610837441"/>
  </r>
  <r>
    <s v="ORD-01754"/>
    <d v="2024-07-15T00:00:00"/>
    <s v="CUST-0282"/>
    <s v="PROD-027"/>
    <s v="R012"/>
    <n v="1"/>
    <n v="3780"/>
    <n v="27.9"/>
    <n v="2725.38"/>
    <s v="Completed"/>
    <x v="5"/>
    <s v="Grocery"/>
    <s v="South"/>
    <s v="Jul-24"/>
    <s v="Q3 2024"/>
    <n v="2436"/>
    <n v="0.35555555555555557"/>
  </r>
  <r>
    <s v="ORD-01755"/>
    <d v="2024-11-21T00:00:00"/>
    <s v="CUST-0194"/>
    <s v="PROD-023"/>
    <s v="R022"/>
    <n v="8"/>
    <n v="2380"/>
    <n v="3.8"/>
    <n v="18316.48"/>
    <s v="Completed"/>
    <x v="2"/>
    <s v="Grocery"/>
    <s v="East"/>
    <s v="Nov-24"/>
    <s v="Q4 2024"/>
    <n v="1182"/>
    <n v="0.50336134453781511"/>
  </r>
  <r>
    <s v="ORD-01756"/>
    <d v="2024-03-27T00:00:00"/>
    <s v="CUST-0161"/>
    <s v="PROD-026"/>
    <s v="R024"/>
    <n v="7"/>
    <n v="4070"/>
    <n v="0.3"/>
    <n v="28404.53"/>
    <s v="Completed"/>
    <x v="1"/>
    <s v="Grocery"/>
    <s v="West"/>
    <s v="Mar-24"/>
    <s v="Q1 2024"/>
    <n v="2027"/>
    <n v="0.50196560196560192"/>
  </r>
  <r>
    <s v="ORD-01757"/>
    <d v="2024-06-16T00:00:00"/>
    <s v="CUST-0120"/>
    <s v="PROD-010"/>
    <s v="R020"/>
    <n v="6"/>
    <n v="2640"/>
    <n v="3.4"/>
    <n v="15301.44"/>
    <s v="Completed"/>
    <x v="3"/>
    <s v="Electronics"/>
    <s v="East"/>
    <s v="Jun-24"/>
    <s v="Q2 2024"/>
    <n v="1149"/>
    <n v="0.56477272727272732"/>
  </r>
  <r>
    <s v="ORD-01758"/>
    <d v="2024-03-26T00:00:00"/>
    <s v="CUST-0250"/>
    <s v="PROD-059"/>
    <s v="R030"/>
    <n v="10"/>
    <n v="3780"/>
    <n v="13.3"/>
    <n v="32772.6"/>
    <s v="Completed"/>
    <x v="2"/>
    <s v="Sports"/>
    <s v="West"/>
    <s v="Mar-24"/>
    <s v="Q1 2024"/>
    <n v="1860"/>
    <n v="0.50793650793650791"/>
  </r>
  <r>
    <s v="ORD-01759"/>
    <d v="2024-01-11T00:00:00"/>
    <s v="CUST-0054"/>
    <s v="PROD-043"/>
    <s v="R009"/>
    <n v="9"/>
    <n v="3350"/>
    <n v="12.8"/>
    <n v="26290.799999999999"/>
    <s v="Completed"/>
    <x v="3"/>
    <s v="Beauty"/>
    <s v="South"/>
    <s v="Jan-24"/>
    <s v="Q1 2024"/>
    <n v="1728"/>
    <n v="0.48417910447761192"/>
  </r>
  <r>
    <s v="ORD-01760"/>
    <d v="2024-06-16T00:00:00"/>
    <s v="CUST-0247"/>
    <s v="PROD-012"/>
    <s v="R024"/>
    <n v="7"/>
    <n v="3160"/>
    <n v="15.3"/>
    <n v="18735.64"/>
    <s v="Completed"/>
    <x v="0"/>
    <s v="Apparel"/>
    <s v="West"/>
    <s v="Jun-24"/>
    <s v="Q2 2024"/>
    <n v="1886"/>
    <n v="0.4031645569620253"/>
  </r>
  <r>
    <s v="ORD-01761"/>
    <d v="2024-05-16T00:00:00"/>
    <s v="CUST-0127"/>
    <s v="PROD-055"/>
    <s v="R004"/>
    <n v="6"/>
    <n v="2860"/>
    <n v="17.5"/>
    <n v="14157"/>
    <s v="Completed"/>
    <x v="4"/>
    <s v="Sports"/>
    <s v="North"/>
    <s v="May-24"/>
    <s v="Q2 2024"/>
    <n v="2028"/>
    <n v="0.29090909090909089"/>
  </r>
  <r>
    <s v="ORD-01762"/>
    <d v="2024-02-19T00:00:00"/>
    <s v="CUST-0030"/>
    <s v="PROD-005"/>
    <s v="R010"/>
    <n v="9"/>
    <n v="300"/>
    <n v="25.2"/>
    <n v="2019.6"/>
    <s v="Completed"/>
    <x v="4"/>
    <s v="Electronics"/>
    <s v="South"/>
    <s v="Feb-24"/>
    <s v="Q1 2024"/>
    <n v="128"/>
    <n v="0.57333333333333336"/>
  </r>
  <r>
    <s v="ORD-01763"/>
    <d v="2024-01-05T00:00:00"/>
    <s v="CUST-0205"/>
    <s v="PROD-060"/>
    <s v="R020"/>
    <n v="5"/>
    <n v="190"/>
    <n v="1.8"/>
    <n v="932.9"/>
    <s v="Completed"/>
    <x v="0"/>
    <s v="Sports"/>
    <s v="East"/>
    <s v="Jan-24"/>
    <s v="Q1 2024"/>
    <n v="147"/>
    <n v="0.22631578947368422"/>
  </r>
  <r>
    <s v="ORD-01764"/>
    <d v="2024-08-29T00:00:00"/>
    <s v="CUST-0172"/>
    <s v="PROD-054"/>
    <s v="R021"/>
    <n v="7"/>
    <n v="1010"/>
    <n v="11.2"/>
    <n v="6278.16"/>
    <s v="Completed"/>
    <x v="0"/>
    <s v="Sports"/>
    <s v="East"/>
    <s v="Aug-24"/>
    <s v="Q3 2024"/>
    <n v="516"/>
    <n v="0.4891089108910891"/>
  </r>
  <r>
    <s v="ORD-01765"/>
    <d v="2024-08-11T00:00:00"/>
    <s v="CUST-0283"/>
    <s v="PROD-051"/>
    <s v="R001"/>
    <n v="8"/>
    <n v="3450"/>
    <n v="8.4"/>
    <n v="25281.599999999999"/>
    <s v="Completed"/>
    <x v="2"/>
    <s v="Sports"/>
    <s v="North"/>
    <s v="Aug-24"/>
    <s v="Q3 2024"/>
    <n v="2467"/>
    <n v="0.28492753623188405"/>
  </r>
  <r>
    <s v="ORD-01766"/>
    <d v="2024-11-01T00:00:00"/>
    <s v="CUST-0005"/>
    <s v="PROD-005"/>
    <s v="R001"/>
    <n v="3"/>
    <n v="300"/>
    <n v="7.5"/>
    <n v="832.5"/>
    <s v="Refunded"/>
    <x v="1"/>
    <s v="Electronics"/>
    <s v="North"/>
    <s v="Nov-24"/>
    <s v="Q4 2024"/>
    <n v="128"/>
    <n v="0.57333333333333336"/>
  </r>
  <r>
    <s v="ORD-01767"/>
    <d v="2024-03-19T00:00:00"/>
    <s v="CUST-0095"/>
    <s v="PROD-031"/>
    <s v="R018"/>
    <n v="4"/>
    <n v="3730"/>
    <n v="24.8"/>
    <n v="11219.84"/>
    <s v="Completed"/>
    <x v="3"/>
    <s v="Home"/>
    <s v="East"/>
    <s v="Mar-24"/>
    <s v="Q1 2024"/>
    <n v="2135"/>
    <n v="0.42761394101876676"/>
  </r>
  <r>
    <s v="ORD-01768"/>
    <d v="2024-06-19T00:00:00"/>
    <s v="CUST-0142"/>
    <s v="PROD-058"/>
    <s v="R020"/>
    <n v="5"/>
    <n v="2400"/>
    <n v="9.1999999999999993"/>
    <n v="10896"/>
    <s v="Completed"/>
    <x v="1"/>
    <s v="Sports"/>
    <s v="East"/>
    <s v="Jun-24"/>
    <s v="Q2 2024"/>
    <n v="974"/>
    <n v="0.59416666666666662"/>
  </r>
  <r>
    <s v="ORD-01769"/>
    <d v="2024-11-13T00:00:00"/>
    <s v="CUST-0028"/>
    <s v="PROD-021"/>
    <s v="R001"/>
    <n v="3"/>
    <n v="2760"/>
    <n v="2.4"/>
    <n v="8081.28"/>
    <s v="Completed"/>
    <x v="4"/>
    <s v="Grocery"/>
    <s v="North"/>
    <s v="Nov-24"/>
    <s v="Q4 2024"/>
    <n v="1435"/>
    <n v="0.48007246376811596"/>
  </r>
  <r>
    <s v="ORD-01770"/>
    <d v="2024-09-13T00:00:00"/>
    <s v="CUST-0118"/>
    <s v="PROD-053"/>
    <s v="R009"/>
    <n v="8"/>
    <n v="470"/>
    <n v="24.8"/>
    <n v="2827.52"/>
    <s v="Pending"/>
    <x v="5"/>
    <s v="Sports"/>
    <s v="South"/>
    <s v="Sep-24"/>
    <s v="Q3 2024"/>
    <n v="302"/>
    <n v="0.35744680851063831"/>
  </r>
  <r>
    <s v="ORD-01771"/>
    <d v="2024-12-07T00:00:00"/>
    <s v="CUST-0231"/>
    <s v="PROD-053"/>
    <s v="R027"/>
    <n v="3"/>
    <n v="470"/>
    <n v="18.600000000000001"/>
    <n v="1147.74"/>
    <s v="Completed"/>
    <x v="1"/>
    <s v="Sports"/>
    <s v="West"/>
    <s v="Dec-24"/>
    <s v="Q4 2024"/>
    <n v="302"/>
    <n v="0.35744680851063831"/>
  </r>
  <r>
    <s v="ORD-01772"/>
    <d v="2024-10-15T00:00:00"/>
    <s v="CUST-0264"/>
    <s v="PROD-032"/>
    <s v="R028"/>
    <n v="2"/>
    <n v="370"/>
    <n v="24"/>
    <n v="562.4"/>
    <s v="Completed"/>
    <x v="0"/>
    <s v="Home"/>
    <s v="West"/>
    <s v="Oct-24"/>
    <s v="Q4 2024"/>
    <n v="288"/>
    <n v="0.22162162162162163"/>
  </r>
  <r>
    <s v="ORD-01773"/>
    <d v="2024-02-07T00:00:00"/>
    <s v="CUST-0120"/>
    <s v="PROD-029"/>
    <s v="R001"/>
    <n v="6"/>
    <n v="2210"/>
    <n v="28.3"/>
    <n v="9507.42"/>
    <s v="Cancelled"/>
    <x v="3"/>
    <s v="Grocery"/>
    <s v="North"/>
    <s v="Feb-24"/>
    <s v="Q1 2024"/>
    <n v="1010"/>
    <n v="0.54298642533936647"/>
  </r>
  <r>
    <s v="ORD-01774"/>
    <d v="2024-09-14T00:00:00"/>
    <s v="CUST-0185"/>
    <s v="PROD-056"/>
    <s v="R002"/>
    <n v="3"/>
    <n v="6940"/>
    <n v="27.2"/>
    <n v="15156.96"/>
    <s v="Refunded"/>
    <x v="5"/>
    <s v="Sports"/>
    <s v="North"/>
    <s v="Sep-24"/>
    <s v="Q3 2024"/>
    <n v="2827"/>
    <n v="0.5926512968299712"/>
  </r>
  <r>
    <s v="ORD-01775"/>
    <d v="2024-05-11T00:00:00"/>
    <s v="CUST-0174"/>
    <s v="PROD-033"/>
    <s v="R018"/>
    <n v="10"/>
    <n v="2030"/>
    <n v="25.6"/>
    <n v="15103.2"/>
    <s v="Completed"/>
    <x v="0"/>
    <s v="Home"/>
    <s v="East"/>
    <s v="May-24"/>
    <s v="Q2 2024"/>
    <n v="1143"/>
    <n v="0.43694581280788175"/>
  </r>
  <r>
    <s v="ORD-01776"/>
    <d v="2024-08-29T00:00:00"/>
    <s v="CUST-0174"/>
    <s v="PROD-054"/>
    <s v="R017"/>
    <n v="9"/>
    <n v="1010"/>
    <n v="9.3000000000000007"/>
    <n v="8244.6299999999992"/>
    <s v="Completed"/>
    <x v="0"/>
    <s v="Sports"/>
    <s v="East"/>
    <s v="Aug-24"/>
    <s v="Q3 2024"/>
    <n v="516"/>
    <n v="0.4891089108910891"/>
  </r>
  <r>
    <s v="ORD-01777"/>
    <d v="2024-10-06T00:00:00"/>
    <s v="CUST-0084"/>
    <s v="PROD-017"/>
    <s v="R002"/>
    <n v="5"/>
    <n v="2510"/>
    <n v="22.2"/>
    <n v="9763.9"/>
    <s v="Completed"/>
    <x v="1"/>
    <s v="Apparel"/>
    <s v="North"/>
    <s v="Oct-24"/>
    <s v="Q4 2024"/>
    <n v="1075"/>
    <n v="0.57171314741035861"/>
  </r>
  <r>
    <s v="ORD-01778"/>
    <d v="2024-05-29T00:00:00"/>
    <s v="CUST-0270"/>
    <s v="PROD-032"/>
    <s v="R002"/>
    <n v="10"/>
    <n v="370"/>
    <n v="29"/>
    <n v="2627"/>
    <s v="Completed"/>
    <x v="4"/>
    <s v="Home"/>
    <s v="North"/>
    <s v="May-24"/>
    <s v="Q2 2024"/>
    <n v="288"/>
    <n v="0.22162162162162163"/>
  </r>
  <r>
    <s v="ORD-01779"/>
    <d v="2024-04-21T00:00:00"/>
    <s v="CUST-0178"/>
    <s v="PROD-019"/>
    <s v="R021"/>
    <n v="3"/>
    <n v="2480"/>
    <n v="9.6"/>
    <n v="6725.76"/>
    <s v="Completed"/>
    <x v="5"/>
    <s v="Apparel"/>
    <s v="East"/>
    <s v="Apr-24"/>
    <s v="Q2 2024"/>
    <n v="1173"/>
    <n v="0.52701612903225803"/>
  </r>
  <r>
    <s v="ORD-01780"/>
    <d v="2024-12-18T00:00:00"/>
    <s v="CUST-0019"/>
    <s v="PROD-010"/>
    <s v="R017"/>
    <n v="3"/>
    <n v="2640"/>
    <n v="10.199999999999999"/>
    <n v="7112.16"/>
    <s v="Cancelled"/>
    <x v="1"/>
    <s v="Electronics"/>
    <s v="East"/>
    <s v="Dec-24"/>
    <s v="Q4 2024"/>
    <n v="1149"/>
    <n v="0.56477272727272732"/>
  </r>
  <r>
    <s v="ORD-01781"/>
    <d v="2024-07-31T00:00:00"/>
    <s v="CUST-0276"/>
    <s v="PROD-035"/>
    <s v="R020"/>
    <n v="1"/>
    <n v="1090"/>
    <n v="21.6"/>
    <n v="854.56"/>
    <s v="Cancelled"/>
    <x v="1"/>
    <s v="Home"/>
    <s v="East"/>
    <s v="Jul-24"/>
    <s v="Q3 2024"/>
    <n v="464"/>
    <n v="0.57431192660550456"/>
  </r>
  <r>
    <s v="ORD-01782"/>
    <d v="2024-11-10T00:00:00"/>
    <s v="CUST-0076"/>
    <s v="PROD-043"/>
    <s v="R002"/>
    <n v="10"/>
    <n v="3350"/>
    <n v="12.1"/>
    <n v="29446.5"/>
    <s v="Completed"/>
    <x v="3"/>
    <s v="Beauty"/>
    <s v="North"/>
    <s v="Nov-24"/>
    <s v="Q4 2024"/>
    <n v="1728"/>
    <n v="0.48417910447761192"/>
  </r>
  <r>
    <s v="ORD-01783"/>
    <d v="2024-09-27T00:00:00"/>
    <s v="CUST-0085"/>
    <s v="PROD-050"/>
    <s v="R015"/>
    <n v="4"/>
    <n v="6080"/>
    <n v="26.7"/>
    <n v="17826.560000000001"/>
    <s v="Cancelled"/>
    <x v="1"/>
    <s v="Beauty"/>
    <s v="South"/>
    <s v="Sep-24"/>
    <s v="Q3 2024"/>
    <n v="2617"/>
    <n v="0.56957236842105263"/>
  </r>
  <r>
    <s v="ORD-01784"/>
    <d v="2024-03-21T00:00:00"/>
    <s v="CUST-0245"/>
    <s v="PROD-049"/>
    <s v="R002"/>
    <n v="3"/>
    <n v="960"/>
    <n v="13.2"/>
    <n v="2499.84"/>
    <s v="Completed"/>
    <x v="5"/>
    <s v="Beauty"/>
    <s v="North"/>
    <s v="Mar-24"/>
    <s v="Q1 2024"/>
    <n v="675"/>
    <n v="0.296875"/>
  </r>
  <r>
    <s v="ORD-01785"/>
    <d v="2024-11-14T00:00:00"/>
    <s v="CUST-0135"/>
    <s v="PROD-028"/>
    <s v="R007"/>
    <n v="9"/>
    <n v="3660"/>
    <n v="9.3000000000000007"/>
    <n v="29876.58"/>
    <s v="Cancelled"/>
    <x v="0"/>
    <s v="Grocery"/>
    <s v="North"/>
    <s v="Nov-24"/>
    <s v="Q4 2024"/>
    <n v="2214"/>
    <n v="0.39508196721311473"/>
  </r>
  <r>
    <s v="ORD-01786"/>
    <d v="2024-04-06T00:00:00"/>
    <s v="CUST-0224"/>
    <s v="PROD-047"/>
    <s v="R019"/>
    <n v="6"/>
    <n v="3450"/>
    <n v="8.1999999999999993"/>
    <n v="19002.599999999999"/>
    <s v="Completed"/>
    <x v="1"/>
    <s v="Beauty"/>
    <s v="East"/>
    <s v="Apr-24"/>
    <s v="Q2 2024"/>
    <n v="2420"/>
    <n v="0.29855072463768118"/>
  </r>
  <r>
    <s v="ORD-01787"/>
    <d v="2024-05-09T00:00:00"/>
    <s v="CUST-0036"/>
    <s v="PROD-039"/>
    <s v="R020"/>
    <n v="7"/>
    <n v="4610"/>
    <n v="10.4"/>
    <n v="28913.919999999998"/>
    <s v="Completed"/>
    <x v="3"/>
    <s v="Home"/>
    <s v="East"/>
    <s v="May-24"/>
    <s v="Q2 2024"/>
    <n v="1850"/>
    <n v="0.59869848156182215"/>
  </r>
  <r>
    <s v="ORD-01788"/>
    <d v="2024-08-25T00:00:00"/>
    <s v="CUST-0197"/>
    <s v="PROD-057"/>
    <s v="R009"/>
    <n v="2"/>
    <n v="960"/>
    <n v="16.5"/>
    <n v="1603.2"/>
    <s v="Completed"/>
    <x v="4"/>
    <s v="Sports"/>
    <s v="South"/>
    <s v="Aug-24"/>
    <s v="Q3 2024"/>
    <n v="705"/>
    <n v="0.265625"/>
  </r>
  <r>
    <s v="ORD-01789"/>
    <d v="2024-09-18T00:00:00"/>
    <s v="CUST-0111"/>
    <s v="PROD-032"/>
    <s v="R023"/>
    <n v="7"/>
    <n v="370"/>
    <n v="1.4"/>
    <n v="2553.7399999999998"/>
    <s v="Refunded"/>
    <x v="1"/>
    <s v="Home"/>
    <s v="East"/>
    <s v="Sep-24"/>
    <s v="Q3 2024"/>
    <n v="288"/>
    <n v="0.22162162162162163"/>
  </r>
  <r>
    <s v="ORD-01790"/>
    <d v="2024-08-31T00:00:00"/>
    <s v="CUST-0198"/>
    <s v="PROD-024"/>
    <s v="R004"/>
    <n v="3"/>
    <n v="2270"/>
    <n v="12.6"/>
    <n v="5951.94"/>
    <s v="Completed"/>
    <x v="1"/>
    <s v="Grocery"/>
    <s v="North"/>
    <s v="Aug-24"/>
    <s v="Q3 2024"/>
    <n v="1203"/>
    <n v="0.47004405286343615"/>
  </r>
  <r>
    <s v="ORD-00268"/>
    <d v="2024-01-10T00:00:00"/>
    <s v="CUST-0049"/>
    <s v="PROD-036"/>
    <s v="R014"/>
    <n v="1"/>
    <n v="3250"/>
    <n v="17.8"/>
    <n v="2671.5"/>
    <s v="Completed"/>
    <x v="3"/>
    <s v="Home"/>
    <s v="South"/>
    <s v="Jan-24"/>
    <s v="Q1 2024"/>
    <n v="1556"/>
    <n v="0.52123076923076928"/>
  </r>
  <r>
    <s v="ORD-01792"/>
    <d v="2024-04-22T00:00:00"/>
    <s v="CUST-0029"/>
    <s v="PROD-016"/>
    <s v="R018"/>
    <n v="5"/>
    <n v="620"/>
    <n v="19.399999999999999"/>
    <n v="2498.6"/>
    <s v="Pending"/>
    <x v="1"/>
    <s v="Apparel"/>
    <s v="East"/>
    <s v="Apr-24"/>
    <s v="Q2 2024"/>
    <n v="396"/>
    <n v="0.36129032258064514"/>
  </r>
  <r>
    <s v="ORD-01793"/>
    <d v="2024-11-04T00:00:00"/>
    <s v="CUST-0018"/>
    <s v="PROD-008"/>
    <s v="R005"/>
    <n v="6"/>
    <n v="2660"/>
    <n v="14.9"/>
    <n v="13581.96"/>
    <s v="Completed"/>
    <x v="0"/>
    <s v="Electronics"/>
    <s v="North"/>
    <s v="Nov-24"/>
    <s v="Q4 2024"/>
    <n v="1259"/>
    <n v="0.52669172932330832"/>
  </r>
  <r>
    <s v="ORD-01794"/>
    <d v="2024-08-22T00:00:00"/>
    <s v="CUST-0007"/>
    <s v="PROD-014"/>
    <s v="R001"/>
    <n v="5"/>
    <n v="3620"/>
    <n v="21"/>
    <n v="14299"/>
    <s v="Cancelled"/>
    <x v="4"/>
    <s v="Apparel"/>
    <s v="North"/>
    <s v="Aug-24"/>
    <s v="Q3 2024"/>
    <n v="2509"/>
    <n v="0.3069060773480663"/>
  </r>
  <r>
    <s v="ORD-01795"/>
    <d v="2024-10-15T00:00:00"/>
    <s v="CUST-0014"/>
    <s v="PROD-013"/>
    <s v="R021"/>
    <n v="1"/>
    <n v="3640"/>
    <n v="15.8"/>
    <n v="3064.88"/>
    <s v="Completed"/>
    <x v="4"/>
    <s v="Apparel"/>
    <s v="East"/>
    <s v="Oct-24"/>
    <s v="Q4 2024"/>
    <n v="2611"/>
    <n v="0.28269230769230769"/>
  </r>
  <r>
    <s v="ORD-01796"/>
    <d v="2024-06-01T00:00:00"/>
    <s v="CUST-0215"/>
    <s v="PROD-009"/>
    <s v="R007"/>
    <n v="1"/>
    <n v="1220"/>
    <n v="0.6"/>
    <n v="1212.68"/>
    <s v="Refunded"/>
    <x v="5"/>
    <s v="Electronics"/>
    <s v="North"/>
    <s v="Jun-24"/>
    <s v="Q2 2024"/>
    <n v="517"/>
    <n v="0.57622950819672136"/>
  </r>
  <r>
    <s v="ORD-01797"/>
    <d v="2024-02-28T00:00:00"/>
    <s v="CUST-0056"/>
    <s v="PROD-019"/>
    <s v="R002"/>
    <n v="10"/>
    <n v="2480"/>
    <n v="0.6"/>
    <n v="24651.200000000001"/>
    <s v="Completed"/>
    <x v="4"/>
    <s v="Apparel"/>
    <s v="North"/>
    <s v="Feb-24"/>
    <s v="Q1 2024"/>
    <n v="1173"/>
    <n v="0.52701612903225803"/>
  </r>
  <r>
    <s v="ORD-01798"/>
    <d v="2024-12-08T00:00:00"/>
    <s v="CUST-0231"/>
    <s v="PROD-044"/>
    <s v="R027"/>
    <n v="9"/>
    <n v="1650"/>
    <n v="26.8"/>
    <n v="10870.2"/>
    <s v="Completed"/>
    <x v="1"/>
    <s v="Beauty"/>
    <s v="West"/>
    <s v="Dec-24"/>
    <s v="Q4 2024"/>
    <n v="1222"/>
    <n v="0.2593939393939394"/>
  </r>
  <r>
    <s v="ORD-01799"/>
    <d v="2024-09-25T00:00:00"/>
    <s v="CUST-0138"/>
    <s v="PROD-045"/>
    <s v="R008"/>
    <n v="10"/>
    <n v="3020"/>
    <n v="2.6"/>
    <n v="29414.799999999999"/>
    <s v="Completed"/>
    <x v="1"/>
    <s v="Beauty"/>
    <s v="North"/>
    <s v="Sep-24"/>
    <s v="Q3 2024"/>
    <n v="1626"/>
    <n v="0.46158940397350995"/>
  </r>
  <r>
    <s v="ORD-01800"/>
    <d v="2024-09-09T00:00:00"/>
    <s v="CUST-0007"/>
    <s v="PROD-011"/>
    <s v="R014"/>
    <n v="5"/>
    <n v="3450"/>
    <n v="25.3"/>
    <n v="12885.75"/>
    <s v="Completed"/>
    <x v="4"/>
    <s v="Apparel"/>
    <s v="South"/>
    <s v="Sep-24"/>
    <s v="Q3 2024"/>
    <n v="1748"/>
    <n v="0.49333333333333335"/>
  </r>
  <r>
    <s v="ORD-01801"/>
    <d v="2024-06-14T00:00:00"/>
    <s v="CUST-0118"/>
    <s v="PROD-009"/>
    <s v="R019"/>
    <n v="7"/>
    <n v="1220"/>
    <n v="13.1"/>
    <n v="7421.26"/>
    <s v="Completed"/>
    <x v="5"/>
    <s v="Electronics"/>
    <s v="East"/>
    <s v="Jun-24"/>
    <s v="Q2 2024"/>
    <n v="517"/>
    <n v="0.57622950819672136"/>
  </r>
  <r>
    <s v="ORD-01802"/>
    <d v="2024-10-13T00:00:00"/>
    <s v="CUST-0064"/>
    <s v="PROD-027"/>
    <s v="R005"/>
    <n v="10"/>
    <n v="3780"/>
    <n v="23.7"/>
    <n v="28841.4"/>
    <s v="Completed"/>
    <x v="5"/>
    <s v="Grocery"/>
    <s v="North"/>
    <s v="Oct-24"/>
    <s v="Q4 2024"/>
    <n v="2436"/>
    <n v="0.35555555555555557"/>
  </r>
  <r>
    <s v="ORD-01803"/>
    <d v="2024-04-23T00:00:00"/>
    <s v="CUST-0298"/>
    <s v="PROD-008"/>
    <s v="R002"/>
    <n v="8"/>
    <n v="2660"/>
    <n v="16.100000000000001"/>
    <n v="17853.919999999998"/>
    <s v="Completed"/>
    <x v="2"/>
    <s v="Electronics"/>
    <s v="North"/>
    <s v="Apr-24"/>
    <s v="Q2 2024"/>
    <n v="1259"/>
    <n v="0.52669172932330832"/>
  </r>
  <r>
    <s v="ORD-01804"/>
    <d v="2024-02-16T00:00:00"/>
    <s v="CUST-0020"/>
    <s v="PROD-035"/>
    <s v="R008"/>
    <n v="6"/>
    <n v="1090"/>
    <n v="20"/>
    <n v="5232"/>
    <s v="Pending"/>
    <x v="5"/>
    <s v="Home"/>
    <s v="North"/>
    <s v="Feb-24"/>
    <s v="Q1 2024"/>
    <n v="464"/>
    <n v="0.57431192660550456"/>
  </r>
  <r>
    <s v="ORD-01805"/>
    <d v="2024-02-02T00:00:00"/>
    <s v="CUST-9725"/>
    <s v="PROD-037"/>
    <s v="R016"/>
    <n v="2"/>
    <n v="660"/>
    <n v="18.7"/>
    <n v="1073.1600000000001"/>
    <s v="Completed"/>
    <x v="3"/>
    <s v="Home"/>
    <s v="South"/>
    <s v="Feb-24"/>
    <s v="Q1 2024"/>
    <n v="329"/>
    <n v="0.50151515151515147"/>
  </r>
  <r>
    <s v="ORD-01806"/>
    <d v="2024-02-10T00:00:00"/>
    <s v="CUST-0063"/>
    <s v="PROD-035"/>
    <s v="R015"/>
    <n v="7"/>
    <n v="1090"/>
    <n v="19.399999999999999"/>
    <n v="6149.78"/>
    <s v="Pending"/>
    <x v="3"/>
    <s v="Home"/>
    <s v="South"/>
    <s v="Feb-24"/>
    <s v="Q1 2024"/>
    <n v="464"/>
    <n v="0.57431192660550456"/>
  </r>
  <r>
    <s v="ORD-01807"/>
    <d v="2024-05-17T00:00:00"/>
    <s v="CUST-0193"/>
    <s v="PROD-029"/>
    <s v="R015"/>
    <n v="3"/>
    <n v="2210"/>
    <n v="11"/>
    <n v="5900.7"/>
    <s v="Completed"/>
    <x v="4"/>
    <s v="Grocery"/>
    <s v="South"/>
    <s v="May-24"/>
    <s v="Q2 2024"/>
    <n v="1010"/>
    <n v="0.54298642533936647"/>
  </r>
  <r>
    <s v="ORD-01808"/>
    <d v="2024-05-08T00:00:00"/>
    <s v="CUST-0142"/>
    <s v="PROD-006"/>
    <s v="R029"/>
    <n v="2"/>
    <n v="3970"/>
    <n v="24.9"/>
    <n v="5962.94"/>
    <s v="Completed"/>
    <x v="1"/>
    <s v="Electronics"/>
    <s v="West"/>
    <s v="May-24"/>
    <s v="Q2 2024"/>
    <n v="2865"/>
    <n v="0.27833753148614609"/>
  </r>
  <r>
    <s v="ORD-01809"/>
    <d v="2024-04-21T00:00:00"/>
    <s v="CUST-0264"/>
    <s v="PROD-039"/>
    <s v="R021"/>
    <n v="7"/>
    <n v="4610"/>
    <n v="6.3"/>
    <n v="30236.99"/>
    <s v="Completed"/>
    <x v="0"/>
    <s v="Home"/>
    <s v="East"/>
    <s v="Apr-24"/>
    <s v="Q2 2024"/>
    <n v="1850"/>
    <n v="0.59869848156182215"/>
  </r>
  <r>
    <s v="ORD-01810"/>
    <d v="2024-04-21T00:00:00"/>
    <s v="CUST-0121"/>
    <s v="PROD-049"/>
    <s v="R026"/>
    <n v="10"/>
    <n v="960"/>
    <n v="14.6"/>
    <n v="8198.4"/>
    <s v="Completed"/>
    <x v="2"/>
    <s v="Beauty"/>
    <s v="West"/>
    <s v="Apr-24"/>
    <s v="Q2 2024"/>
    <n v="675"/>
    <n v="0.296875"/>
  </r>
  <r>
    <s v="ORD-01811"/>
    <d v="2024-11-04T00:00:00"/>
    <s v="CUST-0152"/>
    <s v="PROD-045"/>
    <s v="R016"/>
    <n v="8"/>
    <n v="3020"/>
    <n v="14.5"/>
    <n v="20656.8"/>
    <s v="Completed"/>
    <x v="4"/>
    <s v="Beauty"/>
    <s v="South"/>
    <s v="Nov-24"/>
    <s v="Q4 2024"/>
    <n v="1626"/>
    <n v="0.46158940397350995"/>
  </r>
  <r>
    <s v="ORD-01812"/>
    <d v="2024-12-03T00:00:00"/>
    <s v="CUST-0008"/>
    <s v="PROD-019"/>
    <s v="R026"/>
    <n v="7"/>
    <n v="2480"/>
    <n v="17.3"/>
    <n v="14356.72"/>
    <s v="Completed"/>
    <x v="0"/>
    <s v="Apparel"/>
    <s v="West"/>
    <s v="Dec-24"/>
    <s v="Q4 2024"/>
    <n v="1173"/>
    <n v="0.52701612903225803"/>
  </r>
  <r>
    <s v="ORD-01813"/>
    <d v="2024-02-08T00:00:00"/>
    <s v="CUST-0285"/>
    <s v="PROD-004"/>
    <s v="R013"/>
    <n v="10"/>
    <n v="3870"/>
    <n v="22.4"/>
    <n v="30031.200000000001"/>
    <s v="Pending"/>
    <x v="5"/>
    <s v="Electronics"/>
    <s v="South"/>
    <s v="Feb-24"/>
    <s v="Q1 2024"/>
    <n v="1559"/>
    <n v="0.59715762273901807"/>
  </r>
  <r>
    <s v="ORD-01814"/>
    <d v="2024-09-16T00:00:00"/>
    <s v="CUST-0072"/>
    <s v="PROD-037"/>
    <s v="R022"/>
    <n v="6"/>
    <n v="660"/>
    <n v="27.3"/>
    <n v="2878.92"/>
    <s v="Completed"/>
    <x v="3"/>
    <s v="Home"/>
    <s v="East"/>
    <s v="Sep-24"/>
    <s v="Q3 2024"/>
    <n v="329"/>
    <n v="0.50151515151515147"/>
  </r>
  <r>
    <s v="ORD-01815"/>
    <d v="2024-01-30T00:00:00"/>
    <s v="CUST-9630"/>
    <s v="PROD-004"/>
    <s v="R026"/>
    <n v="3"/>
    <n v="3870"/>
    <n v="7.6"/>
    <n v="10727.64"/>
    <s v="Cancelled"/>
    <x v="1"/>
    <s v="Electronics"/>
    <s v="West"/>
    <s v="Jan-24"/>
    <s v="Q1 2024"/>
    <n v="1559"/>
    <n v="0.59715762273901807"/>
  </r>
  <r>
    <s v="ORD-01816"/>
    <d v="2024-09-07T00:00:00"/>
    <s v="CUST-0243"/>
    <s v="PROD-019"/>
    <s v="R006"/>
    <n v="10"/>
    <n v="2480"/>
    <n v="21.5"/>
    <n v="19468"/>
    <s v="Pending"/>
    <x v="0"/>
    <s v="Apparel"/>
    <s v="North"/>
    <s v="Sep-24"/>
    <s v="Q3 2024"/>
    <n v="1173"/>
    <n v="0.52701612903225803"/>
  </r>
  <r>
    <s v="ORD-01817"/>
    <d v="2024-12-17T00:00:00"/>
    <s v="CUST-0231"/>
    <s v="PROD-010"/>
    <s v="R001"/>
    <n v="8"/>
    <n v="2640"/>
    <n v="22.3"/>
    <n v="16410.240000000002"/>
    <s v="Completed"/>
    <x v="1"/>
    <s v="Electronics"/>
    <s v="North"/>
    <s v="Dec-24"/>
    <s v="Q4 2024"/>
    <n v="1149"/>
    <n v="0.56477272727272732"/>
  </r>
  <r>
    <s v="ORD-01818"/>
    <d v="2024-09-24T00:00:00"/>
    <s v="CUST-0229"/>
    <s v="PROD-030"/>
    <s v="R001"/>
    <n v="8"/>
    <n v="970"/>
    <n v="13.1"/>
    <n v="6743.44"/>
    <s v="Completed"/>
    <x v="5"/>
    <s v="Grocery"/>
    <s v="North"/>
    <s v="Sep-24"/>
    <s v="Q3 2024"/>
    <n v="434"/>
    <n v="0.5525773195876289"/>
  </r>
  <r>
    <s v="ORD-01819"/>
    <d v="2024-05-04T00:00:00"/>
    <s v="CUST-0218"/>
    <s v="PROD-057"/>
    <s v="R001"/>
    <n v="6"/>
    <n v="960"/>
    <n v="3.2"/>
    <n v="5575.68"/>
    <s v="Completed"/>
    <x v="3"/>
    <s v="Sports"/>
    <s v="North"/>
    <s v="May-24"/>
    <s v="Q2 2024"/>
    <n v="705"/>
    <n v="0.265625"/>
  </r>
  <r>
    <s v="ORD-01820"/>
    <d v="2024-06-26T00:00:00"/>
    <s v="CUST-0015"/>
    <s v="PROD-033"/>
    <s v="R008"/>
    <n v="9"/>
    <n v="2030"/>
    <n v="12.6"/>
    <n v="15967.98"/>
    <s v="Cancelled"/>
    <x v="1"/>
    <s v="Home"/>
    <s v="North"/>
    <s v="Jun-24"/>
    <s v="Q2 2024"/>
    <n v="1143"/>
    <n v="0.43694581280788175"/>
  </r>
  <r>
    <s v="ORD-01821"/>
    <d v="2024-04-05T00:00:00"/>
    <s v="CUST-0291"/>
    <s v="PROD-042"/>
    <s v="R024"/>
    <n v="10"/>
    <n v="2290"/>
    <n v="22.2"/>
    <n v="17816.2"/>
    <s v="Completed"/>
    <x v="0"/>
    <s v="Beauty"/>
    <s v="West"/>
    <s v="Apr-24"/>
    <s v="Q2 2024"/>
    <n v="1219"/>
    <n v="0.46768558951965067"/>
  </r>
  <r>
    <s v="ORD-01822"/>
    <d v="2024-03-22T00:00:00"/>
    <s v="CUST-0276"/>
    <s v="PROD-020"/>
    <s v="R027"/>
    <n v="7"/>
    <n v="820"/>
    <n v="6.4"/>
    <n v="5372.64"/>
    <s v="Refunded"/>
    <x v="1"/>
    <s v="Apparel"/>
    <s v="West"/>
    <s v="Mar-24"/>
    <s v="Q1 2024"/>
    <n v="391"/>
    <n v="0.52317073170731709"/>
  </r>
  <r>
    <s v="ORD-01823"/>
    <d v="2024-11-18T00:00:00"/>
    <s v="CUST-0139"/>
    <s v="PROD-040"/>
    <s v="R030"/>
    <n v="5"/>
    <n v="1080"/>
    <n v="6"/>
    <n v="5076"/>
    <s v="Completed"/>
    <x v="5"/>
    <s v="Home"/>
    <s v="West"/>
    <s v="Nov-24"/>
    <s v="Q4 2024"/>
    <n v="519"/>
    <n v="0.51944444444444449"/>
  </r>
  <r>
    <s v="ORD-01824"/>
    <d v="2024-01-19T00:00:00"/>
    <s v="CUST-0087"/>
    <s v="PROD-060"/>
    <s v="R028"/>
    <n v="4"/>
    <n v="190"/>
    <n v="6.3"/>
    <n v="712.12"/>
    <s v="Refunded"/>
    <x v="0"/>
    <s v="Sports"/>
    <s v="West"/>
    <s v="Jan-24"/>
    <s v="Q1 2024"/>
    <n v="147"/>
    <n v="0.22631578947368422"/>
  </r>
  <r>
    <s v="ORD-01825"/>
    <d v="2024-01-28T00:00:00"/>
    <s v="CUST-0203"/>
    <s v="PROD-017"/>
    <s v="R029"/>
    <n v="6"/>
    <n v="2510"/>
    <n v="11.5"/>
    <n v="13328.1"/>
    <s v="Completed"/>
    <x v="1"/>
    <s v="Apparel"/>
    <s v="West"/>
    <s v="Jan-24"/>
    <s v="Q1 2024"/>
    <n v="1075"/>
    <n v="0.57171314741035861"/>
  </r>
  <r>
    <s v="ORD-01826"/>
    <d v="2024-01-08T00:00:00"/>
    <s v="CUST-0180"/>
    <s v="PROD-018"/>
    <s v="R015"/>
    <n v="2"/>
    <n v="3560"/>
    <n v="10.5"/>
    <n v="6372.4"/>
    <s v="Completed"/>
    <x v="1"/>
    <s v="Apparel"/>
    <s v="South"/>
    <s v="Jan-24"/>
    <s v="Q1 2024"/>
    <n v="2629"/>
    <n v="0.26151685393258428"/>
  </r>
  <r>
    <s v="ORD-01827"/>
    <d v="2024-09-21T00:00:00"/>
    <s v="CUST-0130"/>
    <s v="PROD-020"/>
    <s v="R013"/>
    <n v="3"/>
    <n v="820"/>
    <n v="13"/>
    <n v="2140.1999999999998"/>
    <s v="Cancelled"/>
    <x v="4"/>
    <s v="Apparel"/>
    <s v="South"/>
    <s v="Sep-24"/>
    <s v="Q3 2024"/>
    <n v="391"/>
    <n v="0.52317073170731709"/>
  </r>
  <r>
    <s v="ORD-01828"/>
    <d v="2024-07-27T00:00:00"/>
    <s v="CUST-0049"/>
    <s v="PROD-013"/>
    <s v="R003"/>
    <n v="6"/>
    <n v="3640"/>
    <n v="14"/>
    <n v="18782.400000000001"/>
    <s v="Completed"/>
    <x v="3"/>
    <s v="Apparel"/>
    <s v="North"/>
    <s v="Jul-24"/>
    <s v="Q3 2024"/>
    <n v="2611"/>
    <n v="0.28269230769230769"/>
  </r>
  <r>
    <s v="ORD-01829"/>
    <d v="2024-03-19T00:00:00"/>
    <s v="CUST-0182"/>
    <s v="PROD-028"/>
    <s v="R019"/>
    <n v="5"/>
    <n v="3660"/>
    <n v="28.7"/>
    <n v="13047.9"/>
    <s v="Completed"/>
    <x v="3"/>
    <s v="Grocery"/>
    <s v="East"/>
    <s v="Mar-24"/>
    <s v="Q1 2024"/>
    <n v="2214"/>
    <n v="0.39508196721311473"/>
  </r>
  <r>
    <s v="ORD-01830"/>
    <d v="2024-08-17T00:00:00"/>
    <s v="CUST-0291"/>
    <s v="PROD-055"/>
    <s v="R030"/>
    <n v="2"/>
    <n v="2860"/>
    <n v="21.1"/>
    <n v="4513.08"/>
    <s v="Completed"/>
    <x v="0"/>
    <s v="Sports"/>
    <s v="West"/>
    <s v="Aug-24"/>
    <s v="Q3 2024"/>
    <n v="2028"/>
    <n v="0.29090909090909089"/>
  </r>
  <r>
    <s v="ORD-01831"/>
    <d v="2024-07-08T00:00:00"/>
    <s v="CUST-0167"/>
    <s v="PROD-015"/>
    <s v="R019"/>
    <n v="1"/>
    <n v="2720"/>
    <n v="22.1"/>
    <n v="2118.88"/>
    <s v="Completed"/>
    <x v="2"/>
    <s v="Apparel"/>
    <s v="East"/>
    <s v="Jul-24"/>
    <s v="Q3 2024"/>
    <n v="1962"/>
    <n v="0.2786764705882353"/>
  </r>
  <r>
    <s v="ORD-01832"/>
    <d v="2024-12-07T00:00:00"/>
    <s v="CUST-0223"/>
    <s v="PROD-055"/>
    <s v="R004"/>
    <n v="6"/>
    <n v="2860"/>
    <n v="10.5"/>
    <n v="15358.2"/>
    <s v="Cancelled"/>
    <x v="4"/>
    <s v="Sports"/>
    <s v="North"/>
    <s v="Dec-24"/>
    <s v="Q4 2024"/>
    <n v="2028"/>
    <n v="0.29090909090909089"/>
  </r>
  <r>
    <s v="ORD-01833"/>
    <d v="2024-01-14T00:00:00"/>
    <s v="CUST-0050"/>
    <s v="PROD-017"/>
    <s v="R020"/>
    <n v="1"/>
    <n v="2510"/>
    <n v="12"/>
    <n v="2208.8000000000002"/>
    <s v="Completed"/>
    <x v="3"/>
    <s v="Apparel"/>
    <s v="East"/>
    <s v="Jan-24"/>
    <s v="Q1 2024"/>
    <n v="1075"/>
    <n v="0.57171314741035861"/>
  </r>
  <r>
    <s v="ORD-01834"/>
    <d v="2024-10-28T00:00:00"/>
    <s v="CUST-0242"/>
    <s v="PROD-017"/>
    <s v="R020"/>
    <n v="4"/>
    <n v="2510"/>
    <n v="23.2"/>
    <n v="7710.72"/>
    <s v="Completed"/>
    <x v="1"/>
    <s v="Apparel"/>
    <s v="East"/>
    <s v="Oct-24"/>
    <s v="Q4 2024"/>
    <n v="1075"/>
    <n v="0.57171314741035861"/>
  </r>
  <r>
    <s v="ORD-01835"/>
    <d v="2024-09-20T00:00:00"/>
    <s v="CUST-0144"/>
    <s v="PROD-049"/>
    <s v="R005"/>
    <n v="8"/>
    <n v="960"/>
    <n v="20.3"/>
    <n v="6120.96"/>
    <s v="Pending"/>
    <x v="1"/>
    <s v="Beauty"/>
    <s v="North"/>
    <s v="Sep-24"/>
    <s v="Q3 2024"/>
    <n v="675"/>
    <n v="0.296875"/>
  </r>
  <r>
    <s v="ORD-01836"/>
    <d v="2024-04-24T00:00:00"/>
    <s v="CUST-0140"/>
    <s v="PROD-038"/>
    <s v="R010"/>
    <n v="3"/>
    <n v="5490"/>
    <n v="25.2"/>
    <n v="12319.56"/>
    <s v="Completed"/>
    <x v="5"/>
    <s v="Home"/>
    <s v="South"/>
    <s v="Apr-24"/>
    <s v="Q2 2024"/>
    <n v="2549"/>
    <n v="0.53570127504553733"/>
  </r>
  <r>
    <s v="ORD-01837"/>
    <d v="2024-12-21T00:00:00"/>
    <s v="CUST-0174"/>
    <s v="PROD-017"/>
    <s v="R006"/>
    <n v="2"/>
    <n v="2510"/>
    <n v="28.2"/>
    <n v="3604.36"/>
    <s v="Completed"/>
    <x v="0"/>
    <s v="Apparel"/>
    <s v="North"/>
    <s v="Dec-24"/>
    <s v="Q4 2024"/>
    <n v="1075"/>
    <n v="0.57171314741035861"/>
  </r>
  <r>
    <s v="ORD-01838"/>
    <d v="2024-04-04T00:00:00"/>
    <s v="CUST-0290"/>
    <s v="PROD-020"/>
    <s v="R011"/>
    <n v="1"/>
    <n v="820"/>
    <n v="4.7"/>
    <n v="781.46"/>
    <s v="Completed"/>
    <x v="2"/>
    <s v="Apparel"/>
    <s v="South"/>
    <s v="Apr-24"/>
    <s v="Q2 2024"/>
    <n v="391"/>
    <n v="0.52317073170731709"/>
  </r>
  <r>
    <s v="ORD-01839"/>
    <d v="2024-06-10T00:00:00"/>
    <s v="CUST-0170"/>
    <s v="PROD-005"/>
    <s v="R018"/>
    <n v="6"/>
    <n v="300"/>
    <n v="13.3"/>
    <n v="1560.6"/>
    <s v="Completed"/>
    <x v="3"/>
    <s v="Electronics"/>
    <s v="East"/>
    <s v="Jun-24"/>
    <s v="Q2 2024"/>
    <n v="128"/>
    <n v="0.57333333333333336"/>
  </r>
  <r>
    <s v="ORD-01840"/>
    <d v="2024-07-19T00:00:00"/>
    <s v="CUST-0180"/>
    <s v="PROD-043"/>
    <s v="R016"/>
    <n v="4"/>
    <n v="3350"/>
    <n v="5.8"/>
    <n v="12622.8"/>
    <s v="Pending"/>
    <x v="1"/>
    <s v="Beauty"/>
    <s v="South"/>
    <s v="Jul-24"/>
    <s v="Q3 2024"/>
    <n v="1728"/>
    <n v="0.48417910447761192"/>
  </r>
  <r>
    <s v="ORD-01841"/>
    <d v="2024-11-09T00:00:00"/>
    <s v="CUST-0286"/>
    <s v="PROD-036"/>
    <s v="R025"/>
    <n v="3"/>
    <n v="3250"/>
    <n v="19.600000000000001"/>
    <n v="7839"/>
    <s v="Pending"/>
    <x v="2"/>
    <s v="Home"/>
    <s v="West"/>
    <s v="Nov-24"/>
    <s v="Q4 2024"/>
    <n v="1556"/>
    <n v="0.52123076923076928"/>
  </r>
  <r>
    <s v="ORD-01842"/>
    <d v="2024-02-22T00:00:00"/>
    <s v="CUST-0056"/>
    <s v="PROD-044"/>
    <s v="R027"/>
    <n v="10"/>
    <n v="1650"/>
    <n v="22.5"/>
    <n v="12787.5"/>
    <s v="Cancelled"/>
    <x v="4"/>
    <s v="Beauty"/>
    <s v="West"/>
    <s v="Feb-24"/>
    <s v="Q1 2024"/>
    <n v="1222"/>
    <n v="0.2593939393939394"/>
  </r>
  <r>
    <s v="ORD-01843"/>
    <d v="2024-08-02T00:00:00"/>
    <s v="CUST-0292"/>
    <s v="PROD-009"/>
    <s v="R026"/>
    <n v="2"/>
    <n v="1220"/>
    <n v="10.5"/>
    <n v="2183.8000000000002"/>
    <s v="Completed"/>
    <x v="4"/>
    <s v="Electronics"/>
    <s v="West"/>
    <s v="Aug-24"/>
    <s v="Q3 2024"/>
    <n v="517"/>
    <n v="0.57622950819672136"/>
  </r>
  <r>
    <s v="ORD-01844"/>
    <d v="2024-08-17T00:00:00"/>
    <s v="CUST-0020"/>
    <s v="PROD-049"/>
    <s v="R026"/>
    <n v="7"/>
    <n v="960"/>
    <n v="5.4"/>
    <n v="6357.12"/>
    <s v="Refunded"/>
    <x v="5"/>
    <s v="Beauty"/>
    <s v="West"/>
    <s v="Aug-24"/>
    <s v="Q3 2024"/>
    <n v="675"/>
    <n v="0.296875"/>
  </r>
  <r>
    <s v="ORD-01845"/>
    <d v="2024-04-07T00:00:00"/>
    <s v="CUST-0089"/>
    <s v="PROD-046"/>
    <s v="R014"/>
    <n v="3"/>
    <n v="4880"/>
    <n v="17.100000000000001"/>
    <n v="12136.56"/>
    <s v="Completed"/>
    <x v="3"/>
    <s v="Beauty"/>
    <s v="South"/>
    <s v="Apr-24"/>
    <s v="Q2 2024"/>
    <n v="2768"/>
    <n v="0.43278688524590164"/>
  </r>
  <r>
    <s v="ORD-01846"/>
    <d v="2024-04-08T00:00:00"/>
    <s v="CUST-0242"/>
    <s v="PROD-024"/>
    <s v="R028"/>
    <n v="5"/>
    <n v="2270"/>
    <n v="12.4"/>
    <n v="9942.6"/>
    <s v="Completed"/>
    <x v="1"/>
    <s v="Grocery"/>
    <s v="West"/>
    <s v="Apr-24"/>
    <s v="Q2 2024"/>
    <n v="1203"/>
    <n v="0.47004405286343615"/>
  </r>
  <r>
    <s v="ORD-01847"/>
    <d v="2024-05-01T00:00:00"/>
    <s v="CUST-0249"/>
    <s v="PROD-035"/>
    <s v="R028"/>
    <n v="1"/>
    <n v="1090"/>
    <n v="17.3"/>
    <n v="901.43"/>
    <s v="Completed"/>
    <x v="3"/>
    <s v="Home"/>
    <s v="West"/>
    <s v="May-24"/>
    <s v="Q2 2024"/>
    <n v="464"/>
    <n v="0.57431192660550456"/>
  </r>
  <r>
    <s v="ORD-01848"/>
    <d v="2024-08-31T00:00:00"/>
    <s v="CUST-0032"/>
    <s v="PROD-034"/>
    <s v="R029"/>
    <n v="8"/>
    <n v="5080"/>
    <n v="0.9"/>
    <n v="40274.239999999998"/>
    <s v="Completed"/>
    <x v="5"/>
    <s v="Home"/>
    <s v="West"/>
    <s v="Aug-24"/>
    <s v="Q3 2024"/>
    <n v="2459"/>
    <n v="0.51594488188976373"/>
  </r>
  <r>
    <s v="ORD-01849"/>
    <d v="2024-10-04T00:00:00"/>
    <s v="CUST-0217"/>
    <s v="PROD-039"/>
    <s v="R017"/>
    <n v="7"/>
    <n v="4610"/>
    <n v="0.9"/>
    <n v="31979.57"/>
    <s v="Completed"/>
    <x v="0"/>
    <s v="Home"/>
    <s v="East"/>
    <s v="Oct-24"/>
    <s v="Q4 2024"/>
    <n v="1850"/>
    <n v="0.59869848156182215"/>
  </r>
  <r>
    <s v="ORD-01850"/>
    <d v="2024-08-23T00:00:00"/>
    <s v="CUST-0284"/>
    <s v="PROD-045"/>
    <s v="R028"/>
    <n v="1"/>
    <n v="3020"/>
    <n v="10.3"/>
    <n v="2708.94"/>
    <s v="Completed"/>
    <x v="5"/>
    <s v="Beauty"/>
    <s v="West"/>
    <s v="Aug-24"/>
    <s v="Q3 2024"/>
    <n v="1626"/>
    <n v="0.46158940397350995"/>
  </r>
  <r>
    <s v="ORD-01851"/>
    <d v="2024-06-10T00:00:00"/>
    <s v="CUST-0167"/>
    <s v="PROD-022"/>
    <s v="R028"/>
    <n v="6"/>
    <n v="2270"/>
    <n v="23.1"/>
    <n v="10473.780000000001"/>
    <s v="Completed"/>
    <x v="2"/>
    <s v="Grocery"/>
    <s v="West"/>
    <s v="Jun-24"/>
    <s v="Q2 2024"/>
    <n v="1412"/>
    <n v="0.37797356828193834"/>
  </r>
  <r>
    <s v="ORD-01852"/>
    <d v="2024-11-09T00:00:00"/>
    <s v="CUST-0008"/>
    <s v="PROD-026"/>
    <s v="R010"/>
    <n v="6"/>
    <n v="4070"/>
    <n v="28.9"/>
    <n v="17362.62"/>
    <s v="Completed"/>
    <x v="0"/>
    <s v="Grocery"/>
    <s v="South"/>
    <s v="Nov-24"/>
    <s v="Q4 2024"/>
    <n v="2027"/>
    <n v="0.50196560196560192"/>
  </r>
  <r>
    <s v="ORD-01853"/>
    <d v="2024-12-24T00:00:00"/>
    <s v="CUST-0277"/>
    <s v="PROD-009"/>
    <s v="R017"/>
    <n v="5"/>
    <n v="1220"/>
    <n v="18.7"/>
    <n v="4959.3"/>
    <s v="Completed"/>
    <x v="1"/>
    <s v="Electronics"/>
    <s v="East"/>
    <s v="Dec-24"/>
    <s v="Q4 2024"/>
    <n v="517"/>
    <n v="0.57622950819672136"/>
  </r>
  <r>
    <s v="ORD-01854"/>
    <d v="2024-04-30T00:00:00"/>
    <s v="CUST-0025"/>
    <s v="PROD-019"/>
    <s v="R024"/>
    <n v="8"/>
    <n v="2480"/>
    <n v="3.2"/>
    <n v="19205.12"/>
    <s v="Cancelled"/>
    <x v="4"/>
    <s v="Apparel"/>
    <s v="West"/>
    <s v="Apr-24"/>
    <s v="Q2 2024"/>
    <n v="1173"/>
    <n v="0.52701612903225803"/>
  </r>
  <r>
    <s v="ORD-01855"/>
    <d v="2024-09-19T00:00:00"/>
    <s v="CUST-0228"/>
    <s v="PROD-055"/>
    <s v="R007"/>
    <n v="7"/>
    <n v="2860"/>
    <n v="8.4"/>
    <n v="18338.32"/>
    <s v="Completed"/>
    <x v="0"/>
    <s v="Sports"/>
    <s v="North"/>
    <s v="Sep-24"/>
    <s v="Q3 2024"/>
    <n v="2028"/>
    <n v="0.29090909090909089"/>
  </r>
  <r>
    <s v="ORD-01856"/>
    <d v="2024-03-14T00:00:00"/>
    <s v="CUST-0078"/>
    <s v="PROD-027"/>
    <s v="R024"/>
    <n v="1"/>
    <n v="3780"/>
    <n v="16.3"/>
    <n v="3163.86"/>
    <s v="Cancelled"/>
    <x v="2"/>
    <s v="Grocery"/>
    <s v="West"/>
    <s v="Mar-24"/>
    <s v="Q1 2024"/>
    <n v="2436"/>
    <n v="0.35555555555555557"/>
  </r>
  <r>
    <s v="ORD-01857"/>
    <d v="2024-07-31T00:00:00"/>
    <s v="CUST-0205"/>
    <s v="PROD-055"/>
    <s v="R025"/>
    <n v="6"/>
    <n v="2860"/>
    <n v="10.7"/>
    <n v="15323.88"/>
    <s v="Completed"/>
    <x v="0"/>
    <s v="Sports"/>
    <s v="West"/>
    <s v="Jul-24"/>
    <s v="Q3 2024"/>
    <n v="2028"/>
    <n v="0.29090909090909089"/>
  </r>
  <r>
    <s v="ORD-01858"/>
    <d v="2024-12-26T00:00:00"/>
    <s v="CUST-0044"/>
    <s v="PROD-058"/>
    <s v="R027"/>
    <n v="3"/>
    <n v="2400"/>
    <n v="20.7"/>
    <n v="5709.6"/>
    <s v="Completed"/>
    <x v="5"/>
    <s v="Sports"/>
    <s v="West"/>
    <s v="Dec-24"/>
    <s v="Q4 2024"/>
    <n v="974"/>
    <n v="0.59416666666666662"/>
  </r>
  <r>
    <s v="ORD-01859"/>
    <d v="2024-02-08T00:00:00"/>
    <s v="CUST-0188"/>
    <s v="PROD-023"/>
    <s v="R025"/>
    <n v="8"/>
    <n v="2380"/>
    <n v="22.3"/>
    <n v="14794.08"/>
    <s v="Refunded"/>
    <x v="4"/>
    <s v="Grocery"/>
    <s v="West"/>
    <s v="Feb-24"/>
    <s v="Q1 2024"/>
    <n v="1182"/>
    <n v="0.50336134453781511"/>
  </r>
  <r>
    <s v="ORD-01860"/>
    <d v="2024-08-29T00:00:00"/>
    <s v="CUST-0165"/>
    <s v="PROD-048"/>
    <s v="R006"/>
    <n v="7"/>
    <n v="5100"/>
    <n v="22.9"/>
    <n v="27524.7"/>
    <s v="Cancelled"/>
    <x v="0"/>
    <s v="Beauty"/>
    <s v="North"/>
    <s v="Aug-24"/>
    <s v="Q3 2024"/>
    <n v="2237"/>
    <n v="0.56137254901960787"/>
  </r>
  <r>
    <s v="ORD-01861"/>
    <d v="2024-06-20T00:00:00"/>
    <s v="CUST-0059"/>
    <s v="PROD-005"/>
    <s v="R015"/>
    <n v="7"/>
    <n v="300"/>
    <n v="15.3"/>
    <n v="1778.7"/>
    <s v="Completed"/>
    <x v="0"/>
    <s v="Electronics"/>
    <s v="South"/>
    <s v="Jun-24"/>
    <s v="Q2 2024"/>
    <n v="128"/>
    <n v="0.57333333333333336"/>
  </r>
  <r>
    <s v="ORD-01862"/>
    <d v="2024-05-16T00:00:00"/>
    <s v="CUST-0280"/>
    <s v="PROD-051"/>
    <s v="R010"/>
    <n v="5"/>
    <n v="3450"/>
    <n v="16.8"/>
    <n v="14352"/>
    <s v="Completed"/>
    <x v="2"/>
    <s v="Sports"/>
    <s v="South"/>
    <s v="May-24"/>
    <s v="Q2 2024"/>
    <n v="2467"/>
    <n v="0.28492753623188405"/>
  </r>
  <r>
    <s v="ORD-01863"/>
    <d v="2024-12-08T00:00:00"/>
    <s v="CUST-0153"/>
    <s v="PROD-055"/>
    <s v="R014"/>
    <n v="4"/>
    <n v="2860"/>
    <n v="14.3"/>
    <n v="9804.08"/>
    <s v="Completed"/>
    <x v="3"/>
    <s v="Sports"/>
    <s v="South"/>
    <s v="Dec-24"/>
    <s v="Q4 2024"/>
    <n v="2028"/>
    <n v="0.29090909090909089"/>
  </r>
  <r>
    <s v="ORD-01864"/>
    <d v="2024-12-01T00:00:00"/>
    <s v="CUST-0251"/>
    <s v="PROD-015"/>
    <s v="R001"/>
    <n v="6"/>
    <n v="2720"/>
    <n v="25.1"/>
    <n v="12223.68"/>
    <s v="Cancelled"/>
    <x v="3"/>
    <s v="Apparel"/>
    <s v="North"/>
    <s v="Dec-24"/>
    <s v="Q4 2024"/>
    <n v="1962"/>
    <n v="0.2786764705882353"/>
  </r>
  <r>
    <s v="ORD-01865"/>
    <d v="2024-05-17T00:00:00"/>
    <s v="CUST-0255"/>
    <s v="PROD-031"/>
    <s v="R028"/>
    <n v="3"/>
    <n v="3730"/>
    <n v="24.8"/>
    <n v="8414.8799999999992"/>
    <s v="Completed"/>
    <x v="1"/>
    <s v="Home"/>
    <s v="West"/>
    <s v="May-24"/>
    <s v="Q2 2024"/>
    <n v="2135"/>
    <n v="0.42761394101876676"/>
  </r>
  <r>
    <s v="ORD-01866"/>
    <d v="2024-12-22T00:00:00"/>
    <s v="CUST-0076"/>
    <s v="PROD-025"/>
    <s v="R002"/>
    <n v="2"/>
    <n v="4060"/>
    <n v="11.3"/>
    <n v="7202.44"/>
    <s v="Completed"/>
    <x v="3"/>
    <s v="Grocery"/>
    <s v="North"/>
    <s v="Dec-24"/>
    <s v="Q4 2024"/>
    <n v="2911"/>
    <n v="0.28300492610837441"/>
  </r>
  <r>
    <s v="ORD-01867"/>
    <d v="2024-01-04T00:00:00"/>
    <s v="CUST-0195"/>
    <s v="PROD-042"/>
    <s v="R018"/>
    <n v="6"/>
    <n v="2290"/>
    <n v="26.8"/>
    <n v="10057.68"/>
    <s v="Refunded"/>
    <x v="4"/>
    <s v="Beauty"/>
    <s v="East"/>
    <s v="Jan-24"/>
    <s v="Q1 2024"/>
    <n v="1219"/>
    <n v="0.46768558951965067"/>
  </r>
  <r>
    <s v="ORD-01868"/>
    <d v="2024-05-06T00:00:00"/>
    <s v="CUST-0164"/>
    <s v="PROD-056"/>
    <s v="R013"/>
    <n v="1"/>
    <n v="6940"/>
    <n v="15.7"/>
    <n v="5850.42"/>
    <s v="Completed"/>
    <x v="1"/>
    <s v="Sports"/>
    <s v="South"/>
    <s v="May-24"/>
    <s v="Q2 2024"/>
    <n v="2827"/>
    <n v="0.5926512968299712"/>
  </r>
  <r>
    <s v="ORD-01869"/>
    <d v="2024-11-27T00:00:00"/>
    <s v="CUST-0239"/>
    <s v="PROD-031"/>
    <s v="R009"/>
    <n v="3"/>
    <n v="3730"/>
    <n v="18.100000000000001"/>
    <n v="9164.61"/>
    <s v="Completed"/>
    <x v="3"/>
    <s v="Home"/>
    <s v="South"/>
    <s v="Nov-24"/>
    <s v="Q4 2024"/>
    <n v="2135"/>
    <n v="0.42761394101876676"/>
  </r>
  <r>
    <s v="ORD-01870"/>
    <d v="2024-08-24T00:00:00"/>
    <s v="CUST-0133"/>
    <s v="PROD-031"/>
    <s v="R002"/>
    <n v="8"/>
    <n v="3730"/>
    <n v="12.5"/>
    <n v="26110"/>
    <s v="Completed"/>
    <x v="1"/>
    <s v="Home"/>
    <s v="North"/>
    <s v="Aug-24"/>
    <s v="Q3 2024"/>
    <n v="2135"/>
    <n v="0.42761394101876676"/>
  </r>
  <r>
    <s v="ORD-01871"/>
    <d v="2024-12-18T00:00:00"/>
    <s v="CUST-0286"/>
    <s v="PROD-023"/>
    <s v="R015"/>
    <n v="9"/>
    <n v="2380"/>
    <n v="8.1"/>
    <n v="19684.98"/>
    <s v="Cancelled"/>
    <x v="2"/>
    <s v="Grocery"/>
    <s v="South"/>
    <s v="Dec-24"/>
    <s v="Q4 2024"/>
    <n v="1182"/>
    <n v="0.50336134453781511"/>
  </r>
  <r>
    <s v="ORD-01872"/>
    <d v="2024-07-02T00:00:00"/>
    <s v="CUST-0122"/>
    <s v="PROD-040"/>
    <s v="R002"/>
    <n v="6"/>
    <n v="1080"/>
    <n v="8.8000000000000007"/>
    <n v="5909.76"/>
    <s v="Completed"/>
    <x v="3"/>
    <s v="Home"/>
    <s v="North"/>
    <s v="Jul-24"/>
    <s v="Q3 2024"/>
    <n v="519"/>
    <n v="0.51944444444444449"/>
  </r>
  <r>
    <s v="ORD-01712"/>
    <d v="2024-04-19T00:00:00"/>
    <s v="CUST-0285"/>
    <s v="PROD-053"/>
    <s v="R013"/>
    <n v="5"/>
    <n v="470"/>
    <n v="1.3"/>
    <n v="2319.4499999999998"/>
    <s v="Completed"/>
    <x v="5"/>
    <s v="Sports"/>
    <s v="South"/>
    <s v="Apr-24"/>
    <s v="Q2 2024"/>
    <n v="302"/>
    <n v="0.35744680851063831"/>
  </r>
  <r>
    <s v="ORD-01874"/>
    <d v="2024-08-12T00:00:00"/>
    <s v="CUST-0174"/>
    <s v="PROD-032"/>
    <s v="R026"/>
    <n v="4"/>
    <n v="370"/>
    <n v="13.1"/>
    <n v="1286.1199999999999"/>
    <s v="Completed"/>
    <x v="0"/>
    <s v="Home"/>
    <s v="West"/>
    <s v="Aug-24"/>
    <s v="Q3 2024"/>
    <n v="288"/>
    <n v="0.22162162162162163"/>
  </r>
  <r>
    <s v="ORD-01875"/>
    <d v="2024-08-13T00:00:00"/>
    <s v="CUST-0115"/>
    <s v="PROD-012"/>
    <s v="R007"/>
    <n v="7"/>
    <n v="3160"/>
    <n v="12.3"/>
    <n v="19399.240000000002"/>
    <s v="Completed"/>
    <x v="3"/>
    <s v="Apparel"/>
    <s v="North"/>
    <s v="Aug-24"/>
    <s v="Q3 2024"/>
    <n v="1886"/>
    <n v="0.4031645569620253"/>
  </r>
  <r>
    <s v="ORD-01876"/>
    <d v="2024-12-19T00:00:00"/>
    <s v="CUST-0028"/>
    <s v="PROD-018"/>
    <s v="R024"/>
    <n v="5"/>
    <n v="3560"/>
    <n v="24"/>
    <n v="13528"/>
    <s v="Completed"/>
    <x v="4"/>
    <s v="Apparel"/>
    <s v="West"/>
    <s v="Dec-24"/>
    <s v="Q4 2024"/>
    <n v="2629"/>
    <n v="0.26151685393258428"/>
  </r>
  <r>
    <s v="ORD-01877"/>
    <d v="2024-05-05T00:00:00"/>
    <s v="CUST-0111"/>
    <s v="PROD-033"/>
    <s v="R021"/>
    <n v="6"/>
    <n v="2030"/>
    <n v="20.5"/>
    <n v="9683.1"/>
    <s v="Completed"/>
    <x v="1"/>
    <s v="Home"/>
    <s v="East"/>
    <s v="May-24"/>
    <s v="Q2 2024"/>
    <n v="1143"/>
    <n v="0.43694581280788175"/>
  </r>
  <r>
    <s v="ORD-01878"/>
    <d v="2024-02-29T00:00:00"/>
    <s v="CUST-0240"/>
    <s v="PROD-010"/>
    <s v="R018"/>
    <n v="5"/>
    <n v="2640"/>
    <n v="21.3"/>
    <n v="10388.4"/>
    <s v="Pending"/>
    <x v="1"/>
    <s v="Electronics"/>
    <s v="East"/>
    <s v="Feb-24"/>
    <s v="Q1 2024"/>
    <n v="1149"/>
    <n v="0.56477272727272732"/>
  </r>
  <r>
    <s v="ORD-01879"/>
    <d v="2024-12-03T00:00:00"/>
    <s v="CUST-0222"/>
    <s v="PROD-022"/>
    <s v="R002"/>
    <n v="4"/>
    <n v="2270"/>
    <n v="15.8"/>
    <n v="7645.36"/>
    <s v="Completed"/>
    <x v="1"/>
    <s v="Grocery"/>
    <s v="North"/>
    <s v="Dec-24"/>
    <s v="Q4 2024"/>
    <n v="1412"/>
    <n v="0.37797356828193834"/>
  </r>
  <r>
    <s v="ORD-01880"/>
    <d v="2024-10-23T00:00:00"/>
    <s v="CUST-0251"/>
    <s v="PROD-032"/>
    <s v="R002"/>
    <n v="1"/>
    <n v="370"/>
    <n v="27"/>
    <n v="270.10000000000002"/>
    <s v="Pending"/>
    <x v="3"/>
    <s v="Home"/>
    <s v="North"/>
    <s v="Oct-24"/>
    <s v="Q4 2024"/>
    <n v="288"/>
    <n v="0.22162162162162163"/>
  </r>
  <r>
    <s v="ORD-01881"/>
    <d v="2024-03-15T00:00:00"/>
    <s v="CUST-0203"/>
    <s v="PROD-048"/>
    <s v="R017"/>
    <n v="9"/>
    <n v="5100"/>
    <n v="2.4"/>
    <n v="44798.400000000001"/>
    <s v="Completed"/>
    <x v="1"/>
    <s v="Beauty"/>
    <s v="East"/>
    <s v="Mar-24"/>
    <s v="Q1 2024"/>
    <n v="2237"/>
    <n v="0.56137254901960787"/>
  </r>
  <r>
    <s v="ORD-01882"/>
    <d v="2024-01-31T00:00:00"/>
    <s v="CUST-0285"/>
    <s v="PROD-032"/>
    <s v="R023"/>
    <n v="6"/>
    <n v="370"/>
    <n v="18.7"/>
    <n v="1804.86"/>
    <s v="Cancelled"/>
    <x v="5"/>
    <s v="Home"/>
    <s v="East"/>
    <s v="Jan-24"/>
    <s v="Q1 2024"/>
    <n v="288"/>
    <n v="0.22162162162162163"/>
  </r>
  <r>
    <s v="ORD-01883"/>
    <d v="2024-06-22T00:00:00"/>
    <s v="CUST-0135"/>
    <s v="PROD-030"/>
    <s v="R004"/>
    <n v="6"/>
    <n v="970"/>
    <n v="21.6"/>
    <n v="4562.88"/>
    <s v="Completed"/>
    <x v="0"/>
    <s v="Grocery"/>
    <s v="North"/>
    <s v="Jun-24"/>
    <s v="Q2 2024"/>
    <n v="434"/>
    <n v="0.5525773195876289"/>
  </r>
  <r>
    <s v="ORD-01884"/>
    <d v="2024-11-26T00:00:00"/>
    <s v="CUST-9967"/>
    <s v="PROD-029"/>
    <s v="R029"/>
    <n v="3"/>
    <n v="2210"/>
    <n v="8.5"/>
    <n v="6066.45"/>
    <s v="Completed"/>
    <x v="2"/>
    <s v="Grocery"/>
    <s v="West"/>
    <s v="Nov-24"/>
    <s v="Q4 2024"/>
    <n v="1010"/>
    <n v="0.54298642533936647"/>
  </r>
  <r>
    <s v="ORD-01885"/>
    <d v="2024-06-14T00:00:00"/>
    <s v="CUST-0096"/>
    <s v="PROD-044"/>
    <s v="R002"/>
    <n v="1"/>
    <n v="1650"/>
    <n v="19.7"/>
    <n v="1324.95"/>
    <s v="Completed"/>
    <x v="2"/>
    <s v="Beauty"/>
    <s v="North"/>
    <s v="Jun-24"/>
    <s v="Q2 2024"/>
    <n v="1222"/>
    <n v="0.2593939393939394"/>
  </r>
  <r>
    <s v="ORD-01886"/>
    <d v="2024-07-07T00:00:00"/>
    <s v="CUST-0266"/>
    <s v="PROD-056"/>
    <s v="R003"/>
    <n v="5"/>
    <n v="6940"/>
    <n v="7.7"/>
    <n v="32028.1"/>
    <s v="Completed"/>
    <x v="0"/>
    <s v="Sports"/>
    <s v="North"/>
    <s v="Jul-24"/>
    <s v="Q3 2024"/>
    <n v="2827"/>
    <n v="0.5926512968299712"/>
  </r>
  <r>
    <s v="ORD-01887"/>
    <d v="2024-04-10T00:00:00"/>
    <s v="CUST-0059"/>
    <s v="PROD-029"/>
    <s v="R022"/>
    <n v="2"/>
    <n v="2210"/>
    <n v="5.6"/>
    <n v="4172.4799999999996"/>
    <s v="Cancelled"/>
    <x v="0"/>
    <s v="Grocery"/>
    <s v="East"/>
    <s v="Apr-24"/>
    <s v="Q2 2024"/>
    <n v="1010"/>
    <n v="0.54298642533936647"/>
  </r>
  <r>
    <s v="ORD-01888"/>
    <d v="2024-03-29T00:00:00"/>
    <s v="CUST-0094"/>
    <s v="PROD-002"/>
    <s v="R014"/>
    <n v="9"/>
    <n v="2600"/>
    <n v="3.1"/>
    <n v="22674.6"/>
    <s v="Completed"/>
    <x v="0"/>
    <s v="Electronics"/>
    <s v="South"/>
    <s v="Mar-24"/>
    <s v="Q1 2024"/>
    <n v="1052"/>
    <n v="0.5953846153846154"/>
  </r>
  <r>
    <s v="ORD-01889"/>
    <d v="2024-07-21T00:00:00"/>
    <s v="CUST-0254"/>
    <s v="PROD-059"/>
    <s v="R003"/>
    <n v="7"/>
    <n v="3780"/>
    <n v="13.3"/>
    <n v="22940.82"/>
    <s v="Completed"/>
    <x v="4"/>
    <s v="Sports"/>
    <s v="North"/>
    <s v="Jul-24"/>
    <s v="Q3 2024"/>
    <n v="1860"/>
    <n v="0.50793650793650791"/>
  </r>
  <r>
    <s v="ORD-01890"/>
    <d v="2024-11-25T00:00:00"/>
    <s v="CUST-0022"/>
    <s v="PROD-058"/>
    <s v="R013"/>
    <n v="4"/>
    <n v="2400"/>
    <n v="16.600000000000001"/>
    <n v="8006.4"/>
    <s v="Pending"/>
    <x v="4"/>
    <s v="Sports"/>
    <s v="South"/>
    <s v="Nov-24"/>
    <s v="Q4 2024"/>
    <n v="974"/>
    <n v="0.59416666666666662"/>
  </r>
  <r>
    <s v="ORD-01891"/>
    <d v="2024-11-07T00:00:00"/>
    <s v="CUST-0168"/>
    <s v="PROD-005"/>
    <s v="R005"/>
    <n v="10"/>
    <n v="300"/>
    <n v="23.9"/>
    <n v="2283"/>
    <s v="Completed"/>
    <x v="0"/>
    <s v="Electronics"/>
    <s v="North"/>
    <s v="Nov-24"/>
    <s v="Q4 2024"/>
    <n v="128"/>
    <n v="0.57333333333333336"/>
  </r>
  <r>
    <s v="ORD-01892"/>
    <d v="2024-12-14T00:00:00"/>
    <s v="CUST-0175"/>
    <s v="PROD-028"/>
    <s v="R010"/>
    <n v="1"/>
    <n v="3660"/>
    <n v="1.5"/>
    <n v="3605.1"/>
    <s v="Pending"/>
    <x v="2"/>
    <s v="Grocery"/>
    <s v="South"/>
    <s v="Dec-24"/>
    <s v="Q4 2024"/>
    <n v="2214"/>
    <n v="0.39508196721311473"/>
  </r>
  <r>
    <s v="ORD-01893"/>
    <d v="2024-08-30T00:00:00"/>
    <s v="CUST-0193"/>
    <s v="PROD-051"/>
    <s v="R011"/>
    <n v="9"/>
    <n v="3450"/>
    <n v="21.8"/>
    <n v="24281.1"/>
    <s v="Completed"/>
    <x v="4"/>
    <s v="Sports"/>
    <s v="South"/>
    <s v="Aug-24"/>
    <s v="Q3 2024"/>
    <n v="2467"/>
    <n v="0.28492753623188405"/>
  </r>
  <r>
    <s v="ORD-01894"/>
    <d v="2024-04-28T00:00:00"/>
    <s v="CUST-0284"/>
    <s v="PROD-011"/>
    <s v="R007"/>
    <n v="10"/>
    <n v="3450"/>
    <n v="15.7"/>
    <n v="29083.5"/>
    <s v="Cancelled"/>
    <x v="5"/>
    <s v="Apparel"/>
    <s v="North"/>
    <s v="Apr-24"/>
    <s v="Q2 2024"/>
    <n v="1748"/>
    <n v="0.49333333333333335"/>
  </r>
  <r>
    <s v="ORD-01895"/>
    <d v="2024-04-30T00:00:00"/>
    <s v="CUST-0071"/>
    <s v="PROD-026"/>
    <s v="R008"/>
    <n v="2"/>
    <n v="4070"/>
    <n v="10.8"/>
    <n v="7260.88"/>
    <s v="Completed"/>
    <x v="2"/>
    <s v="Grocery"/>
    <s v="North"/>
    <s v="Apr-24"/>
    <s v="Q2 2024"/>
    <n v="2027"/>
    <n v="0.50196560196560192"/>
  </r>
  <r>
    <s v="ORD-01896"/>
    <d v="2024-03-21T00:00:00"/>
    <s v="CUST-0102"/>
    <s v="PROD-059"/>
    <s v="R023"/>
    <n v="4"/>
    <n v="3780"/>
    <n v="17.100000000000001"/>
    <n v="12534.48"/>
    <s v="Completed"/>
    <x v="1"/>
    <s v="Sports"/>
    <s v="East"/>
    <s v="Mar-24"/>
    <s v="Q1 2024"/>
    <n v="1860"/>
    <n v="0.50793650793650791"/>
  </r>
  <r>
    <s v="ORD-01897"/>
    <d v="2024-11-26T00:00:00"/>
    <s v="CUST-0036"/>
    <s v="PROD-021"/>
    <s v="R004"/>
    <n v="1"/>
    <n v="2760"/>
    <n v="2.5"/>
    <n v="2691"/>
    <s v="Cancelled"/>
    <x v="3"/>
    <s v="Grocery"/>
    <s v="North"/>
    <s v="Nov-24"/>
    <s v="Q4 2024"/>
    <n v="1435"/>
    <n v="0.48007246376811596"/>
  </r>
  <r>
    <s v="ORD-01898"/>
    <d v="2024-07-20T00:00:00"/>
    <s v="CUST-0273"/>
    <s v="PROD-046"/>
    <s v="R030"/>
    <n v="2"/>
    <n v="4880"/>
    <n v="11"/>
    <n v="8686.4"/>
    <s v="Completed"/>
    <x v="5"/>
    <s v="Beauty"/>
    <s v="West"/>
    <s v="Jul-24"/>
    <s v="Q3 2024"/>
    <n v="2768"/>
    <n v="0.43278688524590164"/>
  </r>
  <r>
    <s v="ORD-01899"/>
    <d v="2024-10-15T00:00:00"/>
    <s v="CUST-0262"/>
    <s v="PROD-023"/>
    <s v="R022"/>
    <n v="10"/>
    <n v="2380"/>
    <n v="28.3"/>
    <n v="17064.599999999999"/>
    <s v="Completed"/>
    <x v="3"/>
    <s v="Grocery"/>
    <s v="East"/>
    <s v="Oct-24"/>
    <s v="Q4 2024"/>
    <n v="1182"/>
    <n v="0.50336134453781511"/>
  </r>
  <r>
    <s v="ORD-01900"/>
    <d v="2024-06-06T00:00:00"/>
    <s v="CUST-0083"/>
    <s v="PROD-042"/>
    <s v="R003"/>
    <n v="3"/>
    <n v="2290"/>
    <n v="11.1"/>
    <n v="6107.43"/>
    <s v="Cancelled"/>
    <x v="4"/>
    <s v="Beauty"/>
    <s v="North"/>
    <s v="Jun-24"/>
    <s v="Q2 2024"/>
    <n v="1219"/>
    <n v="0.46768558951965067"/>
  </r>
  <r>
    <s v="ORD-01901"/>
    <d v="2024-05-05T00:00:00"/>
    <s v="CUST-0273"/>
    <s v="PROD-021"/>
    <s v="R004"/>
    <n v="6"/>
    <n v="2760"/>
    <n v="16.5"/>
    <n v="13827.6"/>
    <s v="Completed"/>
    <x v="5"/>
    <s v="Grocery"/>
    <s v="North"/>
    <s v="May-24"/>
    <s v="Q2 2024"/>
    <n v="1435"/>
    <n v="0.48007246376811596"/>
  </r>
  <r>
    <s v="ORD-01902"/>
    <d v="2024-08-19T00:00:00"/>
    <s v="CUST-0047"/>
    <s v="PROD-025"/>
    <s v="R027"/>
    <n v="5"/>
    <n v="4060"/>
    <n v="22.5"/>
    <n v="15732.5"/>
    <s v="Completed"/>
    <x v="0"/>
    <s v="Grocery"/>
    <s v="West"/>
    <s v="Aug-24"/>
    <s v="Q3 2024"/>
    <n v="2911"/>
    <n v="0.28300492610837441"/>
  </r>
  <r>
    <s v="ORD-01903"/>
    <d v="2024-03-16T00:00:00"/>
    <s v="CUST-0084"/>
    <s v="PROD-010"/>
    <s v="R006"/>
    <n v="8"/>
    <n v="2640"/>
    <n v="11.8"/>
    <n v="18627.84"/>
    <s v="Completed"/>
    <x v="1"/>
    <s v="Electronics"/>
    <s v="North"/>
    <s v="Mar-24"/>
    <s v="Q1 2024"/>
    <n v="1149"/>
    <n v="0.56477272727272732"/>
  </r>
  <r>
    <s v="ORD-01904"/>
    <d v="2024-01-18T00:00:00"/>
    <s v="CUST-0093"/>
    <s v="PROD-039"/>
    <s v="R005"/>
    <n v="2"/>
    <n v="4610"/>
    <n v="10.4"/>
    <n v="8261.1200000000008"/>
    <s v="Pending"/>
    <x v="0"/>
    <s v="Home"/>
    <s v="North"/>
    <s v="Jan-24"/>
    <s v="Q1 2024"/>
    <n v="1850"/>
    <n v="0.59869848156182215"/>
  </r>
  <r>
    <s v="ORD-01905"/>
    <d v="2024-04-01T00:00:00"/>
    <s v="CUST-0282"/>
    <s v="PROD-029"/>
    <s v="R028"/>
    <n v="6"/>
    <n v="2210"/>
    <n v="22.5"/>
    <n v="10276.5"/>
    <s v="Cancelled"/>
    <x v="5"/>
    <s v="Grocery"/>
    <s v="West"/>
    <s v="Apr-24"/>
    <s v="Q2 2024"/>
    <n v="1010"/>
    <n v="0.54298642533936647"/>
  </r>
  <r>
    <s v="ORD-01906"/>
    <d v="2024-05-08T00:00:00"/>
    <s v="CUST-0246"/>
    <s v="PROD-029"/>
    <s v="R011"/>
    <n v="4"/>
    <n v="2210"/>
    <n v="21.5"/>
    <n v="6939.4"/>
    <s v="Pending"/>
    <x v="2"/>
    <s v="Grocery"/>
    <s v="South"/>
    <s v="May-24"/>
    <s v="Q2 2024"/>
    <n v="1010"/>
    <n v="0.54298642533936647"/>
  </r>
  <r>
    <s v="ORD-01907"/>
    <d v="2024-04-18T00:00:00"/>
    <s v="CUST-0243"/>
    <s v="PROD-035"/>
    <s v="R013"/>
    <n v="6"/>
    <n v="1090"/>
    <n v="28.3"/>
    <n v="4689.18"/>
    <s v="Completed"/>
    <x v="0"/>
    <s v="Home"/>
    <s v="South"/>
    <s v="Apr-24"/>
    <s v="Q2 2024"/>
    <n v="464"/>
    <n v="0.57431192660550456"/>
  </r>
  <r>
    <s v="ORD-01908"/>
    <d v="2024-11-29T00:00:00"/>
    <s v="CUST-0298"/>
    <s v="PROD-032"/>
    <s v="R003"/>
    <n v="9"/>
    <n v="370"/>
    <n v="13.8"/>
    <n v="2870.46"/>
    <s v="Completed"/>
    <x v="2"/>
    <s v="Home"/>
    <s v="North"/>
    <s v="Nov-24"/>
    <s v="Q4 2024"/>
    <n v="288"/>
    <n v="0.22162162162162163"/>
  </r>
  <r>
    <s v="ORD-01909"/>
    <d v="2024-09-20T00:00:00"/>
    <s v="CUST-0124"/>
    <s v="PROD-003"/>
    <s v="R025"/>
    <n v="10"/>
    <n v="3570"/>
    <n v="3"/>
    <n v="34629"/>
    <s v="Cancelled"/>
    <x v="0"/>
    <s v="Electronics"/>
    <s v="West"/>
    <s v="Sep-24"/>
    <s v="Q3 2024"/>
    <n v="1665"/>
    <n v="0.53361344537815125"/>
  </r>
  <r>
    <s v="ORD-01910"/>
    <d v="2024-08-05T00:00:00"/>
    <s v="CUST-0070"/>
    <s v="PROD-036"/>
    <s v="R016"/>
    <n v="10"/>
    <n v="3250"/>
    <n v="20.3"/>
    <n v="25902.5"/>
    <s v="Completed"/>
    <x v="3"/>
    <s v="Home"/>
    <s v="South"/>
    <s v="Aug-24"/>
    <s v="Q3 2024"/>
    <n v="1556"/>
    <n v="0.52123076923076928"/>
  </r>
  <r>
    <s v="ORD-01911"/>
    <d v="2024-05-24T00:00:00"/>
    <s v="CUST-0054"/>
    <s v="PROD-036"/>
    <s v="R028"/>
    <n v="6"/>
    <n v="3250"/>
    <n v="25.8"/>
    <n v="14469"/>
    <s v="Pending"/>
    <x v="3"/>
    <s v="Home"/>
    <s v="West"/>
    <s v="May-24"/>
    <s v="Q2 2024"/>
    <n v="1556"/>
    <n v="0.52123076923076928"/>
  </r>
  <r>
    <s v="ORD-01912"/>
    <d v="2024-11-14T00:00:00"/>
    <s v="CUST-0208"/>
    <s v="PROD-057"/>
    <s v="R024"/>
    <n v="9"/>
    <n v="960"/>
    <n v="29"/>
    <n v="6134.4"/>
    <s v="Completed"/>
    <x v="3"/>
    <s v="Sports"/>
    <s v="West"/>
    <s v="Nov-24"/>
    <s v="Q4 2024"/>
    <n v="705"/>
    <n v="0.265625"/>
  </r>
  <r>
    <s v="ORD-01913"/>
    <d v="2024-08-31T00:00:00"/>
    <s v="CUST-0181"/>
    <s v="PROD-050"/>
    <s v="R015"/>
    <n v="9"/>
    <n v="6080"/>
    <n v="21"/>
    <n v="43228.800000000003"/>
    <s v="Completed"/>
    <x v="2"/>
    <s v="Beauty"/>
    <s v="South"/>
    <s v="Aug-24"/>
    <s v="Q3 2024"/>
    <n v="2617"/>
    <n v="0.56957236842105263"/>
  </r>
  <r>
    <s v="ORD-01914"/>
    <d v="2024-03-15T00:00:00"/>
    <s v="CUST-0259"/>
    <s v="PROD-039"/>
    <s v="R020"/>
    <n v="6"/>
    <n v="4610"/>
    <n v="13.5"/>
    <n v="23925.9"/>
    <s v="Completed"/>
    <x v="3"/>
    <s v="Home"/>
    <s v="East"/>
    <s v="Mar-24"/>
    <s v="Q1 2024"/>
    <n v="1850"/>
    <n v="0.59869848156182215"/>
  </r>
  <r>
    <s v="ORD-01915"/>
    <d v="2024-06-03T00:00:00"/>
    <s v="CUST-0277"/>
    <s v="PROD-034"/>
    <s v="R021"/>
    <n v="7"/>
    <n v="5080"/>
    <n v="25.4"/>
    <n v="26527.759999999998"/>
    <s v="Completed"/>
    <x v="1"/>
    <s v="Home"/>
    <s v="East"/>
    <s v="Jun-24"/>
    <s v="Q2 2024"/>
    <n v="2459"/>
    <n v="0.51594488188976373"/>
  </r>
  <r>
    <s v="ORD-01916"/>
    <d v="2024-09-15T00:00:00"/>
    <s v="CUST-0173"/>
    <s v="PROD-043"/>
    <s v="R017"/>
    <n v="5"/>
    <n v="3350"/>
    <n v="2.2000000000000002"/>
    <n v="16381.5"/>
    <s v="Completed"/>
    <x v="3"/>
    <s v="Beauty"/>
    <s v="East"/>
    <s v="Sep-24"/>
    <s v="Q3 2024"/>
    <n v="1728"/>
    <n v="0.48417910447761192"/>
  </r>
  <r>
    <s v="ORD-01917"/>
    <d v="2024-11-04T00:00:00"/>
    <s v="CUST-0091"/>
    <s v="PROD-027"/>
    <s v="R014"/>
    <n v="1"/>
    <n v="3780"/>
    <n v="13.7"/>
    <n v="3262.14"/>
    <s v="Completed"/>
    <x v="2"/>
    <s v="Grocery"/>
    <s v="South"/>
    <s v="Nov-24"/>
    <s v="Q4 2024"/>
    <n v="2436"/>
    <n v="0.35555555555555557"/>
  </r>
  <r>
    <s v="ORD-01918"/>
    <d v="2024-03-01T00:00:00"/>
    <s v="CUST-0142"/>
    <s v="PROD-046"/>
    <s v="R020"/>
    <n v="4"/>
    <n v="4880"/>
    <n v="11.6"/>
    <n v="17255.68"/>
    <s v="Completed"/>
    <x v="1"/>
    <s v="Beauty"/>
    <s v="East"/>
    <s v="Mar-24"/>
    <s v="Q1 2024"/>
    <n v="2768"/>
    <n v="0.43278688524590164"/>
  </r>
  <r>
    <s v="ORD-01919"/>
    <d v="2024-04-03T00:00:00"/>
    <s v="CUST-0011"/>
    <s v="PROD-048"/>
    <s v="R029"/>
    <n v="3"/>
    <n v="5100"/>
    <n v="24.2"/>
    <n v="11597.4"/>
    <s v="Completed"/>
    <x v="7"/>
    <s v="Beauty"/>
    <s v="West"/>
    <s v="Apr-24"/>
    <s v="Q2 2024"/>
    <n v="2237"/>
    <n v="0.56137254901960787"/>
  </r>
  <r>
    <s v="ORD-01920"/>
    <d v="2024-12-08T00:00:00"/>
    <s v="CUST-0074"/>
    <s v="PROD-008"/>
    <s v="R023"/>
    <n v="5"/>
    <n v="2660"/>
    <n v="4.7"/>
    <n v="12674.9"/>
    <s v="Completed"/>
    <x v="4"/>
    <s v="Electronics"/>
    <s v="East"/>
    <s v="Dec-24"/>
    <s v="Q4 2024"/>
    <n v="1259"/>
    <n v="0.52669172932330832"/>
  </r>
  <r>
    <s v="ORD-01921"/>
    <d v="2024-06-01T00:00:00"/>
    <s v="CUST-0131"/>
    <s v="PROD-023"/>
    <s v="R017"/>
    <n v="10"/>
    <n v="2380"/>
    <n v="1"/>
    <n v="23562"/>
    <s v="Completed"/>
    <x v="2"/>
    <s v="Grocery"/>
    <s v="East"/>
    <s v="Jun-24"/>
    <s v="Q2 2024"/>
    <n v="1182"/>
    <n v="0.50336134453781511"/>
  </r>
  <r>
    <s v="ORD-01922"/>
    <d v="2024-09-18T00:00:00"/>
    <s v="CUST-0093"/>
    <s v="PROD-046"/>
    <s v="R002"/>
    <n v="9"/>
    <n v="4880"/>
    <n v="7.2"/>
    <n v="40757.760000000002"/>
    <s v="Completed"/>
    <x v="0"/>
    <s v="Beauty"/>
    <s v="North"/>
    <s v="Sep-24"/>
    <s v="Q3 2024"/>
    <n v="2768"/>
    <n v="0.43278688524590164"/>
  </r>
  <r>
    <s v="ORD-01923"/>
    <d v="2024-04-29T00:00:00"/>
    <s v="CUST-0229"/>
    <s v="PROD-031"/>
    <s v="R014"/>
    <n v="1"/>
    <n v="3730"/>
    <n v="15.3"/>
    <n v="3159.31"/>
    <s v="Completed"/>
    <x v="5"/>
    <s v="Home"/>
    <s v="South"/>
    <s v="Apr-24"/>
    <s v="Q2 2024"/>
    <n v="2135"/>
    <n v="0.42761394101876676"/>
  </r>
  <r>
    <s v="ORD-01924"/>
    <d v="2024-05-30T00:00:00"/>
    <s v="CUST-0293"/>
    <s v="PROD-059"/>
    <s v="R003"/>
    <n v="10"/>
    <n v="3780"/>
    <n v="2.7"/>
    <n v="36779.4"/>
    <s v="Completed"/>
    <x v="4"/>
    <s v="Sports"/>
    <s v="North"/>
    <s v="May-24"/>
    <s v="Q2 2024"/>
    <n v="1860"/>
    <n v="0.50793650793650791"/>
  </r>
  <r>
    <s v="ORD-01925"/>
    <d v="2024-03-30T00:00:00"/>
    <s v="CUST-0105"/>
    <s v="PROD-014"/>
    <s v="R023"/>
    <n v="2"/>
    <n v="3620"/>
    <n v="23"/>
    <n v="5574.8"/>
    <s v="Completed"/>
    <x v="1"/>
    <s v="Apparel"/>
    <s v="East"/>
    <s v="Mar-24"/>
    <s v="Q1 2024"/>
    <n v="2509"/>
    <n v="0.3069060773480663"/>
  </r>
  <r>
    <s v="ORD-01926"/>
    <d v="2024-09-01T00:00:00"/>
    <s v="CUST-0003"/>
    <s v="PROD-034"/>
    <s v="R021"/>
    <n v="9"/>
    <n v="5080"/>
    <n v="19.899999999999999"/>
    <n v="36621.72"/>
    <s v="Completed"/>
    <x v="3"/>
    <s v="Home"/>
    <s v="East"/>
    <s v="Sep-24"/>
    <s v="Q3 2024"/>
    <n v="2459"/>
    <n v="0.51594488188976373"/>
  </r>
  <r>
    <s v="ORD-01927"/>
    <d v="2024-09-26T00:00:00"/>
    <s v="CUST-0092"/>
    <s v="PROD-018"/>
    <s v="R024"/>
    <n v="2"/>
    <n v="3560"/>
    <n v="5.5"/>
    <n v="6728.4"/>
    <s v="Completed"/>
    <x v="4"/>
    <s v="Apparel"/>
    <s v="West"/>
    <s v="Sep-24"/>
    <s v="Q3 2024"/>
    <n v="2629"/>
    <n v="0.26151685393258428"/>
  </r>
  <r>
    <s v="ORD-01928"/>
    <d v="2024-02-27T00:00:00"/>
    <s v="CUST-0050"/>
    <s v="PROD-030"/>
    <s v="R001"/>
    <n v="6"/>
    <n v="970"/>
    <n v="22.5"/>
    <n v="4510.5"/>
    <s v="Refunded"/>
    <x v="3"/>
    <s v="Grocery"/>
    <s v="North"/>
    <s v="Feb-24"/>
    <s v="Q1 2024"/>
    <n v="434"/>
    <n v="0.5525773195876289"/>
  </r>
  <r>
    <s v="ORD-01929"/>
    <d v="2024-12-24T00:00:00"/>
    <s v="CUST-0237"/>
    <s v="PROD-043"/>
    <s v="R014"/>
    <n v="9"/>
    <n v="3350"/>
    <n v="5.0999999999999996"/>
    <n v="28612.35"/>
    <s v="Completed"/>
    <x v="3"/>
    <s v="Beauty"/>
    <s v="South"/>
    <s v="Dec-24"/>
    <s v="Q4 2024"/>
    <n v="1728"/>
    <n v="0.48417910447761192"/>
  </r>
  <r>
    <s v="ORD-01930"/>
    <d v="2024-08-21T00:00:00"/>
    <s v="CUST-9905"/>
    <s v="PROD-032"/>
    <s v="R011"/>
    <n v="6"/>
    <n v="370"/>
    <n v="17.8"/>
    <n v="1824.84"/>
    <s v="Completed"/>
    <x v="3"/>
    <s v="Home"/>
    <s v="South"/>
    <s v="Aug-24"/>
    <s v="Q3 2024"/>
    <n v="288"/>
    <n v="0.22162162162162163"/>
  </r>
  <r>
    <s v="ORD-01931"/>
    <d v="2024-03-14T00:00:00"/>
    <s v="CUST-0175"/>
    <s v="PROD-024"/>
    <s v="R011"/>
    <n v="3"/>
    <n v="2270"/>
    <n v="8.4"/>
    <n v="6237.96"/>
    <s v="Pending"/>
    <x v="2"/>
    <s v="Grocery"/>
    <s v="South"/>
    <s v="Mar-24"/>
    <s v="Q1 2024"/>
    <n v="1203"/>
    <n v="0.47004405286343615"/>
  </r>
  <r>
    <s v="ORD-01932"/>
    <d v="2024-06-21T00:00:00"/>
    <s v="CUST-0271"/>
    <s v="PROD-051"/>
    <s v="R021"/>
    <n v="3"/>
    <n v="3450"/>
    <n v="7.2"/>
    <n v="9604.7999999999993"/>
    <s v="Completed"/>
    <x v="4"/>
    <s v="Sports"/>
    <s v="East"/>
    <s v="Jun-24"/>
    <s v="Q2 2024"/>
    <n v="2467"/>
    <n v="0.28492753623188405"/>
  </r>
  <r>
    <s v="ORD-01933"/>
    <d v="2024-12-07T00:00:00"/>
    <s v="CUST-0129"/>
    <s v="PROD-054"/>
    <s v="R008"/>
    <n v="9"/>
    <n v="1010"/>
    <n v="17.8"/>
    <n v="7471.98"/>
    <s v="Completed"/>
    <x v="5"/>
    <s v="Sports"/>
    <s v="North"/>
    <s v="Dec-24"/>
    <s v="Q4 2024"/>
    <n v="516"/>
    <n v="0.4891089108910891"/>
  </r>
  <r>
    <s v="ORD-01934"/>
    <d v="2024-03-22T00:00:00"/>
    <s v="CUST-0156"/>
    <s v="PROD-039"/>
    <s v="R003"/>
    <n v="5"/>
    <n v="4610"/>
    <n v="29.8"/>
    <n v="16181.1"/>
    <s v="Cancelled"/>
    <x v="3"/>
    <s v="Home"/>
    <s v="North"/>
    <s v="Mar-24"/>
    <s v="Q1 2024"/>
    <n v="1850"/>
    <n v="0.59869848156182215"/>
  </r>
  <r>
    <s v="ORD-01935"/>
    <d v="2024-07-24T00:00:00"/>
    <s v="CUST-0048"/>
    <s v="PROD-032"/>
    <s v="R003"/>
    <n v="6"/>
    <n v="370"/>
    <n v="17.899999999999999"/>
    <n v="1822.62"/>
    <s v="Completed"/>
    <x v="2"/>
    <s v="Home"/>
    <s v="North"/>
    <s v="Jul-24"/>
    <s v="Q3 2024"/>
    <n v="288"/>
    <n v="0.22162162162162163"/>
  </r>
  <r>
    <s v="ORD-01936"/>
    <d v="2024-03-01T00:00:00"/>
    <s v="CUST-0224"/>
    <s v="PROD-023"/>
    <s v="R026"/>
    <n v="6"/>
    <n v="2380"/>
    <n v="13.6"/>
    <n v="12337.92"/>
    <s v="Cancelled"/>
    <x v="1"/>
    <s v="Grocery"/>
    <s v="West"/>
    <s v="Mar-24"/>
    <s v="Q1 2024"/>
    <n v="1182"/>
    <n v="0.50336134453781511"/>
  </r>
  <r>
    <s v="ORD-01937"/>
    <d v="2024-03-28T00:00:00"/>
    <s v="CUST-0101"/>
    <s v="PROD-049"/>
    <s v="R023"/>
    <n v="6"/>
    <n v="960"/>
    <n v="15"/>
    <n v="4896"/>
    <s v="Pending"/>
    <x v="5"/>
    <s v="Beauty"/>
    <s v="East"/>
    <s v="Mar-24"/>
    <s v="Q1 2024"/>
    <n v="675"/>
    <n v="0.296875"/>
  </r>
  <r>
    <s v="ORD-01938"/>
    <d v="2024-05-10T00:00:00"/>
    <s v="CUST-0269"/>
    <s v="PROD-057"/>
    <s v="R002"/>
    <n v="3"/>
    <n v="960"/>
    <n v="12.3"/>
    <n v="2525.7600000000002"/>
    <s v="Completed"/>
    <x v="0"/>
    <s v="Sports"/>
    <s v="North"/>
    <s v="May-24"/>
    <s v="Q2 2024"/>
    <n v="705"/>
    <n v="0.265625"/>
  </r>
  <r>
    <s v="ORD-01939"/>
    <d v="2024-05-01T00:00:00"/>
    <s v="CUST-0097"/>
    <s v="PROD-016"/>
    <s v="R029"/>
    <n v="7"/>
    <n v="620"/>
    <n v="5.8"/>
    <n v="4088.28"/>
    <s v="Completed"/>
    <x v="3"/>
    <s v="Apparel"/>
    <s v="West"/>
    <s v="May-24"/>
    <s v="Q2 2024"/>
    <n v="396"/>
    <n v="0.36129032258064514"/>
  </r>
  <r>
    <s v="ORD-01940"/>
    <d v="2024-06-24T00:00:00"/>
    <s v="CUST-0062"/>
    <s v="PROD-057"/>
    <s v="R020"/>
    <n v="1"/>
    <n v="960"/>
    <n v="4.5999999999999996"/>
    <n v="915.84"/>
    <s v="Completed"/>
    <x v="0"/>
    <s v="Sports"/>
    <s v="East"/>
    <s v="Jun-24"/>
    <s v="Q2 2024"/>
    <n v="705"/>
    <n v="0.265625"/>
  </r>
  <r>
    <s v="ORD-01941"/>
    <d v="2024-08-16T00:00:00"/>
    <s v="CUST-0124"/>
    <s v="PROD-047"/>
    <s v="R028"/>
    <n v="4"/>
    <n v="3450"/>
    <n v="13.3"/>
    <n v="11964.6"/>
    <s v="Completed"/>
    <x v="0"/>
    <s v="Beauty"/>
    <s v="West"/>
    <s v="Aug-24"/>
    <s v="Q3 2024"/>
    <n v="2420"/>
    <n v="0.29855072463768118"/>
  </r>
  <r>
    <s v="ORD-01942"/>
    <d v="2024-11-30T00:00:00"/>
    <s v="CUST-0185"/>
    <s v="PROD-015"/>
    <s v="R019"/>
    <n v="10"/>
    <n v="2720"/>
    <n v="3.4"/>
    <n v="26275.200000000001"/>
    <s v="Completed"/>
    <x v="5"/>
    <s v="Apparel"/>
    <s v="East"/>
    <s v="Nov-24"/>
    <s v="Q4 2024"/>
    <n v="1962"/>
    <n v="0.2786764705882353"/>
  </r>
  <r>
    <s v="ORD-01943"/>
    <d v="2024-06-09T00:00:00"/>
    <s v="CUST-0115"/>
    <s v="PROD-047"/>
    <s v="R019"/>
    <n v="1"/>
    <n v="3450"/>
    <n v="29.4"/>
    <n v="2435.6999999999998"/>
    <s v="Completed"/>
    <x v="3"/>
    <s v="Beauty"/>
    <s v="East"/>
    <s v="Jun-24"/>
    <s v="Q2 2024"/>
    <n v="2420"/>
    <n v="0.29855072463768118"/>
  </r>
  <r>
    <s v="ORD-01944"/>
    <d v="2024-08-25T00:00:00"/>
    <s v="CUST-0097"/>
    <s v="PROD-044"/>
    <s v="R024"/>
    <n v="5"/>
    <n v="1650"/>
    <n v="29.4"/>
    <n v="5824.5"/>
    <s v="Completed"/>
    <x v="3"/>
    <s v="Beauty"/>
    <s v="West"/>
    <s v="Aug-24"/>
    <s v="Q3 2024"/>
    <n v="1222"/>
    <n v="0.2593939393939394"/>
  </r>
  <r>
    <s v="ORD-01945"/>
    <d v="2024-12-13T00:00:00"/>
    <s v="CUST-0221"/>
    <s v="PROD-014"/>
    <s v="R009"/>
    <n v="2"/>
    <n v="3620"/>
    <n v="15.6"/>
    <n v="6110.56"/>
    <s v="Completed"/>
    <x v="2"/>
    <s v="Apparel"/>
    <s v="South"/>
    <s v="Dec-24"/>
    <s v="Q4 2024"/>
    <n v="2509"/>
    <n v="0.3069060773480663"/>
  </r>
  <r>
    <s v="ORD-01946"/>
    <d v="2024-10-27T00:00:00"/>
    <s v="CUST-0098"/>
    <s v="PROD-005"/>
    <s v="R012"/>
    <n v="3"/>
    <n v="300"/>
    <n v="24.8"/>
    <n v="676.8"/>
    <s v="Completed"/>
    <x v="2"/>
    <s v="Electronics"/>
    <s v="South"/>
    <s v="Oct-24"/>
    <s v="Q4 2024"/>
    <n v="128"/>
    <n v="0.57333333333333336"/>
  </r>
  <r>
    <s v="ORD-01947"/>
    <d v="2024-02-16T00:00:00"/>
    <s v="CUST-0203"/>
    <s v="PROD-041"/>
    <s v="R001"/>
    <n v="3"/>
    <n v="1540"/>
    <n v="29.5"/>
    <n v="3257.1"/>
    <s v="Completed"/>
    <x v="1"/>
    <s v="Beauty"/>
    <s v="North"/>
    <s v="Feb-24"/>
    <s v="Q1 2024"/>
    <n v="647"/>
    <n v="0.57987012987012987"/>
  </r>
  <r>
    <s v="ORD-01948"/>
    <d v="2024-09-16T00:00:00"/>
    <s v="CUST-0074"/>
    <s v="PROD-024"/>
    <s v="R019"/>
    <n v="10"/>
    <n v="2270"/>
    <n v="5.5"/>
    <n v="21451.5"/>
    <s v="Cancelled"/>
    <x v="4"/>
    <s v="Grocery"/>
    <s v="East"/>
    <s v="Sep-24"/>
    <s v="Q3 2024"/>
    <n v="1203"/>
    <n v="0.47004405286343615"/>
  </r>
  <r>
    <s v="ORD-01949"/>
    <d v="2024-02-28T00:00:00"/>
    <s v="CUST-0217"/>
    <s v="PROD-010"/>
    <s v="R008"/>
    <n v="3"/>
    <n v="2640"/>
    <n v="28.2"/>
    <n v="5686.56"/>
    <s v="Refunded"/>
    <x v="0"/>
    <s v="Electronics"/>
    <s v="North"/>
    <s v="Feb-24"/>
    <s v="Q1 2024"/>
    <n v="1149"/>
    <n v="0.56477272727272732"/>
  </r>
  <r>
    <s v="ORD-01950"/>
    <d v="2024-08-03T00:00:00"/>
    <s v="CUST-0021"/>
    <s v="PROD-010"/>
    <s v="R015"/>
    <n v="10"/>
    <n v="2640"/>
    <n v="25.9"/>
    <n v="19562.400000000001"/>
    <s v="Completed"/>
    <x v="0"/>
    <s v="Electronics"/>
    <s v="South"/>
    <s v="Aug-24"/>
    <s v="Q3 2024"/>
    <n v="1149"/>
    <n v="0.56477272727272732"/>
  </r>
  <r>
    <s v="ORD-01951"/>
    <d v="2024-09-03T00:00:00"/>
    <s v="CUST-0004"/>
    <s v="PROD-007"/>
    <s v="R030"/>
    <n v="2"/>
    <n v="1430"/>
    <n v="5"/>
    <n v="2717"/>
    <s v="Cancelled"/>
    <x v="2"/>
    <s v="Electronics"/>
    <s v="West"/>
    <s v="Sep-24"/>
    <s v="Q3 2024"/>
    <n v="861"/>
    <n v="0.39790209790209791"/>
  </r>
  <r>
    <s v="ORD-01952"/>
    <d v="2024-11-22T00:00:00"/>
    <s v="CUST-0080"/>
    <s v="PROD-003"/>
    <s v="R020"/>
    <n v="6"/>
    <n v="3570"/>
    <n v="28.5"/>
    <n v="15315.3"/>
    <s v="Cancelled"/>
    <x v="0"/>
    <s v="Electronics"/>
    <s v="East"/>
    <s v="Nov-24"/>
    <s v="Q4 2024"/>
    <n v="1665"/>
    <n v="0.53361344537815125"/>
  </r>
  <r>
    <s v="ORD-01953"/>
    <d v="2024-06-01T00:00:00"/>
    <s v="CUST-0113"/>
    <s v="PROD-003"/>
    <s v="R024"/>
    <n v="1"/>
    <n v="3570"/>
    <n v="7.7"/>
    <n v="3295.11"/>
    <s v="Completed"/>
    <x v="2"/>
    <s v="Electronics"/>
    <s v="West"/>
    <s v="Jun-24"/>
    <s v="Q2 2024"/>
    <n v="1665"/>
    <n v="0.53361344537815125"/>
  </r>
  <r>
    <s v="ORD-01954"/>
    <d v="2024-03-26T00:00:00"/>
    <s v="CUST-0023"/>
    <s v="PROD-004"/>
    <s v="R030"/>
    <n v="9"/>
    <n v="3870"/>
    <n v="11.9"/>
    <n v="30685.23"/>
    <s v="Cancelled"/>
    <x v="1"/>
    <s v="Electronics"/>
    <s v="West"/>
    <s v="Mar-24"/>
    <s v="Q1 2024"/>
    <n v="1559"/>
    <n v="0.59715762273901807"/>
  </r>
  <r>
    <s v="ORD-01955"/>
    <d v="2024-08-11T00:00:00"/>
    <s v="CUST-0136"/>
    <s v="PROD-056"/>
    <s v="R014"/>
    <n v="5"/>
    <n v="6940"/>
    <n v="17.399999999999999"/>
    <n v="28662.2"/>
    <s v="Completed"/>
    <x v="1"/>
    <s v="Sports"/>
    <s v="South"/>
    <s v="Aug-24"/>
    <s v="Q3 2024"/>
    <n v="2827"/>
    <n v="0.5926512968299712"/>
  </r>
  <r>
    <s v="ORD-01956"/>
    <d v="2024-01-21T00:00:00"/>
    <s v="CUST-0031"/>
    <s v="PROD-032"/>
    <s v="R026"/>
    <n v="6"/>
    <n v="370"/>
    <n v="8.1"/>
    <n v="2040.18"/>
    <s v="Cancelled"/>
    <x v="5"/>
    <s v="Home"/>
    <s v="West"/>
    <s v="Jan-24"/>
    <s v="Q1 2024"/>
    <n v="288"/>
    <n v="0.22162162162162163"/>
  </r>
  <r>
    <s v="ORD-01957"/>
    <d v="2024-09-14T00:00:00"/>
    <s v="CUST-0175"/>
    <s v="PROD-018"/>
    <s v="R027"/>
    <n v="8"/>
    <n v="3560"/>
    <n v="23.3"/>
    <n v="21844.16"/>
    <s v="Completed"/>
    <x v="2"/>
    <s v="Apparel"/>
    <s v="West"/>
    <s v="Sep-24"/>
    <s v="Q3 2024"/>
    <n v="2629"/>
    <n v="0.26151685393258428"/>
  </r>
  <r>
    <s v="ORD-01958"/>
    <d v="2024-12-07T00:00:00"/>
    <s v="CUST-0249"/>
    <s v="PROD-009"/>
    <s v="R028"/>
    <n v="4"/>
    <n v="1220"/>
    <n v="2.7"/>
    <n v="4748.24"/>
    <s v="Completed"/>
    <x v="3"/>
    <s v="Electronics"/>
    <s v="West"/>
    <s v="Dec-24"/>
    <s v="Q4 2024"/>
    <n v="517"/>
    <n v="0.57622950819672136"/>
  </r>
  <r>
    <s v="ORD-01959"/>
    <d v="2024-11-02T00:00:00"/>
    <s v="CUST-0138"/>
    <s v="PROD-026"/>
    <s v="R020"/>
    <n v="10"/>
    <n v="4070"/>
    <n v="11.6"/>
    <n v="35978.800000000003"/>
    <s v="Completed"/>
    <x v="1"/>
    <s v="Grocery"/>
    <s v="East"/>
    <s v="Nov-24"/>
    <s v="Q4 2024"/>
    <n v="2027"/>
    <n v="0.50196560196560192"/>
  </r>
  <r>
    <s v="ORD-01960"/>
    <d v="2024-02-14T00:00:00"/>
    <s v="CUST-0290"/>
    <s v="PROD-028"/>
    <s v="R019"/>
    <n v="10"/>
    <n v="3660"/>
    <n v="28.8"/>
    <n v="26059.200000000001"/>
    <s v="Completed"/>
    <x v="2"/>
    <s v="Grocery"/>
    <s v="East"/>
    <s v="Feb-24"/>
    <s v="Q1 2024"/>
    <n v="2214"/>
    <n v="0.39508196721311473"/>
  </r>
  <r>
    <s v="ORD-01961"/>
    <d v="2024-06-06T00:00:00"/>
    <s v="CUST-0151"/>
    <s v="PROD-034"/>
    <s v="R018"/>
    <n v="5"/>
    <n v="5080"/>
    <n v="12.1"/>
    <n v="22326.6"/>
    <s v="Completed"/>
    <x v="3"/>
    <s v="Home"/>
    <s v="East"/>
    <s v="Jun-24"/>
    <s v="Q2 2024"/>
    <n v="2459"/>
    <n v="0.51594488188976373"/>
  </r>
  <r>
    <s v="ORD-01962"/>
    <d v="2024-02-16T00:00:00"/>
    <s v="CUST-0290"/>
    <s v="PROD-039"/>
    <s v="R013"/>
    <n v="10"/>
    <n v="4610"/>
    <n v="22.5"/>
    <n v="35727.5"/>
    <s v="Completed"/>
    <x v="2"/>
    <s v="Home"/>
    <s v="South"/>
    <s v="Feb-24"/>
    <s v="Q1 2024"/>
    <n v="1850"/>
    <n v="0.59869848156182215"/>
  </r>
  <r>
    <s v="ORD-01963"/>
    <d v="2024-01-26T00:00:00"/>
    <s v="CUST-0074"/>
    <s v="PROD-008"/>
    <s v="R007"/>
    <n v="3"/>
    <n v="2660"/>
    <n v="15"/>
    <n v="6783"/>
    <s v="Completed"/>
    <x v="4"/>
    <s v="Electronics"/>
    <s v="North"/>
    <s v="Jan-24"/>
    <s v="Q1 2024"/>
    <n v="1259"/>
    <n v="0.52669172932330832"/>
  </r>
  <r>
    <s v="ORD-01964"/>
    <d v="2024-04-02T00:00:00"/>
    <s v="CUST-0295"/>
    <s v="PROD-012"/>
    <s v="R006"/>
    <n v="5"/>
    <n v="3160"/>
    <n v="1.3"/>
    <n v="15594.6"/>
    <s v="Completed"/>
    <x v="2"/>
    <s v="Apparel"/>
    <s v="North"/>
    <s v="Apr-24"/>
    <s v="Q2 2024"/>
    <n v="1886"/>
    <n v="0.4031645569620253"/>
  </r>
  <r>
    <s v="ORD-01965"/>
    <d v="2024-02-03T00:00:00"/>
    <s v="CUST-0132"/>
    <s v="PROD-032"/>
    <s v="R004"/>
    <n v="10"/>
    <n v="370"/>
    <n v="29"/>
    <n v="2627"/>
    <s v="Completed"/>
    <x v="2"/>
    <s v="Home"/>
    <s v="North"/>
    <s v="Feb-24"/>
    <s v="Q1 2024"/>
    <n v="288"/>
    <n v="0.22162162162162163"/>
  </r>
  <r>
    <s v="ORD-01966"/>
    <d v="2024-03-07T00:00:00"/>
    <s v="CUST-0289"/>
    <s v="PROD-054"/>
    <s v="R008"/>
    <n v="10"/>
    <n v="1010"/>
    <n v="14.1"/>
    <n v="8675.9"/>
    <s v="Refunded"/>
    <x v="3"/>
    <s v="Sports"/>
    <s v="North"/>
    <s v="Mar-24"/>
    <s v="Q1 2024"/>
    <n v="516"/>
    <n v="0.4891089108910891"/>
  </r>
  <r>
    <s v="ORD-01967"/>
    <d v="2024-10-21T00:00:00"/>
    <s v="CUST-0139"/>
    <s v="PROD-018"/>
    <s v="R030"/>
    <n v="3"/>
    <n v="3560"/>
    <n v="23.6"/>
    <n v="8159.52"/>
    <s v="Completed"/>
    <x v="5"/>
    <s v="Apparel"/>
    <s v="West"/>
    <s v="Oct-24"/>
    <s v="Q4 2024"/>
    <n v="2629"/>
    <n v="0.26151685393258428"/>
  </r>
  <r>
    <s v="ORD-01968"/>
    <d v="2024-02-18T00:00:00"/>
    <s v="CUST-0032"/>
    <s v="PROD-009"/>
    <s v="R028"/>
    <n v="9"/>
    <n v="1220"/>
    <n v="16.600000000000001"/>
    <n v="9157.32"/>
    <s v="Completed"/>
    <x v="5"/>
    <s v="Electronics"/>
    <s v="West"/>
    <s v="Feb-24"/>
    <s v="Q1 2024"/>
    <n v="517"/>
    <n v="0.57622950819672136"/>
  </r>
  <r>
    <s v="ORD-01969"/>
    <d v="2024-02-21T00:00:00"/>
    <s v="CUST-0109"/>
    <s v="PROD-060"/>
    <s v="R008"/>
    <n v="8"/>
    <n v="190"/>
    <n v="22.3"/>
    <n v="1181.04"/>
    <s v="Completed"/>
    <x v="0"/>
    <s v="Sports"/>
    <s v="North"/>
    <s v="Feb-24"/>
    <s v="Q1 2024"/>
    <n v="147"/>
    <n v="0.22631578947368422"/>
  </r>
  <r>
    <s v="ORD-01970"/>
    <d v="2024-06-25T00:00:00"/>
    <s v="CUST-0224"/>
    <s v="PROD-054"/>
    <s v="R002"/>
    <n v="2"/>
    <n v="1010"/>
    <n v="3.8"/>
    <n v="1943.24"/>
    <s v="Completed"/>
    <x v="1"/>
    <s v="Sports"/>
    <s v="North"/>
    <s v="Jun-24"/>
    <s v="Q2 2024"/>
    <n v="516"/>
    <n v="0.4891089108910891"/>
  </r>
  <r>
    <s v="ORD-01971"/>
    <d v="2024-05-27T00:00:00"/>
    <s v="CUST-0038"/>
    <s v="PROD-002"/>
    <s v="R009"/>
    <n v="4"/>
    <n v="2600"/>
    <n v="29.1"/>
    <n v="7373.6"/>
    <s v="Completed"/>
    <x v="3"/>
    <s v="Electronics"/>
    <s v="South"/>
    <s v="May-24"/>
    <s v="Q2 2024"/>
    <n v="1052"/>
    <n v="0.5953846153846154"/>
  </r>
  <r>
    <s v="ORD-01972"/>
    <d v="2024-08-13T00:00:00"/>
    <s v="CUST-0132"/>
    <s v="PROD-011"/>
    <s v="R029"/>
    <n v="7"/>
    <n v="3450"/>
    <n v="4"/>
    <n v="23184"/>
    <s v="Completed"/>
    <x v="2"/>
    <s v="Apparel"/>
    <s v="West"/>
    <s v="Aug-24"/>
    <s v="Q3 2024"/>
    <n v="1748"/>
    <n v="0.49333333333333335"/>
  </r>
  <r>
    <s v="ORD-01973"/>
    <d v="2024-01-20T00:00:00"/>
    <s v="CUST-0226"/>
    <s v="PROD-017"/>
    <s v="R019"/>
    <n v="6"/>
    <n v="2510"/>
    <n v="12.7"/>
    <n v="13147.38"/>
    <s v="Completed"/>
    <x v="1"/>
    <s v="Apparel"/>
    <s v="East"/>
    <s v="Jan-24"/>
    <s v="Q1 2024"/>
    <n v="1075"/>
    <n v="0.57171314741035861"/>
  </r>
  <r>
    <s v="ORD-01974"/>
    <d v="2024-09-25T00:00:00"/>
    <s v="CUST-0275"/>
    <s v="PROD-060"/>
    <s v="R027"/>
    <n v="6"/>
    <n v="190"/>
    <n v="20"/>
    <n v="912"/>
    <s v="Cancelled"/>
    <x v="3"/>
    <s v="Sports"/>
    <s v="West"/>
    <s v="Sep-24"/>
    <s v="Q3 2024"/>
    <n v="147"/>
    <n v="0.22631578947368422"/>
  </r>
  <r>
    <s v="ORD-01975"/>
    <d v="2024-08-25T00:00:00"/>
    <s v="CUST-0109"/>
    <s v="PROD-044"/>
    <s v="R029"/>
    <n v="10"/>
    <n v="1650"/>
    <n v="21.5"/>
    <n v="12952.5"/>
    <s v="Completed"/>
    <x v="0"/>
    <s v="Beauty"/>
    <s v="West"/>
    <s v="Aug-24"/>
    <s v="Q3 2024"/>
    <n v="1222"/>
    <n v="0.2593939393939394"/>
  </r>
  <r>
    <s v="ORD-01976"/>
    <d v="2024-02-22T00:00:00"/>
    <s v="CUST-0281"/>
    <s v="PROD-055"/>
    <s v="R009"/>
    <n v="4"/>
    <n v="2860"/>
    <n v="15.2"/>
    <n v="9701.1200000000008"/>
    <s v="Completed"/>
    <x v="4"/>
    <s v="Sports"/>
    <s v="South"/>
    <s v="Feb-24"/>
    <s v="Q1 2024"/>
    <n v="2028"/>
    <n v="0.29090909090909089"/>
  </r>
  <r>
    <s v="ORD-01977"/>
    <d v="2024-10-24T00:00:00"/>
    <s v="CUST-0174"/>
    <s v="PROD-053"/>
    <s v="R028"/>
    <n v="3"/>
    <n v="470"/>
    <n v="14.2"/>
    <n v="1209.78"/>
    <s v="Completed"/>
    <x v="0"/>
    <s v="Sports"/>
    <s v="West"/>
    <s v="Oct-24"/>
    <s v="Q4 2024"/>
    <n v="302"/>
    <n v="0.35744680851063831"/>
  </r>
  <r>
    <s v="ORD-01978"/>
    <d v="2024-06-26T00:00:00"/>
    <s v="CUST-0103"/>
    <s v="PROD-055"/>
    <s v="R030"/>
    <n v="2"/>
    <n v="2860"/>
    <n v="17.899999999999999"/>
    <n v="4696.12"/>
    <s v="Completed"/>
    <x v="5"/>
    <s v="Sports"/>
    <s v="West"/>
    <s v="Jun-24"/>
    <s v="Q2 2024"/>
    <n v="2028"/>
    <n v="0.29090909090909089"/>
  </r>
  <r>
    <s v="ORD-01979"/>
    <d v="2024-04-25T00:00:00"/>
    <s v="CUST-0076"/>
    <s v="PROD-019"/>
    <s v="R018"/>
    <n v="2"/>
    <n v="2480"/>
    <n v="11.5"/>
    <n v="4389.6000000000004"/>
    <s v="Cancelled"/>
    <x v="3"/>
    <s v="Apparel"/>
    <s v="East"/>
    <s v="Apr-24"/>
    <s v="Q2 2024"/>
    <n v="1173"/>
    <n v="0.52701612903225803"/>
  </r>
  <r>
    <s v="ORD-01980"/>
    <d v="2024-12-09T00:00:00"/>
    <s v="CUST-0227"/>
    <s v="PROD-033"/>
    <s v="R006"/>
    <n v="10"/>
    <n v="2030"/>
    <n v="29.2"/>
    <n v="14372.4"/>
    <s v="Completed"/>
    <x v="4"/>
    <s v="Home"/>
    <s v="North"/>
    <s v="Dec-24"/>
    <s v="Q4 2024"/>
    <n v="1143"/>
    <n v="0.43694581280788175"/>
  </r>
  <r>
    <s v="ORD-01981"/>
    <d v="2024-07-16T00:00:00"/>
    <s v="CUST-0006"/>
    <s v="PROD-047"/>
    <s v="R012"/>
    <n v="6"/>
    <n v="3450"/>
    <n v="3.5"/>
    <n v="19975.5"/>
    <s v="Refunded"/>
    <x v="0"/>
    <s v="Beauty"/>
    <s v="South"/>
    <s v="Jul-24"/>
    <s v="Q3 2024"/>
    <n v="2420"/>
    <n v="0.29855072463768118"/>
  </r>
  <r>
    <s v="ORD-01982"/>
    <d v="2024-03-05T00:00:00"/>
    <s v="CUST-0231"/>
    <s v="PROD-007"/>
    <s v="R011"/>
    <n v="10"/>
    <n v="1430"/>
    <n v="3.5"/>
    <n v="13799.5"/>
    <s v="Completed"/>
    <x v="1"/>
    <s v="Electronics"/>
    <s v="South"/>
    <s v="Mar-24"/>
    <s v="Q1 2024"/>
    <n v="861"/>
    <n v="0.39790209790209791"/>
  </r>
  <r>
    <s v="ORD-01983"/>
    <d v="2024-05-10T00:00:00"/>
    <s v="CUST-0085"/>
    <s v="PROD-020"/>
    <s v="R017"/>
    <n v="1"/>
    <n v="820"/>
    <n v="14.5"/>
    <n v="701.1"/>
    <s v="Cancelled"/>
    <x v="1"/>
    <s v="Apparel"/>
    <s v="East"/>
    <s v="May-24"/>
    <s v="Q2 2024"/>
    <n v="391"/>
    <n v="0.52317073170731709"/>
  </r>
  <r>
    <s v="ORD-01984"/>
    <d v="2024-02-11T00:00:00"/>
    <s v="CUST-0022"/>
    <s v="PROD-046"/>
    <s v="R023"/>
    <n v="5"/>
    <n v="4880"/>
    <n v="1.8"/>
    <n v="23960.799999999999"/>
    <s v="Completed"/>
    <x v="4"/>
    <s v="Beauty"/>
    <s v="East"/>
    <s v="Feb-24"/>
    <s v="Q1 2024"/>
    <n v="2768"/>
    <n v="0.43278688524590164"/>
  </r>
  <r>
    <s v="ORD-01985"/>
    <d v="2024-04-03T00:00:00"/>
    <s v="CUST-0275"/>
    <s v="PROD-043"/>
    <s v="R016"/>
    <n v="8"/>
    <n v="3350"/>
    <n v="26.3"/>
    <n v="19751.599999999999"/>
    <s v="Cancelled"/>
    <x v="3"/>
    <s v="Beauty"/>
    <s v="South"/>
    <s v="Apr-24"/>
    <s v="Q2 2024"/>
    <n v="1728"/>
    <n v="0.48417910447761192"/>
  </r>
  <r>
    <s v="ORD-01986"/>
    <d v="2024-01-07T00:00:00"/>
    <s v="CUST-0159"/>
    <s v="PROD-019"/>
    <s v="R022"/>
    <n v="9"/>
    <n v="2480"/>
    <n v="24.3"/>
    <n v="16896.240000000002"/>
    <s v="Completed"/>
    <x v="5"/>
    <s v="Apparel"/>
    <s v="East"/>
    <s v="Jan-24"/>
    <s v="Q1 2024"/>
    <n v="1173"/>
    <n v="0.52701612903225803"/>
  </r>
  <r>
    <s v="ORD-01987"/>
    <d v="2024-07-27T00:00:00"/>
    <s v="CUST-0152"/>
    <s v="PROD-039"/>
    <s v="R024"/>
    <n v="9"/>
    <n v="4610"/>
    <n v="10"/>
    <n v="37341"/>
    <s v="Completed"/>
    <x v="4"/>
    <s v="Home"/>
    <s v="West"/>
    <s v="Jul-24"/>
    <s v="Q3 2024"/>
    <n v="1850"/>
    <n v="0.59869848156182215"/>
  </r>
  <r>
    <s v="ORD-01988"/>
    <d v="2024-04-27T00:00:00"/>
    <s v="CUST-0289"/>
    <s v="PROD-027"/>
    <s v="R004"/>
    <n v="1"/>
    <n v="3780"/>
    <n v="2.2000000000000002"/>
    <n v="3696.84"/>
    <s v="Completed"/>
    <x v="3"/>
    <s v="Grocery"/>
    <s v="North"/>
    <s v="Apr-24"/>
    <s v="Q2 2024"/>
    <n v="2436"/>
    <n v="0.35555555555555557"/>
  </r>
  <r>
    <s v="ORD-01989"/>
    <d v="2024-04-19T00:00:00"/>
    <s v="CUST-0004"/>
    <s v="PROD-045"/>
    <s v="R026"/>
    <n v="3"/>
    <n v="3020"/>
    <n v="21.4"/>
    <n v="7121.16"/>
    <s v="Cancelled"/>
    <x v="2"/>
    <s v="Beauty"/>
    <s v="West"/>
    <s v="Apr-24"/>
    <s v="Q2 2024"/>
    <n v="1626"/>
    <n v="0.46158940397350995"/>
  </r>
  <r>
    <s v="ORD-01990"/>
    <d v="2024-12-19T00:00:00"/>
    <s v="CUST-0159"/>
    <s v="PROD-035"/>
    <s v="R006"/>
    <n v="10"/>
    <n v="1090"/>
    <n v="29.2"/>
    <n v="7717.2"/>
    <s v="Cancelled"/>
    <x v="5"/>
    <s v="Home"/>
    <s v="North"/>
    <s v="Dec-24"/>
    <s v="Q4 2024"/>
    <n v="464"/>
    <n v="0.57431192660550456"/>
  </r>
  <r>
    <s v="ORD-01991"/>
    <d v="2024-11-20T00:00:00"/>
    <s v="CUST-0083"/>
    <s v="PROD-048"/>
    <s v="R013"/>
    <n v="5"/>
    <n v="5100"/>
    <n v="28.4"/>
    <n v="18258"/>
    <s v="Completed"/>
    <x v="4"/>
    <s v="Beauty"/>
    <s v="South"/>
    <s v="Nov-24"/>
    <s v="Q4 2024"/>
    <n v="2237"/>
    <n v="0.56137254901960787"/>
  </r>
  <r>
    <s v="ORD-01992"/>
    <d v="2024-03-01T00:00:00"/>
    <s v="CUST-0242"/>
    <s v="PROD-046"/>
    <s v="R008"/>
    <n v="6"/>
    <n v="4880"/>
    <n v="16.8"/>
    <n v="24360.959999999999"/>
    <s v="Completed"/>
    <x v="1"/>
    <s v="Beauty"/>
    <s v="North"/>
    <s v="Mar-24"/>
    <s v="Q1 2024"/>
    <n v="2768"/>
    <n v="0.43278688524590164"/>
  </r>
  <r>
    <s v="ORD-01993"/>
    <d v="2024-06-08T00:00:00"/>
    <s v="CUST-0245"/>
    <s v="PROD-001"/>
    <s v="R027"/>
    <n v="1"/>
    <n v="5330"/>
    <n v="27.5"/>
    <n v="3864.25"/>
    <s v="Completed"/>
    <x v="5"/>
    <s v="Electronics"/>
    <s v="West"/>
    <s v="Jun-24"/>
    <s v="Q2 2024"/>
    <n v="2405"/>
    <n v="0.54878048780487809"/>
  </r>
  <r>
    <s v="ORD-01994"/>
    <d v="2024-07-04T00:00:00"/>
    <s v="CUST-0008"/>
    <s v="PROD-033"/>
    <s v="R029"/>
    <n v="7"/>
    <n v="2030"/>
    <n v="5.3"/>
    <n v="13456.87"/>
    <s v="Cancelled"/>
    <x v="0"/>
    <s v="Home"/>
    <s v="West"/>
    <s v="Jul-24"/>
    <s v="Q3 2024"/>
    <n v="1143"/>
    <n v="0.43694581280788175"/>
  </r>
  <r>
    <s v="ORD-01995"/>
    <d v="2024-03-09T00:00:00"/>
    <s v="CUST-0260"/>
    <s v="PROD-043"/>
    <s v="R024"/>
    <n v="7"/>
    <n v="3350"/>
    <n v="0.4"/>
    <n v="23356.2"/>
    <s v="Completed"/>
    <x v="4"/>
    <s v="Beauty"/>
    <s v="West"/>
    <s v="Mar-24"/>
    <s v="Q1 2024"/>
    <n v="1728"/>
    <n v="0.48417910447761192"/>
  </r>
  <r>
    <s v="ORD-01996"/>
    <d v="2024-01-01T00:00:00"/>
    <s v="CUST-0265"/>
    <s v="PROD-031"/>
    <s v="R015"/>
    <n v="6"/>
    <n v="3730"/>
    <n v="13.8"/>
    <n v="19291.560000000001"/>
    <s v="Completed"/>
    <x v="1"/>
    <s v="Home"/>
    <s v="South"/>
    <s v="Jan-24"/>
    <s v="Q1 2024"/>
    <n v="2135"/>
    <n v="0.42761394101876676"/>
  </r>
  <r>
    <s v="ORD-01997"/>
    <d v="2024-10-20T00:00:00"/>
    <s v="CUST-0135"/>
    <s v="PROD-006"/>
    <s v="R017"/>
    <n v="6"/>
    <n v="3970"/>
    <n v="5.8"/>
    <n v="22438.44"/>
    <s v="Pending"/>
    <x v="0"/>
    <s v="Electronics"/>
    <s v="East"/>
    <s v="Oct-24"/>
    <s v="Q4 2024"/>
    <n v="2865"/>
    <n v="0.27833753148614609"/>
  </r>
  <r>
    <s v="ORD-01998"/>
    <d v="2024-10-27T00:00:00"/>
    <s v="CUST-0030"/>
    <s v="PROD-029"/>
    <s v="R011"/>
    <n v="4"/>
    <n v="2210"/>
    <n v="18.2"/>
    <n v="7231.12"/>
    <s v="Pending"/>
    <x v="4"/>
    <s v="Grocery"/>
    <s v="South"/>
    <s v="Oct-24"/>
    <s v="Q4 2024"/>
    <n v="1010"/>
    <n v="0.54298642533936647"/>
  </r>
  <r>
    <s v="ORD-01999"/>
    <d v="2024-03-19T00:00:00"/>
    <s v="CUST-0167"/>
    <s v="PROD-052"/>
    <s v="R008"/>
    <n v="6"/>
    <n v="5410"/>
    <n v="15.5"/>
    <n v="27428.7"/>
    <s v="Completed"/>
    <x v="2"/>
    <s v="Sports"/>
    <s v="North"/>
    <s v="Mar-24"/>
    <s v="Q1 2024"/>
    <n v="2265"/>
    <n v="0.58133086876155271"/>
  </r>
  <r>
    <s v="ORD-02000"/>
    <d v="2024-02-03T00:00:00"/>
    <s v="CUST-0238"/>
    <s v="PROD-034"/>
    <s v="R023"/>
    <n v="6"/>
    <n v="5080"/>
    <n v="28.1"/>
    <n v="21915.119999999999"/>
    <s v="Completed"/>
    <x v="2"/>
    <s v="Home"/>
    <s v="East"/>
    <s v="Feb-24"/>
    <s v="Q1 2024"/>
    <n v="2459"/>
    <n v="0.51594488188976373"/>
  </r>
  <r>
    <m/>
    <m/>
    <m/>
    <m/>
    <m/>
    <m/>
    <m/>
    <m/>
    <m/>
    <m/>
    <x v="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B1BD1-0DEB-4139-82ED-98D48334C860}" name="PivotTable7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43:M50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8">
        <item x="0"/>
        <item x="5"/>
        <item x="4"/>
        <item x="2"/>
        <item x="3"/>
        <item x="1"/>
        <item x="6"/>
        <item t="default"/>
      </items>
    </pivotField>
    <pivotField axis="axisRow"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final_amount" fld="8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7196D-21D5-4C9B-848C-62B476E1CAB7}" name="PivotTable6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24:AK39" firstHeaderRow="1" firstDataRow="2" firstDataCol="1"/>
  <pivotFields count="14">
    <pivotField compact="0" outline="0" showAll="0"/>
    <pivotField compact="0" outline="0" showAll="0">
      <items count="367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x="365"/>
        <item t="default"/>
      </items>
    </pivotField>
    <pivotField compact="0" outline="0" showAll="0"/>
    <pivotField compact="0" outline="0" showAll="0"/>
    <pivotField axis="axisCol" compact="0" outline="0" showAll="0">
      <items count="32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x="3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5"/>
        <item x="7"/>
        <item x="8"/>
        <item x="1"/>
        <item x="11"/>
        <item x="10"/>
        <item x="6"/>
        <item x="2"/>
        <item x="3"/>
        <item x="4"/>
        <item x="9"/>
        <item x="0"/>
        <item x="12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EF2D6-4271-44EE-BDE2-42AEA5B42F11}" name="PivotTable3" cacheId="3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3:M20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8">
        <item x="0"/>
        <item x="5"/>
        <item x="4"/>
        <item x="2"/>
        <item x="3"/>
        <item x="1"/>
        <item x="6"/>
        <item t="default"/>
      </items>
    </pivotField>
    <pivotField axis="axisRow" compact="0" outline="0" showAll="0">
      <items count="6">
        <item x="3"/>
        <item x="0"/>
        <item x="1"/>
        <item x="2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303DA-E869-4B5E-BEA0-A122CDB1F63F}" name="PivotTable12" cacheId="3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55:J57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h="1" x="7"/>
        <item h="1" x="6"/>
        <item h="1" x="4"/>
        <item h="1" x="1"/>
        <item x="2"/>
        <item h="1" x="5"/>
        <item h="1" x="3"/>
        <item h="1" x="0"/>
        <item h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0"/>
  </rowFields>
  <rowItems count="2">
    <i>
      <x v="4"/>
    </i>
    <i t="grand">
      <x/>
    </i>
  </rowItems>
  <colItems count="1">
    <i/>
  </colItems>
  <dataFields count="1">
    <dataField name="Average of profit_margin" fld="16" subtotal="average" baseField="0" baseItem="0" numFmtId="10"/>
  </dataFields>
  <formats count="3">
    <format dxfId="0">
      <pivotArea outline="0" collapsedLevelsAreSubtotals="1" fieldPosition="0"/>
    </format>
    <format dxfId="1">
      <pivotArea grandRow="1" outline="0" collapsedLevelsAreSubtotals="1" fieldPosition="0"/>
    </format>
    <format dxfId="2">
      <pivotArea outline="0" fieldPosition="0">
        <references count="1">
          <reference field="1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35E27-95A6-410A-B811-684F6F7A4547}" name="PivotTable9" cacheId="3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55:F61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2"/>
        <item x="0"/>
        <item x="3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45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.100000000000001">
      <c r="A1" s="1" t="s">
        <v>0</v>
      </c>
      <c r="B1" s="23"/>
      <c r="C1" s="23"/>
      <c r="D1" s="23"/>
      <c r="E1" s="23"/>
      <c r="F1" s="23"/>
      <c r="G1" s="23"/>
      <c r="H1" s="23"/>
    </row>
    <row r="2" spans="1:8" ht="16.5">
      <c r="A2" s="2" t="s">
        <v>1</v>
      </c>
      <c r="B2" s="23"/>
      <c r="C2" s="23"/>
      <c r="D2" s="23"/>
      <c r="E2" s="23"/>
      <c r="F2" s="23"/>
      <c r="G2" s="23"/>
      <c r="H2" s="23"/>
    </row>
    <row r="3" spans="1:8">
      <c r="A3" s="3" t="s">
        <v>2</v>
      </c>
      <c r="B3" s="23"/>
      <c r="C3" s="23"/>
      <c r="D3" s="23"/>
      <c r="E3" s="23"/>
      <c r="F3" s="23"/>
      <c r="G3" s="23"/>
      <c r="H3" s="23"/>
    </row>
    <row r="5" spans="1:8" ht="15.4">
      <c r="A5" s="43" t="s">
        <v>3</v>
      </c>
      <c r="B5" s="42"/>
      <c r="C5" s="42"/>
      <c r="D5" s="42"/>
      <c r="E5" s="42"/>
      <c r="F5" s="42"/>
      <c r="G5" s="23"/>
      <c r="H5" s="23"/>
    </row>
    <row r="6" spans="1:8">
      <c r="A6" s="41" t="s">
        <v>4</v>
      </c>
      <c r="B6" s="42"/>
      <c r="C6" s="42"/>
      <c r="D6" s="42"/>
      <c r="E6" s="42"/>
      <c r="F6" s="42"/>
      <c r="G6" s="42"/>
      <c r="H6" s="42"/>
    </row>
    <row r="7" spans="1:8">
      <c r="A7" s="41" t="s">
        <v>5</v>
      </c>
      <c r="B7" s="42"/>
      <c r="C7" s="42"/>
      <c r="D7" s="42"/>
      <c r="E7" s="42"/>
      <c r="F7" s="42"/>
      <c r="G7" s="42"/>
      <c r="H7" s="42"/>
    </row>
    <row r="8" spans="1:8">
      <c r="A8" s="41" t="s">
        <v>6</v>
      </c>
      <c r="B8" s="42"/>
      <c r="C8" s="42"/>
      <c r="D8" s="42"/>
      <c r="E8" s="42"/>
      <c r="F8" s="42"/>
      <c r="G8" s="42"/>
      <c r="H8" s="42"/>
    </row>
    <row r="9" spans="1:8">
      <c r="A9" s="41"/>
      <c r="B9" s="42"/>
      <c r="C9" s="42"/>
      <c r="D9" s="42"/>
      <c r="E9" s="42"/>
      <c r="F9" s="42"/>
      <c r="G9" s="42"/>
      <c r="H9" s="42"/>
    </row>
    <row r="10" spans="1:8">
      <c r="A10" s="41" t="s">
        <v>7</v>
      </c>
      <c r="B10" s="42"/>
      <c r="C10" s="42"/>
      <c r="D10" s="42"/>
      <c r="E10" s="42"/>
      <c r="F10" s="42"/>
      <c r="G10" s="42"/>
      <c r="H10" s="42"/>
    </row>
    <row r="11" spans="1:8">
      <c r="A11" s="41" t="s">
        <v>8</v>
      </c>
      <c r="B11" s="42"/>
      <c r="C11" s="42"/>
      <c r="D11" s="42"/>
      <c r="E11" s="42"/>
      <c r="F11" s="42"/>
      <c r="G11" s="42"/>
      <c r="H11" s="42"/>
    </row>
    <row r="12" spans="1:8">
      <c r="A12" s="41" t="s">
        <v>9</v>
      </c>
      <c r="B12" s="42"/>
      <c r="C12" s="42"/>
      <c r="D12" s="42"/>
      <c r="E12" s="42"/>
      <c r="F12" s="42"/>
      <c r="G12" s="42"/>
      <c r="H12" s="42"/>
    </row>
    <row r="14" spans="1:8" ht="15.4">
      <c r="A14" s="24" t="s">
        <v>10</v>
      </c>
      <c r="B14" s="23"/>
      <c r="C14" s="23"/>
      <c r="D14" s="23"/>
      <c r="E14" s="23"/>
      <c r="F14" s="23"/>
      <c r="G14" s="23"/>
      <c r="H14" s="23"/>
    </row>
    <row r="15" spans="1:8">
      <c r="A15" s="41" t="s">
        <v>11</v>
      </c>
      <c r="B15" s="42"/>
      <c r="C15" s="42"/>
      <c r="D15" s="42"/>
      <c r="E15" s="42"/>
      <c r="F15" s="42"/>
      <c r="G15" s="42"/>
      <c r="H15" s="42"/>
    </row>
    <row r="16" spans="1:8">
      <c r="A16" s="41" t="s">
        <v>12</v>
      </c>
      <c r="B16" s="42"/>
      <c r="C16" s="42"/>
      <c r="D16" s="42"/>
      <c r="E16" s="42"/>
      <c r="F16" s="42"/>
      <c r="G16" s="42"/>
      <c r="H16" s="42"/>
    </row>
    <row r="17" spans="1:8">
      <c r="A17" s="41" t="s">
        <v>13</v>
      </c>
      <c r="B17" s="42"/>
      <c r="C17" s="42"/>
      <c r="D17" s="42"/>
      <c r="E17" s="42"/>
      <c r="F17" s="42"/>
      <c r="G17" s="42"/>
      <c r="H17" s="42"/>
    </row>
    <row r="18" spans="1:8">
      <c r="A18" s="41" t="s">
        <v>14</v>
      </c>
      <c r="B18" s="42"/>
      <c r="C18" s="42"/>
      <c r="D18" s="42"/>
      <c r="E18" s="42"/>
      <c r="F18" s="42"/>
      <c r="G18" s="42"/>
      <c r="H18" s="42"/>
    </row>
    <row r="19" spans="1:8">
      <c r="A19" s="41" t="s">
        <v>15</v>
      </c>
      <c r="B19" s="42"/>
      <c r="C19" s="42"/>
      <c r="D19" s="42"/>
      <c r="E19" s="42"/>
      <c r="F19" s="42"/>
      <c r="G19" s="42"/>
      <c r="H19" s="42"/>
    </row>
    <row r="20" spans="1:8">
      <c r="A20" s="41" t="s">
        <v>16</v>
      </c>
      <c r="B20" s="42"/>
      <c r="C20" s="42"/>
      <c r="D20" s="42"/>
      <c r="E20" s="42"/>
      <c r="F20" s="42"/>
      <c r="G20" s="42"/>
      <c r="H20" s="42"/>
    </row>
    <row r="22" spans="1:8" ht="15.4">
      <c r="A22" s="24" t="s">
        <v>17</v>
      </c>
      <c r="B22" s="23"/>
      <c r="C22" s="23"/>
      <c r="D22" s="23"/>
      <c r="E22" s="23"/>
      <c r="F22" s="23"/>
      <c r="G22" s="23"/>
      <c r="H22" s="23"/>
    </row>
    <row r="23" spans="1:8">
      <c r="A23" s="4" t="s">
        <v>18</v>
      </c>
      <c r="B23" s="5" t="s">
        <v>19</v>
      </c>
      <c r="C23" s="4" t="s">
        <v>20</v>
      </c>
      <c r="D23" s="4" t="s">
        <v>21</v>
      </c>
      <c r="E23" s="23"/>
      <c r="F23" s="23"/>
      <c r="G23" s="23"/>
      <c r="H23" s="23"/>
    </row>
    <row r="24" spans="1:8">
      <c r="A24" s="6" t="s">
        <v>22</v>
      </c>
      <c r="B24" s="7" t="s">
        <v>23</v>
      </c>
      <c r="C24" s="6" t="s">
        <v>24</v>
      </c>
      <c r="D24" s="6" t="s">
        <v>25</v>
      </c>
      <c r="E24" s="23"/>
      <c r="F24" s="23"/>
      <c r="G24" s="23"/>
      <c r="H24" s="23"/>
    </row>
    <row r="25" spans="1:8">
      <c r="A25" s="6" t="s">
        <v>26</v>
      </c>
      <c r="B25" s="7" t="s">
        <v>27</v>
      </c>
      <c r="C25" s="6" t="s">
        <v>28</v>
      </c>
      <c r="D25" s="6" t="s">
        <v>29</v>
      </c>
      <c r="E25" s="23"/>
      <c r="F25" s="23"/>
      <c r="G25" s="23"/>
      <c r="H25" s="23"/>
    </row>
    <row r="26" spans="1:8">
      <c r="A26" s="6" t="s">
        <v>30</v>
      </c>
      <c r="B26" s="7" t="s">
        <v>31</v>
      </c>
      <c r="C26" s="6" t="s">
        <v>28</v>
      </c>
      <c r="D26" s="6" t="s">
        <v>25</v>
      </c>
      <c r="E26" s="23"/>
      <c r="F26" s="23"/>
      <c r="G26" s="23"/>
      <c r="H26" s="23"/>
    </row>
    <row r="27" spans="1:8">
      <c r="A27" s="6" t="s">
        <v>32</v>
      </c>
      <c r="B27" s="7" t="s">
        <v>33</v>
      </c>
      <c r="C27" s="6" t="s">
        <v>34</v>
      </c>
      <c r="D27" s="6" t="s">
        <v>29</v>
      </c>
      <c r="E27" s="23"/>
      <c r="F27" s="23"/>
      <c r="G27" s="23"/>
      <c r="H27" s="23"/>
    </row>
    <row r="28" spans="1:8">
      <c r="A28" s="6" t="s">
        <v>35</v>
      </c>
      <c r="B28" s="7" t="s">
        <v>36</v>
      </c>
      <c r="C28" s="6" t="s">
        <v>34</v>
      </c>
      <c r="D28" s="6" t="s">
        <v>37</v>
      </c>
      <c r="E28" s="23"/>
      <c r="F28" s="23"/>
      <c r="G28" s="23"/>
      <c r="H28" s="23"/>
    </row>
    <row r="29" spans="1:8">
      <c r="A29" s="8"/>
      <c r="B29" s="9" t="s">
        <v>38</v>
      </c>
      <c r="C29" s="8" t="s">
        <v>39</v>
      </c>
      <c r="D29" s="8" t="s">
        <v>40</v>
      </c>
      <c r="E29" s="23"/>
      <c r="F29" s="23"/>
      <c r="G29" s="23"/>
      <c r="H29" s="23"/>
    </row>
    <row r="32" spans="1:8" ht="15.4">
      <c r="A32" s="24" t="s">
        <v>41</v>
      </c>
      <c r="B32" s="23"/>
      <c r="C32" s="23"/>
      <c r="D32" s="23"/>
      <c r="E32" s="23"/>
      <c r="F32" s="23"/>
      <c r="G32" s="23"/>
      <c r="H32" s="23"/>
    </row>
    <row r="33" spans="1:4">
      <c r="A33" s="4" t="s">
        <v>21</v>
      </c>
      <c r="B33" s="4" t="s">
        <v>42</v>
      </c>
      <c r="C33" s="5" t="s">
        <v>43</v>
      </c>
      <c r="D33" s="23"/>
    </row>
    <row r="34" spans="1:4">
      <c r="A34" s="6" t="s">
        <v>44</v>
      </c>
      <c r="B34" s="6" t="s">
        <v>45</v>
      </c>
      <c r="C34" s="7" t="s">
        <v>46</v>
      </c>
      <c r="D34" s="23"/>
    </row>
    <row r="35" spans="1:4">
      <c r="A35" s="6" t="s">
        <v>47</v>
      </c>
      <c r="B35" s="6" t="s">
        <v>48</v>
      </c>
      <c r="C35" s="7" t="s">
        <v>49</v>
      </c>
      <c r="D35" s="23"/>
    </row>
    <row r="36" spans="1:4">
      <c r="A36" s="6" t="s">
        <v>50</v>
      </c>
      <c r="B36" s="6" t="s">
        <v>51</v>
      </c>
      <c r="C36" s="7" t="s">
        <v>52</v>
      </c>
      <c r="D36" s="23"/>
    </row>
    <row r="37" spans="1:4">
      <c r="A37" s="6" t="s">
        <v>53</v>
      </c>
      <c r="B37" s="6" t="s">
        <v>54</v>
      </c>
      <c r="C37" s="7" t="s">
        <v>55</v>
      </c>
      <c r="D37" s="23"/>
    </row>
    <row r="38" spans="1:4">
      <c r="A38" s="6" t="s">
        <v>56</v>
      </c>
      <c r="B38" s="6" t="s">
        <v>57</v>
      </c>
      <c r="C38" s="7" t="s">
        <v>58</v>
      </c>
      <c r="D38" s="23"/>
    </row>
    <row r="41" spans="1:4" ht="15.4">
      <c r="A41" s="24" t="s">
        <v>59</v>
      </c>
      <c r="B41" s="23"/>
      <c r="C41" s="23"/>
      <c r="D41" s="23"/>
    </row>
    <row r="42" spans="1:4">
      <c r="A42" s="10" t="s">
        <v>60</v>
      </c>
      <c r="B42" s="10" t="s">
        <v>61</v>
      </c>
      <c r="C42" s="10" t="s">
        <v>62</v>
      </c>
      <c r="D42" s="10" t="s">
        <v>63</v>
      </c>
    </row>
    <row r="43" spans="1:4" ht="36.950000000000003">
      <c r="A43" s="11" t="s">
        <v>64</v>
      </c>
      <c r="B43" s="11" t="s">
        <v>65</v>
      </c>
      <c r="C43" s="11" t="s">
        <v>66</v>
      </c>
      <c r="D43" s="11" t="s">
        <v>67</v>
      </c>
    </row>
    <row r="44" spans="1:4" ht="24.6">
      <c r="A44" s="11" t="s">
        <v>68</v>
      </c>
      <c r="B44" s="11" t="s">
        <v>69</v>
      </c>
      <c r="C44" s="11" t="s">
        <v>70</v>
      </c>
      <c r="D44" s="11" t="s">
        <v>71</v>
      </c>
    </row>
    <row r="45" spans="1:4" ht="24.6">
      <c r="A45" s="11" t="s">
        <v>72</v>
      </c>
      <c r="B45" s="11" t="s">
        <v>73</v>
      </c>
      <c r="C45" s="11" t="s">
        <v>74</v>
      </c>
      <c r="D45" s="11" t="s">
        <v>75</v>
      </c>
    </row>
    <row r="46" spans="1:4" ht="24.6">
      <c r="A46" s="11" t="s">
        <v>76</v>
      </c>
      <c r="B46" s="11" t="s">
        <v>39</v>
      </c>
      <c r="C46" s="11" t="s">
        <v>77</v>
      </c>
      <c r="D46" s="11" t="s">
        <v>78</v>
      </c>
    </row>
    <row r="47" spans="1:4" ht="24.6">
      <c r="A47" s="11" t="s">
        <v>79</v>
      </c>
      <c r="B47" s="11" t="s">
        <v>80</v>
      </c>
      <c r="C47" s="11" t="s">
        <v>81</v>
      </c>
      <c r="D47" s="11" t="s">
        <v>82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Q2001"/>
  <sheetViews>
    <sheetView workbookViewId="0">
      <pane ySplit="1" topLeftCell="B2" activePane="bottomLeft" state="frozen"/>
      <selection pane="bottomLeft" activeCell="M1" sqref="M1"/>
    </sheetView>
  </sheetViews>
  <sheetFormatPr defaultRowHeight="14.4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  <col min="13" max="13" width="11.42578125" customWidth="1"/>
    <col min="14" max="14" width="12.42578125" customWidth="1"/>
    <col min="15" max="15" width="13.7109375" customWidth="1"/>
    <col min="17" max="17" width="12.7109375" style="35" customWidth="1"/>
  </cols>
  <sheetData>
    <row r="1" spans="1:17" ht="15">
      <c r="A1" s="4" t="s">
        <v>83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  <c r="L1" s="37" t="s">
        <v>94</v>
      </c>
      <c r="M1" s="23" t="s">
        <v>95</v>
      </c>
      <c r="N1" s="23" t="s">
        <v>96</v>
      </c>
      <c r="O1" s="23" t="s">
        <v>97</v>
      </c>
      <c r="P1" s="23" t="s">
        <v>98</v>
      </c>
      <c r="Q1" s="35" t="s">
        <v>99</v>
      </c>
    </row>
    <row r="2" spans="1:17">
      <c r="A2" s="12" t="s">
        <v>100</v>
      </c>
      <c r="B2" s="13">
        <v>45549</v>
      </c>
      <c r="C2" s="12" t="s">
        <v>101</v>
      </c>
      <c r="D2" s="12" t="s">
        <v>102</v>
      </c>
      <c r="E2" s="12" t="s">
        <v>103</v>
      </c>
      <c r="F2" s="14">
        <v>8</v>
      </c>
      <c r="G2" s="14">
        <v>3620</v>
      </c>
      <c r="H2" s="14">
        <v>15.4</v>
      </c>
      <c r="I2" s="14">
        <v>24500.16</v>
      </c>
      <c r="J2" s="12" t="s">
        <v>104</v>
      </c>
      <c r="K2" s="12" t="s">
        <v>105</v>
      </c>
      <c r="L2" s="23" t="str">
        <f>VLOOKUP(D2,Products!$A:$F,3,FALSE)</f>
        <v>Apparel</v>
      </c>
      <c r="M2" s="23" t="str">
        <f>VLOOKUP(E2,Sales_Reps!$A:$E,3,FALSE)</f>
        <v>North</v>
      </c>
      <c r="N2" s="23" t="str">
        <f>TEXT(B2, "mmm-yy")</f>
        <v>Sep-24</v>
      </c>
      <c r="O2" s="23" t="str">
        <f>"Q" &amp; INT((MONTH(B2)-1)/3)+1 &amp; " " &amp; YEAR(B2)</f>
        <v>Q3 2024</v>
      </c>
      <c r="P2" s="23">
        <f>VLOOKUP(D2,Products!$A:$F,4,FALSE)</f>
        <v>2509</v>
      </c>
      <c r="Q2" s="35">
        <f>(G2 - P2) / G2</f>
        <v>0.3069060773480663</v>
      </c>
    </row>
    <row r="3" spans="1:17">
      <c r="A3" s="12" t="s">
        <v>106</v>
      </c>
      <c r="B3" s="13">
        <v>45340</v>
      </c>
      <c r="C3" s="12" t="s">
        <v>107</v>
      </c>
      <c r="D3" s="12" t="s">
        <v>108</v>
      </c>
      <c r="E3" s="12" t="s">
        <v>109</v>
      </c>
      <c r="F3" s="14">
        <v>2</v>
      </c>
      <c r="G3" s="14">
        <v>820</v>
      </c>
      <c r="H3" s="14">
        <v>10.8</v>
      </c>
      <c r="I3" s="14">
        <v>1462.88</v>
      </c>
      <c r="J3" s="12" t="s">
        <v>110</v>
      </c>
      <c r="K3" s="12" t="s">
        <v>111</v>
      </c>
      <c r="L3" s="23" t="str">
        <f>VLOOKUP(D3,Products!$A:$F,3,FALSE)</f>
        <v>Apparel</v>
      </c>
      <c r="M3" s="23" t="str">
        <f>VLOOKUP(E3,Sales_Reps!$A:$E,3,FALSE)</f>
        <v>North</v>
      </c>
      <c r="N3" s="23" t="str">
        <f t="shared" ref="N3:N66" si="0">TEXT(B3, "mmm-yy")</f>
        <v>Feb-24</v>
      </c>
      <c r="O3" s="23" t="str">
        <f t="shared" ref="O3:O66" si="1">"Q" &amp; INT((MONTH(B3)-1)/3)+1 &amp; " " &amp; YEAR(B3)</f>
        <v>Q1 2024</v>
      </c>
      <c r="P3" s="23">
        <f>VLOOKUP(D3,Products!$A:$F,4,FALSE)</f>
        <v>391</v>
      </c>
      <c r="Q3" s="35">
        <f t="shared" ref="Q3:Q66" si="2">(G3 - P3) / G3</f>
        <v>0.52317073170731709</v>
      </c>
    </row>
    <row r="4" spans="1:17">
      <c r="A4" s="12" t="s">
        <v>112</v>
      </c>
      <c r="B4" s="13">
        <v>45371</v>
      </c>
      <c r="C4" s="12" t="s">
        <v>113</v>
      </c>
      <c r="D4" s="12" t="s">
        <v>114</v>
      </c>
      <c r="E4" s="12" t="s">
        <v>115</v>
      </c>
      <c r="F4" s="14">
        <v>8</v>
      </c>
      <c r="G4" s="14">
        <v>470</v>
      </c>
      <c r="H4" s="14">
        <v>3.3</v>
      </c>
      <c r="I4" s="14">
        <v>3635.92</v>
      </c>
      <c r="J4" s="12" t="s">
        <v>110</v>
      </c>
      <c r="K4" s="12" t="s">
        <v>116</v>
      </c>
      <c r="L4" s="23" t="str">
        <f>VLOOKUP(D4,Products!$A:$F,3,FALSE)</f>
        <v>Sports</v>
      </c>
      <c r="M4" s="23" t="str">
        <f>VLOOKUP(E4,Sales_Reps!$A:$E,3,FALSE)</f>
        <v>South</v>
      </c>
      <c r="N4" s="23" t="str">
        <f t="shared" si="0"/>
        <v>Mar-24</v>
      </c>
      <c r="O4" s="23" t="str">
        <f t="shared" si="1"/>
        <v>Q1 2024</v>
      </c>
      <c r="P4" s="23">
        <f>VLOOKUP(D4,Products!$A:$F,4,FALSE)</f>
        <v>302</v>
      </c>
      <c r="Q4" s="35">
        <f t="shared" si="2"/>
        <v>0.35744680851063831</v>
      </c>
    </row>
    <row r="5" spans="1:17">
      <c r="A5" s="12" t="s">
        <v>117</v>
      </c>
      <c r="B5" s="13">
        <v>45413</v>
      </c>
      <c r="C5" s="12" t="s">
        <v>118</v>
      </c>
      <c r="D5" s="12" t="s">
        <v>119</v>
      </c>
      <c r="E5" s="12" t="s">
        <v>120</v>
      </c>
      <c r="F5" s="14">
        <v>1</v>
      </c>
      <c r="G5" s="14">
        <v>3660</v>
      </c>
      <c r="H5" s="14">
        <v>15.7</v>
      </c>
      <c r="I5" s="14">
        <v>3085.38</v>
      </c>
      <c r="J5" s="12" t="s">
        <v>104</v>
      </c>
      <c r="K5" s="12" t="s">
        <v>116</v>
      </c>
      <c r="L5" s="23" t="str">
        <f>VLOOKUP(D5,Products!$A:$F,3,FALSE)</f>
        <v>Grocery</v>
      </c>
      <c r="M5" s="23" t="str">
        <f>VLOOKUP(E5,Sales_Reps!$A:$E,3,FALSE)</f>
        <v>North</v>
      </c>
      <c r="N5" s="23" t="str">
        <f t="shared" si="0"/>
        <v>May-24</v>
      </c>
      <c r="O5" s="23" t="str">
        <f t="shared" si="1"/>
        <v>Q2 2024</v>
      </c>
      <c r="P5" s="23">
        <f>VLOOKUP(D5,Products!$A:$F,4,FALSE)</f>
        <v>2214</v>
      </c>
      <c r="Q5" s="35">
        <f t="shared" si="2"/>
        <v>0.39508196721311473</v>
      </c>
    </row>
    <row r="6" spans="1:17">
      <c r="A6" s="12" t="s">
        <v>121</v>
      </c>
      <c r="B6" s="13">
        <v>45611</v>
      </c>
      <c r="C6" s="12" t="s">
        <v>122</v>
      </c>
      <c r="D6" s="12" t="s">
        <v>123</v>
      </c>
      <c r="E6" s="12" t="s">
        <v>124</v>
      </c>
      <c r="F6" s="14">
        <v>1</v>
      </c>
      <c r="G6" s="14">
        <v>3160</v>
      </c>
      <c r="H6" s="14">
        <v>26</v>
      </c>
      <c r="I6" s="14">
        <v>2338.4</v>
      </c>
      <c r="J6" s="12" t="s">
        <v>104</v>
      </c>
      <c r="K6" s="12" t="s">
        <v>111</v>
      </c>
      <c r="L6" s="23" t="str">
        <f>VLOOKUP(D6,Products!$A:$F,3,FALSE)</f>
        <v>Apparel</v>
      </c>
      <c r="M6" s="23" t="str">
        <f>VLOOKUP(E6,Sales_Reps!$A:$E,3,FALSE)</f>
        <v>North</v>
      </c>
      <c r="N6" s="23" t="str">
        <f t="shared" si="0"/>
        <v>Nov-24</v>
      </c>
      <c r="O6" s="23" t="str">
        <f t="shared" si="1"/>
        <v>Q4 2024</v>
      </c>
      <c r="P6" s="23">
        <f>VLOOKUP(D6,Products!$A:$F,4,FALSE)</f>
        <v>1886</v>
      </c>
      <c r="Q6" s="35">
        <f t="shared" si="2"/>
        <v>0.4031645569620253</v>
      </c>
    </row>
    <row r="7" spans="1:17">
      <c r="A7" s="12" t="s">
        <v>125</v>
      </c>
      <c r="B7" s="13">
        <v>45406</v>
      </c>
      <c r="C7" s="12" t="s">
        <v>126</v>
      </c>
      <c r="D7" s="12" t="s">
        <v>127</v>
      </c>
      <c r="E7" s="12" t="s">
        <v>128</v>
      </c>
      <c r="F7" s="14">
        <v>4</v>
      </c>
      <c r="G7" s="14">
        <v>370</v>
      </c>
      <c r="H7" s="14">
        <v>29</v>
      </c>
      <c r="I7" s="14">
        <v>1050.8</v>
      </c>
      <c r="J7" s="12" t="s">
        <v>104</v>
      </c>
      <c r="K7" s="12" t="s">
        <v>129</v>
      </c>
      <c r="L7" s="23" t="str">
        <f>VLOOKUP(D7,Products!$A:$F,3,FALSE)</f>
        <v>Home</v>
      </c>
      <c r="M7" s="23" t="str">
        <f>VLOOKUP(E7,Sales_Reps!$A:$E,3,FALSE)</f>
        <v>West</v>
      </c>
      <c r="N7" s="23" t="str">
        <f t="shared" si="0"/>
        <v>Apr-24</v>
      </c>
      <c r="O7" s="23" t="str">
        <f t="shared" si="1"/>
        <v>Q2 2024</v>
      </c>
      <c r="P7" s="23">
        <f>VLOOKUP(D7,Products!$A:$F,4,FALSE)</f>
        <v>288</v>
      </c>
      <c r="Q7" s="35">
        <f t="shared" si="2"/>
        <v>0.22162162162162163</v>
      </c>
    </row>
    <row r="8" spans="1:17">
      <c r="A8" s="12" t="s">
        <v>130</v>
      </c>
      <c r="B8" s="13">
        <v>45455</v>
      </c>
      <c r="C8" s="12" t="s">
        <v>131</v>
      </c>
      <c r="D8" s="12" t="s">
        <v>132</v>
      </c>
      <c r="E8" s="12" t="s">
        <v>133</v>
      </c>
      <c r="F8" s="14">
        <v>3</v>
      </c>
      <c r="G8" s="14">
        <v>960</v>
      </c>
      <c r="H8" s="14">
        <v>5.8</v>
      </c>
      <c r="I8" s="14">
        <v>2712.96</v>
      </c>
      <c r="J8" s="12" t="s">
        <v>104</v>
      </c>
      <c r="K8" s="12" t="s">
        <v>134</v>
      </c>
      <c r="L8" s="23" t="str">
        <f>VLOOKUP(D8,Products!$A:$F,3,FALSE)</f>
        <v>Sports</v>
      </c>
      <c r="M8" s="23" t="str">
        <f>VLOOKUP(E8,Sales_Reps!$A:$E,3,FALSE)</f>
        <v>West</v>
      </c>
      <c r="N8" s="23" t="str">
        <f t="shared" si="0"/>
        <v>Jun-24</v>
      </c>
      <c r="O8" s="23" t="str">
        <f t="shared" si="1"/>
        <v>Q2 2024</v>
      </c>
      <c r="P8" s="23">
        <f>VLOOKUP(D8,Products!$A:$F,4,FALSE)</f>
        <v>705</v>
      </c>
      <c r="Q8" s="35">
        <f t="shared" si="2"/>
        <v>0.265625</v>
      </c>
    </row>
    <row r="9" spans="1:17">
      <c r="A9" s="12" t="s">
        <v>135</v>
      </c>
      <c r="B9" s="13">
        <v>45617</v>
      </c>
      <c r="C9" s="12" t="s">
        <v>136</v>
      </c>
      <c r="D9" s="12" t="s">
        <v>137</v>
      </c>
      <c r="E9" s="12" t="s">
        <v>138</v>
      </c>
      <c r="F9" s="14">
        <v>8</v>
      </c>
      <c r="G9" s="14">
        <v>1430</v>
      </c>
      <c r="H9" s="14">
        <v>2.4</v>
      </c>
      <c r="I9" s="14">
        <v>11165.44</v>
      </c>
      <c r="J9" s="12" t="s">
        <v>104</v>
      </c>
      <c r="K9" s="12" t="s">
        <v>134</v>
      </c>
      <c r="L9" s="23" t="str">
        <f>VLOOKUP(D9,Products!$A:$F,3,FALSE)</f>
        <v>Electronics</v>
      </c>
      <c r="M9" s="23" t="str">
        <f>VLOOKUP(E9,Sales_Reps!$A:$E,3,FALSE)</f>
        <v>East</v>
      </c>
      <c r="N9" s="23" t="str">
        <f t="shared" si="0"/>
        <v>Nov-24</v>
      </c>
      <c r="O9" s="23" t="str">
        <f t="shared" si="1"/>
        <v>Q4 2024</v>
      </c>
      <c r="P9" s="23">
        <f>VLOOKUP(D9,Products!$A:$F,4,FALSE)</f>
        <v>861</v>
      </c>
      <c r="Q9" s="35">
        <f t="shared" si="2"/>
        <v>0.39790209790209791</v>
      </c>
    </row>
    <row r="10" spans="1:17">
      <c r="A10" s="12" t="s">
        <v>139</v>
      </c>
      <c r="B10" s="13">
        <v>45549</v>
      </c>
      <c r="C10" s="12" t="s">
        <v>140</v>
      </c>
      <c r="D10" s="12" t="s">
        <v>141</v>
      </c>
      <c r="E10" s="12" t="s">
        <v>124</v>
      </c>
      <c r="F10" s="14">
        <v>3</v>
      </c>
      <c r="G10" s="14">
        <v>5490</v>
      </c>
      <c r="H10" s="14">
        <v>14.2</v>
      </c>
      <c r="I10" s="14">
        <v>14131.26</v>
      </c>
      <c r="J10" s="12" t="s">
        <v>104</v>
      </c>
      <c r="K10" s="12" t="s">
        <v>134</v>
      </c>
      <c r="L10" s="23" t="str">
        <f>VLOOKUP(D10,Products!$A:$F,3,FALSE)</f>
        <v>Home</v>
      </c>
      <c r="M10" s="23" t="str">
        <f>VLOOKUP(E10,Sales_Reps!$A:$E,3,FALSE)</f>
        <v>North</v>
      </c>
      <c r="N10" s="23" t="str">
        <f t="shared" si="0"/>
        <v>Sep-24</v>
      </c>
      <c r="O10" s="23" t="str">
        <f t="shared" si="1"/>
        <v>Q3 2024</v>
      </c>
      <c r="P10" s="23">
        <f>VLOOKUP(D10,Products!$A:$F,4,FALSE)</f>
        <v>2549</v>
      </c>
      <c r="Q10" s="35">
        <f t="shared" si="2"/>
        <v>0.53570127504553733</v>
      </c>
    </row>
    <row r="11" spans="1:17">
      <c r="A11" s="12" t="s">
        <v>142</v>
      </c>
      <c r="B11" s="13">
        <v>45396</v>
      </c>
      <c r="C11" s="12" t="s">
        <v>143</v>
      </c>
      <c r="D11" s="12" t="s">
        <v>144</v>
      </c>
      <c r="E11" s="12" t="s">
        <v>145</v>
      </c>
      <c r="F11" s="14">
        <v>3</v>
      </c>
      <c r="G11" s="14">
        <v>970</v>
      </c>
      <c r="H11" s="14">
        <v>1.2</v>
      </c>
      <c r="I11" s="14">
        <v>2875.08</v>
      </c>
      <c r="J11" s="12" t="s">
        <v>104</v>
      </c>
      <c r="K11" s="12" t="s">
        <v>105</v>
      </c>
      <c r="L11" s="23" t="str">
        <f>VLOOKUP(D11,Products!$A:$F,3,FALSE)</f>
        <v>Grocery</v>
      </c>
      <c r="M11" s="23" t="str">
        <f>VLOOKUP(E11,Sales_Reps!$A:$E,3,FALSE)</f>
        <v>West</v>
      </c>
      <c r="N11" s="23" t="str">
        <f t="shared" si="0"/>
        <v>Apr-24</v>
      </c>
      <c r="O11" s="23" t="str">
        <f t="shared" si="1"/>
        <v>Q2 2024</v>
      </c>
      <c r="P11" s="23">
        <f>VLOOKUP(D11,Products!$A:$F,4,FALSE)</f>
        <v>434</v>
      </c>
      <c r="Q11" s="35">
        <f t="shared" si="2"/>
        <v>0.5525773195876289</v>
      </c>
    </row>
    <row r="12" spans="1:17">
      <c r="A12" s="12" t="s">
        <v>146</v>
      </c>
      <c r="B12" s="13">
        <v>45560</v>
      </c>
      <c r="C12" s="12" t="s">
        <v>147</v>
      </c>
      <c r="D12" s="12" t="s">
        <v>148</v>
      </c>
      <c r="E12" s="12" t="s">
        <v>149</v>
      </c>
      <c r="F12" s="14">
        <v>7</v>
      </c>
      <c r="G12" s="14">
        <v>2270</v>
      </c>
      <c r="H12" s="14">
        <v>7.1</v>
      </c>
      <c r="I12" s="14">
        <v>14761.81</v>
      </c>
      <c r="J12" s="12" t="s">
        <v>110</v>
      </c>
      <c r="K12" s="12" t="s">
        <v>150</v>
      </c>
      <c r="L12" s="23" t="str">
        <f>VLOOKUP(D12,Products!$A:$F,3,FALSE)</f>
        <v>Grocery</v>
      </c>
      <c r="M12" s="23" t="str">
        <f>VLOOKUP(E12,Sales_Reps!$A:$E,3,FALSE)</f>
        <v>South</v>
      </c>
      <c r="N12" s="23" t="str">
        <f t="shared" si="0"/>
        <v>Sep-24</v>
      </c>
      <c r="O12" s="23" t="str">
        <f t="shared" si="1"/>
        <v>Q3 2024</v>
      </c>
      <c r="P12" s="23">
        <f>VLOOKUP(D12,Products!$A:$F,4,FALSE)</f>
        <v>1203</v>
      </c>
      <c r="Q12" s="35">
        <f t="shared" si="2"/>
        <v>0.47004405286343615</v>
      </c>
    </row>
    <row r="13" spans="1:17">
      <c r="A13" s="12" t="s">
        <v>151</v>
      </c>
      <c r="B13" s="13">
        <v>45332</v>
      </c>
      <c r="C13" s="12" t="s">
        <v>143</v>
      </c>
      <c r="D13" s="12" t="s">
        <v>152</v>
      </c>
      <c r="E13" s="12" t="s">
        <v>133</v>
      </c>
      <c r="F13" s="14">
        <v>9</v>
      </c>
      <c r="G13" s="14">
        <v>2640</v>
      </c>
      <c r="H13" s="14">
        <v>21.7</v>
      </c>
      <c r="I13" s="14">
        <v>18604.080000000002</v>
      </c>
      <c r="J13" s="12" t="s">
        <v>104</v>
      </c>
      <c r="K13" s="12" t="s">
        <v>105</v>
      </c>
      <c r="L13" s="23" t="str">
        <f>VLOOKUP(D13,Products!$A:$F,3,FALSE)</f>
        <v>Electronics</v>
      </c>
      <c r="M13" s="23" t="str">
        <f>VLOOKUP(E13,Sales_Reps!$A:$E,3,FALSE)</f>
        <v>West</v>
      </c>
      <c r="N13" s="23" t="str">
        <f t="shared" si="0"/>
        <v>Feb-24</v>
      </c>
      <c r="O13" s="23" t="str">
        <f t="shared" si="1"/>
        <v>Q1 2024</v>
      </c>
      <c r="P13" s="23">
        <f>VLOOKUP(D13,Products!$A:$F,4,FALSE)</f>
        <v>1149</v>
      </c>
      <c r="Q13" s="35">
        <f>(G13 - P13) / G13</f>
        <v>0.56477272727272732</v>
      </c>
    </row>
    <row r="14" spans="1:17">
      <c r="A14" s="12" t="s">
        <v>153</v>
      </c>
      <c r="B14" s="13">
        <v>45507</v>
      </c>
      <c r="C14" s="12" t="s">
        <v>154</v>
      </c>
      <c r="D14" s="12" t="s">
        <v>155</v>
      </c>
      <c r="E14" s="12" t="s">
        <v>156</v>
      </c>
      <c r="F14" s="14">
        <v>3</v>
      </c>
      <c r="G14" s="14">
        <v>2600</v>
      </c>
      <c r="H14" s="14">
        <v>4.3</v>
      </c>
      <c r="I14" s="14">
        <v>7464.6</v>
      </c>
      <c r="J14" s="12" t="s">
        <v>157</v>
      </c>
      <c r="K14" s="12" t="s">
        <v>116</v>
      </c>
      <c r="L14" s="23" t="str">
        <f>VLOOKUP(D14,Products!$A:$F,3,FALSE)</f>
        <v>Electronics</v>
      </c>
      <c r="M14" s="23" t="str">
        <f>VLOOKUP(E14,Sales_Reps!$A:$E,3,FALSE)</f>
        <v>North</v>
      </c>
      <c r="N14" s="23" t="str">
        <f t="shared" si="0"/>
        <v>Aug-24</v>
      </c>
      <c r="O14" s="23" t="str">
        <f t="shared" si="1"/>
        <v>Q3 2024</v>
      </c>
      <c r="P14" s="23">
        <f>VLOOKUP(D14,Products!$A:$F,4,FALSE)</f>
        <v>1052</v>
      </c>
      <c r="Q14" s="35">
        <f t="shared" si="2"/>
        <v>0.5953846153846154</v>
      </c>
    </row>
    <row r="15" spans="1:17">
      <c r="A15" s="12" t="s">
        <v>158</v>
      </c>
      <c r="B15" s="13">
        <v>45466</v>
      </c>
      <c r="C15" s="12" t="s">
        <v>159</v>
      </c>
      <c r="D15" s="12" t="s">
        <v>160</v>
      </c>
      <c r="E15" s="12" t="s">
        <v>128</v>
      </c>
      <c r="F15" s="14">
        <v>3</v>
      </c>
      <c r="G15" s="14">
        <v>3250</v>
      </c>
      <c r="H15" s="14">
        <v>14.1</v>
      </c>
      <c r="I15" s="14">
        <v>8375.25</v>
      </c>
      <c r="J15" s="12" t="s">
        <v>161</v>
      </c>
      <c r="K15" s="12" t="s">
        <v>105</v>
      </c>
      <c r="L15" s="23" t="str">
        <f>VLOOKUP(D15,Products!$A:$F,3,FALSE)</f>
        <v>Home</v>
      </c>
      <c r="M15" s="23" t="str">
        <f>VLOOKUP(E15,Sales_Reps!$A:$E,3,FALSE)</f>
        <v>West</v>
      </c>
      <c r="N15" s="23" t="str">
        <f t="shared" si="0"/>
        <v>Jun-24</v>
      </c>
      <c r="O15" s="23" t="str">
        <f t="shared" si="1"/>
        <v>Q2 2024</v>
      </c>
      <c r="P15" s="23">
        <f>VLOOKUP(D15,Products!$A:$F,4,FALSE)</f>
        <v>1556</v>
      </c>
      <c r="Q15" s="35">
        <f t="shared" si="2"/>
        <v>0.52123076923076928</v>
      </c>
    </row>
    <row r="16" spans="1:17">
      <c r="A16" s="12" t="s">
        <v>162</v>
      </c>
      <c r="B16" s="13">
        <v>45365</v>
      </c>
      <c r="C16" s="12" t="s">
        <v>163</v>
      </c>
      <c r="D16" s="12" t="s">
        <v>164</v>
      </c>
      <c r="E16" s="12" t="s">
        <v>165</v>
      </c>
      <c r="F16" s="14">
        <v>1</v>
      </c>
      <c r="G16" s="14">
        <v>190</v>
      </c>
      <c r="H16" s="14">
        <v>20.7</v>
      </c>
      <c r="I16" s="14">
        <v>150.66999999999999</v>
      </c>
      <c r="J16" s="12" t="s">
        <v>104</v>
      </c>
      <c r="K16" s="12" t="s">
        <v>105</v>
      </c>
      <c r="L16" s="23" t="str">
        <f>VLOOKUP(D16,Products!$A:$F,3,FALSE)</f>
        <v>Sports</v>
      </c>
      <c r="M16" s="23" t="str">
        <f>VLOOKUP(E16,Sales_Reps!$A:$E,3,FALSE)</f>
        <v>North</v>
      </c>
      <c r="N16" s="23" t="str">
        <f t="shared" si="0"/>
        <v>Mar-24</v>
      </c>
      <c r="O16" s="23" t="str">
        <f t="shared" si="1"/>
        <v>Q1 2024</v>
      </c>
      <c r="P16" s="23">
        <f>VLOOKUP(D16,Products!$A:$F,4,FALSE)</f>
        <v>147</v>
      </c>
      <c r="Q16" s="35">
        <f t="shared" si="2"/>
        <v>0.22631578947368422</v>
      </c>
    </row>
    <row r="17" spans="1:17">
      <c r="A17" s="12" t="s">
        <v>166</v>
      </c>
      <c r="B17" s="13">
        <v>45546</v>
      </c>
      <c r="C17" s="12" t="s">
        <v>167</v>
      </c>
      <c r="D17" s="12" t="s">
        <v>168</v>
      </c>
      <c r="E17" s="12" t="s">
        <v>115</v>
      </c>
      <c r="F17" s="14">
        <v>7</v>
      </c>
      <c r="G17" s="14">
        <v>2400</v>
      </c>
      <c r="H17" s="14">
        <v>10.199999999999999</v>
      </c>
      <c r="I17" s="14">
        <v>15086.4</v>
      </c>
      <c r="J17" s="12" t="s">
        <v>110</v>
      </c>
      <c r="K17" s="12" t="s">
        <v>105</v>
      </c>
      <c r="L17" s="23" t="str">
        <f>VLOOKUP(D17,Products!$A:$F,3,FALSE)</f>
        <v>Sports</v>
      </c>
      <c r="M17" s="23" t="str">
        <f>VLOOKUP(E17,Sales_Reps!$A:$E,3,FALSE)</f>
        <v>South</v>
      </c>
      <c r="N17" s="23" t="str">
        <f t="shared" si="0"/>
        <v>Sep-24</v>
      </c>
      <c r="O17" s="23" t="str">
        <f t="shared" si="1"/>
        <v>Q3 2024</v>
      </c>
      <c r="P17" s="23">
        <f>VLOOKUP(D17,Products!$A:$F,4,FALSE)</f>
        <v>974</v>
      </c>
      <c r="Q17" s="35">
        <f t="shared" si="2"/>
        <v>0.59416666666666662</v>
      </c>
    </row>
    <row r="18" spans="1:17">
      <c r="A18" s="12" t="s">
        <v>169</v>
      </c>
      <c r="B18" s="13">
        <v>45512</v>
      </c>
      <c r="C18" s="12" t="s">
        <v>170</v>
      </c>
      <c r="D18" s="12" t="s">
        <v>119</v>
      </c>
      <c r="E18" s="12" t="s">
        <v>171</v>
      </c>
      <c r="F18" s="14">
        <v>4</v>
      </c>
      <c r="G18" s="14">
        <v>3660</v>
      </c>
      <c r="H18" s="14">
        <v>2.6</v>
      </c>
      <c r="I18" s="14">
        <v>14259.36</v>
      </c>
      <c r="J18" s="12" t="s">
        <v>104</v>
      </c>
      <c r="K18" s="12" t="s">
        <v>134</v>
      </c>
      <c r="L18" s="23" t="str">
        <f>VLOOKUP(D18,Products!$A:$F,3,FALSE)</f>
        <v>Grocery</v>
      </c>
      <c r="M18" s="23" t="str">
        <f>VLOOKUP(E18,Sales_Reps!$A:$E,3,FALSE)</f>
        <v>East</v>
      </c>
      <c r="N18" s="23" t="str">
        <f t="shared" si="0"/>
        <v>Aug-24</v>
      </c>
      <c r="O18" s="23" t="str">
        <f t="shared" si="1"/>
        <v>Q3 2024</v>
      </c>
      <c r="P18" s="23">
        <f>VLOOKUP(D18,Products!$A:$F,4,FALSE)</f>
        <v>2214</v>
      </c>
      <c r="Q18" s="35">
        <f t="shared" si="2"/>
        <v>0.39508196721311473</v>
      </c>
    </row>
    <row r="19" spans="1:17">
      <c r="A19" s="12" t="s">
        <v>172</v>
      </c>
      <c r="B19" s="13">
        <v>45654</v>
      </c>
      <c r="C19" s="12" t="s">
        <v>173</v>
      </c>
      <c r="D19" s="12" t="s">
        <v>174</v>
      </c>
      <c r="E19" s="12" t="s">
        <v>175</v>
      </c>
      <c r="F19" s="14">
        <v>8</v>
      </c>
      <c r="G19" s="14">
        <v>3450</v>
      </c>
      <c r="H19" s="14">
        <v>18.5</v>
      </c>
      <c r="I19" s="14">
        <v>22494</v>
      </c>
      <c r="J19" s="12" t="s">
        <v>104</v>
      </c>
      <c r="K19" s="12" t="s">
        <v>150</v>
      </c>
      <c r="L19" s="23" t="str">
        <f>VLOOKUP(D19,Products!$A:$F,3,FALSE)</f>
        <v>Beauty</v>
      </c>
      <c r="M19" s="23" t="str">
        <f>VLOOKUP(E19,Sales_Reps!$A:$E,3,FALSE)</f>
        <v>East</v>
      </c>
      <c r="N19" s="23" t="str">
        <f t="shared" si="0"/>
        <v>Dec-24</v>
      </c>
      <c r="O19" s="23" t="str">
        <f t="shared" si="1"/>
        <v>Q4 2024</v>
      </c>
      <c r="P19" s="23">
        <f>VLOOKUP(D19,Products!$A:$F,4,FALSE)</f>
        <v>2420</v>
      </c>
      <c r="Q19" s="35">
        <f t="shared" si="2"/>
        <v>0.29855072463768118</v>
      </c>
    </row>
    <row r="20" spans="1:17">
      <c r="A20" s="12" t="s">
        <v>176</v>
      </c>
      <c r="B20" s="13">
        <v>45626</v>
      </c>
      <c r="C20" s="12" t="s">
        <v>177</v>
      </c>
      <c r="D20" s="12" t="s">
        <v>178</v>
      </c>
      <c r="E20" s="12" t="s">
        <v>171</v>
      </c>
      <c r="F20" s="14">
        <v>5</v>
      </c>
      <c r="G20" s="14">
        <v>3450</v>
      </c>
      <c r="H20" s="14">
        <v>7.3</v>
      </c>
      <c r="I20" s="14">
        <v>15990.75</v>
      </c>
      <c r="J20" s="12" t="s">
        <v>104</v>
      </c>
      <c r="K20" s="12" t="s">
        <v>129</v>
      </c>
      <c r="L20" s="23" t="str">
        <f>VLOOKUP(D20,Products!$A:$F,3,FALSE)</f>
        <v>Sports</v>
      </c>
      <c r="M20" s="23" t="str">
        <f>VLOOKUP(E20,Sales_Reps!$A:$E,3,FALSE)</f>
        <v>East</v>
      </c>
      <c r="N20" s="23" t="str">
        <f t="shared" si="0"/>
        <v>Nov-24</v>
      </c>
      <c r="O20" s="23" t="str">
        <f t="shared" si="1"/>
        <v>Q4 2024</v>
      </c>
      <c r="P20" s="23">
        <f>VLOOKUP(D20,Products!$A:$F,4,FALSE)</f>
        <v>2467</v>
      </c>
      <c r="Q20" s="35">
        <f t="shared" si="2"/>
        <v>0.28492753623188405</v>
      </c>
    </row>
    <row r="21" spans="1:17">
      <c r="A21" s="12" t="s">
        <v>179</v>
      </c>
      <c r="B21" s="13">
        <v>45394</v>
      </c>
      <c r="C21" s="12" t="s">
        <v>180</v>
      </c>
      <c r="D21" s="12" t="s">
        <v>181</v>
      </c>
      <c r="E21" s="12" t="s">
        <v>171</v>
      </c>
      <c r="F21" s="14">
        <v>8</v>
      </c>
      <c r="G21" s="14">
        <v>1080</v>
      </c>
      <c r="H21" s="14">
        <v>2.2000000000000002</v>
      </c>
      <c r="I21" s="14">
        <v>8449.92</v>
      </c>
      <c r="J21" s="12" t="s">
        <v>104</v>
      </c>
      <c r="K21" s="12" t="s">
        <v>111</v>
      </c>
      <c r="L21" s="23" t="str">
        <f>VLOOKUP(D21,Products!$A:$F,3,FALSE)</f>
        <v>Home</v>
      </c>
      <c r="M21" s="23" t="str">
        <f>VLOOKUP(E21,Sales_Reps!$A:$E,3,FALSE)</f>
        <v>East</v>
      </c>
      <c r="N21" s="23" t="str">
        <f t="shared" si="0"/>
        <v>Apr-24</v>
      </c>
      <c r="O21" s="23" t="str">
        <f t="shared" si="1"/>
        <v>Q2 2024</v>
      </c>
      <c r="P21" s="23">
        <f>VLOOKUP(D21,Products!$A:$F,4,FALSE)</f>
        <v>519</v>
      </c>
      <c r="Q21" s="35">
        <f t="shared" si="2"/>
        <v>0.51944444444444449</v>
      </c>
    </row>
    <row r="22" spans="1:17">
      <c r="A22" s="12" t="s">
        <v>182</v>
      </c>
      <c r="B22" s="13">
        <v>45470</v>
      </c>
      <c r="C22" s="12" t="s">
        <v>183</v>
      </c>
      <c r="D22" s="12" t="s">
        <v>184</v>
      </c>
      <c r="E22" s="12" t="s">
        <v>120</v>
      </c>
      <c r="F22" s="14">
        <v>7</v>
      </c>
      <c r="G22" s="14">
        <v>2480</v>
      </c>
      <c r="H22" s="14">
        <v>28.7</v>
      </c>
      <c r="I22" s="14">
        <v>12377.68</v>
      </c>
      <c r="J22" s="12" t="s">
        <v>104</v>
      </c>
      <c r="K22" s="12" t="s">
        <v>150</v>
      </c>
      <c r="L22" s="23" t="str">
        <f>VLOOKUP(D22,Products!$A:$F,3,FALSE)</f>
        <v>Apparel</v>
      </c>
      <c r="M22" s="23" t="str">
        <f>VLOOKUP(E22,Sales_Reps!$A:$E,3,FALSE)</f>
        <v>North</v>
      </c>
      <c r="N22" s="23" t="str">
        <f t="shared" si="0"/>
        <v>Jun-24</v>
      </c>
      <c r="O22" s="23" t="str">
        <f t="shared" si="1"/>
        <v>Q2 2024</v>
      </c>
      <c r="P22" s="23">
        <f>VLOOKUP(D22,Products!$A:$F,4,FALSE)</f>
        <v>1173</v>
      </c>
      <c r="Q22" s="35">
        <f t="shared" si="2"/>
        <v>0.52701612903225803</v>
      </c>
    </row>
    <row r="23" spans="1:17">
      <c r="A23" s="12" t="s">
        <v>185</v>
      </c>
      <c r="B23" s="13">
        <v>45354</v>
      </c>
      <c r="C23" s="12" t="s">
        <v>186</v>
      </c>
      <c r="D23" s="12" t="s">
        <v>160</v>
      </c>
      <c r="E23" s="12" t="s">
        <v>187</v>
      </c>
      <c r="F23" s="14">
        <v>4</v>
      </c>
      <c r="G23" s="14">
        <v>3250</v>
      </c>
      <c r="H23" s="14">
        <v>24.6</v>
      </c>
      <c r="I23" s="14">
        <v>9802</v>
      </c>
      <c r="J23" s="12" t="s">
        <v>104</v>
      </c>
      <c r="K23" s="12" t="s">
        <v>129</v>
      </c>
      <c r="L23" s="23" t="str">
        <f>VLOOKUP(D23,Products!$A:$F,3,FALSE)</f>
        <v>Home</v>
      </c>
      <c r="M23" s="23" t="str">
        <f>VLOOKUP(E23,Sales_Reps!$A:$E,3,FALSE)</f>
        <v>West</v>
      </c>
      <c r="N23" s="23" t="str">
        <f t="shared" si="0"/>
        <v>Mar-24</v>
      </c>
      <c r="O23" s="23" t="str">
        <f t="shared" si="1"/>
        <v>Q1 2024</v>
      </c>
      <c r="P23" s="23">
        <f>VLOOKUP(D23,Products!$A:$F,4,FALSE)</f>
        <v>1556</v>
      </c>
      <c r="Q23" s="35">
        <f t="shared" si="2"/>
        <v>0.52123076923076928</v>
      </c>
    </row>
    <row r="24" spans="1:17">
      <c r="A24" s="12" t="s">
        <v>188</v>
      </c>
      <c r="B24" s="13">
        <v>45530</v>
      </c>
      <c r="C24" s="12" t="s">
        <v>189</v>
      </c>
      <c r="D24" s="12" t="s">
        <v>190</v>
      </c>
      <c r="E24" s="12" t="s">
        <v>187</v>
      </c>
      <c r="F24" s="14">
        <v>9</v>
      </c>
      <c r="G24" s="14">
        <v>2720</v>
      </c>
      <c r="H24" s="14">
        <v>26.2</v>
      </c>
      <c r="I24" s="14">
        <v>18066.240000000002</v>
      </c>
      <c r="J24" s="12" t="s">
        <v>104</v>
      </c>
      <c r="K24" s="12" t="s">
        <v>105</v>
      </c>
      <c r="L24" s="23" t="str">
        <f>VLOOKUP(D24,Products!$A:$F,3,FALSE)</f>
        <v>Apparel</v>
      </c>
      <c r="M24" s="23" t="str">
        <f>VLOOKUP(E24,Sales_Reps!$A:$E,3,FALSE)</f>
        <v>West</v>
      </c>
      <c r="N24" s="23" t="str">
        <f t="shared" si="0"/>
        <v>Aug-24</v>
      </c>
      <c r="O24" s="23" t="str">
        <f t="shared" si="1"/>
        <v>Q3 2024</v>
      </c>
      <c r="P24" s="23">
        <f>VLOOKUP(D24,Products!$A:$F,4,FALSE)</f>
        <v>1962</v>
      </c>
      <c r="Q24" s="35">
        <f t="shared" si="2"/>
        <v>0.2786764705882353</v>
      </c>
    </row>
    <row r="25" spans="1:17">
      <c r="A25" s="12" t="s">
        <v>191</v>
      </c>
      <c r="B25" s="13">
        <v>45472</v>
      </c>
      <c r="C25" s="12" t="s">
        <v>192</v>
      </c>
      <c r="D25" s="12" t="s">
        <v>193</v>
      </c>
      <c r="E25" s="12" t="s">
        <v>165</v>
      </c>
      <c r="F25" s="14">
        <v>2</v>
      </c>
      <c r="G25" s="14">
        <v>1650</v>
      </c>
      <c r="H25" s="14">
        <v>9.4</v>
      </c>
      <c r="I25" s="14">
        <v>2989.8</v>
      </c>
      <c r="J25" s="12" t="s">
        <v>104</v>
      </c>
      <c r="K25" s="12" t="s">
        <v>150</v>
      </c>
      <c r="L25" s="23" t="str">
        <f>VLOOKUP(D25,Products!$A:$F,3,FALSE)</f>
        <v>Beauty</v>
      </c>
      <c r="M25" s="23" t="str">
        <f>VLOOKUP(E25,Sales_Reps!$A:$E,3,FALSE)</f>
        <v>North</v>
      </c>
      <c r="N25" s="23" t="str">
        <f t="shared" si="0"/>
        <v>Jun-24</v>
      </c>
      <c r="O25" s="23" t="str">
        <f t="shared" si="1"/>
        <v>Q2 2024</v>
      </c>
      <c r="P25" s="23">
        <f>VLOOKUP(D25,Products!$A:$F,4,FALSE)</f>
        <v>1222</v>
      </c>
      <c r="Q25" s="35">
        <f t="shared" si="2"/>
        <v>0.2593939393939394</v>
      </c>
    </row>
    <row r="26" spans="1:17">
      <c r="A26" s="12" t="s">
        <v>194</v>
      </c>
      <c r="B26" s="13">
        <v>45394</v>
      </c>
      <c r="C26" s="12" t="s">
        <v>195</v>
      </c>
      <c r="D26" s="12" t="s">
        <v>196</v>
      </c>
      <c r="E26" s="12" t="s">
        <v>171</v>
      </c>
      <c r="F26" s="14">
        <v>6</v>
      </c>
      <c r="G26" s="14">
        <v>3350</v>
      </c>
      <c r="H26" s="14">
        <v>6.1</v>
      </c>
      <c r="I26" s="14">
        <v>18873.900000000001</v>
      </c>
      <c r="J26" s="12" t="s">
        <v>110</v>
      </c>
      <c r="K26" s="12" t="s">
        <v>111</v>
      </c>
      <c r="L26" s="23" t="str">
        <f>VLOOKUP(D26,Products!$A:$F,3,FALSE)</f>
        <v>Beauty</v>
      </c>
      <c r="M26" s="23" t="str">
        <f>VLOOKUP(E26,Sales_Reps!$A:$E,3,FALSE)</f>
        <v>East</v>
      </c>
      <c r="N26" s="23" t="str">
        <f t="shared" si="0"/>
        <v>Apr-24</v>
      </c>
      <c r="O26" s="23" t="str">
        <f t="shared" si="1"/>
        <v>Q2 2024</v>
      </c>
      <c r="P26" s="23">
        <f>VLOOKUP(D26,Products!$A:$F,4,FALSE)</f>
        <v>1728</v>
      </c>
      <c r="Q26" s="35">
        <f t="shared" si="2"/>
        <v>0.48417910447761192</v>
      </c>
    </row>
    <row r="27" spans="1:17">
      <c r="A27" s="12" t="s">
        <v>197</v>
      </c>
      <c r="B27" s="13">
        <v>45570</v>
      </c>
      <c r="C27" s="12" t="s">
        <v>198</v>
      </c>
      <c r="D27" s="12" t="s">
        <v>199</v>
      </c>
      <c r="E27" s="12" t="s">
        <v>138</v>
      </c>
      <c r="F27" s="14">
        <v>2</v>
      </c>
      <c r="G27" s="14">
        <v>1010</v>
      </c>
      <c r="H27" s="14">
        <v>16.5</v>
      </c>
      <c r="I27" s="14">
        <v>1686.7</v>
      </c>
      <c r="J27" s="12" t="s">
        <v>157</v>
      </c>
      <c r="K27" s="12" t="s">
        <v>116</v>
      </c>
      <c r="L27" s="23" t="str">
        <f>VLOOKUP(D27,Products!$A:$F,3,FALSE)</f>
        <v>Sports</v>
      </c>
      <c r="M27" s="23" t="str">
        <f>VLOOKUP(E27,Sales_Reps!$A:$E,3,FALSE)</f>
        <v>East</v>
      </c>
      <c r="N27" s="23" t="str">
        <f t="shared" si="0"/>
        <v>Oct-24</v>
      </c>
      <c r="O27" s="23" t="str">
        <f t="shared" si="1"/>
        <v>Q4 2024</v>
      </c>
      <c r="P27" s="23">
        <f>VLOOKUP(D27,Products!$A:$F,4,FALSE)</f>
        <v>516</v>
      </c>
      <c r="Q27" s="35">
        <f t="shared" si="2"/>
        <v>0.4891089108910891</v>
      </c>
    </row>
    <row r="28" spans="1:17">
      <c r="A28" s="12" t="s">
        <v>200</v>
      </c>
      <c r="B28" s="13">
        <v>45401</v>
      </c>
      <c r="C28" s="12" t="s">
        <v>113</v>
      </c>
      <c r="D28" s="12" t="s">
        <v>201</v>
      </c>
      <c r="E28" s="12" t="s">
        <v>120</v>
      </c>
      <c r="F28" s="14">
        <v>5</v>
      </c>
      <c r="G28" s="14">
        <v>4880</v>
      </c>
      <c r="H28" s="14">
        <v>23.6</v>
      </c>
      <c r="I28" s="14">
        <v>18641.599999999999</v>
      </c>
      <c r="J28" s="12" t="s">
        <v>104</v>
      </c>
      <c r="K28" s="12" t="s">
        <v>116</v>
      </c>
      <c r="L28" s="23" t="str">
        <f>VLOOKUP(D28,Products!$A:$F,3,FALSE)</f>
        <v>Beauty</v>
      </c>
      <c r="M28" s="23" t="str">
        <f>VLOOKUP(E28,Sales_Reps!$A:$E,3,FALSE)</f>
        <v>North</v>
      </c>
      <c r="N28" s="23" t="str">
        <f t="shared" si="0"/>
        <v>Apr-24</v>
      </c>
      <c r="O28" s="23" t="str">
        <f t="shared" si="1"/>
        <v>Q2 2024</v>
      </c>
      <c r="P28" s="23">
        <f>VLOOKUP(D28,Products!$A:$F,4,FALSE)</f>
        <v>2768</v>
      </c>
      <c r="Q28" s="35">
        <f t="shared" si="2"/>
        <v>0.43278688524590164</v>
      </c>
    </row>
    <row r="29" spans="1:17">
      <c r="A29" s="12" t="s">
        <v>202</v>
      </c>
      <c r="B29" s="13">
        <v>45517</v>
      </c>
      <c r="C29" s="12" t="s">
        <v>203</v>
      </c>
      <c r="D29" s="12" t="s">
        <v>204</v>
      </c>
      <c r="E29" s="12" t="s">
        <v>205</v>
      </c>
      <c r="F29" s="14">
        <v>7</v>
      </c>
      <c r="G29" s="14">
        <v>3570</v>
      </c>
      <c r="H29" s="14">
        <v>5.8</v>
      </c>
      <c r="I29" s="14">
        <v>23540.58</v>
      </c>
      <c r="J29" s="12" t="s">
        <v>157</v>
      </c>
      <c r="K29" s="12" t="s">
        <v>111</v>
      </c>
      <c r="L29" s="23" t="str">
        <f>VLOOKUP(D29,Products!$A:$F,3,FALSE)</f>
        <v>Electronics</v>
      </c>
      <c r="M29" s="23" t="str">
        <f>VLOOKUP(E29,Sales_Reps!$A:$E,3,FALSE)</f>
        <v>South</v>
      </c>
      <c r="N29" s="23" t="str">
        <f t="shared" si="0"/>
        <v>Aug-24</v>
      </c>
      <c r="O29" s="23" t="str">
        <f t="shared" si="1"/>
        <v>Q3 2024</v>
      </c>
      <c r="P29" s="23">
        <f>VLOOKUP(D29,Products!$A:$F,4,FALSE)</f>
        <v>1665</v>
      </c>
      <c r="Q29" s="35">
        <f t="shared" si="2"/>
        <v>0.53361344537815125</v>
      </c>
    </row>
    <row r="30" spans="1:17">
      <c r="A30" s="12" t="s">
        <v>206</v>
      </c>
      <c r="B30" s="13">
        <v>45363</v>
      </c>
      <c r="C30" s="12" t="s">
        <v>207</v>
      </c>
      <c r="D30" s="12" t="s">
        <v>208</v>
      </c>
      <c r="E30" s="12" t="s">
        <v>209</v>
      </c>
      <c r="F30" s="14">
        <v>9</v>
      </c>
      <c r="G30" s="14">
        <v>5100</v>
      </c>
      <c r="H30" s="14">
        <v>16.7</v>
      </c>
      <c r="I30" s="14">
        <v>38234.699999999997</v>
      </c>
      <c r="J30" s="12" t="s">
        <v>104</v>
      </c>
      <c r="K30" s="12" t="s">
        <v>150</v>
      </c>
      <c r="L30" s="23" t="str">
        <f>VLOOKUP(D30,Products!$A:$F,3,FALSE)</f>
        <v>Beauty</v>
      </c>
      <c r="M30" s="23" t="str">
        <f>VLOOKUP(E30,Sales_Reps!$A:$E,3,FALSE)</f>
        <v>East</v>
      </c>
      <c r="N30" s="23" t="str">
        <f t="shared" si="0"/>
        <v>Mar-24</v>
      </c>
      <c r="O30" s="23" t="str">
        <f t="shared" si="1"/>
        <v>Q1 2024</v>
      </c>
      <c r="P30" s="23">
        <f>VLOOKUP(D30,Products!$A:$F,4,FALSE)</f>
        <v>2237</v>
      </c>
      <c r="Q30" s="35">
        <f t="shared" si="2"/>
        <v>0.56137254901960787</v>
      </c>
    </row>
    <row r="31" spans="1:17">
      <c r="A31" s="12" t="s">
        <v>210</v>
      </c>
      <c r="B31" s="13">
        <v>45367</v>
      </c>
      <c r="C31" s="12" t="s">
        <v>211</v>
      </c>
      <c r="D31" s="12" t="s">
        <v>212</v>
      </c>
      <c r="E31" s="12" t="s">
        <v>109</v>
      </c>
      <c r="F31" s="14">
        <v>3</v>
      </c>
      <c r="G31" s="14">
        <v>2860</v>
      </c>
      <c r="H31" s="14">
        <v>25.8</v>
      </c>
      <c r="I31" s="14">
        <v>6366.36</v>
      </c>
      <c r="J31" s="12" t="s">
        <v>104</v>
      </c>
      <c r="K31" s="12" t="s">
        <v>105</v>
      </c>
      <c r="L31" s="23" t="str">
        <f>VLOOKUP(D31,Products!$A:$F,3,FALSE)</f>
        <v>Sports</v>
      </c>
      <c r="M31" s="23" t="str">
        <f>VLOOKUP(E31,Sales_Reps!$A:$E,3,FALSE)</f>
        <v>North</v>
      </c>
      <c r="N31" s="23" t="str">
        <f t="shared" si="0"/>
        <v>Mar-24</v>
      </c>
      <c r="O31" s="23" t="str">
        <f t="shared" si="1"/>
        <v>Q1 2024</v>
      </c>
      <c r="P31" s="23">
        <f>VLOOKUP(D31,Products!$A:$F,4,FALSE)</f>
        <v>2028</v>
      </c>
      <c r="Q31" s="35">
        <f t="shared" si="2"/>
        <v>0.29090909090909089</v>
      </c>
    </row>
    <row r="32" spans="1:17">
      <c r="A32" s="12" t="s">
        <v>213</v>
      </c>
      <c r="B32" s="13">
        <v>45569</v>
      </c>
      <c r="C32" s="12" t="s">
        <v>214</v>
      </c>
      <c r="D32" s="12" t="s">
        <v>144</v>
      </c>
      <c r="E32" s="12" t="s">
        <v>120</v>
      </c>
      <c r="F32" s="14">
        <v>7</v>
      </c>
      <c r="G32" s="14">
        <v>970</v>
      </c>
      <c r="H32" s="14">
        <v>29.8</v>
      </c>
      <c r="I32" s="14">
        <v>4766.58</v>
      </c>
      <c r="J32" s="12" t="s">
        <v>104</v>
      </c>
      <c r="K32" s="12" t="s">
        <v>105</v>
      </c>
      <c r="L32" s="23" t="str">
        <f>VLOOKUP(D32,Products!$A:$F,3,FALSE)</f>
        <v>Grocery</v>
      </c>
      <c r="M32" s="23" t="str">
        <f>VLOOKUP(E32,Sales_Reps!$A:$E,3,FALSE)</f>
        <v>North</v>
      </c>
      <c r="N32" s="23" t="str">
        <f t="shared" si="0"/>
        <v>Oct-24</v>
      </c>
      <c r="O32" s="23" t="str">
        <f t="shared" si="1"/>
        <v>Q4 2024</v>
      </c>
      <c r="P32" s="23">
        <f>VLOOKUP(D32,Products!$A:$F,4,FALSE)</f>
        <v>434</v>
      </c>
      <c r="Q32" s="35">
        <f t="shared" si="2"/>
        <v>0.5525773195876289</v>
      </c>
    </row>
    <row r="33" spans="1:17">
      <c r="A33" s="12" t="s">
        <v>215</v>
      </c>
      <c r="B33" s="13">
        <v>45641</v>
      </c>
      <c r="C33" s="12" t="s">
        <v>216</v>
      </c>
      <c r="D33" s="12" t="s">
        <v>217</v>
      </c>
      <c r="E33" s="12" t="s">
        <v>218</v>
      </c>
      <c r="F33" s="14">
        <v>4</v>
      </c>
      <c r="G33" s="14">
        <v>2760</v>
      </c>
      <c r="H33" s="14">
        <v>5.9</v>
      </c>
      <c r="I33" s="14">
        <v>10388.64</v>
      </c>
      <c r="J33" s="12" t="s">
        <v>104</v>
      </c>
      <c r="K33" s="12" t="s">
        <v>150</v>
      </c>
      <c r="L33" s="23" t="str">
        <f>VLOOKUP(D33,Products!$A:$F,3,FALSE)</f>
        <v>Grocery</v>
      </c>
      <c r="M33" s="23" t="str">
        <f>VLOOKUP(E33,Sales_Reps!$A:$E,3,FALSE)</f>
        <v>West</v>
      </c>
      <c r="N33" s="23" t="str">
        <f t="shared" si="0"/>
        <v>Dec-24</v>
      </c>
      <c r="O33" s="23" t="str">
        <f t="shared" si="1"/>
        <v>Q4 2024</v>
      </c>
      <c r="P33" s="23">
        <f>VLOOKUP(D33,Products!$A:$F,4,FALSE)</f>
        <v>1435</v>
      </c>
      <c r="Q33" s="35">
        <f t="shared" si="2"/>
        <v>0.48007246376811596</v>
      </c>
    </row>
    <row r="34" spans="1:17">
      <c r="A34" s="12" t="s">
        <v>219</v>
      </c>
      <c r="B34" s="13">
        <v>45343</v>
      </c>
      <c r="C34" s="12" t="s">
        <v>173</v>
      </c>
      <c r="D34" s="12" t="s">
        <v>220</v>
      </c>
      <c r="E34" s="12" t="s">
        <v>221</v>
      </c>
      <c r="F34" s="14">
        <v>10</v>
      </c>
      <c r="G34" s="14">
        <v>660</v>
      </c>
      <c r="H34" s="14">
        <v>18.3</v>
      </c>
      <c r="I34" s="14">
        <v>5392.2</v>
      </c>
      <c r="J34" s="12" t="s">
        <v>110</v>
      </c>
      <c r="K34" s="12" t="s">
        <v>150</v>
      </c>
      <c r="L34" s="23" t="str">
        <f>VLOOKUP(D34,Products!$A:$F,3,FALSE)</f>
        <v>Home</v>
      </c>
      <c r="M34" s="23" t="str">
        <f>VLOOKUP(E34,Sales_Reps!$A:$E,3,FALSE)</f>
        <v>South</v>
      </c>
      <c r="N34" s="23" t="str">
        <f t="shared" si="0"/>
        <v>Feb-24</v>
      </c>
      <c r="O34" s="23" t="str">
        <f t="shared" si="1"/>
        <v>Q1 2024</v>
      </c>
      <c r="P34" s="23">
        <f>VLOOKUP(D34,Products!$A:$F,4,FALSE)</f>
        <v>329</v>
      </c>
      <c r="Q34" s="35">
        <f t="shared" si="2"/>
        <v>0.50151515151515147</v>
      </c>
    </row>
    <row r="35" spans="1:17">
      <c r="A35" s="12" t="s">
        <v>222</v>
      </c>
      <c r="B35" s="13">
        <v>45576</v>
      </c>
      <c r="C35" s="12" t="s">
        <v>223</v>
      </c>
      <c r="D35" s="12" t="s">
        <v>160</v>
      </c>
      <c r="E35" s="12" t="s">
        <v>138</v>
      </c>
      <c r="F35" s="14">
        <v>1</v>
      </c>
      <c r="G35" s="14">
        <v>3250</v>
      </c>
      <c r="H35" s="14">
        <v>10.7</v>
      </c>
      <c r="I35" s="14">
        <v>2902.25</v>
      </c>
      <c r="J35" s="12" t="s">
        <v>104</v>
      </c>
      <c r="K35" s="12" t="s">
        <v>150</v>
      </c>
      <c r="L35" s="23" t="str">
        <f>VLOOKUP(D35,Products!$A:$F,3,FALSE)</f>
        <v>Home</v>
      </c>
      <c r="M35" s="23" t="str">
        <f>VLOOKUP(E35,Sales_Reps!$A:$E,3,FALSE)</f>
        <v>East</v>
      </c>
      <c r="N35" s="23" t="str">
        <f t="shared" si="0"/>
        <v>Oct-24</v>
      </c>
      <c r="O35" s="23" t="str">
        <f t="shared" si="1"/>
        <v>Q4 2024</v>
      </c>
      <c r="P35" s="23">
        <f>VLOOKUP(D35,Products!$A:$F,4,FALSE)</f>
        <v>1556</v>
      </c>
      <c r="Q35" s="35">
        <f t="shared" si="2"/>
        <v>0.52123076923076928</v>
      </c>
    </row>
    <row r="36" spans="1:17">
      <c r="A36" s="12" t="s">
        <v>224</v>
      </c>
      <c r="B36" s="13">
        <v>45462</v>
      </c>
      <c r="C36" s="12" t="s">
        <v>225</v>
      </c>
      <c r="D36" s="12" t="s">
        <v>208</v>
      </c>
      <c r="E36" s="12" t="s">
        <v>138</v>
      </c>
      <c r="F36" s="14">
        <v>8</v>
      </c>
      <c r="G36" s="14">
        <v>5100</v>
      </c>
      <c r="H36" s="14">
        <v>26.4</v>
      </c>
      <c r="I36" s="14">
        <v>30028.799999999999</v>
      </c>
      <c r="J36" s="12" t="s">
        <v>157</v>
      </c>
      <c r="K36" s="12" t="s">
        <v>150</v>
      </c>
      <c r="L36" s="23" t="str">
        <f>VLOOKUP(D36,Products!$A:$F,3,FALSE)</f>
        <v>Beauty</v>
      </c>
      <c r="M36" s="23" t="str">
        <f>VLOOKUP(E36,Sales_Reps!$A:$E,3,FALSE)</f>
        <v>East</v>
      </c>
      <c r="N36" s="23" t="str">
        <f t="shared" si="0"/>
        <v>Jun-24</v>
      </c>
      <c r="O36" s="23" t="str">
        <f t="shared" si="1"/>
        <v>Q2 2024</v>
      </c>
      <c r="P36" s="23">
        <f>VLOOKUP(D36,Products!$A:$F,4,FALSE)</f>
        <v>2237</v>
      </c>
      <c r="Q36" s="35">
        <f t="shared" si="2"/>
        <v>0.56137254901960787</v>
      </c>
    </row>
    <row r="37" spans="1:17">
      <c r="A37" s="12" t="s">
        <v>226</v>
      </c>
      <c r="B37" s="13">
        <v>45442</v>
      </c>
      <c r="C37" s="12" t="s">
        <v>227</v>
      </c>
      <c r="D37" s="12" t="s">
        <v>181</v>
      </c>
      <c r="E37" s="12" t="s">
        <v>175</v>
      </c>
      <c r="F37" s="14">
        <v>1</v>
      </c>
      <c r="G37" s="14">
        <v>1080</v>
      </c>
      <c r="H37" s="14">
        <v>5.0999999999999996</v>
      </c>
      <c r="I37" s="14">
        <v>1024.92</v>
      </c>
      <c r="J37" s="12" t="s">
        <v>104</v>
      </c>
      <c r="K37" s="12" t="s">
        <v>116</v>
      </c>
      <c r="L37" s="23" t="str">
        <f>VLOOKUP(D37,Products!$A:$F,3,FALSE)</f>
        <v>Home</v>
      </c>
      <c r="M37" s="23" t="str">
        <f>VLOOKUP(E37,Sales_Reps!$A:$E,3,FALSE)</f>
        <v>East</v>
      </c>
      <c r="N37" s="23" t="str">
        <f t="shared" si="0"/>
        <v>May-24</v>
      </c>
      <c r="O37" s="23" t="str">
        <f t="shared" si="1"/>
        <v>Q2 2024</v>
      </c>
      <c r="P37" s="23">
        <f>VLOOKUP(D37,Products!$A:$F,4,FALSE)</f>
        <v>519</v>
      </c>
      <c r="Q37" s="35">
        <f t="shared" si="2"/>
        <v>0.51944444444444449</v>
      </c>
    </row>
    <row r="38" spans="1:17">
      <c r="A38" s="12" t="s">
        <v>228</v>
      </c>
      <c r="B38" s="13">
        <v>45646</v>
      </c>
      <c r="C38" s="12" t="s">
        <v>229</v>
      </c>
      <c r="D38" s="12" t="s">
        <v>141</v>
      </c>
      <c r="E38" s="12" t="s">
        <v>221</v>
      </c>
      <c r="F38" s="14">
        <v>2</v>
      </c>
      <c r="G38" s="14">
        <v>5490</v>
      </c>
      <c r="H38" s="14">
        <v>21.1</v>
      </c>
      <c r="I38" s="14">
        <v>8663.2199999999993</v>
      </c>
      <c r="J38" s="12" t="s">
        <v>157</v>
      </c>
      <c r="K38" s="12" t="s">
        <v>129</v>
      </c>
      <c r="L38" s="23" t="str">
        <f>VLOOKUP(D38,Products!$A:$F,3,FALSE)</f>
        <v>Home</v>
      </c>
      <c r="M38" s="23" t="str">
        <f>VLOOKUP(E38,Sales_Reps!$A:$E,3,FALSE)</f>
        <v>South</v>
      </c>
      <c r="N38" s="23" t="str">
        <f t="shared" si="0"/>
        <v>Dec-24</v>
      </c>
      <c r="O38" s="23" t="str">
        <f t="shared" si="1"/>
        <v>Q4 2024</v>
      </c>
      <c r="P38" s="23">
        <f>VLOOKUP(D38,Products!$A:$F,4,FALSE)</f>
        <v>2549</v>
      </c>
      <c r="Q38" s="35">
        <f t="shared" si="2"/>
        <v>0.53570127504553733</v>
      </c>
    </row>
    <row r="39" spans="1:17">
      <c r="A39" s="12" t="s">
        <v>230</v>
      </c>
      <c r="B39" s="13">
        <v>45478</v>
      </c>
      <c r="C39" s="12" t="s">
        <v>231</v>
      </c>
      <c r="D39" s="12" t="s">
        <v>164</v>
      </c>
      <c r="E39" s="12" t="s">
        <v>232</v>
      </c>
      <c r="F39" s="14">
        <v>7</v>
      </c>
      <c r="G39" s="14">
        <v>190</v>
      </c>
      <c r="H39" s="14">
        <v>28.7</v>
      </c>
      <c r="I39" s="14">
        <v>948.29</v>
      </c>
      <c r="J39" s="12" t="s">
        <v>104</v>
      </c>
      <c r="K39" s="12" t="s">
        <v>134</v>
      </c>
      <c r="L39" s="23" t="str">
        <f>VLOOKUP(D39,Products!$A:$F,3,FALSE)</f>
        <v>Sports</v>
      </c>
      <c r="M39" s="23" t="str">
        <f>VLOOKUP(E39,Sales_Reps!$A:$E,3,FALSE)</f>
        <v>North</v>
      </c>
      <c r="N39" s="23" t="str">
        <f t="shared" si="0"/>
        <v>Jul-24</v>
      </c>
      <c r="O39" s="23" t="str">
        <f t="shared" si="1"/>
        <v>Q3 2024</v>
      </c>
      <c r="P39" s="23">
        <f>VLOOKUP(D39,Products!$A:$F,4,FALSE)</f>
        <v>147</v>
      </c>
      <c r="Q39" s="35">
        <f t="shared" si="2"/>
        <v>0.22631578947368422</v>
      </c>
    </row>
    <row r="40" spans="1:17">
      <c r="A40" s="12" t="s">
        <v>233</v>
      </c>
      <c r="B40" s="13">
        <v>45355</v>
      </c>
      <c r="C40" s="12" t="s">
        <v>234</v>
      </c>
      <c r="D40" s="12" t="s">
        <v>168</v>
      </c>
      <c r="E40" s="12" t="s">
        <v>205</v>
      </c>
      <c r="F40" s="14">
        <v>6</v>
      </c>
      <c r="G40" s="14">
        <v>2400</v>
      </c>
      <c r="H40" s="14">
        <v>2.7</v>
      </c>
      <c r="I40" s="14">
        <v>14011.2</v>
      </c>
      <c r="J40" s="12" t="s">
        <v>104</v>
      </c>
      <c r="K40" s="12" t="s">
        <v>111</v>
      </c>
      <c r="L40" s="23" t="str">
        <f>VLOOKUP(D40,Products!$A:$F,3,FALSE)</f>
        <v>Sports</v>
      </c>
      <c r="M40" s="23" t="str">
        <f>VLOOKUP(E40,Sales_Reps!$A:$E,3,FALSE)</f>
        <v>South</v>
      </c>
      <c r="N40" s="23" t="str">
        <f t="shared" si="0"/>
        <v>Mar-24</v>
      </c>
      <c r="O40" s="23" t="str">
        <f t="shared" si="1"/>
        <v>Q1 2024</v>
      </c>
      <c r="P40" s="23">
        <f>VLOOKUP(D40,Products!$A:$F,4,FALSE)</f>
        <v>974</v>
      </c>
      <c r="Q40" s="35">
        <f t="shared" si="2"/>
        <v>0.59416666666666662</v>
      </c>
    </row>
    <row r="41" spans="1:17">
      <c r="A41" s="12" t="s">
        <v>235</v>
      </c>
      <c r="B41" s="13">
        <v>45599</v>
      </c>
      <c r="C41" s="12" t="s">
        <v>236</v>
      </c>
      <c r="D41" s="12" t="s">
        <v>193</v>
      </c>
      <c r="E41" s="12" t="s">
        <v>171</v>
      </c>
      <c r="F41" s="14">
        <v>9</v>
      </c>
      <c r="G41" s="14">
        <v>1650</v>
      </c>
      <c r="H41" s="14">
        <v>11.6</v>
      </c>
      <c r="I41" s="14">
        <v>13127.4</v>
      </c>
      <c r="J41" s="12" t="s">
        <v>104</v>
      </c>
      <c r="K41" s="12" t="s">
        <v>116</v>
      </c>
      <c r="L41" s="23" t="str">
        <f>VLOOKUP(D41,Products!$A:$F,3,FALSE)</f>
        <v>Beauty</v>
      </c>
      <c r="M41" s="23" t="str">
        <f>VLOOKUP(E41,Sales_Reps!$A:$E,3,FALSE)</f>
        <v>East</v>
      </c>
      <c r="N41" s="23" t="str">
        <f t="shared" si="0"/>
        <v>Nov-24</v>
      </c>
      <c r="O41" s="23" t="str">
        <f t="shared" si="1"/>
        <v>Q4 2024</v>
      </c>
      <c r="P41" s="23">
        <f>VLOOKUP(D41,Products!$A:$F,4,FALSE)</f>
        <v>1222</v>
      </c>
      <c r="Q41" s="35">
        <f t="shared" si="2"/>
        <v>0.2593939393939394</v>
      </c>
    </row>
    <row r="42" spans="1:17">
      <c r="A42" s="12" t="s">
        <v>237</v>
      </c>
      <c r="B42" s="13">
        <v>45606</v>
      </c>
      <c r="C42" s="12" t="s">
        <v>238</v>
      </c>
      <c r="D42" s="12" t="s">
        <v>141</v>
      </c>
      <c r="E42" s="12" t="s">
        <v>120</v>
      </c>
      <c r="F42" s="14">
        <v>4</v>
      </c>
      <c r="G42" s="14">
        <v>5490</v>
      </c>
      <c r="H42" s="14">
        <v>12.8</v>
      </c>
      <c r="I42" s="14">
        <v>19149.12</v>
      </c>
      <c r="J42" s="12" t="s">
        <v>157</v>
      </c>
      <c r="K42" s="12" t="s">
        <v>111</v>
      </c>
      <c r="L42" s="23" t="str">
        <f>VLOOKUP(D42,Products!$A:$F,3,FALSE)</f>
        <v>Home</v>
      </c>
      <c r="M42" s="23" t="str">
        <f>VLOOKUP(E42,Sales_Reps!$A:$E,3,FALSE)</f>
        <v>North</v>
      </c>
      <c r="N42" s="23" t="str">
        <f t="shared" si="0"/>
        <v>Nov-24</v>
      </c>
      <c r="O42" s="23" t="str">
        <f t="shared" si="1"/>
        <v>Q4 2024</v>
      </c>
      <c r="P42" s="23">
        <f>VLOOKUP(D42,Products!$A:$F,4,FALSE)</f>
        <v>2549</v>
      </c>
      <c r="Q42" s="35">
        <f t="shared" si="2"/>
        <v>0.53570127504553733</v>
      </c>
    </row>
    <row r="43" spans="1:17">
      <c r="A43" s="12" t="s">
        <v>239</v>
      </c>
      <c r="B43" s="13">
        <v>45432</v>
      </c>
      <c r="C43" s="12" t="s">
        <v>240</v>
      </c>
      <c r="D43" s="12" t="s">
        <v>201</v>
      </c>
      <c r="E43" s="12" t="s">
        <v>115</v>
      </c>
      <c r="F43" s="14">
        <v>10</v>
      </c>
      <c r="G43" s="14">
        <v>4880</v>
      </c>
      <c r="H43" s="14">
        <v>12.7</v>
      </c>
      <c r="I43" s="14">
        <v>42602.400000000001</v>
      </c>
      <c r="J43" s="12" t="s">
        <v>104</v>
      </c>
      <c r="K43" s="12" t="s">
        <v>116</v>
      </c>
      <c r="L43" s="23" t="str">
        <f>VLOOKUP(D43,Products!$A:$F,3,FALSE)</f>
        <v>Beauty</v>
      </c>
      <c r="M43" s="23" t="str">
        <f>VLOOKUP(E43,Sales_Reps!$A:$E,3,FALSE)</f>
        <v>South</v>
      </c>
      <c r="N43" s="23" t="str">
        <f t="shared" si="0"/>
        <v>May-24</v>
      </c>
      <c r="O43" s="23" t="str">
        <f t="shared" si="1"/>
        <v>Q2 2024</v>
      </c>
      <c r="P43" s="23">
        <f>VLOOKUP(D43,Products!$A:$F,4,FALSE)</f>
        <v>2768</v>
      </c>
      <c r="Q43" s="35">
        <f t="shared" si="2"/>
        <v>0.43278688524590164</v>
      </c>
    </row>
    <row r="44" spans="1:17">
      <c r="A44" s="12" t="s">
        <v>241</v>
      </c>
      <c r="B44" s="13">
        <v>45392</v>
      </c>
      <c r="C44" s="12" t="s">
        <v>242</v>
      </c>
      <c r="D44" s="12" t="s">
        <v>243</v>
      </c>
      <c r="E44" s="12" t="s">
        <v>138</v>
      </c>
      <c r="F44" s="14">
        <v>2</v>
      </c>
      <c r="G44" s="14">
        <v>3730</v>
      </c>
      <c r="H44" s="14">
        <v>25.8</v>
      </c>
      <c r="I44" s="14">
        <v>5535.32</v>
      </c>
      <c r="J44" s="12" t="s">
        <v>104</v>
      </c>
      <c r="K44" s="12" t="s">
        <v>111</v>
      </c>
      <c r="L44" s="23" t="str">
        <f>VLOOKUP(D44,Products!$A:$F,3,FALSE)</f>
        <v>Home</v>
      </c>
      <c r="M44" s="23" t="str">
        <f>VLOOKUP(E44,Sales_Reps!$A:$E,3,FALSE)</f>
        <v>East</v>
      </c>
      <c r="N44" s="23" t="str">
        <f t="shared" si="0"/>
        <v>Apr-24</v>
      </c>
      <c r="O44" s="23" t="str">
        <f t="shared" si="1"/>
        <v>Q2 2024</v>
      </c>
      <c r="P44" s="23">
        <f>VLOOKUP(D44,Products!$A:$F,4,FALSE)</f>
        <v>2135</v>
      </c>
      <c r="Q44" s="35">
        <f t="shared" si="2"/>
        <v>0.42761394101876676</v>
      </c>
    </row>
    <row r="45" spans="1:17">
      <c r="A45" s="12" t="s">
        <v>244</v>
      </c>
      <c r="B45" s="13">
        <v>45396</v>
      </c>
      <c r="C45" s="12" t="s">
        <v>245</v>
      </c>
      <c r="D45" s="12" t="s">
        <v>174</v>
      </c>
      <c r="E45" s="12" t="s">
        <v>246</v>
      </c>
      <c r="F45" s="14">
        <v>4</v>
      </c>
      <c r="G45" s="14">
        <v>3450</v>
      </c>
      <c r="H45" s="14">
        <v>20.7</v>
      </c>
      <c r="I45" s="14">
        <v>10943.4</v>
      </c>
      <c r="J45" s="12" t="s">
        <v>104</v>
      </c>
      <c r="K45" s="12" t="s">
        <v>129</v>
      </c>
      <c r="L45" s="23" t="str">
        <f>VLOOKUP(D45,Products!$A:$F,3,FALSE)</f>
        <v>Beauty</v>
      </c>
      <c r="M45" s="23" t="str">
        <f>VLOOKUP(E45,Sales_Reps!$A:$E,3,FALSE)</f>
        <v>West</v>
      </c>
      <c r="N45" s="23" t="str">
        <f t="shared" si="0"/>
        <v>Apr-24</v>
      </c>
      <c r="O45" s="23" t="str">
        <f t="shared" si="1"/>
        <v>Q2 2024</v>
      </c>
      <c r="P45" s="23">
        <f>VLOOKUP(D45,Products!$A:$F,4,FALSE)</f>
        <v>2420</v>
      </c>
      <c r="Q45" s="35">
        <f t="shared" si="2"/>
        <v>0.29855072463768118</v>
      </c>
    </row>
    <row r="46" spans="1:17">
      <c r="A46" s="12" t="s">
        <v>247</v>
      </c>
      <c r="B46" s="13">
        <v>45373</v>
      </c>
      <c r="C46" s="12" t="s">
        <v>248</v>
      </c>
      <c r="D46" s="12" t="s">
        <v>184</v>
      </c>
      <c r="E46" s="12" t="s">
        <v>138</v>
      </c>
      <c r="F46" s="14">
        <v>2</v>
      </c>
      <c r="G46" s="14">
        <v>2480</v>
      </c>
      <c r="H46" s="14">
        <v>17.3</v>
      </c>
      <c r="I46" s="14">
        <v>4101.92</v>
      </c>
      <c r="J46" s="12" t="s">
        <v>104</v>
      </c>
      <c r="K46" s="12" t="s">
        <v>134</v>
      </c>
      <c r="L46" s="23" t="str">
        <f>VLOOKUP(D46,Products!$A:$F,3,FALSE)</f>
        <v>Apparel</v>
      </c>
      <c r="M46" s="23" t="str">
        <f>VLOOKUP(E46,Sales_Reps!$A:$E,3,FALSE)</f>
        <v>East</v>
      </c>
      <c r="N46" s="23" t="str">
        <f t="shared" si="0"/>
        <v>Mar-24</v>
      </c>
      <c r="O46" s="23" t="str">
        <f t="shared" si="1"/>
        <v>Q1 2024</v>
      </c>
      <c r="P46" s="23">
        <f>VLOOKUP(D46,Products!$A:$F,4,FALSE)</f>
        <v>1173</v>
      </c>
      <c r="Q46" s="35">
        <f t="shared" si="2"/>
        <v>0.52701612903225803</v>
      </c>
    </row>
    <row r="47" spans="1:17">
      <c r="A47" s="12" t="s">
        <v>249</v>
      </c>
      <c r="B47" s="13">
        <v>45312</v>
      </c>
      <c r="C47" s="12" t="s">
        <v>250</v>
      </c>
      <c r="D47" s="12" t="s">
        <v>251</v>
      </c>
      <c r="E47" s="12" t="s">
        <v>205</v>
      </c>
      <c r="F47" s="14">
        <v>9</v>
      </c>
      <c r="G47" s="14">
        <v>3780</v>
      </c>
      <c r="H47" s="14">
        <v>8.6999999999999993</v>
      </c>
      <c r="I47" s="14">
        <v>31060.26</v>
      </c>
      <c r="J47" s="12" t="s">
        <v>110</v>
      </c>
      <c r="K47" s="12" t="s">
        <v>105</v>
      </c>
      <c r="L47" s="23" t="str">
        <f>VLOOKUP(D47,Products!$A:$F,3,FALSE)</f>
        <v>Grocery</v>
      </c>
      <c r="M47" s="23" t="str">
        <f>VLOOKUP(E47,Sales_Reps!$A:$E,3,FALSE)</f>
        <v>South</v>
      </c>
      <c r="N47" s="23" t="str">
        <f t="shared" si="0"/>
        <v>Jan-24</v>
      </c>
      <c r="O47" s="23" t="str">
        <f t="shared" si="1"/>
        <v>Q1 2024</v>
      </c>
      <c r="P47" s="23">
        <f>VLOOKUP(D47,Products!$A:$F,4,FALSE)</f>
        <v>2436</v>
      </c>
      <c r="Q47" s="35">
        <f t="shared" si="2"/>
        <v>0.35555555555555557</v>
      </c>
    </row>
    <row r="48" spans="1:17">
      <c r="A48" s="12" t="s">
        <v>252</v>
      </c>
      <c r="B48" s="13">
        <v>45340</v>
      </c>
      <c r="C48" s="12" t="s">
        <v>253</v>
      </c>
      <c r="D48" s="12" t="s">
        <v>254</v>
      </c>
      <c r="E48" s="12" t="s">
        <v>255</v>
      </c>
      <c r="F48" s="14">
        <v>4</v>
      </c>
      <c r="G48" s="14">
        <v>3640</v>
      </c>
      <c r="H48" s="14">
        <v>20.7</v>
      </c>
      <c r="I48" s="14">
        <v>11546.08</v>
      </c>
      <c r="J48" s="12" t="s">
        <v>104</v>
      </c>
      <c r="K48" s="12" t="s">
        <v>150</v>
      </c>
      <c r="L48" s="23" t="str">
        <f>VLOOKUP(D48,Products!$A:$F,3,FALSE)</f>
        <v>Apparel</v>
      </c>
      <c r="M48" s="23" t="str">
        <f>VLOOKUP(E48,Sales_Reps!$A:$E,3,FALSE)</f>
        <v>East</v>
      </c>
      <c r="N48" s="23" t="str">
        <f t="shared" si="0"/>
        <v>Feb-24</v>
      </c>
      <c r="O48" s="23" t="str">
        <f t="shared" si="1"/>
        <v>Q1 2024</v>
      </c>
      <c r="P48" s="23">
        <f>VLOOKUP(D48,Products!$A:$F,4,FALSE)</f>
        <v>2611</v>
      </c>
      <c r="Q48" s="35">
        <f t="shared" si="2"/>
        <v>0.28269230769230769</v>
      </c>
    </row>
    <row r="49" spans="1:17">
      <c r="A49" s="12" t="s">
        <v>256</v>
      </c>
      <c r="B49" s="13">
        <v>45370</v>
      </c>
      <c r="C49" s="12" t="s">
        <v>257</v>
      </c>
      <c r="D49" s="12" t="s">
        <v>258</v>
      </c>
      <c r="E49" s="12" t="s">
        <v>165</v>
      </c>
      <c r="F49" s="14">
        <v>8</v>
      </c>
      <c r="G49" s="14">
        <v>6080</v>
      </c>
      <c r="H49" s="14">
        <v>24.4</v>
      </c>
      <c r="I49" s="14">
        <v>36771.839999999997</v>
      </c>
      <c r="J49" s="12" t="s">
        <v>104</v>
      </c>
      <c r="K49" s="12" t="s">
        <v>105</v>
      </c>
      <c r="L49" s="23" t="str">
        <f>VLOOKUP(D49,Products!$A:$F,3,FALSE)</f>
        <v>Beauty</v>
      </c>
      <c r="M49" s="23" t="str">
        <f>VLOOKUP(E49,Sales_Reps!$A:$E,3,FALSE)</f>
        <v>North</v>
      </c>
      <c r="N49" s="23" t="str">
        <f t="shared" si="0"/>
        <v>Mar-24</v>
      </c>
      <c r="O49" s="23" t="str">
        <f t="shared" si="1"/>
        <v>Q1 2024</v>
      </c>
      <c r="P49" s="23">
        <f>VLOOKUP(D49,Products!$A:$F,4,FALSE)</f>
        <v>2617</v>
      </c>
      <c r="Q49" s="35">
        <f t="shared" si="2"/>
        <v>0.56957236842105263</v>
      </c>
    </row>
    <row r="50" spans="1:17">
      <c r="A50" s="12" t="s">
        <v>259</v>
      </c>
      <c r="B50" s="13">
        <v>45389</v>
      </c>
      <c r="C50" s="12" t="s">
        <v>203</v>
      </c>
      <c r="D50" s="12" t="s">
        <v>144</v>
      </c>
      <c r="E50" s="12" t="s">
        <v>103</v>
      </c>
      <c r="F50" s="14">
        <v>10</v>
      </c>
      <c r="G50" s="14">
        <v>970</v>
      </c>
      <c r="H50" s="14">
        <v>0.6</v>
      </c>
      <c r="I50" s="14">
        <v>9641.7999999999993</v>
      </c>
      <c r="J50" s="12" t="s">
        <v>157</v>
      </c>
      <c r="K50" s="12" t="s">
        <v>111</v>
      </c>
      <c r="L50" s="23" t="str">
        <f>VLOOKUP(D50,Products!$A:$F,3,FALSE)</f>
        <v>Grocery</v>
      </c>
      <c r="M50" s="23" t="str">
        <f>VLOOKUP(E50,Sales_Reps!$A:$E,3,FALSE)</f>
        <v>North</v>
      </c>
      <c r="N50" s="23" t="str">
        <f t="shared" si="0"/>
        <v>Apr-24</v>
      </c>
      <c r="O50" s="23" t="str">
        <f t="shared" si="1"/>
        <v>Q2 2024</v>
      </c>
      <c r="P50" s="23">
        <f>VLOOKUP(D50,Products!$A:$F,4,FALSE)</f>
        <v>434</v>
      </c>
      <c r="Q50" s="35">
        <f t="shared" si="2"/>
        <v>0.5525773195876289</v>
      </c>
    </row>
    <row r="51" spans="1:17">
      <c r="A51" s="12" t="s">
        <v>260</v>
      </c>
      <c r="B51" s="13">
        <v>45565</v>
      </c>
      <c r="C51" s="12" t="s">
        <v>261</v>
      </c>
      <c r="D51" s="12" t="s">
        <v>262</v>
      </c>
      <c r="E51" s="12" t="s">
        <v>145</v>
      </c>
      <c r="F51" s="14">
        <v>1</v>
      </c>
      <c r="G51" s="14">
        <v>2270</v>
      </c>
      <c r="H51" s="14">
        <v>11.5</v>
      </c>
      <c r="I51" s="14">
        <v>2008.95</v>
      </c>
      <c r="J51" s="12" t="s">
        <v>110</v>
      </c>
      <c r="K51" s="12" t="s">
        <v>111</v>
      </c>
      <c r="L51" s="23" t="str">
        <f>VLOOKUP(D51,Products!$A:$F,3,FALSE)</f>
        <v>Grocery</v>
      </c>
      <c r="M51" s="23" t="str">
        <f>VLOOKUP(E51,Sales_Reps!$A:$E,3,FALSE)</f>
        <v>West</v>
      </c>
      <c r="N51" s="23" t="str">
        <f t="shared" si="0"/>
        <v>Sep-24</v>
      </c>
      <c r="O51" s="23" t="str">
        <f t="shared" si="1"/>
        <v>Q3 2024</v>
      </c>
      <c r="P51" s="23">
        <f>VLOOKUP(D51,Products!$A:$F,4,FALSE)</f>
        <v>1412</v>
      </c>
      <c r="Q51" s="35">
        <f t="shared" si="2"/>
        <v>0.37797356828193834</v>
      </c>
    </row>
    <row r="52" spans="1:17">
      <c r="A52" s="12" t="s">
        <v>263</v>
      </c>
      <c r="B52" s="13">
        <v>45323</v>
      </c>
      <c r="C52" s="12" t="s">
        <v>264</v>
      </c>
      <c r="D52" s="12" t="s">
        <v>265</v>
      </c>
      <c r="E52" s="12" t="s">
        <v>171</v>
      </c>
      <c r="F52" s="14">
        <v>7</v>
      </c>
      <c r="G52" s="14">
        <v>3870</v>
      </c>
      <c r="H52" s="14">
        <v>0.3</v>
      </c>
      <c r="I52" s="14">
        <v>27008.73</v>
      </c>
      <c r="J52" s="12" t="s">
        <v>157</v>
      </c>
      <c r="K52" s="12" t="s">
        <v>134</v>
      </c>
      <c r="L52" s="23" t="str">
        <f>VLOOKUP(D52,Products!$A:$F,3,FALSE)</f>
        <v>Electronics</v>
      </c>
      <c r="M52" s="23" t="str">
        <f>VLOOKUP(E52,Sales_Reps!$A:$E,3,FALSE)</f>
        <v>East</v>
      </c>
      <c r="N52" s="23" t="str">
        <f t="shared" si="0"/>
        <v>Feb-24</v>
      </c>
      <c r="O52" s="23" t="str">
        <f t="shared" si="1"/>
        <v>Q1 2024</v>
      </c>
      <c r="P52" s="23">
        <f>VLOOKUP(D52,Products!$A:$F,4,FALSE)</f>
        <v>1559</v>
      </c>
      <c r="Q52" s="35">
        <f t="shared" si="2"/>
        <v>0.59715762273901807</v>
      </c>
    </row>
    <row r="53" spans="1:17">
      <c r="A53" s="12" t="s">
        <v>266</v>
      </c>
      <c r="B53" s="13">
        <v>45506</v>
      </c>
      <c r="C53" s="12" t="s">
        <v>267</v>
      </c>
      <c r="D53" s="12" t="s">
        <v>201</v>
      </c>
      <c r="E53" s="12" t="s">
        <v>221</v>
      </c>
      <c r="F53" s="14">
        <v>1</v>
      </c>
      <c r="G53" s="14">
        <v>4880</v>
      </c>
      <c r="H53" s="14">
        <v>23.9</v>
      </c>
      <c r="I53" s="14">
        <v>3713.68</v>
      </c>
      <c r="J53" s="12" t="s">
        <v>110</v>
      </c>
      <c r="K53" s="12" t="s">
        <v>134</v>
      </c>
      <c r="L53" s="23" t="str">
        <f>VLOOKUP(D53,Products!$A:$F,3,FALSE)</f>
        <v>Beauty</v>
      </c>
      <c r="M53" s="23" t="str">
        <f>VLOOKUP(E53,Sales_Reps!$A:$E,3,FALSE)</f>
        <v>South</v>
      </c>
      <c r="N53" s="23" t="str">
        <f t="shared" si="0"/>
        <v>Aug-24</v>
      </c>
      <c r="O53" s="23" t="str">
        <f t="shared" si="1"/>
        <v>Q3 2024</v>
      </c>
      <c r="P53" s="23">
        <f>VLOOKUP(D53,Products!$A:$F,4,FALSE)</f>
        <v>2768</v>
      </c>
      <c r="Q53" s="35">
        <f t="shared" si="2"/>
        <v>0.43278688524590164</v>
      </c>
    </row>
    <row r="54" spans="1:17">
      <c r="A54" s="12" t="s">
        <v>268</v>
      </c>
      <c r="B54" s="13">
        <v>45616</v>
      </c>
      <c r="C54" s="12" t="s">
        <v>122</v>
      </c>
      <c r="D54" s="12" t="s">
        <v>251</v>
      </c>
      <c r="E54" s="12" t="s">
        <v>269</v>
      </c>
      <c r="F54" s="14">
        <v>5</v>
      </c>
      <c r="G54" s="14">
        <v>3780</v>
      </c>
      <c r="H54" s="14">
        <v>18.5</v>
      </c>
      <c r="I54" s="14">
        <v>15403.5</v>
      </c>
      <c r="J54" s="12" t="s">
        <v>104</v>
      </c>
      <c r="K54" s="12" t="s">
        <v>111</v>
      </c>
      <c r="L54" s="23" t="str">
        <f>VLOOKUP(D54,Products!$A:$F,3,FALSE)</f>
        <v>Grocery</v>
      </c>
      <c r="M54" s="23" t="str">
        <f>VLOOKUP(E54,Sales_Reps!$A:$E,3,FALSE)</f>
        <v>South</v>
      </c>
      <c r="N54" s="23" t="str">
        <f t="shared" si="0"/>
        <v>Nov-24</v>
      </c>
      <c r="O54" s="23" t="str">
        <f t="shared" si="1"/>
        <v>Q4 2024</v>
      </c>
      <c r="P54" s="23">
        <f>VLOOKUP(D54,Products!$A:$F,4,FALSE)</f>
        <v>2436</v>
      </c>
      <c r="Q54" s="35">
        <f t="shared" si="2"/>
        <v>0.35555555555555557</v>
      </c>
    </row>
    <row r="55" spans="1:17">
      <c r="A55" s="12" t="s">
        <v>270</v>
      </c>
      <c r="B55" s="13">
        <v>45428</v>
      </c>
      <c r="C55" s="12" t="s">
        <v>271</v>
      </c>
      <c r="D55" s="12" t="s">
        <v>160</v>
      </c>
      <c r="E55" s="12" t="s">
        <v>209</v>
      </c>
      <c r="F55" s="14">
        <v>10</v>
      </c>
      <c r="G55" s="14">
        <v>3250</v>
      </c>
      <c r="H55" s="14">
        <v>25.5</v>
      </c>
      <c r="I55" s="14">
        <v>24212.5</v>
      </c>
      <c r="J55" s="12" t="s">
        <v>104</v>
      </c>
      <c r="K55" s="12" t="s">
        <v>111</v>
      </c>
      <c r="L55" s="23" t="str">
        <f>VLOOKUP(D55,Products!$A:$F,3,FALSE)</f>
        <v>Home</v>
      </c>
      <c r="M55" s="23" t="str">
        <f>VLOOKUP(E55,Sales_Reps!$A:$E,3,FALSE)</f>
        <v>East</v>
      </c>
      <c r="N55" s="23" t="str">
        <f t="shared" si="0"/>
        <v>May-24</v>
      </c>
      <c r="O55" s="23" t="str">
        <f t="shared" si="1"/>
        <v>Q2 2024</v>
      </c>
      <c r="P55" s="23">
        <f>VLOOKUP(D55,Products!$A:$F,4,FALSE)</f>
        <v>1556</v>
      </c>
      <c r="Q55" s="35">
        <f t="shared" si="2"/>
        <v>0.52123076923076928</v>
      </c>
    </row>
    <row r="56" spans="1:17">
      <c r="A56" s="12" t="s">
        <v>272</v>
      </c>
      <c r="B56" s="13">
        <v>45515</v>
      </c>
      <c r="C56" s="12" t="s">
        <v>273</v>
      </c>
      <c r="D56" s="12" t="s">
        <v>254</v>
      </c>
      <c r="E56" s="12" t="s">
        <v>103</v>
      </c>
      <c r="F56" s="14">
        <v>4</v>
      </c>
      <c r="G56" s="14">
        <v>3640</v>
      </c>
      <c r="H56" s="14">
        <v>9.9</v>
      </c>
      <c r="I56" s="14">
        <v>13118.56</v>
      </c>
      <c r="J56" s="12" t="s">
        <v>161</v>
      </c>
      <c r="K56" s="12" t="s">
        <v>150</v>
      </c>
      <c r="L56" s="23" t="str">
        <f>VLOOKUP(D56,Products!$A:$F,3,FALSE)</f>
        <v>Apparel</v>
      </c>
      <c r="M56" s="23" t="str">
        <f>VLOOKUP(E56,Sales_Reps!$A:$E,3,FALSE)</f>
        <v>North</v>
      </c>
      <c r="N56" s="23" t="str">
        <f t="shared" si="0"/>
        <v>Aug-24</v>
      </c>
      <c r="O56" s="23" t="str">
        <f t="shared" si="1"/>
        <v>Q3 2024</v>
      </c>
      <c r="P56" s="23">
        <f>VLOOKUP(D56,Products!$A:$F,4,FALSE)</f>
        <v>2611</v>
      </c>
      <c r="Q56" s="35">
        <f t="shared" si="2"/>
        <v>0.28269230769230769</v>
      </c>
    </row>
    <row r="57" spans="1:17">
      <c r="A57" s="12" t="s">
        <v>274</v>
      </c>
      <c r="B57" s="13">
        <v>45649</v>
      </c>
      <c r="C57" s="12" t="s">
        <v>275</v>
      </c>
      <c r="D57" s="12" t="s">
        <v>276</v>
      </c>
      <c r="E57" s="12" t="s">
        <v>171</v>
      </c>
      <c r="F57" s="14">
        <v>4</v>
      </c>
      <c r="G57" s="14">
        <v>1540</v>
      </c>
      <c r="H57" s="14">
        <v>28.8</v>
      </c>
      <c r="I57" s="14">
        <v>4385.92</v>
      </c>
      <c r="J57" s="12" t="s">
        <v>104</v>
      </c>
      <c r="K57" s="12" t="s">
        <v>116</v>
      </c>
      <c r="L57" s="23" t="str">
        <f>VLOOKUP(D57,Products!$A:$F,3,FALSE)</f>
        <v>Beauty</v>
      </c>
      <c r="M57" s="23" t="str">
        <f>VLOOKUP(E57,Sales_Reps!$A:$E,3,FALSE)</f>
        <v>East</v>
      </c>
      <c r="N57" s="23" t="str">
        <f t="shared" si="0"/>
        <v>Dec-24</v>
      </c>
      <c r="O57" s="23" t="str">
        <f t="shared" si="1"/>
        <v>Q4 2024</v>
      </c>
      <c r="P57" s="23">
        <f>VLOOKUP(D57,Products!$A:$F,4,FALSE)</f>
        <v>647</v>
      </c>
      <c r="Q57" s="35">
        <f t="shared" si="2"/>
        <v>0.57987012987012987</v>
      </c>
    </row>
    <row r="58" spans="1:17">
      <c r="A58" s="12" t="s">
        <v>277</v>
      </c>
      <c r="B58" s="13">
        <v>45616</v>
      </c>
      <c r="C58" s="12" t="s">
        <v>278</v>
      </c>
      <c r="D58" s="12" t="s">
        <v>181</v>
      </c>
      <c r="E58" s="12" t="s">
        <v>255</v>
      </c>
      <c r="F58" s="14">
        <v>1</v>
      </c>
      <c r="G58" s="14">
        <v>1080</v>
      </c>
      <c r="H58" s="14">
        <v>23</v>
      </c>
      <c r="I58" s="14">
        <v>831.6</v>
      </c>
      <c r="J58" s="12" t="s">
        <v>157</v>
      </c>
      <c r="K58" s="12" t="s">
        <v>116</v>
      </c>
      <c r="L58" s="23" t="str">
        <f>VLOOKUP(D58,Products!$A:$F,3,FALSE)</f>
        <v>Home</v>
      </c>
      <c r="M58" s="23" t="str">
        <f>VLOOKUP(E58,Sales_Reps!$A:$E,3,FALSE)</f>
        <v>East</v>
      </c>
      <c r="N58" s="23" t="str">
        <f t="shared" si="0"/>
        <v>Nov-24</v>
      </c>
      <c r="O58" s="23" t="str">
        <f t="shared" si="1"/>
        <v>Q4 2024</v>
      </c>
      <c r="P58" s="23">
        <f>VLOOKUP(D58,Products!$A:$F,4,FALSE)</f>
        <v>519</v>
      </c>
      <c r="Q58" s="35">
        <f t="shared" si="2"/>
        <v>0.51944444444444449</v>
      </c>
    </row>
    <row r="59" spans="1:17">
      <c r="A59" s="12" t="s">
        <v>279</v>
      </c>
      <c r="B59" s="13">
        <v>45573</v>
      </c>
      <c r="C59" s="12" t="s">
        <v>280</v>
      </c>
      <c r="D59" s="12" t="s">
        <v>281</v>
      </c>
      <c r="E59" s="12" t="s">
        <v>103</v>
      </c>
      <c r="F59" s="14">
        <v>1</v>
      </c>
      <c r="G59" s="14">
        <v>4070</v>
      </c>
      <c r="H59" s="14">
        <v>6.7</v>
      </c>
      <c r="I59" s="14">
        <v>3797.31</v>
      </c>
      <c r="J59" s="12" t="s">
        <v>104</v>
      </c>
      <c r="K59" s="12" t="s">
        <v>150</v>
      </c>
      <c r="L59" s="23" t="str">
        <f>VLOOKUP(D59,Products!$A:$F,3,FALSE)</f>
        <v>Grocery</v>
      </c>
      <c r="M59" s="23" t="str">
        <f>VLOOKUP(E59,Sales_Reps!$A:$E,3,FALSE)</f>
        <v>North</v>
      </c>
      <c r="N59" s="23" t="str">
        <f t="shared" si="0"/>
        <v>Oct-24</v>
      </c>
      <c r="O59" s="23" t="str">
        <f t="shared" si="1"/>
        <v>Q4 2024</v>
      </c>
      <c r="P59" s="23">
        <f>VLOOKUP(D59,Products!$A:$F,4,FALSE)</f>
        <v>2027</v>
      </c>
      <c r="Q59" s="35">
        <f t="shared" si="2"/>
        <v>0.50196560196560192</v>
      </c>
    </row>
    <row r="60" spans="1:17">
      <c r="A60" s="12" t="s">
        <v>282</v>
      </c>
      <c r="B60" s="13">
        <v>45417</v>
      </c>
      <c r="C60" s="12" t="s">
        <v>283</v>
      </c>
      <c r="D60" s="12" t="s">
        <v>284</v>
      </c>
      <c r="E60" s="12" t="s">
        <v>187</v>
      </c>
      <c r="F60" s="14">
        <v>2</v>
      </c>
      <c r="G60" s="14">
        <v>1220</v>
      </c>
      <c r="H60" s="14">
        <v>11.7</v>
      </c>
      <c r="I60" s="14">
        <v>2154.52</v>
      </c>
      <c r="J60" s="12" t="s">
        <v>157</v>
      </c>
      <c r="K60" s="12" t="s">
        <v>116</v>
      </c>
      <c r="L60" s="23" t="str">
        <f>VLOOKUP(D60,Products!$A:$F,3,FALSE)</f>
        <v>Electronics</v>
      </c>
      <c r="M60" s="23" t="str">
        <f>VLOOKUP(E60,Sales_Reps!$A:$E,3,FALSE)</f>
        <v>West</v>
      </c>
      <c r="N60" s="23" t="str">
        <f t="shared" si="0"/>
        <v>May-24</v>
      </c>
      <c r="O60" s="23" t="str">
        <f t="shared" si="1"/>
        <v>Q2 2024</v>
      </c>
      <c r="P60" s="23">
        <f>VLOOKUP(D60,Products!$A:$F,4,FALSE)</f>
        <v>517</v>
      </c>
      <c r="Q60" s="35">
        <f t="shared" si="2"/>
        <v>0.57622950819672136</v>
      </c>
    </row>
    <row r="61" spans="1:17">
      <c r="A61" s="12" t="s">
        <v>285</v>
      </c>
      <c r="B61" s="13">
        <v>45425</v>
      </c>
      <c r="C61" s="12" t="s">
        <v>286</v>
      </c>
      <c r="D61" s="12" t="s">
        <v>287</v>
      </c>
      <c r="E61" s="12" t="s">
        <v>246</v>
      </c>
      <c r="F61" s="14">
        <v>4</v>
      </c>
      <c r="G61" s="14">
        <v>4610</v>
      </c>
      <c r="H61" s="14">
        <v>26.9</v>
      </c>
      <c r="I61" s="14">
        <v>13479.64</v>
      </c>
      <c r="J61" s="12" t="s">
        <v>110</v>
      </c>
      <c r="K61" s="12" t="s">
        <v>129</v>
      </c>
      <c r="L61" s="23" t="str">
        <f>VLOOKUP(D61,Products!$A:$F,3,FALSE)</f>
        <v>Home</v>
      </c>
      <c r="M61" s="23" t="str">
        <f>VLOOKUP(E61,Sales_Reps!$A:$E,3,FALSE)</f>
        <v>West</v>
      </c>
      <c r="N61" s="23" t="str">
        <f t="shared" si="0"/>
        <v>May-24</v>
      </c>
      <c r="O61" s="23" t="str">
        <f t="shared" si="1"/>
        <v>Q2 2024</v>
      </c>
      <c r="P61" s="23">
        <f>VLOOKUP(D61,Products!$A:$F,4,FALSE)</f>
        <v>1850</v>
      </c>
      <c r="Q61" s="35">
        <f t="shared" si="2"/>
        <v>0.59869848156182215</v>
      </c>
    </row>
    <row r="62" spans="1:17">
      <c r="A62" s="12" t="s">
        <v>288</v>
      </c>
      <c r="B62" s="13">
        <v>45589</v>
      </c>
      <c r="C62" s="12" t="s">
        <v>289</v>
      </c>
      <c r="D62" s="12" t="s">
        <v>181</v>
      </c>
      <c r="E62" s="12" t="s">
        <v>290</v>
      </c>
      <c r="F62" s="14">
        <v>8</v>
      </c>
      <c r="G62" s="14">
        <v>1080</v>
      </c>
      <c r="H62" s="14">
        <v>28.4</v>
      </c>
      <c r="I62" s="14">
        <v>6186.24</v>
      </c>
      <c r="J62" s="12" t="s">
        <v>104</v>
      </c>
      <c r="K62" s="12" t="s">
        <v>111</v>
      </c>
      <c r="L62" s="23" t="str">
        <f>VLOOKUP(D62,Products!$A:$F,3,FALSE)</f>
        <v>Home</v>
      </c>
      <c r="M62" s="23" t="str">
        <f>VLOOKUP(E62,Sales_Reps!$A:$E,3,FALSE)</f>
        <v>South</v>
      </c>
      <c r="N62" s="23" t="str">
        <f t="shared" si="0"/>
        <v>Oct-24</v>
      </c>
      <c r="O62" s="23" t="str">
        <f t="shared" si="1"/>
        <v>Q4 2024</v>
      </c>
      <c r="P62" s="23">
        <f>VLOOKUP(D62,Products!$A:$F,4,FALSE)</f>
        <v>519</v>
      </c>
      <c r="Q62" s="35">
        <f t="shared" si="2"/>
        <v>0.51944444444444449</v>
      </c>
    </row>
    <row r="63" spans="1:17">
      <c r="A63" s="12" t="s">
        <v>291</v>
      </c>
      <c r="B63" s="13">
        <v>45488</v>
      </c>
      <c r="C63" s="12" t="s">
        <v>292</v>
      </c>
      <c r="D63" s="12" t="s">
        <v>293</v>
      </c>
      <c r="E63" s="12" t="s">
        <v>120</v>
      </c>
      <c r="F63" s="14">
        <v>10</v>
      </c>
      <c r="G63" s="14">
        <v>3020</v>
      </c>
      <c r="H63" s="14">
        <v>25.4</v>
      </c>
      <c r="I63" s="14">
        <v>22529.200000000001</v>
      </c>
      <c r="J63" s="12" t="s">
        <v>104</v>
      </c>
      <c r="K63" s="12" t="s">
        <v>105</v>
      </c>
      <c r="L63" s="23" t="str">
        <f>VLOOKUP(D63,Products!$A:$F,3,FALSE)</f>
        <v>Beauty</v>
      </c>
      <c r="M63" s="23" t="str">
        <f>VLOOKUP(E63,Sales_Reps!$A:$E,3,FALSE)</f>
        <v>North</v>
      </c>
      <c r="N63" s="23" t="str">
        <f t="shared" si="0"/>
        <v>Jul-24</v>
      </c>
      <c r="O63" s="23" t="str">
        <f t="shared" si="1"/>
        <v>Q3 2024</v>
      </c>
      <c r="P63" s="23">
        <f>VLOOKUP(D63,Products!$A:$F,4,FALSE)</f>
        <v>1626</v>
      </c>
      <c r="Q63" s="35">
        <f t="shared" si="2"/>
        <v>0.46158940397350995</v>
      </c>
    </row>
    <row r="64" spans="1:17">
      <c r="A64" s="12" t="s">
        <v>294</v>
      </c>
      <c r="B64" s="13">
        <v>45465</v>
      </c>
      <c r="C64" s="12" t="s">
        <v>295</v>
      </c>
      <c r="D64" s="12" t="s">
        <v>296</v>
      </c>
      <c r="E64" s="12" t="s">
        <v>255</v>
      </c>
      <c r="F64" s="14">
        <v>7</v>
      </c>
      <c r="G64" s="14">
        <v>2660</v>
      </c>
      <c r="H64" s="14">
        <v>5.3</v>
      </c>
      <c r="I64" s="14">
        <v>17633.14</v>
      </c>
      <c r="J64" s="12" t="s">
        <v>104</v>
      </c>
      <c r="K64" s="12" t="s">
        <v>150</v>
      </c>
      <c r="L64" s="23" t="str">
        <f>VLOOKUP(D64,Products!$A:$F,3,FALSE)</f>
        <v>Electronics</v>
      </c>
      <c r="M64" s="23" t="str">
        <f>VLOOKUP(E64,Sales_Reps!$A:$E,3,FALSE)</f>
        <v>East</v>
      </c>
      <c r="N64" s="23" t="str">
        <f t="shared" si="0"/>
        <v>Jun-24</v>
      </c>
      <c r="O64" s="23" t="str">
        <f t="shared" si="1"/>
        <v>Q2 2024</v>
      </c>
      <c r="P64" s="23">
        <f>VLOOKUP(D64,Products!$A:$F,4,FALSE)</f>
        <v>1259</v>
      </c>
      <c r="Q64" s="35">
        <f t="shared" si="2"/>
        <v>0.52669172932330832</v>
      </c>
    </row>
    <row r="65" spans="1:17">
      <c r="A65" s="12" t="s">
        <v>297</v>
      </c>
      <c r="B65" s="13">
        <v>45599</v>
      </c>
      <c r="C65" s="12" t="s">
        <v>298</v>
      </c>
      <c r="D65" s="12" t="s">
        <v>299</v>
      </c>
      <c r="E65" s="12" t="s">
        <v>165</v>
      </c>
      <c r="F65" s="14">
        <v>9</v>
      </c>
      <c r="G65" s="14">
        <v>300</v>
      </c>
      <c r="H65" s="14">
        <v>25.3</v>
      </c>
      <c r="I65" s="14">
        <v>2016.9</v>
      </c>
      <c r="J65" s="12" t="s">
        <v>104</v>
      </c>
      <c r="K65" s="12" t="s">
        <v>105</v>
      </c>
      <c r="L65" s="23" t="str">
        <f>VLOOKUP(D65,Products!$A:$F,3,FALSE)</f>
        <v>Electronics</v>
      </c>
      <c r="M65" s="23" t="str">
        <f>VLOOKUP(E65,Sales_Reps!$A:$E,3,FALSE)</f>
        <v>North</v>
      </c>
      <c r="N65" s="23" t="str">
        <f t="shared" si="0"/>
        <v>Nov-24</v>
      </c>
      <c r="O65" s="23" t="str">
        <f t="shared" si="1"/>
        <v>Q4 2024</v>
      </c>
      <c r="P65" s="23">
        <f>VLOOKUP(D65,Products!$A:$F,4,FALSE)</f>
        <v>128</v>
      </c>
      <c r="Q65" s="35">
        <f t="shared" si="2"/>
        <v>0.57333333333333336</v>
      </c>
    </row>
    <row r="66" spans="1:17">
      <c r="A66" s="12" t="s">
        <v>300</v>
      </c>
      <c r="B66" s="13">
        <v>45317</v>
      </c>
      <c r="C66" s="12" t="s">
        <v>301</v>
      </c>
      <c r="D66" s="12" t="s">
        <v>152</v>
      </c>
      <c r="E66" s="12" t="s">
        <v>302</v>
      </c>
      <c r="F66" s="14">
        <v>10</v>
      </c>
      <c r="G66" s="14">
        <v>2640</v>
      </c>
      <c r="H66" s="14">
        <v>18.7</v>
      </c>
      <c r="I66" s="14">
        <v>21463.200000000001</v>
      </c>
      <c r="J66" s="12" t="s">
        <v>157</v>
      </c>
      <c r="K66" s="12" t="s">
        <v>111</v>
      </c>
      <c r="L66" s="23" t="str">
        <f>VLOOKUP(D66,Products!$A:$F,3,FALSE)</f>
        <v>Electronics</v>
      </c>
      <c r="M66" s="23" t="str">
        <f>VLOOKUP(E66,Sales_Reps!$A:$E,3,FALSE)</f>
        <v>East</v>
      </c>
      <c r="N66" s="23" t="str">
        <f t="shared" si="0"/>
        <v>Jan-24</v>
      </c>
      <c r="O66" s="23" t="str">
        <f t="shared" si="1"/>
        <v>Q1 2024</v>
      </c>
      <c r="P66" s="23">
        <f>VLOOKUP(D66,Products!$A:$F,4,FALSE)</f>
        <v>1149</v>
      </c>
      <c r="Q66" s="35">
        <f t="shared" si="2"/>
        <v>0.56477272727272732</v>
      </c>
    </row>
    <row r="67" spans="1:17">
      <c r="A67" s="12" t="s">
        <v>303</v>
      </c>
      <c r="B67" s="13">
        <v>45462</v>
      </c>
      <c r="C67" s="12" t="s">
        <v>236</v>
      </c>
      <c r="D67" s="12" t="s">
        <v>108</v>
      </c>
      <c r="E67" s="12" t="s">
        <v>209</v>
      </c>
      <c r="F67" s="14">
        <v>8</v>
      </c>
      <c r="G67" s="14">
        <v>820</v>
      </c>
      <c r="H67" s="14">
        <v>24</v>
      </c>
      <c r="I67" s="14">
        <v>4985.6000000000004</v>
      </c>
      <c r="J67" s="12" t="s">
        <v>104</v>
      </c>
      <c r="K67" s="12" t="s">
        <v>116</v>
      </c>
      <c r="L67" s="23" t="str">
        <f>VLOOKUP(D67,Products!$A:$F,3,FALSE)</f>
        <v>Apparel</v>
      </c>
      <c r="M67" s="23" t="str">
        <f>VLOOKUP(E67,Sales_Reps!$A:$E,3,FALSE)</f>
        <v>East</v>
      </c>
      <c r="N67" s="23" t="str">
        <f t="shared" ref="N67:N130" si="3">TEXT(B67, "mmm-yy")</f>
        <v>Jun-24</v>
      </c>
      <c r="O67" s="23" t="str">
        <f t="shared" ref="O67:O130" si="4">"Q" &amp; INT((MONTH(B67)-1)/3)+1 &amp; " " &amp; YEAR(B67)</f>
        <v>Q2 2024</v>
      </c>
      <c r="P67" s="23">
        <f>VLOOKUP(D67,Products!$A:$F,4,FALSE)</f>
        <v>391</v>
      </c>
      <c r="Q67" s="35">
        <f t="shared" ref="Q67:Q130" si="5">(G67 - P67) / G67</f>
        <v>0.52317073170731709</v>
      </c>
    </row>
    <row r="68" spans="1:17">
      <c r="A68" s="12" t="s">
        <v>304</v>
      </c>
      <c r="B68" s="13">
        <v>45499</v>
      </c>
      <c r="C68" s="12" t="s">
        <v>107</v>
      </c>
      <c r="D68" s="12" t="s">
        <v>217</v>
      </c>
      <c r="E68" s="12" t="s">
        <v>145</v>
      </c>
      <c r="F68" s="14">
        <v>1</v>
      </c>
      <c r="G68" s="14">
        <v>2760</v>
      </c>
      <c r="H68" s="14">
        <v>4.8</v>
      </c>
      <c r="I68" s="14">
        <v>2627.52</v>
      </c>
      <c r="J68" s="12" t="s">
        <v>104</v>
      </c>
      <c r="K68" s="12" t="s">
        <v>111</v>
      </c>
      <c r="L68" s="23" t="str">
        <f>VLOOKUP(D68,Products!$A:$F,3,FALSE)</f>
        <v>Grocery</v>
      </c>
      <c r="M68" s="23" t="str">
        <f>VLOOKUP(E68,Sales_Reps!$A:$E,3,FALSE)</f>
        <v>West</v>
      </c>
      <c r="N68" s="23" t="str">
        <f t="shared" si="3"/>
        <v>Jul-24</v>
      </c>
      <c r="O68" s="23" t="str">
        <f t="shared" si="4"/>
        <v>Q3 2024</v>
      </c>
      <c r="P68" s="23">
        <f>VLOOKUP(D68,Products!$A:$F,4,FALSE)</f>
        <v>1435</v>
      </c>
      <c r="Q68" s="35">
        <f t="shared" si="5"/>
        <v>0.48007246376811596</v>
      </c>
    </row>
    <row r="69" spans="1:17">
      <c r="A69" s="12" t="s">
        <v>305</v>
      </c>
      <c r="B69" s="13">
        <v>45328</v>
      </c>
      <c r="C69" s="12" t="s">
        <v>306</v>
      </c>
      <c r="D69" s="12" t="s">
        <v>102</v>
      </c>
      <c r="E69" s="12" t="s">
        <v>255</v>
      </c>
      <c r="F69" s="14">
        <v>2</v>
      </c>
      <c r="G69" s="14">
        <v>3620</v>
      </c>
      <c r="H69" s="14">
        <v>19.100000000000001</v>
      </c>
      <c r="I69" s="14">
        <v>5857.16</v>
      </c>
      <c r="J69" s="12" t="s">
        <v>104</v>
      </c>
      <c r="K69" s="12" t="s">
        <v>111</v>
      </c>
      <c r="L69" s="23" t="str">
        <f>VLOOKUP(D69,Products!$A:$F,3,FALSE)</f>
        <v>Apparel</v>
      </c>
      <c r="M69" s="23" t="str">
        <f>VLOOKUP(E69,Sales_Reps!$A:$E,3,FALSE)</f>
        <v>East</v>
      </c>
      <c r="N69" s="23" t="str">
        <f t="shared" si="3"/>
        <v>Feb-24</v>
      </c>
      <c r="O69" s="23" t="str">
        <f t="shared" si="4"/>
        <v>Q1 2024</v>
      </c>
      <c r="P69" s="23">
        <f>VLOOKUP(D69,Products!$A:$F,4,FALSE)</f>
        <v>2509</v>
      </c>
      <c r="Q69" s="35">
        <f t="shared" si="5"/>
        <v>0.3069060773480663</v>
      </c>
    </row>
    <row r="70" spans="1:17">
      <c r="A70" s="12" t="s">
        <v>307</v>
      </c>
      <c r="B70" s="13">
        <v>45459</v>
      </c>
      <c r="C70" s="12" t="s">
        <v>308</v>
      </c>
      <c r="D70" s="12" t="s">
        <v>309</v>
      </c>
      <c r="E70" s="12" t="s">
        <v>128</v>
      </c>
      <c r="F70" s="14">
        <v>1</v>
      </c>
      <c r="G70" s="14">
        <v>620</v>
      </c>
      <c r="H70" s="14">
        <v>1</v>
      </c>
      <c r="I70" s="14">
        <v>613.79999999999995</v>
      </c>
      <c r="J70" s="12" t="s">
        <v>104</v>
      </c>
      <c r="K70" s="12" t="s">
        <v>116</v>
      </c>
      <c r="L70" s="23" t="str">
        <f>VLOOKUP(D70,Products!$A:$F,3,FALSE)</f>
        <v>Apparel</v>
      </c>
      <c r="M70" s="23" t="str">
        <f>VLOOKUP(E70,Sales_Reps!$A:$E,3,FALSE)</f>
        <v>West</v>
      </c>
      <c r="N70" s="23" t="str">
        <f t="shared" si="3"/>
        <v>Jun-24</v>
      </c>
      <c r="O70" s="23" t="str">
        <f t="shared" si="4"/>
        <v>Q2 2024</v>
      </c>
      <c r="P70" s="23">
        <f>VLOOKUP(D70,Products!$A:$F,4,FALSE)</f>
        <v>396</v>
      </c>
      <c r="Q70" s="35">
        <f t="shared" si="5"/>
        <v>0.36129032258064514</v>
      </c>
    </row>
    <row r="71" spans="1:17">
      <c r="A71" s="12" t="s">
        <v>310</v>
      </c>
      <c r="B71" s="13">
        <v>45398</v>
      </c>
      <c r="C71" s="12" t="s">
        <v>311</v>
      </c>
      <c r="D71" s="12" t="s">
        <v>312</v>
      </c>
      <c r="E71" s="12" t="s">
        <v>187</v>
      </c>
      <c r="F71" s="14">
        <v>1</v>
      </c>
      <c r="G71" s="14">
        <v>2030</v>
      </c>
      <c r="H71" s="14">
        <v>3.3</v>
      </c>
      <c r="I71" s="14">
        <v>1963.01</v>
      </c>
      <c r="J71" s="12" t="s">
        <v>104</v>
      </c>
      <c r="K71" s="12" t="s">
        <v>150</v>
      </c>
      <c r="L71" s="23" t="str">
        <f>VLOOKUP(D71,Products!$A:$F,3,FALSE)</f>
        <v>Home</v>
      </c>
      <c r="M71" s="23" t="str">
        <f>VLOOKUP(E71,Sales_Reps!$A:$E,3,FALSE)</f>
        <v>West</v>
      </c>
      <c r="N71" s="23" t="str">
        <f t="shared" si="3"/>
        <v>Apr-24</v>
      </c>
      <c r="O71" s="23" t="str">
        <f t="shared" si="4"/>
        <v>Q2 2024</v>
      </c>
      <c r="P71" s="23">
        <f>VLOOKUP(D71,Products!$A:$F,4,FALSE)</f>
        <v>1143</v>
      </c>
      <c r="Q71" s="35">
        <f t="shared" si="5"/>
        <v>0.43694581280788175</v>
      </c>
    </row>
    <row r="72" spans="1:17">
      <c r="A72" s="12" t="s">
        <v>313</v>
      </c>
      <c r="B72" s="13">
        <v>45470</v>
      </c>
      <c r="C72" s="12" t="s">
        <v>122</v>
      </c>
      <c r="D72" s="12" t="s">
        <v>123</v>
      </c>
      <c r="E72" s="12" t="s">
        <v>314</v>
      </c>
      <c r="F72" s="14">
        <v>10</v>
      </c>
      <c r="G72" s="14">
        <v>3160</v>
      </c>
      <c r="H72" s="14">
        <v>15.8</v>
      </c>
      <c r="I72" s="14">
        <v>26607.200000000001</v>
      </c>
      <c r="J72" s="12" t="s">
        <v>104</v>
      </c>
      <c r="K72" s="12" t="s">
        <v>111</v>
      </c>
      <c r="L72" s="23" t="str">
        <f>VLOOKUP(D72,Products!$A:$F,3,FALSE)</f>
        <v>Apparel</v>
      </c>
      <c r="M72" s="23" t="str">
        <f>VLOOKUP(E72,Sales_Reps!$A:$E,3,FALSE)</f>
        <v>North</v>
      </c>
      <c r="N72" s="23" t="str">
        <f t="shared" si="3"/>
        <v>Jun-24</v>
      </c>
      <c r="O72" s="23" t="str">
        <f t="shared" si="4"/>
        <v>Q2 2024</v>
      </c>
      <c r="P72" s="23">
        <f>VLOOKUP(D72,Products!$A:$F,4,FALSE)</f>
        <v>1886</v>
      </c>
      <c r="Q72" s="35">
        <f t="shared" si="5"/>
        <v>0.4031645569620253</v>
      </c>
    </row>
    <row r="73" spans="1:17">
      <c r="A73" s="12" t="s">
        <v>315</v>
      </c>
      <c r="B73" s="13">
        <v>45346</v>
      </c>
      <c r="C73" s="12" t="s">
        <v>316</v>
      </c>
      <c r="D73" s="12" t="s">
        <v>144</v>
      </c>
      <c r="E73" s="12" t="s">
        <v>232</v>
      </c>
      <c r="F73" s="14">
        <v>5</v>
      </c>
      <c r="G73" s="14">
        <v>970</v>
      </c>
      <c r="H73" s="14">
        <v>12.2</v>
      </c>
      <c r="I73" s="14">
        <v>4258.3</v>
      </c>
      <c r="J73" s="12" t="s">
        <v>104</v>
      </c>
      <c r="K73" s="12" t="s">
        <v>150</v>
      </c>
      <c r="L73" s="23" t="str">
        <f>VLOOKUP(D73,Products!$A:$F,3,FALSE)</f>
        <v>Grocery</v>
      </c>
      <c r="M73" s="23" t="str">
        <f>VLOOKUP(E73,Sales_Reps!$A:$E,3,FALSE)</f>
        <v>North</v>
      </c>
      <c r="N73" s="23" t="str">
        <f t="shared" si="3"/>
        <v>Feb-24</v>
      </c>
      <c r="O73" s="23" t="str">
        <f t="shared" si="4"/>
        <v>Q1 2024</v>
      </c>
      <c r="P73" s="23">
        <f>VLOOKUP(D73,Products!$A:$F,4,FALSE)</f>
        <v>434</v>
      </c>
      <c r="Q73" s="35">
        <f t="shared" si="5"/>
        <v>0.5525773195876289</v>
      </c>
    </row>
    <row r="74" spans="1:17">
      <c r="A74" s="12" t="s">
        <v>317</v>
      </c>
      <c r="B74" s="13">
        <v>45483</v>
      </c>
      <c r="C74" s="12" t="s">
        <v>318</v>
      </c>
      <c r="D74" s="12" t="s">
        <v>196</v>
      </c>
      <c r="E74" s="12" t="s">
        <v>165</v>
      </c>
      <c r="F74" s="14">
        <v>9</v>
      </c>
      <c r="G74" s="14">
        <v>3350</v>
      </c>
      <c r="H74" s="14">
        <v>25.8</v>
      </c>
      <c r="I74" s="14">
        <v>22371.3</v>
      </c>
      <c r="J74" s="12" t="s">
        <v>110</v>
      </c>
      <c r="K74" s="12" t="s">
        <v>111</v>
      </c>
      <c r="L74" s="23" t="str">
        <f>VLOOKUP(D74,Products!$A:$F,3,FALSE)</f>
        <v>Beauty</v>
      </c>
      <c r="M74" s="23" t="str">
        <f>VLOOKUP(E74,Sales_Reps!$A:$E,3,FALSE)</f>
        <v>North</v>
      </c>
      <c r="N74" s="23" t="str">
        <f t="shared" si="3"/>
        <v>Jul-24</v>
      </c>
      <c r="O74" s="23" t="str">
        <f t="shared" si="4"/>
        <v>Q3 2024</v>
      </c>
      <c r="P74" s="23">
        <f>VLOOKUP(D74,Products!$A:$F,4,FALSE)</f>
        <v>1728</v>
      </c>
      <c r="Q74" s="35">
        <f t="shared" si="5"/>
        <v>0.48417910447761192</v>
      </c>
    </row>
    <row r="75" spans="1:17">
      <c r="A75" s="12" t="s">
        <v>319</v>
      </c>
      <c r="B75" s="13">
        <v>45585</v>
      </c>
      <c r="C75" s="12" t="s">
        <v>275</v>
      </c>
      <c r="D75" s="12" t="s">
        <v>127</v>
      </c>
      <c r="E75" s="12" t="s">
        <v>320</v>
      </c>
      <c r="F75" s="14">
        <v>1</v>
      </c>
      <c r="G75" s="14">
        <v>370</v>
      </c>
      <c r="H75" s="14">
        <v>28.9</v>
      </c>
      <c r="I75" s="14">
        <v>263.07</v>
      </c>
      <c r="J75" s="12" t="s">
        <v>104</v>
      </c>
      <c r="K75" s="12" t="s">
        <v>116</v>
      </c>
      <c r="L75" s="23" t="str">
        <f>VLOOKUP(D75,Products!$A:$F,3,FALSE)</f>
        <v>Home</v>
      </c>
      <c r="M75" s="23" t="str">
        <f>VLOOKUP(E75,Sales_Reps!$A:$E,3,FALSE)</f>
        <v>East</v>
      </c>
      <c r="N75" s="23" t="str">
        <f t="shared" si="3"/>
        <v>Oct-24</v>
      </c>
      <c r="O75" s="23" t="str">
        <f t="shared" si="4"/>
        <v>Q4 2024</v>
      </c>
      <c r="P75" s="23">
        <f>VLOOKUP(D75,Products!$A:$F,4,FALSE)</f>
        <v>288</v>
      </c>
      <c r="Q75" s="35">
        <f t="shared" si="5"/>
        <v>0.22162162162162163</v>
      </c>
    </row>
    <row r="76" spans="1:17">
      <c r="A76" s="12" t="s">
        <v>321</v>
      </c>
      <c r="B76" s="13">
        <v>45500</v>
      </c>
      <c r="C76" s="12" t="s">
        <v>322</v>
      </c>
      <c r="D76" s="12" t="s">
        <v>144</v>
      </c>
      <c r="E76" s="12" t="s">
        <v>149</v>
      </c>
      <c r="F76" s="14">
        <v>3</v>
      </c>
      <c r="G76" s="14">
        <v>970</v>
      </c>
      <c r="H76" s="14">
        <v>4.3</v>
      </c>
      <c r="I76" s="14">
        <v>2784.87</v>
      </c>
      <c r="J76" s="12" t="s">
        <v>157</v>
      </c>
      <c r="K76" s="12" t="s">
        <v>150</v>
      </c>
      <c r="L76" s="23" t="str">
        <f>VLOOKUP(D76,Products!$A:$F,3,FALSE)</f>
        <v>Grocery</v>
      </c>
      <c r="M76" s="23" t="str">
        <f>VLOOKUP(E76,Sales_Reps!$A:$E,3,FALSE)</f>
        <v>South</v>
      </c>
      <c r="N76" s="23" t="str">
        <f t="shared" si="3"/>
        <v>Jul-24</v>
      </c>
      <c r="O76" s="23" t="str">
        <f t="shared" si="4"/>
        <v>Q3 2024</v>
      </c>
      <c r="P76" s="23">
        <f>VLOOKUP(D76,Products!$A:$F,4,FALSE)</f>
        <v>434</v>
      </c>
      <c r="Q76" s="35">
        <f t="shared" si="5"/>
        <v>0.5525773195876289</v>
      </c>
    </row>
    <row r="77" spans="1:17">
      <c r="A77" s="12" t="s">
        <v>323</v>
      </c>
      <c r="B77" s="13">
        <v>45375</v>
      </c>
      <c r="C77" s="12" t="s">
        <v>159</v>
      </c>
      <c r="D77" s="12" t="s">
        <v>217</v>
      </c>
      <c r="E77" s="12" t="s">
        <v>302</v>
      </c>
      <c r="F77" s="14">
        <v>6</v>
      </c>
      <c r="G77" s="14">
        <v>2760</v>
      </c>
      <c r="H77" s="14">
        <v>19.899999999999999</v>
      </c>
      <c r="I77" s="14">
        <v>13264.56</v>
      </c>
      <c r="J77" s="12" t="s">
        <v>110</v>
      </c>
      <c r="K77" s="12" t="s">
        <v>105</v>
      </c>
      <c r="L77" s="23" t="str">
        <f>VLOOKUP(D77,Products!$A:$F,3,FALSE)</f>
        <v>Grocery</v>
      </c>
      <c r="M77" s="23" t="str">
        <f>VLOOKUP(E77,Sales_Reps!$A:$E,3,FALSE)</f>
        <v>East</v>
      </c>
      <c r="N77" s="23" t="str">
        <f t="shared" si="3"/>
        <v>Mar-24</v>
      </c>
      <c r="O77" s="23" t="str">
        <f t="shared" si="4"/>
        <v>Q1 2024</v>
      </c>
      <c r="P77" s="23">
        <f>VLOOKUP(D77,Products!$A:$F,4,FALSE)</f>
        <v>1435</v>
      </c>
      <c r="Q77" s="35">
        <f t="shared" si="5"/>
        <v>0.48007246376811596</v>
      </c>
    </row>
    <row r="78" spans="1:17">
      <c r="A78" s="12" t="s">
        <v>324</v>
      </c>
      <c r="B78" s="13">
        <v>45443</v>
      </c>
      <c r="C78" s="12" t="s">
        <v>325</v>
      </c>
      <c r="D78" s="12" t="s">
        <v>217</v>
      </c>
      <c r="E78" s="12" t="s">
        <v>138</v>
      </c>
      <c r="F78" s="14">
        <v>7</v>
      </c>
      <c r="G78" s="14">
        <v>2760</v>
      </c>
      <c r="H78" s="14">
        <v>25.2</v>
      </c>
      <c r="I78" s="14">
        <v>14451.36</v>
      </c>
      <c r="J78" s="12" t="s">
        <v>104</v>
      </c>
      <c r="K78" s="12" t="s">
        <v>105</v>
      </c>
      <c r="L78" s="23" t="str">
        <f>VLOOKUP(D78,Products!$A:$F,3,FALSE)</f>
        <v>Grocery</v>
      </c>
      <c r="M78" s="23" t="str">
        <f>VLOOKUP(E78,Sales_Reps!$A:$E,3,FALSE)</f>
        <v>East</v>
      </c>
      <c r="N78" s="23" t="str">
        <f t="shared" si="3"/>
        <v>May-24</v>
      </c>
      <c r="O78" s="23" t="str">
        <f t="shared" si="4"/>
        <v>Q2 2024</v>
      </c>
      <c r="P78" s="23">
        <f>VLOOKUP(D78,Products!$A:$F,4,FALSE)</f>
        <v>1435</v>
      </c>
      <c r="Q78" s="35">
        <f t="shared" si="5"/>
        <v>0.48007246376811596</v>
      </c>
    </row>
    <row r="79" spans="1:17">
      <c r="A79" s="12" t="s">
        <v>326</v>
      </c>
      <c r="B79" s="13">
        <v>45390</v>
      </c>
      <c r="C79" s="12" t="s">
        <v>327</v>
      </c>
      <c r="D79" s="12" t="s">
        <v>284</v>
      </c>
      <c r="E79" s="12" t="s">
        <v>302</v>
      </c>
      <c r="F79" s="14">
        <v>4</v>
      </c>
      <c r="G79" s="14">
        <v>1220</v>
      </c>
      <c r="H79" s="14">
        <v>8.4</v>
      </c>
      <c r="I79" s="14">
        <v>4470.08</v>
      </c>
      <c r="J79" s="12" t="s">
        <v>104</v>
      </c>
      <c r="K79" s="12" t="s">
        <v>134</v>
      </c>
      <c r="L79" s="23" t="str">
        <f>VLOOKUP(D79,Products!$A:$F,3,FALSE)</f>
        <v>Electronics</v>
      </c>
      <c r="M79" s="23" t="str">
        <f>VLOOKUP(E79,Sales_Reps!$A:$E,3,FALSE)</f>
        <v>East</v>
      </c>
      <c r="N79" s="23" t="str">
        <f t="shared" si="3"/>
        <v>Apr-24</v>
      </c>
      <c r="O79" s="23" t="str">
        <f t="shared" si="4"/>
        <v>Q2 2024</v>
      </c>
      <c r="P79" s="23">
        <f>VLOOKUP(D79,Products!$A:$F,4,FALSE)</f>
        <v>517</v>
      </c>
      <c r="Q79" s="35">
        <f t="shared" si="5"/>
        <v>0.57622950819672136</v>
      </c>
    </row>
    <row r="80" spans="1:17">
      <c r="A80" s="12" t="s">
        <v>328</v>
      </c>
      <c r="B80" s="13">
        <v>45615</v>
      </c>
      <c r="C80" s="12" t="s">
        <v>329</v>
      </c>
      <c r="D80" s="12" t="s">
        <v>155</v>
      </c>
      <c r="E80" s="12" t="s">
        <v>145</v>
      </c>
      <c r="F80" s="14">
        <v>2</v>
      </c>
      <c r="G80" s="14">
        <v>2600</v>
      </c>
      <c r="H80" s="14">
        <v>1.9</v>
      </c>
      <c r="I80" s="14">
        <v>5101.2</v>
      </c>
      <c r="J80" s="12" t="s">
        <v>110</v>
      </c>
      <c r="K80" s="12" t="s">
        <v>150</v>
      </c>
      <c r="L80" s="23" t="str">
        <f>VLOOKUP(D80,Products!$A:$F,3,FALSE)</f>
        <v>Electronics</v>
      </c>
      <c r="M80" s="23" t="str">
        <f>VLOOKUP(E80,Sales_Reps!$A:$E,3,FALSE)</f>
        <v>West</v>
      </c>
      <c r="N80" s="23" t="str">
        <f t="shared" si="3"/>
        <v>Nov-24</v>
      </c>
      <c r="O80" s="23" t="str">
        <f t="shared" si="4"/>
        <v>Q4 2024</v>
      </c>
      <c r="P80" s="23">
        <f>VLOOKUP(D80,Products!$A:$F,4,FALSE)</f>
        <v>1052</v>
      </c>
      <c r="Q80" s="35">
        <f t="shared" si="5"/>
        <v>0.5953846153846154</v>
      </c>
    </row>
    <row r="81" spans="1:17">
      <c r="A81" s="12" t="s">
        <v>330</v>
      </c>
      <c r="B81" s="13">
        <v>45498</v>
      </c>
      <c r="C81" s="12" t="s">
        <v>331</v>
      </c>
      <c r="D81" s="12" t="s">
        <v>281</v>
      </c>
      <c r="E81" s="12" t="s">
        <v>187</v>
      </c>
      <c r="F81" s="14">
        <v>9</v>
      </c>
      <c r="G81" s="14">
        <v>4070</v>
      </c>
      <c r="H81" s="14">
        <v>28.8</v>
      </c>
      <c r="I81" s="14">
        <v>26080.560000000001</v>
      </c>
      <c r="J81" s="12" t="s">
        <v>104</v>
      </c>
      <c r="K81" s="12" t="s">
        <v>105</v>
      </c>
      <c r="L81" s="23" t="str">
        <f>VLOOKUP(D81,Products!$A:$F,3,FALSE)</f>
        <v>Grocery</v>
      </c>
      <c r="M81" s="23" t="str">
        <f>VLOOKUP(E81,Sales_Reps!$A:$E,3,FALSE)</f>
        <v>West</v>
      </c>
      <c r="N81" s="23" t="str">
        <f t="shared" si="3"/>
        <v>Jul-24</v>
      </c>
      <c r="O81" s="23" t="str">
        <f t="shared" si="4"/>
        <v>Q3 2024</v>
      </c>
      <c r="P81" s="23">
        <f>VLOOKUP(D81,Products!$A:$F,4,FALSE)</f>
        <v>2027</v>
      </c>
      <c r="Q81" s="35">
        <f t="shared" si="5"/>
        <v>0.50196560196560192</v>
      </c>
    </row>
    <row r="82" spans="1:17">
      <c r="A82" s="12" t="s">
        <v>332</v>
      </c>
      <c r="B82" s="13">
        <v>45515</v>
      </c>
      <c r="C82" s="12" t="s">
        <v>333</v>
      </c>
      <c r="D82" s="12" t="s">
        <v>148</v>
      </c>
      <c r="E82" s="12" t="s">
        <v>109</v>
      </c>
      <c r="F82" s="14">
        <v>2</v>
      </c>
      <c r="G82" s="14">
        <v>2270</v>
      </c>
      <c r="H82" s="14">
        <v>18</v>
      </c>
      <c r="I82" s="14">
        <v>3722.8</v>
      </c>
      <c r="J82" s="12" t="s">
        <v>161</v>
      </c>
      <c r="K82" s="12" t="s">
        <v>105</v>
      </c>
      <c r="L82" s="23" t="str">
        <f>VLOOKUP(D82,Products!$A:$F,3,FALSE)</f>
        <v>Grocery</v>
      </c>
      <c r="M82" s="23" t="str">
        <f>VLOOKUP(E82,Sales_Reps!$A:$E,3,FALSE)</f>
        <v>North</v>
      </c>
      <c r="N82" s="23" t="str">
        <f t="shared" si="3"/>
        <v>Aug-24</v>
      </c>
      <c r="O82" s="23" t="str">
        <f t="shared" si="4"/>
        <v>Q3 2024</v>
      </c>
      <c r="P82" s="23">
        <f>VLOOKUP(D82,Products!$A:$F,4,FALSE)</f>
        <v>1203</v>
      </c>
      <c r="Q82" s="35">
        <f t="shared" si="5"/>
        <v>0.47004405286343615</v>
      </c>
    </row>
    <row r="83" spans="1:17">
      <c r="A83" s="12" t="s">
        <v>334</v>
      </c>
      <c r="B83" s="13">
        <v>45528</v>
      </c>
      <c r="C83" s="12" t="s">
        <v>335</v>
      </c>
      <c r="D83" s="12" t="s">
        <v>123</v>
      </c>
      <c r="E83" s="12" t="s">
        <v>255</v>
      </c>
      <c r="F83" s="14">
        <v>2</v>
      </c>
      <c r="G83" s="14">
        <v>3160</v>
      </c>
      <c r="H83" s="14">
        <v>18.3</v>
      </c>
      <c r="I83" s="14">
        <v>5163.4399999999996</v>
      </c>
      <c r="J83" s="12" t="s">
        <v>104</v>
      </c>
      <c r="K83" s="12" t="s">
        <v>111</v>
      </c>
      <c r="L83" s="23" t="str">
        <f>VLOOKUP(D83,Products!$A:$F,3,FALSE)</f>
        <v>Apparel</v>
      </c>
      <c r="M83" s="23" t="str">
        <f>VLOOKUP(E83,Sales_Reps!$A:$E,3,FALSE)</f>
        <v>East</v>
      </c>
      <c r="N83" s="23" t="str">
        <f t="shared" si="3"/>
        <v>Aug-24</v>
      </c>
      <c r="O83" s="23" t="str">
        <f t="shared" si="4"/>
        <v>Q3 2024</v>
      </c>
      <c r="P83" s="23">
        <f>VLOOKUP(D83,Products!$A:$F,4,FALSE)</f>
        <v>1886</v>
      </c>
      <c r="Q83" s="35">
        <f t="shared" si="5"/>
        <v>0.4031645569620253</v>
      </c>
    </row>
    <row r="84" spans="1:17">
      <c r="A84" s="12" t="s">
        <v>336</v>
      </c>
      <c r="B84" s="13">
        <v>45402</v>
      </c>
      <c r="C84" s="12" t="s">
        <v>337</v>
      </c>
      <c r="D84" s="12" t="s">
        <v>184</v>
      </c>
      <c r="E84" s="12" t="s">
        <v>103</v>
      </c>
      <c r="F84" s="14">
        <v>4</v>
      </c>
      <c r="G84" s="14">
        <v>2480</v>
      </c>
      <c r="H84" s="14">
        <v>1.1000000000000001</v>
      </c>
      <c r="I84" s="14">
        <v>9810.8799999999992</v>
      </c>
      <c r="J84" s="12" t="s">
        <v>110</v>
      </c>
      <c r="K84" s="12" t="s">
        <v>150</v>
      </c>
      <c r="L84" s="23" t="str">
        <f>VLOOKUP(D84,Products!$A:$F,3,FALSE)</f>
        <v>Apparel</v>
      </c>
      <c r="M84" s="23" t="str">
        <f>VLOOKUP(E84,Sales_Reps!$A:$E,3,FALSE)</f>
        <v>North</v>
      </c>
      <c r="N84" s="23" t="str">
        <f t="shared" si="3"/>
        <v>Apr-24</v>
      </c>
      <c r="O84" s="23" t="str">
        <f t="shared" si="4"/>
        <v>Q2 2024</v>
      </c>
      <c r="P84" s="23">
        <f>VLOOKUP(D84,Products!$A:$F,4,FALSE)</f>
        <v>1173</v>
      </c>
      <c r="Q84" s="35">
        <f t="shared" si="5"/>
        <v>0.52701612903225803</v>
      </c>
    </row>
    <row r="85" spans="1:17">
      <c r="A85" s="12" t="s">
        <v>338</v>
      </c>
      <c r="B85" s="13">
        <v>45547</v>
      </c>
      <c r="C85" s="12" t="s">
        <v>339</v>
      </c>
      <c r="D85" s="12" t="s">
        <v>296</v>
      </c>
      <c r="E85" s="12" t="s">
        <v>218</v>
      </c>
      <c r="F85" s="14">
        <v>1</v>
      </c>
      <c r="G85" s="14">
        <v>2660</v>
      </c>
      <c r="H85" s="14">
        <v>21</v>
      </c>
      <c r="I85" s="14">
        <v>2101.4</v>
      </c>
      <c r="J85" s="12" t="s">
        <v>104</v>
      </c>
      <c r="K85" s="12" t="s">
        <v>116</v>
      </c>
      <c r="L85" s="23" t="str">
        <f>VLOOKUP(D85,Products!$A:$F,3,FALSE)</f>
        <v>Electronics</v>
      </c>
      <c r="M85" s="23" t="str">
        <f>VLOOKUP(E85,Sales_Reps!$A:$E,3,FALSE)</f>
        <v>West</v>
      </c>
      <c r="N85" s="23" t="str">
        <f t="shared" si="3"/>
        <v>Sep-24</v>
      </c>
      <c r="O85" s="23" t="str">
        <f t="shared" si="4"/>
        <v>Q3 2024</v>
      </c>
      <c r="P85" s="23">
        <f>VLOOKUP(D85,Products!$A:$F,4,FALSE)</f>
        <v>1259</v>
      </c>
      <c r="Q85" s="35">
        <f t="shared" si="5"/>
        <v>0.52669172932330832</v>
      </c>
    </row>
    <row r="86" spans="1:17">
      <c r="A86" s="12" t="s">
        <v>340</v>
      </c>
      <c r="B86" s="13">
        <v>45424</v>
      </c>
      <c r="C86" s="12" t="s">
        <v>341</v>
      </c>
      <c r="D86" s="12" t="s">
        <v>293</v>
      </c>
      <c r="E86" s="12" t="s">
        <v>342</v>
      </c>
      <c r="F86" s="14">
        <v>5</v>
      </c>
      <c r="G86" s="14">
        <v>3020</v>
      </c>
      <c r="H86" s="14">
        <v>22.2</v>
      </c>
      <c r="I86" s="14">
        <v>11747.8</v>
      </c>
      <c r="J86" s="12" t="s">
        <v>104</v>
      </c>
      <c r="K86" s="12" t="s">
        <v>150</v>
      </c>
      <c r="L86" s="23" t="str">
        <f>VLOOKUP(D86,Products!$A:$F,3,FALSE)</f>
        <v>Beauty</v>
      </c>
      <c r="M86" s="23" t="str">
        <f>VLOOKUP(E86,Sales_Reps!$A:$E,3,FALSE)</f>
        <v>South</v>
      </c>
      <c r="N86" s="23" t="str">
        <f t="shared" si="3"/>
        <v>May-24</v>
      </c>
      <c r="O86" s="23" t="str">
        <f t="shared" si="4"/>
        <v>Q2 2024</v>
      </c>
      <c r="P86" s="23">
        <f>VLOOKUP(D86,Products!$A:$F,4,FALSE)</f>
        <v>1626</v>
      </c>
      <c r="Q86" s="35">
        <f t="shared" si="5"/>
        <v>0.46158940397350995</v>
      </c>
    </row>
    <row r="87" spans="1:17">
      <c r="A87" s="12" t="s">
        <v>343</v>
      </c>
      <c r="B87" s="13">
        <v>45461</v>
      </c>
      <c r="C87" s="12" t="s">
        <v>211</v>
      </c>
      <c r="D87" s="12" t="s">
        <v>309</v>
      </c>
      <c r="E87" s="12" t="s">
        <v>187</v>
      </c>
      <c r="F87" s="14">
        <v>9</v>
      </c>
      <c r="G87" s="14">
        <v>620</v>
      </c>
      <c r="H87" s="14">
        <v>23.3</v>
      </c>
      <c r="I87" s="14">
        <v>4279.8599999999997</v>
      </c>
      <c r="J87" s="12" t="s">
        <v>104</v>
      </c>
      <c r="K87" s="12" t="s">
        <v>105</v>
      </c>
      <c r="L87" s="23" t="str">
        <f>VLOOKUP(D87,Products!$A:$F,3,FALSE)</f>
        <v>Apparel</v>
      </c>
      <c r="M87" s="23" t="str">
        <f>VLOOKUP(E87,Sales_Reps!$A:$E,3,FALSE)</f>
        <v>West</v>
      </c>
      <c r="N87" s="23" t="str">
        <f t="shared" si="3"/>
        <v>Jun-24</v>
      </c>
      <c r="O87" s="23" t="str">
        <f t="shared" si="4"/>
        <v>Q2 2024</v>
      </c>
      <c r="P87" s="23">
        <f>VLOOKUP(D87,Products!$A:$F,4,FALSE)</f>
        <v>396</v>
      </c>
      <c r="Q87" s="35">
        <f t="shared" si="5"/>
        <v>0.36129032258064514</v>
      </c>
    </row>
    <row r="88" spans="1:17">
      <c r="A88" s="12" t="s">
        <v>344</v>
      </c>
      <c r="B88" s="13">
        <v>45600</v>
      </c>
      <c r="C88" s="12" t="s">
        <v>345</v>
      </c>
      <c r="D88" s="12" t="s">
        <v>114</v>
      </c>
      <c r="E88" s="12" t="s">
        <v>218</v>
      </c>
      <c r="F88" s="14">
        <v>2</v>
      </c>
      <c r="G88" s="14">
        <v>470</v>
      </c>
      <c r="H88" s="14">
        <v>5.4</v>
      </c>
      <c r="I88" s="14">
        <v>889.24</v>
      </c>
      <c r="J88" s="12" t="s">
        <v>104</v>
      </c>
      <c r="K88" s="12" t="s">
        <v>111</v>
      </c>
      <c r="L88" s="23" t="str">
        <f>VLOOKUP(D88,Products!$A:$F,3,FALSE)</f>
        <v>Sports</v>
      </c>
      <c r="M88" s="23" t="str">
        <f>VLOOKUP(E88,Sales_Reps!$A:$E,3,FALSE)</f>
        <v>West</v>
      </c>
      <c r="N88" s="23" t="str">
        <f t="shared" si="3"/>
        <v>Nov-24</v>
      </c>
      <c r="O88" s="23" t="str">
        <f t="shared" si="4"/>
        <v>Q4 2024</v>
      </c>
      <c r="P88" s="23">
        <f>VLOOKUP(D88,Products!$A:$F,4,FALSE)</f>
        <v>302</v>
      </c>
      <c r="Q88" s="35">
        <f t="shared" si="5"/>
        <v>0.35744680851063831</v>
      </c>
    </row>
    <row r="89" spans="1:17">
      <c r="A89" s="12" t="s">
        <v>346</v>
      </c>
      <c r="B89" s="13">
        <v>45587</v>
      </c>
      <c r="C89" s="12" t="s">
        <v>189</v>
      </c>
      <c r="D89" s="12" t="s">
        <v>137</v>
      </c>
      <c r="E89" s="12" t="s">
        <v>149</v>
      </c>
      <c r="F89" s="14">
        <v>3</v>
      </c>
      <c r="G89" s="14">
        <v>1430</v>
      </c>
      <c r="H89" s="14">
        <v>6.5</v>
      </c>
      <c r="I89" s="14">
        <v>4011.15</v>
      </c>
      <c r="J89" s="12" t="s">
        <v>104</v>
      </c>
      <c r="K89" s="12" t="s">
        <v>105</v>
      </c>
      <c r="L89" s="23" t="str">
        <f>VLOOKUP(D89,Products!$A:$F,3,FALSE)</f>
        <v>Electronics</v>
      </c>
      <c r="M89" s="23" t="str">
        <f>VLOOKUP(E89,Sales_Reps!$A:$E,3,FALSE)</f>
        <v>South</v>
      </c>
      <c r="N89" s="23" t="str">
        <f t="shared" si="3"/>
        <v>Oct-24</v>
      </c>
      <c r="O89" s="23" t="str">
        <f t="shared" si="4"/>
        <v>Q4 2024</v>
      </c>
      <c r="P89" s="23">
        <f>VLOOKUP(D89,Products!$A:$F,4,FALSE)</f>
        <v>861</v>
      </c>
      <c r="Q89" s="35">
        <f t="shared" si="5"/>
        <v>0.39790209790209791</v>
      </c>
    </row>
    <row r="90" spans="1:17">
      <c r="A90" s="12" t="s">
        <v>347</v>
      </c>
      <c r="B90" s="13">
        <v>45518</v>
      </c>
      <c r="C90" s="12" t="s">
        <v>348</v>
      </c>
      <c r="D90" s="12" t="s">
        <v>309</v>
      </c>
      <c r="E90" s="12" t="s">
        <v>156</v>
      </c>
      <c r="F90" s="14">
        <v>6</v>
      </c>
      <c r="G90" s="14">
        <v>620</v>
      </c>
      <c r="H90" s="14">
        <v>2.6</v>
      </c>
      <c r="I90" s="14">
        <v>3623.28</v>
      </c>
      <c r="J90" s="12" t="s">
        <v>104</v>
      </c>
      <c r="K90" s="12" t="s">
        <v>134</v>
      </c>
      <c r="L90" s="23" t="str">
        <f>VLOOKUP(D90,Products!$A:$F,3,FALSE)</f>
        <v>Apparel</v>
      </c>
      <c r="M90" s="23" t="str">
        <f>VLOOKUP(E90,Sales_Reps!$A:$E,3,FALSE)</f>
        <v>North</v>
      </c>
      <c r="N90" s="23" t="str">
        <f t="shared" si="3"/>
        <v>Aug-24</v>
      </c>
      <c r="O90" s="23" t="str">
        <f t="shared" si="4"/>
        <v>Q3 2024</v>
      </c>
      <c r="P90" s="23">
        <f>VLOOKUP(D90,Products!$A:$F,4,FALSE)</f>
        <v>396</v>
      </c>
      <c r="Q90" s="35">
        <f t="shared" si="5"/>
        <v>0.36129032258064514</v>
      </c>
    </row>
    <row r="91" spans="1:17">
      <c r="A91" s="12" t="s">
        <v>349</v>
      </c>
      <c r="B91" s="13">
        <v>45533</v>
      </c>
      <c r="C91" s="12" t="s">
        <v>350</v>
      </c>
      <c r="D91" s="12" t="s">
        <v>204</v>
      </c>
      <c r="E91" s="12" t="s">
        <v>342</v>
      </c>
      <c r="F91" s="14">
        <v>4</v>
      </c>
      <c r="G91" s="14">
        <v>3570</v>
      </c>
      <c r="H91" s="14">
        <v>4.5</v>
      </c>
      <c r="I91" s="14">
        <v>13637.4</v>
      </c>
      <c r="J91" s="12" t="s">
        <v>110</v>
      </c>
      <c r="K91" s="12" t="s">
        <v>150</v>
      </c>
      <c r="L91" s="23" t="str">
        <f>VLOOKUP(D91,Products!$A:$F,3,FALSE)</f>
        <v>Electronics</v>
      </c>
      <c r="M91" s="23" t="str">
        <f>VLOOKUP(E91,Sales_Reps!$A:$E,3,FALSE)</f>
        <v>South</v>
      </c>
      <c r="N91" s="23" t="str">
        <f t="shared" si="3"/>
        <v>Aug-24</v>
      </c>
      <c r="O91" s="23" t="str">
        <f t="shared" si="4"/>
        <v>Q3 2024</v>
      </c>
      <c r="P91" s="23">
        <f>VLOOKUP(D91,Products!$A:$F,4,FALSE)</f>
        <v>1665</v>
      </c>
      <c r="Q91" s="35">
        <f t="shared" si="5"/>
        <v>0.53361344537815125</v>
      </c>
    </row>
    <row r="92" spans="1:17">
      <c r="A92" s="12" t="s">
        <v>351</v>
      </c>
      <c r="B92" s="13">
        <v>45622</v>
      </c>
      <c r="C92" s="12" t="s">
        <v>322</v>
      </c>
      <c r="D92" s="12" t="s">
        <v>262</v>
      </c>
      <c r="E92" s="12" t="s">
        <v>149</v>
      </c>
      <c r="F92" s="14">
        <v>6</v>
      </c>
      <c r="G92" s="14">
        <v>2270</v>
      </c>
      <c r="H92" s="14">
        <v>2</v>
      </c>
      <c r="I92" s="14">
        <v>13347.6</v>
      </c>
      <c r="J92" s="12" t="s">
        <v>104</v>
      </c>
      <c r="K92" s="12" t="s">
        <v>150</v>
      </c>
      <c r="L92" s="23" t="str">
        <f>VLOOKUP(D92,Products!$A:$F,3,FALSE)</f>
        <v>Grocery</v>
      </c>
      <c r="M92" s="23" t="str">
        <f>VLOOKUP(E92,Sales_Reps!$A:$E,3,FALSE)</f>
        <v>South</v>
      </c>
      <c r="N92" s="23" t="str">
        <f t="shared" si="3"/>
        <v>Nov-24</v>
      </c>
      <c r="O92" s="23" t="str">
        <f t="shared" si="4"/>
        <v>Q4 2024</v>
      </c>
      <c r="P92" s="23">
        <f>VLOOKUP(D92,Products!$A:$F,4,FALSE)</f>
        <v>1412</v>
      </c>
      <c r="Q92" s="35">
        <f t="shared" si="5"/>
        <v>0.37797356828193834</v>
      </c>
    </row>
    <row r="93" spans="1:17">
      <c r="A93" s="12" t="s">
        <v>352</v>
      </c>
      <c r="B93" s="13">
        <v>45328</v>
      </c>
      <c r="C93" s="12" t="s">
        <v>353</v>
      </c>
      <c r="D93" s="12" t="s">
        <v>190</v>
      </c>
      <c r="E93" s="12" t="s">
        <v>115</v>
      </c>
      <c r="F93" s="14">
        <v>7</v>
      </c>
      <c r="G93" s="14">
        <v>2720</v>
      </c>
      <c r="H93" s="14">
        <v>15.4</v>
      </c>
      <c r="I93" s="14">
        <v>16107.84</v>
      </c>
      <c r="J93" s="12" t="s">
        <v>104</v>
      </c>
      <c r="K93" s="12" t="s">
        <v>129</v>
      </c>
      <c r="L93" s="23" t="str">
        <f>VLOOKUP(D93,Products!$A:$F,3,FALSE)</f>
        <v>Apparel</v>
      </c>
      <c r="M93" s="23" t="str">
        <f>VLOOKUP(E93,Sales_Reps!$A:$E,3,FALSE)</f>
        <v>South</v>
      </c>
      <c r="N93" s="23" t="str">
        <f t="shared" si="3"/>
        <v>Feb-24</v>
      </c>
      <c r="O93" s="23" t="str">
        <f t="shared" si="4"/>
        <v>Q1 2024</v>
      </c>
      <c r="P93" s="23">
        <f>VLOOKUP(D93,Products!$A:$F,4,FALSE)</f>
        <v>1962</v>
      </c>
      <c r="Q93" s="35">
        <f t="shared" si="5"/>
        <v>0.2786764705882353</v>
      </c>
    </row>
    <row r="94" spans="1:17">
      <c r="A94" s="12" t="s">
        <v>354</v>
      </c>
      <c r="B94" s="13">
        <v>45380</v>
      </c>
      <c r="C94" s="12" t="s">
        <v>306</v>
      </c>
      <c r="D94" s="12" t="s">
        <v>355</v>
      </c>
      <c r="E94" s="12" t="s">
        <v>232</v>
      </c>
      <c r="F94" s="14">
        <v>9</v>
      </c>
      <c r="G94" s="14">
        <v>2210</v>
      </c>
      <c r="H94" s="14">
        <v>12.4</v>
      </c>
      <c r="I94" s="14">
        <v>17423.64</v>
      </c>
      <c r="J94" s="12" t="s">
        <v>104</v>
      </c>
      <c r="K94" s="12" t="s">
        <v>111</v>
      </c>
      <c r="L94" s="23" t="str">
        <f>VLOOKUP(D94,Products!$A:$F,3,FALSE)</f>
        <v>Grocery</v>
      </c>
      <c r="M94" s="23" t="str">
        <f>VLOOKUP(E94,Sales_Reps!$A:$E,3,FALSE)</f>
        <v>North</v>
      </c>
      <c r="N94" s="23" t="str">
        <f t="shared" si="3"/>
        <v>Mar-24</v>
      </c>
      <c r="O94" s="23" t="str">
        <f t="shared" si="4"/>
        <v>Q1 2024</v>
      </c>
      <c r="P94" s="23">
        <f>VLOOKUP(D94,Products!$A:$F,4,FALSE)</f>
        <v>1010</v>
      </c>
      <c r="Q94" s="35">
        <f t="shared" si="5"/>
        <v>0.54298642533936647</v>
      </c>
    </row>
    <row r="95" spans="1:17">
      <c r="A95" s="12" t="s">
        <v>356</v>
      </c>
      <c r="B95" s="13">
        <v>45648</v>
      </c>
      <c r="C95" s="12" t="s">
        <v>357</v>
      </c>
      <c r="D95" s="12" t="s">
        <v>164</v>
      </c>
      <c r="E95" s="12" t="s">
        <v>218</v>
      </c>
      <c r="F95" s="14">
        <v>6</v>
      </c>
      <c r="G95" s="14">
        <v>190</v>
      </c>
      <c r="H95" s="14">
        <v>19.2</v>
      </c>
      <c r="I95" s="14">
        <v>921.12</v>
      </c>
      <c r="J95" s="12" t="s">
        <v>104</v>
      </c>
      <c r="K95" s="12" t="s">
        <v>105</v>
      </c>
      <c r="L95" s="23" t="str">
        <f>VLOOKUP(D95,Products!$A:$F,3,FALSE)</f>
        <v>Sports</v>
      </c>
      <c r="M95" s="23" t="str">
        <f>VLOOKUP(E95,Sales_Reps!$A:$E,3,FALSE)</f>
        <v>West</v>
      </c>
      <c r="N95" s="23" t="str">
        <f t="shared" si="3"/>
        <v>Dec-24</v>
      </c>
      <c r="O95" s="23" t="str">
        <f t="shared" si="4"/>
        <v>Q4 2024</v>
      </c>
      <c r="P95" s="23">
        <f>VLOOKUP(D95,Products!$A:$F,4,FALSE)</f>
        <v>147</v>
      </c>
      <c r="Q95" s="35">
        <f t="shared" si="5"/>
        <v>0.22631578947368422</v>
      </c>
    </row>
    <row r="96" spans="1:17">
      <c r="A96" s="12" t="s">
        <v>358</v>
      </c>
      <c r="B96" s="13">
        <v>45607</v>
      </c>
      <c r="C96" s="12" t="s">
        <v>359</v>
      </c>
      <c r="D96" s="12" t="s">
        <v>208</v>
      </c>
      <c r="E96" s="12" t="s">
        <v>360</v>
      </c>
      <c r="F96" s="14">
        <v>10</v>
      </c>
      <c r="G96" s="14">
        <v>5100</v>
      </c>
      <c r="H96" s="14">
        <v>25.4</v>
      </c>
      <c r="I96" s="14">
        <v>38046</v>
      </c>
      <c r="J96" s="12" t="s">
        <v>161</v>
      </c>
      <c r="K96" s="12" t="s">
        <v>111</v>
      </c>
      <c r="L96" s="23" t="str">
        <f>VLOOKUP(D96,Products!$A:$F,3,FALSE)</f>
        <v>Beauty</v>
      </c>
      <c r="M96" s="23" t="str">
        <f>VLOOKUP(E96,Sales_Reps!$A:$E,3,FALSE)</f>
        <v>West</v>
      </c>
      <c r="N96" s="23" t="str">
        <f t="shared" si="3"/>
        <v>Nov-24</v>
      </c>
      <c r="O96" s="23" t="str">
        <f t="shared" si="4"/>
        <v>Q4 2024</v>
      </c>
      <c r="P96" s="23">
        <f>VLOOKUP(D96,Products!$A:$F,4,FALSE)</f>
        <v>2237</v>
      </c>
      <c r="Q96" s="35">
        <f t="shared" si="5"/>
        <v>0.56137254901960787</v>
      </c>
    </row>
    <row r="97" spans="1:17">
      <c r="A97" s="12" t="s">
        <v>361</v>
      </c>
      <c r="B97" s="13">
        <v>45414</v>
      </c>
      <c r="C97" s="12" t="s">
        <v>362</v>
      </c>
      <c r="D97" s="12" t="s">
        <v>199</v>
      </c>
      <c r="E97" s="12" t="s">
        <v>363</v>
      </c>
      <c r="F97" s="14">
        <v>5</v>
      </c>
      <c r="G97" s="14">
        <v>1010</v>
      </c>
      <c r="H97" s="14">
        <v>1.6</v>
      </c>
      <c r="I97" s="14">
        <v>4969.2</v>
      </c>
      <c r="J97" s="12" t="s">
        <v>104</v>
      </c>
      <c r="K97" s="12" t="s">
        <v>111</v>
      </c>
      <c r="L97" s="23" t="str">
        <f>VLOOKUP(D97,Products!$A:$F,3,FALSE)</f>
        <v>Sports</v>
      </c>
      <c r="M97" s="23" t="str">
        <f>VLOOKUP(E97,Sales_Reps!$A:$E,3,FALSE)</f>
        <v>South</v>
      </c>
      <c r="N97" s="23" t="str">
        <f t="shared" si="3"/>
        <v>May-24</v>
      </c>
      <c r="O97" s="23" t="str">
        <f t="shared" si="4"/>
        <v>Q2 2024</v>
      </c>
      <c r="P97" s="23">
        <f>VLOOKUP(D97,Products!$A:$F,4,FALSE)</f>
        <v>516</v>
      </c>
      <c r="Q97" s="35">
        <f t="shared" si="5"/>
        <v>0.4891089108910891</v>
      </c>
    </row>
    <row r="98" spans="1:17">
      <c r="A98" s="12" t="s">
        <v>364</v>
      </c>
      <c r="B98" s="13">
        <v>45328</v>
      </c>
      <c r="C98" s="12" t="s">
        <v>280</v>
      </c>
      <c r="D98" s="12" t="s">
        <v>243</v>
      </c>
      <c r="E98" s="12" t="s">
        <v>128</v>
      </c>
      <c r="F98" s="14">
        <v>1</v>
      </c>
      <c r="G98" s="14">
        <v>3730</v>
      </c>
      <c r="H98" s="14">
        <v>22.7</v>
      </c>
      <c r="I98" s="14">
        <v>2883.29</v>
      </c>
      <c r="J98" s="12" t="s">
        <v>104</v>
      </c>
      <c r="K98" s="12" t="s">
        <v>150</v>
      </c>
      <c r="L98" s="23" t="str">
        <f>VLOOKUP(D98,Products!$A:$F,3,FALSE)</f>
        <v>Home</v>
      </c>
      <c r="M98" s="23" t="str">
        <f>VLOOKUP(E98,Sales_Reps!$A:$E,3,FALSE)</f>
        <v>West</v>
      </c>
      <c r="N98" s="23" t="str">
        <f t="shared" si="3"/>
        <v>Feb-24</v>
      </c>
      <c r="O98" s="23" t="str">
        <f t="shared" si="4"/>
        <v>Q1 2024</v>
      </c>
      <c r="P98" s="23">
        <f>VLOOKUP(D98,Products!$A:$F,4,FALSE)</f>
        <v>2135</v>
      </c>
      <c r="Q98" s="35">
        <f t="shared" si="5"/>
        <v>0.42761394101876676</v>
      </c>
    </row>
    <row r="99" spans="1:17">
      <c r="A99" s="12" t="s">
        <v>365</v>
      </c>
      <c r="B99" s="13">
        <v>45373</v>
      </c>
      <c r="C99" s="12" t="s">
        <v>318</v>
      </c>
      <c r="D99" s="12" t="s">
        <v>155</v>
      </c>
      <c r="E99" s="12" t="s">
        <v>145</v>
      </c>
      <c r="F99" s="14">
        <v>10</v>
      </c>
      <c r="G99" s="14">
        <v>2600</v>
      </c>
      <c r="H99" s="14">
        <v>20.7</v>
      </c>
      <c r="I99" s="14">
        <v>20618</v>
      </c>
      <c r="J99" s="12" t="s">
        <v>104</v>
      </c>
      <c r="K99" s="12" t="s">
        <v>111</v>
      </c>
      <c r="L99" s="23" t="str">
        <f>VLOOKUP(D99,Products!$A:$F,3,FALSE)</f>
        <v>Electronics</v>
      </c>
      <c r="M99" s="23" t="str">
        <f>VLOOKUP(E99,Sales_Reps!$A:$E,3,FALSE)</f>
        <v>West</v>
      </c>
      <c r="N99" s="23" t="str">
        <f t="shared" si="3"/>
        <v>Mar-24</v>
      </c>
      <c r="O99" s="23" t="str">
        <f t="shared" si="4"/>
        <v>Q1 2024</v>
      </c>
      <c r="P99" s="23">
        <f>VLOOKUP(D99,Products!$A:$F,4,FALSE)</f>
        <v>1052</v>
      </c>
      <c r="Q99" s="35">
        <f t="shared" si="5"/>
        <v>0.5953846153846154</v>
      </c>
    </row>
    <row r="100" spans="1:17">
      <c r="A100" s="12" t="s">
        <v>366</v>
      </c>
      <c r="B100" s="13">
        <v>45458</v>
      </c>
      <c r="C100" s="12" t="s">
        <v>367</v>
      </c>
      <c r="D100" s="12" t="s">
        <v>368</v>
      </c>
      <c r="E100" s="12" t="s">
        <v>120</v>
      </c>
      <c r="F100" s="14">
        <v>4</v>
      </c>
      <c r="G100" s="14">
        <v>4060</v>
      </c>
      <c r="H100" s="14">
        <v>13.9</v>
      </c>
      <c r="I100" s="14">
        <v>13982.64</v>
      </c>
      <c r="J100" s="12" t="s">
        <v>104</v>
      </c>
      <c r="K100" s="12" t="s">
        <v>129</v>
      </c>
      <c r="L100" s="23" t="str">
        <f>VLOOKUP(D100,Products!$A:$F,3,FALSE)</f>
        <v>Grocery</v>
      </c>
      <c r="M100" s="23" t="str">
        <f>VLOOKUP(E100,Sales_Reps!$A:$E,3,FALSE)</f>
        <v>North</v>
      </c>
      <c r="N100" s="23" t="str">
        <f t="shared" si="3"/>
        <v>Jun-24</v>
      </c>
      <c r="O100" s="23" t="str">
        <f t="shared" si="4"/>
        <v>Q2 2024</v>
      </c>
      <c r="P100" s="23">
        <f>VLOOKUP(D100,Products!$A:$F,4,FALSE)</f>
        <v>2911</v>
      </c>
      <c r="Q100" s="35">
        <f t="shared" si="5"/>
        <v>0.28300492610837441</v>
      </c>
    </row>
    <row r="101" spans="1:17">
      <c r="A101" s="12" t="s">
        <v>369</v>
      </c>
      <c r="B101" s="13">
        <v>45426</v>
      </c>
      <c r="C101" s="12" t="s">
        <v>370</v>
      </c>
      <c r="D101" s="12" t="s">
        <v>258</v>
      </c>
      <c r="E101" s="12" t="s">
        <v>360</v>
      </c>
      <c r="F101" s="14">
        <v>6</v>
      </c>
      <c r="G101" s="14">
        <v>6080</v>
      </c>
      <c r="H101" s="14">
        <v>16.5</v>
      </c>
      <c r="I101" s="14">
        <v>30460.799999999999</v>
      </c>
      <c r="J101" s="12" t="s">
        <v>104</v>
      </c>
      <c r="K101" s="12" t="s">
        <v>111</v>
      </c>
      <c r="L101" s="23" t="str">
        <f>VLOOKUP(D101,Products!$A:$F,3,FALSE)</f>
        <v>Beauty</v>
      </c>
      <c r="M101" s="23" t="str">
        <f>VLOOKUP(E101,Sales_Reps!$A:$E,3,FALSE)</f>
        <v>West</v>
      </c>
      <c r="N101" s="23" t="str">
        <f t="shared" si="3"/>
        <v>May-24</v>
      </c>
      <c r="O101" s="23" t="str">
        <f t="shared" si="4"/>
        <v>Q2 2024</v>
      </c>
      <c r="P101" s="23">
        <f>VLOOKUP(D101,Products!$A:$F,4,FALSE)</f>
        <v>2617</v>
      </c>
      <c r="Q101" s="35">
        <f t="shared" si="5"/>
        <v>0.56957236842105263</v>
      </c>
    </row>
    <row r="102" spans="1:17">
      <c r="A102" s="12" t="s">
        <v>371</v>
      </c>
      <c r="B102" s="13">
        <v>45557</v>
      </c>
      <c r="C102" s="12" t="s">
        <v>211</v>
      </c>
      <c r="D102" s="12" t="s">
        <v>372</v>
      </c>
      <c r="E102" s="12" t="s">
        <v>145</v>
      </c>
      <c r="F102" s="14">
        <v>6</v>
      </c>
      <c r="G102" s="14">
        <v>2510</v>
      </c>
      <c r="H102" s="14">
        <v>11.7</v>
      </c>
      <c r="I102" s="14">
        <v>13297.98</v>
      </c>
      <c r="J102" s="12" t="s">
        <v>104</v>
      </c>
      <c r="K102" s="12" t="s">
        <v>105</v>
      </c>
      <c r="L102" s="23" t="str">
        <f>VLOOKUP(D102,Products!$A:$F,3,FALSE)</f>
        <v>Apparel</v>
      </c>
      <c r="M102" s="23" t="str">
        <f>VLOOKUP(E102,Sales_Reps!$A:$E,3,FALSE)</f>
        <v>West</v>
      </c>
      <c r="N102" s="23" t="str">
        <f t="shared" si="3"/>
        <v>Sep-24</v>
      </c>
      <c r="O102" s="23" t="str">
        <f t="shared" si="4"/>
        <v>Q3 2024</v>
      </c>
      <c r="P102" s="23">
        <f>VLOOKUP(D102,Products!$A:$F,4,FALSE)</f>
        <v>1075</v>
      </c>
      <c r="Q102" s="35">
        <f t="shared" si="5"/>
        <v>0.57171314741035861</v>
      </c>
    </row>
    <row r="103" spans="1:17">
      <c r="A103" s="12" t="s">
        <v>373</v>
      </c>
      <c r="B103" s="13">
        <v>45509</v>
      </c>
      <c r="C103" s="12" t="s">
        <v>374</v>
      </c>
      <c r="D103" s="12" t="s">
        <v>160</v>
      </c>
      <c r="E103" s="12" t="s">
        <v>218</v>
      </c>
      <c r="F103" s="14">
        <v>5</v>
      </c>
      <c r="G103" s="14">
        <v>3250</v>
      </c>
      <c r="H103" s="14">
        <v>18.399999999999999</v>
      </c>
      <c r="I103" s="14">
        <v>13260</v>
      </c>
      <c r="J103" s="12" t="s">
        <v>104</v>
      </c>
      <c r="K103" s="12" t="s">
        <v>116</v>
      </c>
      <c r="L103" s="23" t="str">
        <f>VLOOKUP(D103,Products!$A:$F,3,FALSE)</f>
        <v>Home</v>
      </c>
      <c r="M103" s="23" t="str">
        <f>VLOOKUP(E103,Sales_Reps!$A:$E,3,FALSE)</f>
        <v>West</v>
      </c>
      <c r="N103" s="23" t="str">
        <f t="shared" si="3"/>
        <v>Aug-24</v>
      </c>
      <c r="O103" s="23" t="str">
        <f t="shared" si="4"/>
        <v>Q3 2024</v>
      </c>
      <c r="P103" s="23">
        <f>VLOOKUP(D103,Products!$A:$F,4,FALSE)</f>
        <v>1556</v>
      </c>
      <c r="Q103" s="35">
        <f t="shared" si="5"/>
        <v>0.52123076923076928</v>
      </c>
    </row>
    <row r="104" spans="1:17">
      <c r="A104" s="12" t="s">
        <v>375</v>
      </c>
      <c r="B104" s="13">
        <v>45329</v>
      </c>
      <c r="C104" s="12" t="s">
        <v>376</v>
      </c>
      <c r="D104" s="12" t="s">
        <v>377</v>
      </c>
      <c r="E104" s="12" t="s">
        <v>109</v>
      </c>
      <c r="F104" s="14">
        <v>4</v>
      </c>
      <c r="G104" s="14">
        <v>5410</v>
      </c>
      <c r="H104" s="14">
        <v>9.8000000000000007</v>
      </c>
      <c r="I104" s="14">
        <v>19519.28</v>
      </c>
      <c r="J104" s="12" t="s">
        <v>157</v>
      </c>
      <c r="K104" s="12" t="s">
        <v>116</v>
      </c>
      <c r="L104" s="23" t="str">
        <f>VLOOKUP(D104,Products!$A:$F,3,FALSE)</f>
        <v>Sports</v>
      </c>
      <c r="M104" s="23" t="str">
        <f>VLOOKUP(E104,Sales_Reps!$A:$E,3,FALSE)</f>
        <v>North</v>
      </c>
      <c r="N104" s="23" t="str">
        <f t="shared" si="3"/>
        <v>Feb-24</v>
      </c>
      <c r="O104" s="23" t="str">
        <f t="shared" si="4"/>
        <v>Q1 2024</v>
      </c>
      <c r="P104" s="23">
        <f>VLOOKUP(D104,Products!$A:$F,4,FALSE)</f>
        <v>2265</v>
      </c>
      <c r="Q104" s="35">
        <f t="shared" si="5"/>
        <v>0.58133086876155271</v>
      </c>
    </row>
    <row r="105" spans="1:17">
      <c r="A105" s="12" t="s">
        <v>378</v>
      </c>
      <c r="B105" s="13">
        <v>45411</v>
      </c>
      <c r="C105" s="12" t="s">
        <v>379</v>
      </c>
      <c r="D105" s="12" t="s">
        <v>204</v>
      </c>
      <c r="E105" s="12" t="s">
        <v>320</v>
      </c>
      <c r="F105" s="14">
        <v>8</v>
      </c>
      <c r="G105" s="14">
        <v>3570</v>
      </c>
      <c r="H105" s="14">
        <v>11.1</v>
      </c>
      <c r="I105" s="14">
        <v>25389.84</v>
      </c>
      <c r="J105" s="12" t="s">
        <v>104</v>
      </c>
      <c r="K105" s="12" t="s">
        <v>111</v>
      </c>
      <c r="L105" s="23" t="str">
        <f>VLOOKUP(D105,Products!$A:$F,3,FALSE)</f>
        <v>Electronics</v>
      </c>
      <c r="M105" s="23" t="str">
        <f>VLOOKUP(E105,Sales_Reps!$A:$E,3,FALSE)</f>
        <v>East</v>
      </c>
      <c r="N105" s="23" t="str">
        <f t="shared" si="3"/>
        <v>Apr-24</v>
      </c>
      <c r="O105" s="23" t="str">
        <f t="shared" si="4"/>
        <v>Q2 2024</v>
      </c>
      <c r="P105" s="23">
        <f>VLOOKUP(D105,Products!$A:$F,4,FALSE)</f>
        <v>1665</v>
      </c>
      <c r="Q105" s="35">
        <f t="shared" si="5"/>
        <v>0.53361344537815125</v>
      </c>
    </row>
    <row r="106" spans="1:17">
      <c r="A106" s="12" t="s">
        <v>380</v>
      </c>
      <c r="B106" s="13">
        <v>45297</v>
      </c>
      <c r="C106" s="12" t="s">
        <v>367</v>
      </c>
      <c r="D106" s="12" t="s">
        <v>381</v>
      </c>
      <c r="E106" s="12" t="s">
        <v>165</v>
      </c>
      <c r="F106" s="14">
        <v>10</v>
      </c>
      <c r="G106" s="14">
        <v>5330</v>
      </c>
      <c r="H106" s="14">
        <v>21.2</v>
      </c>
      <c r="I106" s="14">
        <v>42000.4</v>
      </c>
      <c r="J106" s="12" t="s">
        <v>104</v>
      </c>
      <c r="K106" s="12" t="s">
        <v>129</v>
      </c>
      <c r="L106" s="23" t="str">
        <f>VLOOKUP(D106,Products!$A:$F,3,FALSE)</f>
        <v>Electronics</v>
      </c>
      <c r="M106" s="23" t="str">
        <f>VLOOKUP(E106,Sales_Reps!$A:$E,3,FALSE)</f>
        <v>North</v>
      </c>
      <c r="N106" s="23" t="str">
        <f t="shared" si="3"/>
        <v>Jan-24</v>
      </c>
      <c r="O106" s="23" t="str">
        <f t="shared" si="4"/>
        <v>Q1 2024</v>
      </c>
      <c r="P106" s="23">
        <f>VLOOKUP(D106,Products!$A:$F,4,FALSE)</f>
        <v>2405</v>
      </c>
      <c r="Q106" s="35">
        <f t="shared" si="5"/>
        <v>0.54878048780487809</v>
      </c>
    </row>
    <row r="107" spans="1:17">
      <c r="A107" s="12" t="s">
        <v>382</v>
      </c>
      <c r="B107" s="13">
        <v>45640</v>
      </c>
      <c r="C107" s="12" t="s">
        <v>383</v>
      </c>
      <c r="D107" s="12" t="s">
        <v>384</v>
      </c>
      <c r="E107" s="12" t="s">
        <v>255</v>
      </c>
      <c r="F107" s="14">
        <v>4</v>
      </c>
      <c r="G107" s="14">
        <v>2380</v>
      </c>
      <c r="H107" s="14">
        <v>26.2</v>
      </c>
      <c r="I107" s="14">
        <v>7025.76</v>
      </c>
      <c r="J107" s="12" t="s">
        <v>104</v>
      </c>
      <c r="K107" s="12" t="s">
        <v>129</v>
      </c>
      <c r="L107" s="23" t="str">
        <f>VLOOKUP(D107,Products!$A:$F,3,FALSE)</f>
        <v>Grocery</v>
      </c>
      <c r="M107" s="23" t="str">
        <f>VLOOKUP(E107,Sales_Reps!$A:$E,3,FALSE)</f>
        <v>East</v>
      </c>
      <c r="N107" s="23" t="str">
        <f t="shared" si="3"/>
        <v>Dec-24</v>
      </c>
      <c r="O107" s="23" t="str">
        <f t="shared" si="4"/>
        <v>Q4 2024</v>
      </c>
      <c r="P107" s="23">
        <f>VLOOKUP(D107,Products!$A:$F,4,FALSE)</f>
        <v>1182</v>
      </c>
      <c r="Q107" s="35">
        <f t="shared" si="5"/>
        <v>0.50336134453781511</v>
      </c>
    </row>
    <row r="108" spans="1:17">
      <c r="A108" s="12" t="s">
        <v>385</v>
      </c>
      <c r="B108" s="13">
        <v>45322</v>
      </c>
      <c r="C108" s="12" t="s">
        <v>386</v>
      </c>
      <c r="D108" s="12" t="s">
        <v>199</v>
      </c>
      <c r="E108" s="12" t="s">
        <v>360</v>
      </c>
      <c r="F108" s="14">
        <v>1</v>
      </c>
      <c r="G108" s="14">
        <v>1010</v>
      </c>
      <c r="H108" s="14">
        <v>19.5</v>
      </c>
      <c r="I108" s="14">
        <v>813.05</v>
      </c>
      <c r="J108" s="12" t="s">
        <v>157</v>
      </c>
      <c r="K108" s="12" t="s">
        <v>111</v>
      </c>
      <c r="L108" s="23" t="str">
        <f>VLOOKUP(D108,Products!$A:$F,3,FALSE)</f>
        <v>Sports</v>
      </c>
      <c r="M108" s="23" t="str">
        <f>VLOOKUP(E108,Sales_Reps!$A:$E,3,FALSE)</f>
        <v>West</v>
      </c>
      <c r="N108" s="23" t="str">
        <f t="shared" si="3"/>
        <v>Jan-24</v>
      </c>
      <c r="O108" s="23" t="str">
        <f t="shared" si="4"/>
        <v>Q1 2024</v>
      </c>
      <c r="P108" s="23">
        <f>VLOOKUP(D108,Products!$A:$F,4,FALSE)</f>
        <v>516</v>
      </c>
      <c r="Q108" s="35">
        <f t="shared" si="5"/>
        <v>0.4891089108910891</v>
      </c>
    </row>
    <row r="109" spans="1:17">
      <c r="A109" s="12" t="s">
        <v>387</v>
      </c>
      <c r="B109" s="13">
        <v>45414</v>
      </c>
      <c r="C109" s="12" t="s">
        <v>388</v>
      </c>
      <c r="D109" s="12" t="s">
        <v>119</v>
      </c>
      <c r="E109" s="12" t="s">
        <v>128</v>
      </c>
      <c r="F109" s="14">
        <v>1</v>
      </c>
      <c r="G109" s="14">
        <v>3660</v>
      </c>
      <c r="H109" s="14">
        <v>1.3</v>
      </c>
      <c r="I109" s="14">
        <v>3612.42</v>
      </c>
      <c r="J109" s="12" t="s">
        <v>104</v>
      </c>
      <c r="K109" s="12" t="s">
        <v>129</v>
      </c>
      <c r="L109" s="23" t="str">
        <f>VLOOKUP(D109,Products!$A:$F,3,FALSE)</f>
        <v>Grocery</v>
      </c>
      <c r="M109" s="23" t="str">
        <f>VLOOKUP(E109,Sales_Reps!$A:$E,3,FALSE)</f>
        <v>West</v>
      </c>
      <c r="N109" s="23" t="str">
        <f t="shared" si="3"/>
        <v>May-24</v>
      </c>
      <c r="O109" s="23" t="str">
        <f t="shared" si="4"/>
        <v>Q2 2024</v>
      </c>
      <c r="P109" s="23">
        <f>VLOOKUP(D109,Products!$A:$F,4,FALSE)</f>
        <v>2214</v>
      </c>
      <c r="Q109" s="35">
        <f t="shared" si="5"/>
        <v>0.39508196721311473</v>
      </c>
    </row>
    <row r="110" spans="1:17">
      <c r="A110" s="12" t="s">
        <v>389</v>
      </c>
      <c r="B110" s="13">
        <v>45592</v>
      </c>
      <c r="C110" s="12" t="s">
        <v>390</v>
      </c>
      <c r="D110" s="12" t="s">
        <v>281</v>
      </c>
      <c r="E110" s="12" t="s">
        <v>269</v>
      </c>
      <c r="F110" s="14">
        <v>2</v>
      </c>
      <c r="G110" s="14">
        <v>4070</v>
      </c>
      <c r="H110" s="14">
        <v>29</v>
      </c>
      <c r="I110" s="14">
        <v>5779.4</v>
      </c>
      <c r="J110" s="12" t="s">
        <v>157</v>
      </c>
      <c r="K110" s="12" t="s">
        <v>105</v>
      </c>
      <c r="L110" s="23" t="str">
        <f>VLOOKUP(D110,Products!$A:$F,3,FALSE)</f>
        <v>Grocery</v>
      </c>
      <c r="M110" s="23" t="str">
        <f>VLOOKUP(E110,Sales_Reps!$A:$E,3,FALSE)</f>
        <v>South</v>
      </c>
      <c r="N110" s="23" t="str">
        <f t="shared" si="3"/>
        <v>Oct-24</v>
      </c>
      <c r="O110" s="23" t="str">
        <f t="shared" si="4"/>
        <v>Q4 2024</v>
      </c>
      <c r="P110" s="23">
        <f>VLOOKUP(D110,Products!$A:$F,4,FALSE)</f>
        <v>2027</v>
      </c>
      <c r="Q110" s="35">
        <f t="shared" si="5"/>
        <v>0.50196560196560192</v>
      </c>
    </row>
    <row r="111" spans="1:17">
      <c r="A111" s="12" t="s">
        <v>391</v>
      </c>
      <c r="B111" s="13">
        <v>45439</v>
      </c>
      <c r="C111" s="12" t="s">
        <v>207</v>
      </c>
      <c r="D111" s="12" t="s">
        <v>220</v>
      </c>
      <c r="E111" s="12" t="s">
        <v>246</v>
      </c>
      <c r="F111" s="14">
        <v>6</v>
      </c>
      <c r="G111" s="14">
        <v>660</v>
      </c>
      <c r="H111" s="14">
        <v>20.2</v>
      </c>
      <c r="I111" s="14">
        <v>3160.08</v>
      </c>
      <c r="J111" s="12" t="s">
        <v>110</v>
      </c>
      <c r="K111" s="12" t="s">
        <v>150</v>
      </c>
      <c r="L111" s="23" t="str">
        <f>VLOOKUP(D111,Products!$A:$F,3,FALSE)</f>
        <v>Home</v>
      </c>
      <c r="M111" s="23" t="str">
        <f>VLOOKUP(E111,Sales_Reps!$A:$E,3,FALSE)</f>
        <v>West</v>
      </c>
      <c r="N111" s="23" t="str">
        <f t="shared" si="3"/>
        <v>May-24</v>
      </c>
      <c r="O111" s="23" t="str">
        <f t="shared" si="4"/>
        <v>Q2 2024</v>
      </c>
      <c r="P111" s="23">
        <f>VLOOKUP(D111,Products!$A:$F,4,FALSE)</f>
        <v>329</v>
      </c>
      <c r="Q111" s="35">
        <f t="shared" si="5"/>
        <v>0.50151515151515147</v>
      </c>
    </row>
    <row r="112" spans="1:17">
      <c r="A112" s="12" t="s">
        <v>392</v>
      </c>
      <c r="B112" s="13">
        <v>45486</v>
      </c>
      <c r="C112" s="12" t="s">
        <v>393</v>
      </c>
      <c r="D112" s="12" t="s">
        <v>181</v>
      </c>
      <c r="E112" s="12" t="s">
        <v>133</v>
      </c>
      <c r="F112" s="14">
        <v>3</v>
      </c>
      <c r="G112" s="14">
        <v>1080</v>
      </c>
      <c r="H112" s="14">
        <v>29.7</v>
      </c>
      <c r="I112" s="14">
        <v>2277.7199999999998</v>
      </c>
      <c r="J112" s="12" t="s">
        <v>104</v>
      </c>
      <c r="K112" s="12" t="s">
        <v>134</v>
      </c>
      <c r="L112" s="23" t="str">
        <f>VLOOKUP(D112,Products!$A:$F,3,FALSE)</f>
        <v>Home</v>
      </c>
      <c r="M112" s="23" t="str">
        <f>VLOOKUP(E112,Sales_Reps!$A:$E,3,FALSE)</f>
        <v>West</v>
      </c>
      <c r="N112" s="23" t="str">
        <f t="shared" si="3"/>
        <v>Jul-24</v>
      </c>
      <c r="O112" s="23" t="str">
        <f t="shared" si="4"/>
        <v>Q3 2024</v>
      </c>
      <c r="P112" s="23">
        <f>VLOOKUP(D112,Products!$A:$F,4,FALSE)</f>
        <v>519</v>
      </c>
      <c r="Q112" s="35">
        <f t="shared" si="5"/>
        <v>0.51944444444444449</v>
      </c>
    </row>
    <row r="113" spans="1:17">
      <c r="A113" s="12" t="s">
        <v>394</v>
      </c>
      <c r="B113" s="13">
        <v>45629</v>
      </c>
      <c r="C113" s="12" t="s">
        <v>395</v>
      </c>
      <c r="D113" s="12" t="s">
        <v>108</v>
      </c>
      <c r="E113" s="12" t="s">
        <v>120</v>
      </c>
      <c r="F113" s="14">
        <v>7</v>
      </c>
      <c r="G113" s="14">
        <v>820</v>
      </c>
      <c r="H113" s="14">
        <v>13.5</v>
      </c>
      <c r="I113" s="14">
        <v>4965.1000000000004</v>
      </c>
      <c r="J113" s="12" t="s">
        <v>157</v>
      </c>
      <c r="K113" s="12" t="s">
        <v>111</v>
      </c>
      <c r="L113" s="23" t="str">
        <f>VLOOKUP(D113,Products!$A:$F,3,FALSE)</f>
        <v>Apparel</v>
      </c>
      <c r="M113" s="23" t="str">
        <f>VLOOKUP(E113,Sales_Reps!$A:$E,3,FALSE)</f>
        <v>North</v>
      </c>
      <c r="N113" s="23" t="str">
        <f t="shared" si="3"/>
        <v>Dec-24</v>
      </c>
      <c r="O113" s="23" t="str">
        <f t="shared" si="4"/>
        <v>Q4 2024</v>
      </c>
      <c r="P113" s="23">
        <f>VLOOKUP(D113,Products!$A:$F,4,FALSE)</f>
        <v>391</v>
      </c>
      <c r="Q113" s="35">
        <f t="shared" si="5"/>
        <v>0.52317073170731709</v>
      </c>
    </row>
    <row r="114" spans="1:17">
      <c r="A114" s="12" t="s">
        <v>396</v>
      </c>
      <c r="B114" s="13">
        <v>45394</v>
      </c>
      <c r="C114" s="12" t="s">
        <v>154</v>
      </c>
      <c r="D114" s="12" t="s">
        <v>397</v>
      </c>
      <c r="E114" s="12" t="s">
        <v>360</v>
      </c>
      <c r="F114" s="14">
        <v>4</v>
      </c>
      <c r="G114" s="14">
        <v>960</v>
      </c>
      <c r="H114" s="14">
        <v>26</v>
      </c>
      <c r="I114" s="14">
        <v>2841.6</v>
      </c>
      <c r="J114" s="12" t="s">
        <v>104</v>
      </c>
      <c r="K114" s="12" t="s">
        <v>116</v>
      </c>
      <c r="L114" s="23" t="str">
        <f>VLOOKUP(D114,Products!$A:$F,3,FALSE)</f>
        <v>Beauty</v>
      </c>
      <c r="M114" s="23" t="str">
        <f>VLOOKUP(E114,Sales_Reps!$A:$E,3,FALSE)</f>
        <v>West</v>
      </c>
      <c r="N114" s="23" t="str">
        <f t="shared" si="3"/>
        <v>Apr-24</v>
      </c>
      <c r="O114" s="23" t="str">
        <f t="shared" si="4"/>
        <v>Q2 2024</v>
      </c>
      <c r="P114" s="23">
        <f>VLOOKUP(D114,Products!$A:$F,4,FALSE)</f>
        <v>675</v>
      </c>
      <c r="Q114" s="35">
        <f t="shared" si="5"/>
        <v>0.296875</v>
      </c>
    </row>
    <row r="115" spans="1:17">
      <c r="A115" s="12" t="s">
        <v>398</v>
      </c>
      <c r="B115" s="13">
        <v>45453</v>
      </c>
      <c r="C115" s="12" t="s">
        <v>399</v>
      </c>
      <c r="D115" s="12" t="s">
        <v>155</v>
      </c>
      <c r="E115" s="12" t="s">
        <v>115</v>
      </c>
      <c r="F115" s="14">
        <v>3</v>
      </c>
      <c r="G115" s="14">
        <v>2600</v>
      </c>
      <c r="H115" s="14">
        <v>18.2</v>
      </c>
      <c r="I115" s="14">
        <v>6380.4</v>
      </c>
      <c r="J115" s="12" t="s">
        <v>104</v>
      </c>
      <c r="K115" s="12" t="s">
        <v>116</v>
      </c>
      <c r="L115" s="23" t="str">
        <f>VLOOKUP(D115,Products!$A:$F,3,FALSE)</f>
        <v>Electronics</v>
      </c>
      <c r="M115" s="23" t="str">
        <f>VLOOKUP(E115,Sales_Reps!$A:$E,3,FALSE)</f>
        <v>South</v>
      </c>
      <c r="N115" s="23" t="str">
        <f t="shared" si="3"/>
        <v>Jun-24</v>
      </c>
      <c r="O115" s="23" t="str">
        <f t="shared" si="4"/>
        <v>Q2 2024</v>
      </c>
      <c r="P115" s="23">
        <f>VLOOKUP(D115,Products!$A:$F,4,FALSE)</f>
        <v>1052</v>
      </c>
      <c r="Q115" s="35">
        <f t="shared" si="5"/>
        <v>0.5953846153846154</v>
      </c>
    </row>
    <row r="116" spans="1:17">
      <c r="A116" s="12" t="s">
        <v>400</v>
      </c>
      <c r="B116" s="13">
        <v>45370</v>
      </c>
      <c r="C116" s="12" t="s">
        <v>167</v>
      </c>
      <c r="D116" s="12" t="s">
        <v>312</v>
      </c>
      <c r="E116" s="12" t="s">
        <v>246</v>
      </c>
      <c r="F116" s="14">
        <v>9</v>
      </c>
      <c r="G116" s="14">
        <v>2030</v>
      </c>
      <c r="H116" s="14">
        <v>26.1</v>
      </c>
      <c r="I116" s="14">
        <v>13501.53</v>
      </c>
      <c r="J116" s="12" t="s">
        <v>104</v>
      </c>
      <c r="K116" s="12" t="s">
        <v>105</v>
      </c>
      <c r="L116" s="23" t="str">
        <f>VLOOKUP(D116,Products!$A:$F,3,FALSE)</f>
        <v>Home</v>
      </c>
      <c r="M116" s="23" t="str">
        <f>VLOOKUP(E116,Sales_Reps!$A:$E,3,FALSE)</f>
        <v>West</v>
      </c>
      <c r="N116" s="23" t="str">
        <f t="shared" si="3"/>
        <v>Mar-24</v>
      </c>
      <c r="O116" s="23" t="str">
        <f t="shared" si="4"/>
        <v>Q1 2024</v>
      </c>
      <c r="P116" s="23">
        <f>VLOOKUP(D116,Products!$A:$F,4,FALSE)</f>
        <v>1143</v>
      </c>
      <c r="Q116" s="35">
        <f t="shared" si="5"/>
        <v>0.43694581280788175</v>
      </c>
    </row>
    <row r="117" spans="1:17">
      <c r="A117" s="12" t="s">
        <v>401</v>
      </c>
      <c r="B117" s="13">
        <v>45597</v>
      </c>
      <c r="C117" s="12" t="s">
        <v>402</v>
      </c>
      <c r="D117" s="12" t="s">
        <v>403</v>
      </c>
      <c r="E117" s="12" t="s">
        <v>145</v>
      </c>
      <c r="F117" s="14">
        <v>8</v>
      </c>
      <c r="G117" s="14">
        <v>2290</v>
      </c>
      <c r="H117" s="14">
        <v>20.8</v>
      </c>
      <c r="I117" s="14">
        <v>14509.44</v>
      </c>
      <c r="J117" s="12" t="s">
        <v>104</v>
      </c>
      <c r="K117" s="12" t="s">
        <v>134</v>
      </c>
      <c r="L117" s="23" t="str">
        <f>VLOOKUP(D117,Products!$A:$F,3,FALSE)</f>
        <v>Beauty</v>
      </c>
      <c r="M117" s="23" t="str">
        <f>VLOOKUP(E117,Sales_Reps!$A:$E,3,FALSE)</f>
        <v>West</v>
      </c>
      <c r="N117" s="23" t="str">
        <f t="shared" si="3"/>
        <v>Nov-24</v>
      </c>
      <c r="O117" s="23" t="str">
        <f t="shared" si="4"/>
        <v>Q4 2024</v>
      </c>
      <c r="P117" s="23">
        <f>VLOOKUP(D117,Products!$A:$F,4,FALSE)</f>
        <v>1219</v>
      </c>
      <c r="Q117" s="35">
        <f t="shared" si="5"/>
        <v>0.46768558951965067</v>
      </c>
    </row>
    <row r="118" spans="1:17">
      <c r="A118" s="12" t="s">
        <v>404</v>
      </c>
      <c r="B118" s="13">
        <v>45531</v>
      </c>
      <c r="C118" s="12" t="s">
        <v>405</v>
      </c>
      <c r="D118" s="12" t="s">
        <v>243</v>
      </c>
      <c r="E118" s="12" t="s">
        <v>246</v>
      </c>
      <c r="F118" s="14">
        <v>3</v>
      </c>
      <c r="G118" s="14">
        <v>3730</v>
      </c>
      <c r="H118" s="14">
        <v>7.9</v>
      </c>
      <c r="I118" s="14">
        <v>10305.99</v>
      </c>
      <c r="J118" s="12" t="s">
        <v>104</v>
      </c>
      <c r="K118" s="12" t="s">
        <v>150</v>
      </c>
      <c r="L118" s="23" t="str">
        <f>VLOOKUP(D118,Products!$A:$F,3,FALSE)</f>
        <v>Home</v>
      </c>
      <c r="M118" s="23" t="str">
        <f>VLOOKUP(E118,Sales_Reps!$A:$E,3,FALSE)</f>
        <v>West</v>
      </c>
      <c r="N118" s="23" t="str">
        <f t="shared" si="3"/>
        <v>Aug-24</v>
      </c>
      <c r="O118" s="23" t="str">
        <f t="shared" si="4"/>
        <v>Q3 2024</v>
      </c>
      <c r="P118" s="23">
        <f>VLOOKUP(D118,Products!$A:$F,4,FALSE)</f>
        <v>2135</v>
      </c>
      <c r="Q118" s="35">
        <f t="shared" si="5"/>
        <v>0.42761394101876676</v>
      </c>
    </row>
    <row r="119" spans="1:17">
      <c r="A119" s="12" t="s">
        <v>406</v>
      </c>
      <c r="B119" s="13">
        <v>45596</v>
      </c>
      <c r="C119" s="12" t="s">
        <v>407</v>
      </c>
      <c r="D119" s="12" t="s">
        <v>299</v>
      </c>
      <c r="E119" s="12" t="s">
        <v>115</v>
      </c>
      <c r="F119" s="14">
        <v>1</v>
      </c>
      <c r="G119" s="14">
        <v>300</v>
      </c>
      <c r="H119" s="14">
        <v>16.899999999999999</v>
      </c>
      <c r="I119" s="14">
        <v>249.3</v>
      </c>
      <c r="J119" s="12" t="s">
        <v>110</v>
      </c>
      <c r="K119" s="12" t="s">
        <v>105</v>
      </c>
      <c r="L119" s="23" t="str">
        <f>VLOOKUP(D119,Products!$A:$F,3,FALSE)</f>
        <v>Electronics</v>
      </c>
      <c r="M119" s="23" t="str">
        <f>VLOOKUP(E119,Sales_Reps!$A:$E,3,FALSE)</f>
        <v>South</v>
      </c>
      <c r="N119" s="23" t="str">
        <f t="shared" si="3"/>
        <v>Oct-24</v>
      </c>
      <c r="O119" s="23" t="str">
        <f t="shared" si="4"/>
        <v>Q4 2024</v>
      </c>
      <c r="P119" s="23">
        <f>VLOOKUP(D119,Products!$A:$F,4,FALSE)</f>
        <v>128</v>
      </c>
      <c r="Q119" s="35">
        <f t="shared" si="5"/>
        <v>0.57333333333333336</v>
      </c>
    </row>
    <row r="120" spans="1:17">
      <c r="A120" s="12" t="s">
        <v>408</v>
      </c>
      <c r="B120" s="13">
        <v>45420</v>
      </c>
      <c r="C120" s="12" t="s">
        <v>409</v>
      </c>
      <c r="D120" s="12" t="s">
        <v>299</v>
      </c>
      <c r="E120" s="12" t="s">
        <v>342</v>
      </c>
      <c r="F120" s="14">
        <v>3</v>
      </c>
      <c r="G120" s="14">
        <v>300</v>
      </c>
      <c r="H120" s="14">
        <v>0.6</v>
      </c>
      <c r="I120" s="14">
        <v>894.6</v>
      </c>
      <c r="J120" s="12" t="s">
        <v>104</v>
      </c>
      <c r="K120" s="12" t="s">
        <v>129</v>
      </c>
      <c r="L120" s="23" t="str">
        <f>VLOOKUP(D120,Products!$A:$F,3,FALSE)</f>
        <v>Electronics</v>
      </c>
      <c r="M120" s="23" t="str">
        <f>VLOOKUP(E120,Sales_Reps!$A:$E,3,FALSE)</f>
        <v>South</v>
      </c>
      <c r="N120" s="23" t="str">
        <f t="shared" si="3"/>
        <v>May-24</v>
      </c>
      <c r="O120" s="23" t="str">
        <f t="shared" si="4"/>
        <v>Q2 2024</v>
      </c>
      <c r="P120" s="23">
        <f>VLOOKUP(D120,Products!$A:$F,4,FALSE)</f>
        <v>128</v>
      </c>
      <c r="Q120" s="35">
        <f t="shared" si="5"/>
        <v>0.57333333333333336</v>
      </c>
    </row>
    <row r="121" spans="1:17">
      <c r="A121" s="12" t="s">
        <v>410</v>
      </c>
      <c r="B121" s="13">
        <v>45329</v>
      </c>
      <c r="C121" s="12" t="s">
        <v>411</v>
      </c>
      <c r="D121" s="12" t="s">
        <v>196</v>
      </c>
      <c r="E121" s="12" t="s">
        <v>103</v>
      </c>
      <c r="F121" s="14">
        <v>6</v>
      </c>
      <c r="G121" s="14">
        <v>3350</v>
      </c>
      <c r="H121" s="14">
        <v>2.2999999999999998</v>
      </c>
      <c r="I121" s="14">
        <v>19637.7</v>
      </c>
      <c r="J121" s="12" t="s">
        <v>157</v>
      </c>
      <c r="K121" s="12" t="s">
        <v>134</v>
      </c>
      <c r="L121" s="23" t="str">
        <f>VLOOKUP(D121,Products!$A:$F,3,FALSE)</f>
        <v>Beauty</v>
      </c>
      <c r="M121" s="23" t="str">
        <f>VLOOKUP(E121,Sales_Reps!$A:$E,3,FALSE)</f>
        <v>North</v>
      </c>
      <c r="N121" s="23" t="str">
        <f t="shared" si="3"/>
        <v>Feb-24</v>
      </c>
      <c r="O121" s="23" t="str">
        <f t="shared" si="4"/>
        <v>Q1 2024</v>
      </c>
      <c r="P121" s="23">
        <f>VLOOKUP(D121,Products!$A:$F,4,FALSE)</f>
        <v>1728</v>
      </c>
      <c r="Q121" s="35">
        <f t="shared" si="5"/>
        <v>0.48417910447761192</v>
      </c>
    </row>
    <row r="122" spans="1:17">
      <c r="A122" s="12" t="s">
        <v>412</v>
      </c>
      <c r="B122" s="13">
        <v>45416</v>
      </c>
      <c r="C122" s="12" t="s">
        <v>170</v>
      </c>
      <c r="D122" s="12" t="s">
        <v>381</v>
      </c>
      <c r="E122" s="12" t="s">
        <v>165</v>
      </c>
      <c r="F122" s="14">
        <v>4</v>
      </c>
      <c r="G122" s="14">
        <v>5330</v>
      </c>
      <c r="H122" s="14">
        <v>29.3</v>
      </c>
      <c r="I122" s="14">
        <v>15073.24</v>
      </c>
      <c r="J122" s="12" t="s">
        <v>104</v>
      </c>
      <c r="K122" s="12" t="s">
        <v>134</v>
      </c>
      <c r="L122" s="23" t="str">
        <f>VLOOKUP(D122,Products!$A:$F,3,FALSE)</f>
        <v>Electronics</v>
      </c>
      <c r="M122" s="23" t="str">
        <f>VLOOKUP(E122,Sales_Reps!$A:$E,3,FALSE)</f>
        <v>North</v>
      </c>
      <c r="N122" s="23" t="str">
        <f t="shared" si="3"/>
        <v>May-24</v>
      </c>
      <c r="O122" s="23" t="str">
        <f t="shared" si="4"/>
        <v>Q2 2024</v>
      </c>
      <c r="P122" s="23">
        <f>VLOOKUP(D122,Products!$A:$F,4,FALSE)</f>
        <v>2405</v>
      </c>
      <c r="Q122" s="35">
        <f t="shared" si="5"/>
        <v>0.54878048780487809</v>
      </c>
    </row>
    <row r="123" spans="1:17">
      <c r="A123" s="12" t="s">
        <v>413</v>
      </c>
      <c r="B123" s="13">
        <v>45614</v>
      </c>
      <c r="C123" s="12" t="s">
        <v>414</v>
      </c>
      <c r="D123" s="12" t="s">
        <v>102</v>
      </c>
      <c r="E123" s="12" t="s">
        <v>314</v>
      </c>
      <c r="F123" s="14">
        <v>6</v>
      </c>
      <c r="G123" s="14">
        <v>3620</v>
      </c>
      <c r="H123" s="14">
        <v>10.8</v>
      </c>
      <c r="I123" s="14">
        <v>19374.240000000002</v>
      </c>
      <c r="J123" s="12" t="s">
        <v>104</v>
      </c>
      <c r="K123" s="12" t="s">
        <v>116</v>
      </c>
      <c r="L123" s="23" t="str">
        <f>VLOOKUP(D123,Products!$A:$F,3,FALSE)</f>
        <v>Apparel</v>
      </c>
      <c r="M123" s="23" t="str">
        <f>VLOOKUP(E123,Sales_Reps!$A:$E,3,FALSE)</f>
        <v>North</v>
      </c>
      <c r="N123" s="23" t="str">
        <f t="shared" si="3"/>
        <v>Nov-24</v>
      </c>
      <c r="O123" s="23" t="str">
        <f t="shared" si="4"/>
        <v>Q4 2024</v>
      </c>
      <c r="P123" s="23">
        <f>VLOOKUP(D123,Products!$A:$F,4,FALSE)</f>
        <v>2509</v>
      </c>
      <c r="Q123" s="35">
        <f t="shared" si="5"/>
        <v>0.3069060773480663</v>
      </c>
    </row>
    <row r="124" spans="1:17">
      <c r="A124" s="12" t="s">
        <v>415</v>
      </c>
      <c r="B124" s="13">
        <v>45593</v>
      </c>
      <c r="C124" s="12" t="s">
        <v>416</v>
      </c>
      <c r="D124" s="12" t="s">
        <v>102</v>
      </c>
      <c r="E124" s="12" t="s">
        <v>109</v>
      </c>
      <c r="F124" s="14">
        <v>6</v>
      </c>
      <c r="G124" s="14">
        <v>3620</v>
      </c>
      <c r="H124" s="14">
        <v>21.7</v>
      </c>
      <c r="I124" s="14">
        <v>17006.759999999998</v>
      </c>
      <c r="J124" s="12" t="s">
        <v>104</v>
      </c>
      <c r="K124" s="12" t="s">
        <v>116</v>
      </c>
      <c r="L124" s="23" t="str">
        <f>VLOOKUP(D124,Products!$A:$F,3,FALSE)</f>
        <v>Apparel</v>
      </c>
      <c r="M124" s="23" t="str">
        <f>VLOOKUP(E124,Sales_Reps!$A:$E,3,FALSE)</f>
        <v>North</v>
      </c>
      <c r="N124" s="23" t="str">
        <f t="shared" si="3"/>
        <v>Oct-24</v>
      </c>
      <c r="O124" s="23" t="str">
        <f t="shared" si="4"/>
        <v>Q4 2024</v>
      </c>
      <c r="P124" s="23">
        <f>VLOOKUP(D124,Products!$A:$F,4,FALSE)</f>
        <v>2509</v>
      </c>
      <c r="Q124" s="35">
        <f t="shared" si="5"/>
        <v>0.3069060773480663</v>
      </c>
    </row>
    <row r="125" spans="1:17">
      <c r="A125" s="12" t="s">
        <v>417</v>
      </c>
      <c r="B125" s="13">
        <v>45360</v>
      </c>
      <c r="C125" s="12" t="s">
        <v>418</v>
      </c>
      <c r="D125" s="12" t="s">
        <v>132</v>
      </c>
      <c r="E125" s="12" t="s">
        <v>124</v>
      </c>
      <c r="F125" s="14">
        <v>8</v>
      </c>
      <c r="G125" s="14">
        <v>960</v>
      </c>
      <c r="H125" s="14">
        <v>27.9</v>
      </c>
      <c r="I125" s="14">
        <v>5537.28</v>
      </c>
      <c r="J125" s="12" t="s">
        <v>104</v>
      </c>
      <c r="K125" s="12" t="s">
        <v>111</v>
      </c>
      <c r="L125" s="23" t="str">
        <f>VLOOKUP(D125,Products!$A:$F,3,FALSE)</f>
        <v>Sports</v>
      </c>
      <c r="M125" s="23" t="str">
        <f>VLOOKUP(E125,Sales_Reps!$A:$E,3,FALSE)</f>
        <v>North</v>
      </c>
      <c r="N125" s="23" t="str">
        <f t="shared" si="3"/>
        <v>Mar-24</v>
      </c>
      <c r="O125" s="23" t="str">
        <f t="shared" si="4"/>
        <v>Q1 2024</v>
      </c>
      <c r="P125" s="23">
        <f>VLOOKUP(D125,Products!$A:$F,4,FALSE)</f>
        <v>705</v>
      </c>
      <c r="Q125" s="35">
        <f t="shared" si="5"/>
        <v>0.265625</v>
      </c>
    </row>
    <row r="126" spans="1:17">
      <c r="A126" s="12" t="s">
        <v>419</v>
      </c>
      <c r="B126" s="13">
        <v>45628</v>
      </c>
      <c r="C126" s="12" t="s">
        <v>420</v>
      </c>
      <c r="D126" s="12" t="s">
        <v>193</v>
      </c>
      <c r="E126" s="12" t="s">
        <v>128</v>
      </c>
      <c r="F126" s="14">
        <v>5</v>
      </c>
      <c r="G126" s="14">
        <v>1650</v>
      </c>
      <c r="H126" s="14">
        <v>4.9000000000000004</v>
      </c>
      <c r="I126" s="14">
        <v>7845.75</v>
      </c>
      <c r="J126" s="12" t="s">
        <v>104</v>
      </c>
      <c r="K126" s="12" t="s">
        <v>134</v>
      </c>
      <c r="L126" s="23" t="str">
        <f>VLOOKUP(D126,Products!$A:$F,3,FALSE)</f>
        <v>Beauty</v>
      </c>
      <c r="M126" s="23" t="str">
        <f>VLOOKUP(E126,Sales_Reps!$A:$E,3,FALSE)</f>
        <v>West</v>
      </c>
      <c r="N126" s="23" t="str">
        <f t="shared" si="3"/>
        <v>Dec-24</v>
      </c>
      <c r="O126" s="23" t="str">
        <f t="shared" si="4"/>
        <v>Q4 2024</v>
      </c>
      <c r="P126" s="23">
        <f>VLOOKUP(D126,Products!$A:$F,4,FALSE)</f>
        <v>1222</v>
      </c>
      <c r="Q126" s="35">
        <f t="shared" si="5"/>
        <v>0.2593939393939394</v>
      </c>
    </row>
    <row r="127" spans="1:17">
      <c r="A127" s="12" t="s">
        <v>421</v>
      </c>
      <c r="B127" s="13">
        <v>45592</v>
      </c>
      <c r="C127" s="12" t="s">
        <v>422</v>
      </c>
      <c r="D127" s="12" t="s">
        <v>397</v>
      </c>
      <c r="E127" s="12" t="s">
        <v>149</v>
      </c>
      <c r="F127" s="14">
        <v>9</v>
      </c>
      <c r="G127" s="14">
        <v>960</v>
      </c>
      <c r="H127" s="14">
        <v>25.1</v>
      </c>
      <c r="I127" s="14">
        <v>6471.36</v>
      </c>
      <c r="J127" s="12" t="s">
        <v>161</v>
      </c>
      <c r="K127" s="12" t="s">
        <v>111</v>
      </c>
      <c r="L127" s="23" t="str">
        <f>VLOOKUP(D127,Products!$A:$F,3,FALSE)</f>
        <v>Beauty</v>
      </c>
      <c r="M127" s="23" t="str">
        <f>VLOOKUP(E127,Sales_Reps!$A:$E,3,FALSE)</f>
        <v>South</v>
      </c>
      <c r="N127" s="23" t="str">
        <f t="shared" si="3"/>
        <v>Oct-24</v>
      </c>
      <c r="O127" s="23" t="str">
        <f t="shared" si="4"/>
        <v>Q4 2024</v>
      </c>
      <c r="P127" s="23">
        <f>VLOOKUP(D127,Products!$A:$F,4,FALSE)</f>
        <v>675</v>
      </c>
      <c r="Q127" s="35">
        <f t="shared" si="5"/>
        <v>0.296875</v>
      </c>
    </row>
    <row r="128" spans="1:17">
      <c r="A128" s="12" t="s">
        <v>423</v>
      </c>
      <c r="B128" s="13">
        <v>45453</v>
      </c>
      <c r="C128" s="12" t="s">
        <v>424</v>
      </c>
      <c r="D128" s="12" t="s">
        <v>425</v>
      </c>
      <c r="E128" s="12" t="s">
        <v>165</v>
      </c>
      <c r="F128" s="14">
        <v>7</v>
      </c>
      <c r="G128" s="14">
        <v>3970</v>
      </c>
      <c r="H128" s="14">
        <v>13.8</v>
      </c>
      <c r="I128" s="14">
        <v>23954.98</v>
      </c>
      <c r="J128" s="12" t="s">
        <v>110</v>
      </c>
      <c r="K128" s="12" t="s">
        <v>105</v>
      </c>
      <c r="L128" s="23" t="str">
        <f>VLOOKUP(D128,Products!$A:$F,3,FALSE)</f>
        <v>Electronics</v>
      </c>
      <c r="M128" s="23" t="str">
        <f>VLOOKUP(E128,Sales_Reps!$A:$E,3,FALSE)</f>
        <v>North</v>
      </c>
      <c r="N128" s="23" t="str">
        <f t="shared" si="3"/>
        <v>Jun-24</v>
      </c>
      <c r="O128" s="23" t="str">
        <f t="shared" si="4"/>
        <v>Q2 2024</v>
      </c>
      <c r="P128" s="23">
        <f>VLOOKUP(D128,Products!$A:$F,4,FALSE)</f>
        <v>2865</v>
      </c>
      <c r="Q128" s="35">
        <f t="shared" si="5"/>
        <v>0.27833753148614609</v>
      </c>
    </row>
    <row r="129" spans="1:17">
      <c r="A129" s="12" t="s">
        <v>426</v>
      </c>
      <c r="B129" s="13">
        <v>45612</v>
      </c>
      <c r="C129" s="12" t="s">
        <v>316</v>
      </c>
      <c r="D129" s="12" t="s">
        <v>144</v>
      </c>
      <c r="E129" s="12" t="s">
        <v>109</v>
      </c>
      <c r="F129" s="14">
        <v>7</v>
      </c>
      <c r="G129" s="14">
        <v>970</v>
      </c>
      <c r="H129" s="14">
        <v>21.6</v>
      </c>
      <c r="I129" s="14">
        <v>5323.36</v>
      </c>
      <c r="J129" s="12" t="s">
        <v>110</v>
      </c>
      <c r="K129" s="12" t="s">
        <v>150</v>
      </c>
      <c r="L129" s="23" t="str">
        <f>VLOOKUP(D129,Products!$A:$F,3,FALSE)</f>
        <v>Grocery</v>
      </c>
      <c r="M129" s="23" t="str">
        <f>VLOOKUP(E129,Sales_Reps!$A:$E,3,FALSE)</f>
        <v>North</v>
      </c>
      <c r="N129" s="23" t="str">
        <f t="shared" si="3"/>
        <v>Nov-24</v>
      </c>
      <c r="O129" s="23" t="str">
        <f t="shared" si="4"/>
        <v>Q4 2024</v>
      </c>
      <c r="P129" s="23">
        <f>VLOOKUP(D129,Products!$A:$F,4,FALSE)</f>
        <v>434</v>
      </c>
      <c r="Q129" s="35">
        <f t="shared" si="5"/>
        <v>0.5525773195876289</v>
      </c>
    </row>
    <row r="130" spans="1:17">
      <c r="A130" s="12" t="s">
        <v>427</v>
      </c>
      <c r="B130" s="13">
        <v>45541</v>
      </c>
      <c r="C130" s="12" t="s">
        <v>428</v>
      </c>
      <c r="D130" s="12" t="s">
        <v>312</v>
      </c>
      <c r="E130" s="12" t="s">
        <v>232</v>
      </c>
      <c r="F130" s="14">
        <v>10</v>
      </c>
      <c r="G130" s="14">
        <v>2030</v>
      </c>
      <c r="H130" s="14">
        <v>1.2</v>
      </c>
      <c r="I130" s="14">
        <v>20056.400000000001</v>
      </c>
      <c r="J130" s="12" t="s">
        <v>104</v>
      </c>
      <c r="K130" s="12" t="s">
        <v>129</v>
      </c>
      <c r="L130" s="23" t="str">
        <f>VLOOKUP(D130,Products!$A:$F,3,FALSE)</f>
        <v>Home</v>
      </c>
      <c r="M130" s="23" t="str">
        <f>VLOOKUP(E130,Sales_Reps!$A:$E,3,FALSE)</f>
        <v>North</v>
      </c>
      <c r="N130" s="23" t="str">
        <f t="shared" si="3"/>
        <v>Sep-24</v>
      </c>
      <c r="O130" s="23" t="str">
        <f t="shared" si="4"/>
        <v>Q3 2024</v>
      </c>
      <c r="P130" s="23">
        <f>VLOOKUP(D130,Products!$A:$F,4,FALSE)</f>
        <v>1143</v>
      </c>
      <c r="Q130" s="35">
        <f t="shared" si="5"/>
        <v>0.43694581280788175</v>
      </c>
    </row>
    <row r="131" spans="1:17">
      <c r="A131" s="12" t="s">
        <v>429</v>
      </c>
      <c r="B131" s="13">
        <v>45640</v>
      </c>
      <c r="C131" s="12" t="s">
        <v>430</v>
      </c>
      <c r="D131" s="12" t="s">
        <v>148</v>
      </c>
      <c r="E131" s="12" t="s">
        <v>175</v>
      </c>
      <c r="F131" s="14">
        <v>9</v>
      </c>
      <c r="G131" s="14">
        <v>2270</v>
      </c>
      <c r="H131" s="14">
        <v>13.2</v>
      </c>
      <c r="I131" s="14">
        <v>17733.240000000002</v>
      </c>
      <c r="J131" s="12" t="s">
        <v>110</v>
      </c>
      <c r="K131" s="12" t="s">
        <v>105</v>
      </c>
      <c r="L131" s="23" t="str">
        <f>VLOOKUP(D131,Products!$A:$F,3,FALSE)</f>
        <v>Grocery</v>
      </c>
      <c r="M131" s="23" t="str">
        <f>VLOOKUP(E131,Sales_Reps!$A:$E,3,FALSE)</f>
        <v>East</v>
      </c>
      <c r="N131" s="23" t="str">
        <f t="shared" ref="N131:N194" si="6">TEXT(B131, "mmm-yy")</f>
        <v>Dec-24</v>
      </c>
      <c r="O131" s="23" t="str">
        <f t="shared" ref="O131:O194" si="7">"Q" &amp; INT((MONTH(B131)-1)/3)+1 &amp; " " &amp; YEAR(B131)</f>
        <v>Q4 2024</v>
      </c>
      <c r="P131" s="23">
        <f>VLOOKUP(D131,Products!$A:$F,4,FALSE)</f>
        <v>1203</v>
      </c>
      <c r="Q131" s="35">
        <f t="shared" ref="Q131:Q194" si="8">(G131 - P131) / G131</f>
        <v>0.47004405286343615</v>
      </c>
    </row>
    <row r="132" spans="1:17">
      <c r="A132" s="12" t="s">
        <v>431</v>
      </c>
      <c r="B132" s="13">
        <v>45524</v>
      </c>
      <c r="C132" s="12" t="s">
        <v>173</v>
      </c>
      <c r="D132" s="12" t="s">
        <v>201</v>
      </c>
      <c r="E132" s="12" t="s">
        <v>165</v>
      </c>
      <c r="F132" s="14">
        <v>8</v>
      </c>
      <c r="G132" s="14">
        <v>4880</v>
      </c>
      <c r="H132" s="14">
        <v>13.4</v>
      </c>
      <c r="I132" s="14">
        <v>33808.639999999999</v>
      </c>
      <c r="J132" s="12" t="s">
        <v>104</v>
      </c>
      <c r="K132" s="12" t="s">
        <v>150</v>
      </c>
      <c r="L132" s="23" t="str">
        <f>VLOOKUP(D132,Products!$A:$F,3,FALSE)</f>
        <v>Beauty</v>
      </c>
      <c r="M132" s="23" t="str">
        <f>VLOOKUP(E132,Sales_Reps!$A:$E,3,FALSE)</f>
        <v>North</v>
      </c>
      <c r="N132" s="23" t="str">
        <f t="shared" si="6"/>
        <v>Aug-24</v>
      </c>
      <c r="O132" s="23" t="str">
        <f t="shared" si="7"/>
        <v>Q3 2024</v>
      </c>
      <c r="P132" s="23">
        <f>VLOOKUP(D132,Products!$A:$F,4,FALSE)</f>
        <v>2768</v>
      </c>
      <c r="Q132" s="35">
        <f t="shared" si="8"/>
        <v>0.43278688524590164</v>
      </c>
    </row>
    <row r="133" spans="1:17">
      <c r="A133" s="12" t="s">
        <v>432</v>
      </c>
      <c r="B133" s="13">
        <v>45344</v>
      </c>
      <c r="C133" s="12" t="s">
        <v>433</v>
      </c>
      <c r="D133" s="12" t="s">
        <v>265</v>
      </c>
      <c r="E133" s="12" t="s">
        <v>290</v>
      </c>
      <c r="F133" s="14">
        <v>10</v>
      </c>
      <c r="G133" s="14">
        <v>3870</v>
      </c>
      <c r="H133" s="14">
        <v>23.9</v>
      </c>
      <c r="I133" s="14">
        <v>29450.7</v>
      </c>
      <c r="J133" s="12" t="s">
        <v>104</v>
      </c>
      <c r="K133" s="12" t="s">
        <v>134</v>
      </c>
      <c r="L133" s="23" t="str">
        <f>VLOOKUP(D133,Products!$A:$F,3,FALSE)</f>
        <v>Electronics</v>
      </c>
      <c r="M133" s="23" t="str">
        <f>VLOOKUP(E133,Sales_Reps!$A:$E,3,FALSE)</f>
        <v>South</v>
      </c>
      <c r="N133" s="23" t="str">
        <f t="shared" si="6"/>
        <v>Feb-24</v>
      </c>
      <c r="O133" s="23" t="str">
        <f t="shared" si="7"/>
        <v>Q1 2024</v>
      </c>
      <c r="P133" s="23">
        <f>VLOOKUP(D133,Products!$A:$F,4,FALSE)</f>
        <v>1559</v>
      </c>
      <c r="Q133" s="35">
        <f t="shared" si="8"/>
        <v>0.59715762273901807</v>
      </c>
    </row>
    <row r="134" spans="1:17">
      <c r="A134" s="12" t="s">
        <v>434</v>
      </c>
      <c r="B134" s="13">
        <v>45463</v>
      </c>
      <c r="C134" s="12" t="s">
        <v>435</v>
      </c>
      <c r="D134" s="12" t="s">
        <v>403</v>
      </c>
      <c r="E134" s="12" t="s">
        <v>314</v>
      </c>
      <c r="F134" s="14">
        <v>4</v>
      </c>
      <c r="G134" s="14">
        <v>2290</v>
      </c>
      <c r="H134" s="14">
        <v>15.2</v>
      </c>
      <c r="I134" s="14">
        <v>7767.68</v>
      </c>
      <c r="J134" s="12" t="s">
        <v>104</v>
      </c>
      <c r="K134" s="12" t="s">
        <v>150</v>
      </c>
      <c r="L134" s="23" t="str">
        <f>VLOOKUP(D134,Products!$A:$F,3,FALSE)</f>
        <v>Beauty</v>
      </c>
      <c r="M134" s="23" t="str">
        <f>VLOOKUP(E134,Sales_Reps!$A:$E,3,FALSE)</f>
        <v>North</v>
      </c>
      <c r="N134" s="23" t="str">
        <f t="shared" si="6"/>
        <v>Jun-24</v>
      </c>
      <c r="O134" s="23" t="str">
        <f t="shared" si="7"/>
        <v>Q2 2024</v>
      </c>
      <c r="P134" s="23">
        <f>VLOOKUP(D134,Products!$A:$F,4,FALSE)</f>
        <v>1219</v>
      </c>
      <c r="Q134" s="35">
        <f t="shared" si="8"/>
        <v>0.46768558951965067</v>
      </c>
    </row>
    <row r="135" spans="1:17">
      <c r="A135" s="12" t="s">
        <v>436</v>
      </c>
      <c r="B135" s="13">
        <v>45443</v>
      </c>
      <c r="C135" s="12" t="s">
        <v>437</v>
      </c>
      <c r="D135" s="12" t="s">
        <v>384</v>
      </c>
      <c r="E135" s="12" t="s">
        <v>209</v>
      </c>
      <c r="F135" s="14">
        <v>8</v>
      </c>
      <c r="G135" s="14">
        <v>2380</v>
      </c>
      <c r="H135" s="14">
        <v>4.2</v>
      </c>
      <c r="I135" s="14">
        <v>18240.32</v>
      </c>
      <c r="J135" s="12" t="s">
        <v>104</v>
      </c>
      <c r="K135" s="12" t="s">
        <v>116</v>
      </c>
      <c r="L135" s="23" t="str">
        <f>VLOOKUP(D135,Products!$A:$F,3,FALSE)</f>
        <v>Grocery</v>
      </c>
      <c r="M135" s="23" t="str">
        <f>VLOOKUP(E135,Sales_Reps!$A:$E,3,FALSE)</f>
        <v>East</v>
      </c>
      <c r="N135" s="23" t="str">
        <f t="shared" si="6"/>
        <v>May-24</v>
      </c>
      <c r="O135" s="23" t="str">
        <f t="shared" si="7"/>
        <v>Q2 2024</v>
      </c>
      <c r="P135" s="23">
        <f>VLOOKUP(D135,Products!$A:$F,4,FALSE)</f>
        <v>1182</v>
      </c>
      <c r="Q135" s="35">
        <f t="shared" si="8"/>
        <v>0.50336134453781511</v>
      </c>
    </row>
    <row r="136" spans="1:17">
      <c r="A136" s="12" t="s">
        <v>438</v>
      </c>
      <c r="B136" s="13">
        <v>45301</v>
      </c>
      <c r="C136" s="12" t="s">
        <v>439</v>
      </c>
      <c r="D136" s="12" t="s">
        <v>355</v>
      </c>
      <c r="E136" s="12" t="s">
        <v>269</v>
      </c>
      <c r="F136" s="14">
        <v>8</v>
      </c>
      <c r="G136" s="14">
        <v>2210</v>
      </c>
      <c r="H136" s="14">
        <v>11.5</v>
      </c>
      <c r="I136" s="14">
        <v>15646.8</v>
      </c>
      <c r="J136" s="12" t="s">
        <v>104</v>
      </c>
      <c r="K136" s="12" t="s">
        <v>111</v>
      </c>
      <c r="L136" s="23" t="str">
        <f>VLOOKUP(D136,Products!$A:$F,3,FALSE)</f>
        <v>Grocery</v>
      </c>
      <c r="M136" s="23" t="str">
        <f>VLOOKUP(E136,Sales_Reps!$A:$E,3,FALSE)</f>
        <v>South</v>
      </c>
      <c r="N136" s="23" t="str">
        <f t="shared" si="6"/>
        <v>Jan-24</v>
      </c>
      <c r="O136" s="23" t="str">
        <f t="shared" si="7"/>
        <v>Q1 2024</v>
      </c>
      <c r="P136" s="23">
        <f>VLOOKUP(D136,Products!$A:$F,4,FALSE)</f>
        <v>1010</v>
      </c>
      <c r="Q136" s="35">
        <f t="shared" si="8"/>
        <v>0.54298642533936647</v>
      </c>
    </row>
    <row r="137" spans="1:17">
      <c r="A137" s="12" t="s">
        <v>440</v>
      </c>
      <c r="B137" s="13">
        <v>45360</v>
      </c>
      <c r="C137" s="12" t="s">
        <v>250</v>
      </c>
      <c r="D137" s="12" t="s">
        <v>381</v>
      </c>
      <c r="E137" s="12" t="s">
        <v>302</v>
      </c>
      <c r="F137" s="14">
        <v>4</v>
      </c>
      <c r="G137" s="14">
        <v>5330</v>
      </c>
      <c r="H137" s="14">
        <v>22.6</v>
      </c>
      <c r="I137" s="14">
        <v>16501.68</v>
      </c>
      <c r="J137" s="12" t="s">
        <v>110</v>
      </c>
      <c r="K137" s="12" t="s">
        <v>105</v>
      </c>
      <c r="L137" s="23" t="str">
        <f>VLOOKUP(D137,Products!$A:$F,3,FALSE)</f>
        <v>Electronics</v>
      </c>
      <c r="M137" s="23" t="str">
        <f>VLOOKUP(E137,Sales_Reps!$A:$E,3,FALSE)</f>
        <v>East</v>
      </c>
      <c r="N137" s="23" t="str">
        <f t="shared" si="6"/>
        <v>Mar-24</v>
      </c>
      <c r="O137" s="23" t="str">
        <f t="shared" si="7"/>
        <v>Q1 2024</v>
      </c>
      <c r="P137" s="23">
        <f>VLOOKUP(D137,Products!$A:$F,4,FALSE)</f>
        <v>2405</v>
      </c>
      <c r="Q137" s="35">
        <f t="shared" si="8"/>
        <v>0.54878048780487809</v>
      </c>
    </row>
    <row r="138" spans="1:17">
      <c r="A138" s="12" t="s">
        <v>441</v>
      </c>
      <c r="B138" s="13">
        <v>45559</v>
      </c>
      <c r="C138" s="12" t="s">
        <v>442</v>
      </c>
      <c r="D138" s="12" t="s">
        <v>425</v>
      </c>
      <c r="E138" s="12" t="s">
        <v>302</v>
      </c>
      <c r="F138" s="14">
        <v>8</v>
      </c>
      <c r="G138" s="14">
        <v>3970</v>
      </c>
      <c r="H138" s="14">
        <v>21.8</v>
      </c>
      <c r="I138" s="14">
        <v>24836.32</v>
      </c>
      <c r="J138" s="12" t="s">
        <v>104</v>
      </c>
      <c r="K138" s="12" t="s">
        <v>111</v>
      </c>
      <c r="L138" s="23" t="str">
        <f>VLOOKUP(D138,Products!$A:$F,3,FALSE)</f>
        <v>Electronics</v>
      </c>
      <c r="M138" s="23" t="str">
        <f>VLOOKUP(E138,Sales_Reps!$A:$E,3,FALSE)</f>
        <v>East</v>
      </c>
      <c r="N138" s="23" t="str">
        <f t="shared" si="6"/>
        <v>Sep-24</v>
      </c>
      <c r="O138" s="23" t="str">
        <f t="shared" si="7"/>
        <v>Q3 2024</v>
      </c>
      <c r="P138" s="23">
        <f>VLOOKUP(D138,Products!$A:$F,4,FALSE)</f>
        <v>2865</v>
      </c>
      <c r="Q138" s="35">
        <f t="shared" si="8"/>
        <v>0.27833753148614609</v>
      </c>
    </row>
    <row r="139" spans="1:17">
      <c r="A139" s="12" t="s">
        <v>443</v>
      </c>
      <c r="B139" s="13">
        <v>45546</v>
      </c>
      <c r="C139" s="12" t="s">
        <v>444</v>
      </c>
      <c r="D139" s="12" t="s">
        <v>123</v>
      </c>
      <c r="E139" s="12" t="s">
        <v>209</v>
      </c>
      <c r="F139" s="14">
        <v>10</v>
      </c>
      <c r="G139" s="14">
        <v>3160</v>
      </c>
      <c r="H139" s="14">
        <v>16.100000000000001</v>
      </c>
      <c r="I139" s="14">
        <v>26512.400000000001</v>
      </c>
      <c r="J139" s="12" t="s">
        <v>157</v>
      </c>
      <c r="K139" s="12" t="s">
        <v>105</v>
      </c>
      <c r="L139" s="23" t="str">
        <f>VLOOKUP(D139,Products!$A:$F,3,FALSE)</f>
        <v>Apparel</v>
      </c>
      <c r="M139" s="23" t="str">
        <f>VLOOKUP(E139,Sales_Reps!$A:$E,3,FALSE)</f>
        <v>East</v>
      </c>
      <c r="N139" s="23" t="str">
        <f t="shared" si="6"/>
        <v>Sep-24</v>
      </c>
      <c r="O139" s="23" t="str">
        <f t="shared" si="7"/>
        <v>Q3 2024</v>
      </c>
      <c r="P139" s="23">
        <f>VLOOKUP(D139,Products!$A:$F,4,FALSE)</f>
        <v>1886</v>
      </c>
      <c r="Q139" s="35">
        <f t="shared" si="8"/>
        <v>0.4031645569620253</v>
      </c>
    </row>
    <row r="140" spans="1:17">
      <c r="A140" s="12" t="s">
        <v>445</v>
      </c>
      <c r="B140" s="13">
        <v>45425</v>
      </c>
      <c r="C140" s="12" t="s">
        <v>446</v>
      </c>
      <c r="D140" s="12" t="s">
        <v>164</v>
      </c>
      <c r="E140" s="12" t="s">
        <v>221</v>
      </c>
      <c r="F140" s="14">
        <v>5</v>
      </c>
      <c r="G140" s="14">
        <v>190</v>
      </c>
      <c r="H140" s="14">
        <v>14.8</v>
      </c>
      <c r="I140" s="14">
        <v>809.4</v>
      </c>
      <c r="J140" s="12" t="s">
        <v>104</v>
      </c>
      <c r="K140" s="12" t="s">
        <v>134</v>
      </c>
      <c r="L140" s="23" t="str">
        <f>VLOOKUP(D140,Products!$A:$F,3,FALSE)</f>
        <v>Sports</v>
      </c>
      <c r="M140" s="23" t="str">
        <f>VLOOKUP(E140,Sales_Reps!$A:$E,3,FALSE)</f>
        <v>South</v>
      </c>
      <c r="N140" s="23" t="str">
        <f t="shared" si="6"/>
        <v>May-24</v>
      </c>
      <c r="O140" s="23" t="str">
        <f t="shared" si="7"/>
        <v>Q2 2024</v>
      </c>
      <c r="P140" s="23">
        <f>VLOOKUP(D140,Products!$A:$F,4,FALSE)</f>
        <v>147</v>
      </c>
      <c r="Q140" s="35">
        <f t="shared" si="8"/>
        <v>0.22631578947368422</v>
      </c>
    </row>
    <row r="141" spans="1:17">
      <c r="A141" s="12" t="s">
        <v>447</v>
      </c>
      <c r="B141" s="13">
        <v>45351</v>
      </c>
      <c r="C141" s="12" t="s">
        <v>339</v>
      </c>
      <c r="D141" s="12" t="s">
        <v>217</v>
      </c>
      <c r="E141" s="12" t="s">
        <v>103</v>
      </c>
      <c r="F141" s="14">
        <v>6</v>
      </c>
      <c r="G141" s="14">
        <v>2760</v>
      </c>
      <c r="H141" s="14">
        <v>19.8</v>
      </c>
      <c r="I141" s="14">
        <v>13281.12</v>
      </c>
      <c r="J141" s="12" t="s">
        <v>104</v>
      </c>
      <c r="K141" s="12" t="s">
        <v>116</v>
      </c>
      <c r="L141" s="23" t="str">
        <f>VLOOKUP(D141,Products!$A:$F,3,FALSE)</f>
        <v>Grocery</v>
      </c>
      <c r="M141" s="23" t="str">
        <f>VLOOKUP(E141,Sales_Reps!$A:$E,3,FALSE)</f>
        <v>North</v>
      </c>
      <c r="N141" s="23" t="str">
        <f t="shared" si="6"/>
        <v>Feb-24</v>
      </c>
      <c r="O141" s="23" t="str">
        <f t="shared" si="7"/>
        <v>Q1 2024</v>
      </c>
      <c r="P141" s="23">
        <f>VLOOKUP(D141,Products!$A:$F,4,FALSE)</f>
        <v>1435</v>
      </c>
      <c r="Q141" s="35">
        <f t="shared" si="8"/>
        <v>0.48007246376811596</v>
      </c>
    </row>
    <row r="142" spans="1:17">
      <c r="A142" s="12" t="s">
        <v>448</v>
      </c>
      <c r="B142" s="13">
        <v>45604</v>
      </c>
      <c r="C142" s="12" t="s">
        <v>388</v>
      </c>
      <c r="D142" s="12" t="s">
        <v>262</v>
      </c>
      <c r="E142" s="12" t="s">
        <v>138</v>
      </c>
      <c r="F142" s="14">
        <v>9</v>
      </c>
      <c r="G142" s="14">
        <v>2270</v>
      </c>
      <c r="H142" s="14">
        <v>20.8</v>
      </c>
      <c r="I142" s="14">
        <v>16180.56</v>
      </c>
      <c r="J142" s="12" t="s">
        <v>157</v>
      </c>
      <c r="K142" s="12" t="s">
        <v>129</v>
      </c>
      <c r="L142" s="23" t="str">
        <f>VLOOKUP(D142,Products!$A:$F,3,FALSE)</f>
        <v>Grocery</v>
      </c>
      <c r="M142" s="23" t="str">
        <f>VLOOKUP(E142,Sales_Reps!$A:$E,3,FALSE)</f>
        <v>East</v>
      </c>
      <c r="N142" s="23" t="str">
        <f t="shared" si="6"/>
        <v>Nov-24</v>
      </c>
      <c r="O142" s="23" t="str">
        <f t="shared" si="7"/>
        <v>Q4 2024</v>
      </c>
      <c r="P142" s="23">
        <f>VLOOKUP(D142,Products!$A:$F,4,FALSE)</f>
        <v>1412</v>
      </c>
      <c r="Q142" s="35">
        <f t="shared" si="8"/>
        <v>0.37797356828193834</v>
      </c>
    </row>
    <row r="143" spans="1:17">
      <c r="A143" s="12" t="s">
        <v>449</v>
      </c>
      <c r="B143" s="13">
        <v>45328</v>
      </c>
      <c r="C143" s="12" t="s">
        <v>183</v>
      </c>
      <c r="D143" s="12" t="s">
        <v>377</v>
      </c>
      <c r="E143" s="12" t="s">
        <v>232</v>
      </c>
      <c r="F143" s="14">
        <v>8</v>
      </c>
      <c r="G143" s="14">
        <v>5410</v>
      </c>
      <c r="H143" s="14">
        <v>12.9</v>
      </c>
      <c r="I143" s="14">
        <v>37696.879999999997</v>
      </c>
      <c r="J143" s="12" t="s">
        <v>104</v>
      </c>
      <c r="K143" s="12" t="s">
        <v>150</v>
      </c>
      <c r="L143" s="23" t="str">
        <f>VLOOKUP(D143,Products!$A:$F,3,FALSE)</f>
        <v>Sports</v>
      </c>
      <c r="M143" s="23" t="str">
        <f>VLOOKUP(E143,Sales_Reps!$A:$E,3,FALSE)</f>
        <v>North</v>
      </c>
      <c r="N143" s="23" t="str">
        <f t="shared" si="6"/>
        <v>Feb-24</v>
      </c>
      <c r="O143" s="23" t="str">
        <f t="shared" si="7"/>
        <v>Q1 2024</v>
      </c>
      <c r="P143" s="23">
        <f>VLOOKUP(D143,Products!$A:$F,4,FALSE)</f>
        <v>2265</v>
      </c>
      <c r="Q143" s="35">
        <f t="shared" si="8"/>
        <v>0.58133086876155271</v>
      </c>
    </row>
    <row r="144" spans="1:17">
      <c r="A144" s="12" t="s">
        <v>450</v>
      </c>
      <c r="B144" s="13">
        <v>45508</v>
      </c>
      <c r="C144" s="12" t="s">
        <v>451</v>
      </c>
      <c r="D144" s="12" t="s">
        <v>148</v>
      </c>
      <c r="E144" s="12" t="s">
        <v>221</v>
      </c>
      <c r="F144" s="14">
        <v>9</v>
      </c>
      <c r="G144" s="14">
        <v>2270</v>
      </c>
      <c r="H144" s="14">
        <v>6.8</v>
      </c>
      <c r="I144" s="14">
        <v>19040.759999999998</v>
      </c>
      <c r="J144" s="12" t="s">
        <v>104</v>
      </c>
      <c r="K144" s="12" t="s">
        <v>116</v>
      </c>
      <c r="L144" s="23" t="str">
        <f>VLOOKUP(D144,Products!$A:$F,3,FALSE)</f>
        <v>Grocery</v>
      </c>
      <c r="M144" s="23" t="str">
        <f>VLOOKUP(E144,Sales_Reps!$A:$E,3,FALSE)</f>
        <v>South</v>
      </c>
      <c r="N144" s="23" t="str">
        <f t="shared" si="6"/>
        <v>Aug-24</v>
      </c>
      <c r="O144" s="23" t="str">
        <f t="shared" si="7"/>
        <v>Q3 2024</v>
      </c>
      <c r="P144" s="23">
        <f>VLOOKUP(D144,Products!$A:$F,4,FALSE)</f>
        <v>1203</v>
      </c>
      <c r="Q144" s="35">
        <f t="shared" si="8"/>
        <v>0.47004405286343615</v>
      </c>
    </row>
    <row r="145" spans="1:17">
      <c r="A145" s="12" t="s">
        <v>452</v>
      </c>
      <c r="B145" s="13">
        <v>45309</v>
      </c>
      <c r="C145" s="12" t="s">
        <v>154</v>
      </c>
      <c r="D145" s="12" t="s">
        <v>123</v>
      </c>
      <c r="E145" s="12" t="s">
        <v>232</v>
      </c>
      <c r="F145" s="14">
        <v>3</v>
      </c>
      <c r="G145" s="14">
        <v>3160</v>
      </c>
      <c r="H145" s="14">
        <v>12.8</v>
      </c>
      <c r="I145" s="14">
        <v>8266.56</v>
      </c>
      <c r="J145" s="12" t="s">
        <v>104</v>
      </c>
      <c r="K145" s="12" t="s">
        <v>116</v>
      </c>
      <c r="L145" s="23" t="str">
        <f>VLOOKUP(D145,Products!$A:$F,3,FALSE)</f>
        <v>Apparel</v>
      </c>
      <c r="M145" s="23" t="str">
        <f>VLOOKUP(E145,Sales_Reps!$A:$E,3,FALSE)</f>
        <v>North</v>
      </c>
      <c r="N145" s="23" t="str">
        <f t="shared" si="6"/>
        <v>Jan-24</v>
      </c>
      <c r="O145" s="23" t="str">
        <f t="shared" si="7"/>
        <v>Q1 2024</v>
      </c>
      <c r="P145" s="23">
        <f>VLOOKUP(D145,Products!$A:$F,4,FALSE)</f>
        <v>1886</v>
      </c>
      <c r="Q145" s="35">
        <f t="shared" si="8"/>
        <v>0.4031645569620253</v>
      </c>
    </row>
    <row r="146" spans="1:17">
      <c r="A146" s="12" t="s">
        <v>453</v>
      </c>
      <c r="B146" s="13">
        <v>45448</v>
      </c>
      <c r="C146" s="12" t="s">
        <v>250</v>
      </c>
      <c r="D146" s="12" t="s">
        <v>368</v>
      </c>
      <c r="E146" s="12" t="s">
        <v>145</v>
      </c>
      <c r="F146" s="14">
        <v>8</v>
      </c>
      <c r="G146" s="14">
        <v>4060</v>
      </c>
      <c r="H146" s="14">
        <v>20.9</v>
      </c>
      <c r="I146" s="14">
        <v>25691.68</v>
      </c>
      <c r="J146" s="12" t="s">
        <v>104</v>
      </c>
      <c r="K146" s="12" t="s">
        <v>105</v>
      </c>
      <c r="L146" s="23" t="str">
        <f>VLOOKUP(D146,Products!$A:$F,3,FALSE)</f>
        <v>Grocery</v>
      </c>
      <c r="M146" s="23" t="str">
        <f>VLOOKUP(E146,Sales_Reps!$A:$E,3,FALSE)</f>
        <v>West</v>
      </c>
      <c r="N146" s="23" t="str">
        <f t="shared" si="6"/>
        <v>Jun-24</v>
      </c>
      <c r="O146" s="23" t="str">
        <f t="shared" si="7"/>
        <v>Q2 2024</v>
      </c>
      <c r="P146" s="23">
        <f>VLOOKUP(D146,Products!$A:$F,4,FALSE)</f>
        <v>2911</v>
      </c>
      <c r="Q146" s="35">
        <f t="shared" si="8"/>
        <v>0.28300492610837441</v>
      </c>
    </row>
    <row r="147" spans="1:17">
      <c r="A147" s="12" t="s">
        <v>454</v>
      </c>
      <c r="B147" s="13">
        <v>45449</v>
      </c>
      <c r="C147" s="12" t="s">
        <v>455</v>
      </c>
      <c r="D147" s="12" t="s">
        <v>108</v>
      </c>
      <c r="E147" s="12" t="s">
        <v>320</v>
      </c>
      <c r="F147" s="14">
        <v>5</v>
      </c>
      <c r="G147" s="14">
        <v>820</v>
      </c>
      <c r="H147" s="14">
        <v>9.1</v>
      </c>
      <c r="I147" s="14">
        <v>3726.9</v>
      </c>
      <c r="J147" s="12" t="s">
        <v>161</v>
      </c>
      <c r="K147" s="12" t="s">
        <v>105</v>
      </c>
      <c r="L147" s="23" t="str">
        <f>VLOOKUP(D147,Products!$A:$F,3,FALSE)</f>
        <v>Apparel</v>
      </c>
      <c r="M147" s="23" t="str">
        <f>VLOOKUP(E147,Sales_Reps!$A:$E,3,FALSE)</f>
        <v>East</v>
      </c>
      <c r="N147" s="23" t="str">
        <f t="shared" si="6"/>
        <v>Jun-24</v>
      </c>
      <c r="O147" s="23" t="str">
        <f t="shared" si="7"/>
        <v>Q2 2024</v>
      </c>
      <c r="P147" s="23">
        <f>VLOOKUP(D147,Products!$A:$F,4,FALSE)</f>
        <v>391</v>
      </c>
      <c r="Q147" s="35">
        <f t="shared" si="8"/>
        <v>0.52317073170731709</v>
      </c>
    </row>
    <row r="148" spans="1:17">
      <c r="A148" s="12" t="s">
        <v>456</v>
      </c>
      <c r="B148" s="13">
        <v>45555</v>
      </c>
      <c r="C148" s="12" t="s">
        <v>457</v>
      </c>
      <c r="D148" s="12" t="s">
        <v>127</v>
      </c>
      <c r="E148" s="12" t="s">
        <v>103</v>
      </c>
      <c r="F148" s="14">
        <v>5</v>
      </c>
      <c r="G148" s="14">
        <v>370</v>
      </c>
      <c r="H148" s="14">
        <v>11.5</v>
      </c>
      <c r="I148" s="14">
        <v>1637.25</v>
      </c>
      <c r="J148" s="12" t="s">
        <v>104</v>
      </c>
      <c r="K148" s="12" t="s">
        <v>105</v>
      </c>
      <c r="L148" s="23" t="str">
        <f>VLOOKUP(D148,Products!$A:$F,3,FALSE)</f>
        <v>Home</v>
      </c>
      <c r="M148" s="23" t="str">
        <f>VLOOKUP(E148,Sales_Reps!$A:$E,3,FALSE)</f>
        <v>North</v>
      </c>
      <c r="N148" s="23" t="str">
        <f t="shared" si="6"/>
        <v>Sep-24</v>
      </c>
      <c r="O148" s="23" t="str">
        <f t="shared" si="7"/>
        <v>Q3 2024</v>
      </c>
      <c r="P148" s="23">
        <f>VLOOKUP(D148,Products!$A:$F,4,FALSE)</f>
        <v>288</v>
      </c>
      <c r="Q148" s="35">
        <f t="shared" si="8"/>
        <v>0.22162162162162163</v>
      </c>
    </row>
    <row r="149" spans="1:17">
      <c r="A149" s="12" t="s">
        <v>458</v>
      </c>
      <c r="B149" s="13">
        <v>45341</v>
      </c>
      <c r="C149" s="12" t="s">
        <v>459</v>
      </c>
      <c r="D149" s="12" t="s">
        <v>460</v>
      </c>
      <c r="E149" s="12" t="s">
        <v>314</v>
      </c>
      <c r="F149" s="14">
        <v>9</v>
      </c>
      <c r="G149" s="14">
        <v>5080</v>
      </c>
      <c r="H149" s="14">
        <v>27.5</v>
      </c>
      <c r="I149" s="14">
        <v>33147</v>
      </c>
      <c r="J149" s="12" t="s">
        <v>104</v>
      </c>
      <c r="K149" s="12" t="s">
        <v>105</v>
      </c>
      <c r="L149" s="23" t="str">
        <f>VLOOKUP(D149,Products!$A:$F,3,FALSE)</f>
        <v>Home</v>
      </c>
      <c r="M149" s="23" t="str">
        <f>VLOOKUP(E149,Sales_Reps!$A:$E,3,FALSE)</f>
        <v>North</v>
      </c>
      <c r="N149" s="23" t="str">
        <f t="shared" si="6"/>
        <v>Feb-24</v>
      </c>
      <c r="O149" s="23" t="str">
        <f t="shared" si="7"/>
        <v>Q1 2024</v>
      </c>
      <c r="P149" s="23">
        <f>VLOOKUP(D149,Products!$A:$F,4,FALSE)</f>
        <v>2459</v>
      </c>
      <c r="Q149" s="35">
        <f t="shared" si="8"/>
        <v>0.51594488188976373</v>
      </c>
    </row>
    <row r="150" spans="1:17">
      <c r="A150" s="12" t="s">
        <v>461</v>
      </c>
      <c r="B150" s="13">
        <v>45422</v>
      </c>
      <c r="C150" s="12" t="s">
        <v>325</v>
      </c>
      <c r="D150" s="12" t="s">
        <v>281</v>
      </c>
      <c r="E150" s="12" t="s">
        <v>342</v>
      </c>
      <c r="F150" s="14">
        <v>6</v>
      </c>
      <c r="G150" s="14">
        <v>4070</v>
      </c>
      <c r="H150" s="14">
        <v>12.5</v>
      </c>
      <c r="I150" s="14">
        <v>21367.5</v>
      </c>
      <c r="J150" s="12" t="s">
        <v>104</v>
      </c>
      <c r="K150" s="12" t="s">
        <v>105</v>
      </c>
      <c r="L150" s="23" t="str">
        <f>VLOOKUP(D150,Products!$A:$F,3,FALSE)</f>
        <v>Grocery</v>
      </c>
      <c r="M150" s="23" t="str">
        <f>VLOOKUP(E150,Sales_Reps!$A:$E,3,FALSE)</f>
        <v>South</v>
      </c>
      <c r="N150" s="23" t="str">
        <f t="shared" si="6"/>
        <v>May-24</v>
      </c>
      <c r="O150" s="23" t="str">
        <f t="shared" si="7"/>
        <v>Q2 2024</v>
      </c>
      <c r="P150" s="23">
        <f>VLOOKUP(D150,Products!$A:$F,4,FALSE)</f>
        <v>2027</v>
      </c>
      <c r="Q150" s="35">
        <f t="shared" si="8"/>
        <v>0.50196560196560192</v>
      </c>
    </row>
    <row r="151" spans="1:17">
      <c r="A151" s="12" t="s">
        <v>462</v>
      </c>
      <c r="B151" s="13">
        <v>45346</v>
      </c>
      <c r="C151" s="12" t="s">
        <v>457</v>
      </c>
      <c r="D151" s="12" t="s">
        <v>299</v>
      </c>
      <c r="E151" s="12" t="s">
        <v>133</v>
      </c>
      <c r="F151" s="14">
        <v>5</v>
      </c>
      <c r="G151" s="14">
        <v>300</v>
      </c>
      <c r="H151" s="14">
        <v>25.8</v>
      </c>
      <c r="I151" s="14">
        <v>1113</v>
      </c>
      <c r="J151" s="12" t="s">
        <v>104</v>
      </c>
      <c r="K151" s="12" t="s">
        <v>105</v>
      </c>
      <c r="L151" s="23" t="str">
        <f>VLOOKUP(D151,Products!$A:$F,3,FALSE)</f>
        <v>Electronics</v>
      </c>
      <c r="M151" s="23" t="str">
        <f>VLOOKUP(E151,Sales_Reps!$A:$E,3,FALSE)</f>
        <v>West</v>
      </c>
      <c r="N151" s="23" t="str">
        <f t="shared" si="6"/>
        <v>Feb-24</v>
      </c>
      <c r="O151" s="23" t="str">
        <f t="shared" si="7"/>
        <v>Q1 2024</v>
      </c>
      <c r="P151" s="23">
        <f>VLOOKUP(D151,Products!$A:$F,4,FALSE)</f>
        <v>128</v>
      </c>
      <c r="Q151" s="35">
        <f t="shared" si="8"/>
        <v>0.57333333333333336</v>
      </c>
    </row>
    <row r="152" spans="1:17">
      <c r="A152" s="12" t="s">
        <v>463</v>
      </c>
      <c r="B152" s="13">
        <v>45318</v>
      </c>
      <c r="C152" s="12" t="s">
        <v>464</v>
      </c>
      <c r="D152" s="12" t="s">
        <v>208</v>
      </c>
      <c r="E152" s="12" t="s">
        <v>290</v>
      </c>
      <c r="F152" s="14">
        <v>7</v>
      </c>
      <c r="G152" s="14">
        <v>5100</v>
      </c>
      <c r="H152" s="14">
        <v>28.8</v>
      </c>
      <c r="I152" s="14">
        <v>25418.400000000001</v>
      </c>
      <c r="J152" s="12" t="s">
        <v>104</v>
      </c>
      <c r="K152" s="12" t="s">
        <v>465</v>
      </c>
      <c r="L152" s="23" t="str">
        <f>VLOOKUP(D152,Products!$A:$F,3,FALSE)</f>
        <v>Beauty</v>
      </c>
      <c r="M152" s="23" t="str">
        <f>VLOOKUP(E152,Sales_Reps!$A:$E,3,FALSE)</f>
        <v>South</v>
      </c>
      <c r="N152" s="23" t="str">
        <f t="shared" si="6"/>
        <v>Jan-24</v>
      </c>
      <c r="O152" s="23" t="str">
        <f t="shared" si="7"/>
        <v>Q1 2024</v>
      </c>
      <c r="P152" s="23">
        <f>VLOOKUP(D152,Products!$A:$F,4,FALSE)</f>
        <v>2237</v>
      </c>
      <c r="Q152" s="35">
        <f t="shared" si="8"/>
        <v>0.56137254901960787</v>
      </c>
    </row>
    <row r="153" spans="1:17">
      <c r="A153" s="12" t="s">
        <v>466</v>
      </c>
      <c r="B153" s="13">
        <v>45521</v>
      </c>
      <c r="C153" s="12" t="s">
        <v>242</v>
      </c>
      <c r="D153" s="12" t="s">
        <v>141</v>
      </c>
      <c r="E153" s="12" t="s">
        <v>342</v>
      </c>
      <c r="F153" s="14">
        <v>2</v>
      </c>
      <c r="G153" s="14">
        <v>5490</v>
      </c>
      <c r="H153" s="14">
        <v>5.5</v>
      </c>
      <c r="I153" s="14">
        <v>10376.1</v>
      </c>
      <c r="J153" s="12" t="s">
        <v>104</v>
      </c>
      <c r="K153" s="12" t="s">
        <v>111</v>
      </c>
      <c r="L153" s="23" t="str">
        <f>VLOOKUP(D153,Products!$A:$F,3,FALSE)</f>
        <v>Home</v>
      </c>
      <c r="M153" s="23" t="str">
        <f>VLOOKUP(E153,Sales_Reps!$A:$E,3,FALSE)</f>
        <v>South</v>
      </c>
      <c r="N153" s="23" t="str">
        <f t="shared" si="6"/>
        <v>Aug-24</v>
      </c>
      <c r="O153" s="23" t="str">
        <f t="shared" si="7"/>
        <v>Q3 2024</v>
      </c>
      <c r="P153" s="23">
        <f>VLOOKUP(D153,Products!$A:$F,4,FALSE)</f>
        <v>2549</v>
      </c>
      <c r="Q153" s="35">
        <f t="shared" si="8"/>
        <v>0.53570127504553733</v>
      </c>
    </row>
    <row r="154" spans="1:17">
      <c r="A154" s="12" t="s">
        <v>467</v>
      </c>
      <c r="B154" s="13">
        <v>45595</v>
      </c>
      <c r="C154" s="12" t="s">
        <v>468</v>
      </c>
      <c r="D154" s="12" t="s">
        <v>469</v>
      </c>
      <c r="E154" s="12" t="s">
        <v>205</v>
      </c>
      <c r="F154" s="14">
        <v>2</v>
      </c>
      <c r="G154" s="14">
        <v>3450</v>
      </c>
      <c r="H154" s="14">
        <v>1.2</v>
      </c>
      <c r="I154" s="14">
        <v>6817.2</v>
      </c>
      <c r="J154" s="12" t="s">
        <v>104</v>
      </c>
      <c r="K154" s="12" t="s">
        <v>116</v>
      </c>
      <c r="L154" s="23" t="str">
        <f>VLOOKUP(D154,Products!$A:$F,3,FALSE)</f>
        <v>Apparel</v>
      </c>
      <c r="M154" s="23" t="str">
        <f>VLOOKUP(E154,Sales_Reps!$A:$E,3,FALSE)</f>
        <v>South</v>
      </c>
      <c r="N154" s="23" t="str">
        <f t="shared" si="6"/>
        <v>Oct-24</v>
      </c>
      <c r="O154" s="23" t="str">
        <f t="shared" si="7"/>
        <v>Q4 2024</v>
      </c>
      <c r="P154" s="23">
        <f>VLOOKUP(D154,Products!$A:$F,4,FALSE)</f>
        <v>1748</v>
      </c>
      <c r="Q154" s="35">
        <f t="shared" si="8"/>
        <v>0.49333333333333335</v>
      </c>
    </row>
    <row r="155" spans="1:17">
      <c r="A155" s="12" t="s">
        <v>470</v>
      </c>
      <c r="B155" s="13">
        <v>45530</v>
      </c>
      <c r="C155" s="12" t="s">
        <v>471</v>
      </c>
      <c r="D155" s="12" t="s">
        <v>355</v>
      </c>
      <c r="E155" s="12" t="s">
        <v>314</v>
      </c>
      <c r="F155" s="14">
        <v>10</v>
      </c>
      <c r="G155" s="14">
        <v>2210</v>
      </c>
      <c r="H155" s="14">
        <v>18.8</v>
      </c>
      <c r="I155" s="14">
        <v>17945.2</v>
      </c>
      <c r="J155" s="12" t="s">
        <v>104</v>
      </c>
      <c r="K155" s="12" t="s">
        <v>150</v>
      </c>
      <c r="L155" s="23" t="str">
        <f>VLOOKUP(D155,Products!$A:$F,3,FALSE)</f>
        <v>Grocery</v>
      </c>
      <c r="M155" s="23" t="str">
        <f>VLOOKUP(E155,Sales_Reps!$A:$E,3,FALSE)</f>
        <v>North</v>
      </c>
      <c r="N155" s="23" t="str">
        <f t="shared" si="6"/>
        <v>Aug-24</v>
      </c>
      <c r="O155" s="23" t="str">
        <f t="shared" si="7"/>
        <v>Q3 2024</v>
      </c>
      <c r="P155" s="23">
        <f>VLOOKUP(D155,Products!$A:$F,4,FALSE)</f>
        <v>1010</v>
      </c>
      <c r="Q155" s="35">
        <f t="shared" si="8"/>
        <v>0.54298642533936647</v>
      </c>
    </row>
    <row r="156" spans="1:17">
      <c r="A156" s="12" t="s">
        <v>472</v>
      </c>
      <c r="B156" s="13">
        <v>45644</v>
      </c>
      <c r="C156" s="12" t="s">
        <v>337</v>
      </c>
      <c r="D156" s="12" t="s">
        <v>160</v>
      </c>
      <c r="E156" s="12" t="s">
        <v>269</v>
      </c>
      <c r="F156" s="14">
        <v>2</v>
      </c>
      <c r="G156" s="14">
        <v>3250</v>
      </c>
      <c r="H156" s="14">
        <v>26.2</v>
      </c>
      <c r="I156" s="14">
        <v>4797</v>
      </c>
      <c r="J156" s="12" t="s">
        <v>104</v>
      </c>
      <c r="K156" s="12" t="s">
        <v>150</v>
      </c>
      <c r="L156" s="23" t="str">
        <f>VLOOKUP(D156,Products!$A:$F,3,FALSE)</f>
        <v>Home</v>
      </c>
      <c r="M156" s="23" t="str">
        <f>VLOOKUP(E156,Sales_Reps!$A:$E,3,FALSE)</f>
        <v>South</v>
      </c>
      <c r="N156" s="23" t="str">
        <f t="shared" si="6"/>
        <v>Dec-24</v>
      </c>
      <c r="O156" s="23" t="str">
        <f t="shared" si="7"/>
        <v>Q4 2024</v>
      </c>
      <c r="P156" s="23">
        <f>VLOOKUP(D156,Products!$A:$F,4,FALSE)</f>
        <v>1556</v>
      </c>
      <c r="Q156" s="35">
        <f t="shared" si="8"/>
        <v>0.52123076923076928</v>
      </c>
    </row>
    <row r="157" spans="1:17">
      <c r="A157" s="12" t="s">
        <v>473</v>
      </c>
      <c r="B157" s="13">
        <v>45298</v>
      </c>
      <c r="C157" s="12" t="s">
        <v>474</v>
      </c>
      <c r="D157" s="12" t="s">
        <v>123</v>
      </c>
      <c r="E157" s="12" t="s">
        <v>232</v>
      </c>
      <c r="F157" s="14">
        <v>5</v>
      </c>
      <c r="G157" s="14">
        <v>3160</v>
      </c>
      <c r="H157" s="14">
        <v>0.9</v>
      </c>
      <c r="I157" s="14">
        <v>15657.8</v>
      </c>
      <c r="J157" s="12" t="s">
        <v>104</v>
      </c>
      <c r="K157" s="12" t="s">
        <v>105</v>
      </c>
      <c r="L157" s="23" t="str">
        <f>VLOOKUP(D157,Products!$A:$F,3,FALSE)</f>
        <v>Apparel</v>
      </c>
      <c r="M157" s="23" t="str">
        <f>VLOOKUP(E157,Sales_Reps!$A:$E,3,FALSE)</f>
        <v>North</v>
      </c>
      <c r="N157" s="23" t="str">
        <f t="shared" si="6"/>
        <v>Jan-24</v>
      </c>
      <c r="O157" s="23" t="str">
        <f t="shared" si="7"/>
        <v>Q1 2024</v>
      </c>
      <c r="P157" s="23">
        <f>VLOOKUP(D157,Products!$A:$F,4,FALSE)</f>
        <v>1886</v>
      </c>
      <c r="Q157" s="35">
        <f t="shared" si="8"/>
        <v>0.4031645569620253</v>
      </c>
    </row>
    <row r="158" spans="1:17">
      <c r="A158" s="12" t="s">
        <v>475</v>
      </c>
      <c r="B158" s="13">
        <v>45447</v>
      </c>
      <c r="C158" s="12" t="s">
        <v>424</v>
      </c>
      <c r="D158" s="12" t="s">
        <v>265</v>
      </c>
      <c r="E158" s="12" t="s">
        <v>187</v>
      </c>
      <c r="F158" s="14">
        <v>4</v>
      </c>
      <c r="G158" s="14">
        <v>3870</v>
      </c>
      <c r="H158" s="14">
        <v>29.6</v>
      </c>
      <c r="I158" s="14">
        <v>10897.92</v>
      </c>
      <c r="J158" s="12" t="s">
        <v>157</v>
      </c>
      <c r="K158" s="12" t="s">
        <v>105</v>
      </c>
      <c r="L158" s="23" t="str">
        <f>VLOOKUP(D158,Products!$A:$F,3,FALSE)</f>
        <v>Electronics</v>
      </c>
      <c r="M158" s="23" t="str">
        <f>VLOOKUP(E158,Sales_Reps!$A:$E,3,FALSE)</f>
        <v>West</v>
      </c>
      <c r="N158" s="23" t="str">
        <f t="shared" si="6"/>
        <v>Jun-24</v>
      </c>
      <c r="O158" s="23" t="str">
        <f t="shared" si="7"/>
        <v>Q2 2024</v>
      </c>
      <c r="P158" s="23">
        <f>VLOOKUP(D158,Products!$A:$F,4,FALSE)</f>
        <v>1559</v>
      </c>
      <c r="Q158" s="35">
        <f t="shared" si="8"/>
        <v>0.59715762273901807</v>
      </c>
    </row>
    <row r="159" spans="1:17">
      <c r="A159" s="12" t="s">
        <v>476</v>
      </c>
      <c r="B159" s="13">
        <v>45601</v>
      </c>
      <c r="C159" s="12" t="s">
        <v>477</v>
      </c>
      <c r="D159" s="12" t="s">
        <v>478</v>
      </c>
      <c r="E159" s="12" t="s">
        <v>302</v>
      </c>
      <c r="F159" s="14">
        <v>4</v>
      </c>
      <c r="G159" s="14">
        <v>3780</v>
      </c>
      <c r="H159" s="14">
        <v>3.5</v>
      </c>
      <c r="I159" s="14">
        <v>14590.8</v>
      </c>
      <c r="J159" s="12" t="s">
        <v>157</v>
      </c>
      <c r="K159" s="12" t="s">
        <v>105</v>
      </c>
      <c r="L159" s="23" t="str">
        <f>VLOOKUP(D159,Products!$A:$F,3,FALSE)</f>
        <v>Sports</v>
      </c>
      <c r="M159" s="23" t="str">
        <f>VLOOKUP(E159,Sales_Reps!$A:$E,3,FALSE)</f>
        <v>East</v>
      </c>
      <c r="N159" s="23" t="str">
        <f t="shared" si="6"/>
        <v>Nov-24</v>
      </c>
      <c r="O159" s="23" t="str">
        <f t="shared" si="7"/>
        <v>Q4 2024</v>
      </c>
      <c r="P159" s="23">
        <f>VLOOKUP(D159,Products!$A:$F,4,FALSE)</f>
        <v>1860</v>
      </c>
      <c r="Q159" s="35">
        <f t="shared" si="8"/>
        <v>0.50793650793650791</v>
      </c>
    </row>
    <row r="160" spans="1:17">
      <c r="A160" s="12" t="s">
        <v>479</v>
      </c>
      <c r="B160" s="13">
        <v>45428</v>
      </c>
      <c r="C160" s="12" t="s">
        <v>480</v>
      </c>
      <c r="D160" s="12" t="s">
        <v>293</v>
      </c>
      <c r="E160" s="12" t="s">
        <v>175</v>
      </c>
      <c r="F160" s="14">
        <v>4</v>
      </c>
      <c r="G160" s="14">
        <v>3020</v>
      </c>
      <c r="H160" s="14">
        <v>18.899999999999999</v>
      </c>
      <c r="I160" s="14">
        <v>9796.8799999999992</v>
      </c>
      <c r="J160" s="12" t="s">
        <v>104</v>
      </c>
      <c r="K160" s="12" t="s">
        <v>134</v>
      </c>
      <c r="L160" s="23" t="str">
        <f>VLOOKUP(D160,Products!$A:$F,3,FALSE)</f>
        <v>Beauty</v>
      </c>
      <c r="M160" s="23" t="str">
        <f>VLOOKUP(E160,Sales_Reps!$A:$E,3,FALSE)</f>
        <v>East</v>
      </c>
      <c r="N160" s="23" t="str">
        <f t="shared" si="6"/>
        <v>May-24</v>
      </c>
      <c r="O160" s="23" t="str">
        <f t="shared" si="7"/>
        <v>Q2 2024</v>
      </c>
      <c r="P160" s="23">
        <f>VLOOKUP(D160,Products!$A:$F,4,FALSE)</f>
        <v>1626</v>
      </c>
      <c r="Q160" s="35">
        <f t="shared" si="8"/>
        <v>0.46158940397350995</v>
      </c>
    </row>
    <row r="161" spans="1:17">
      <c r="A161" s="12" t="s">
        <v>481</v>
      </c>
      <c r="B161" s="13">
        <v>45409</v>
      </c>
      <c r="C161" s="12" t="s">
        <v>482</v>
      </c>
      <c r="D161" s="12" t="s">
        <v>243</v>
      </c>
      <c r="E161" s="12" t="s">
        <v>205</v>
      </c>
      <c r="F161" s="14">
        <v>1</v>
      </c>
      <c r="G161" s="14">
        <v>3730</v>
      </c>
      <c r="H161" s="14">
        <v>10.8</v>
      </c>
      <c r="I161" s="14">
        <v>3327.16</v>
      </c>
      <c r="J161" s="12" t="s">
        <v>161</v>
      </c>
      <c r="K161" s="12" t="s">
        <v>129</v>
      </c>
      <c r="L161" s="23" t="str">
        <f>VLOOKUP(D161,Products!$A:$F,3,FALSE)</f>
        <v>Home</v>
      </c>
      <c r="M161" s="23" t="str">
        <f>VLOOKUP(E161,Sales_Reps!$A:$E,3,FALSE)</f>
        <v>South</v>
      </c>
      <c r="N161" s="23" t="str">
        <f t="shared" si="6"/>
        <v>Apr-24</v>
      </c>
      <c r="O161" s="23" t="str">
        <f t="shared" si="7"/>
        <v>Q2 2024</v>
      </c>
      <c r="P161" s="23">
        <f>VLOOKUP(D161,Products!$A:$F,4,FALSE)</f>
        <v>2135</v>
      </c>
      <c r="Q161" s="35">
        <f t="shared" si="8"/>
        <v>0.42761394101876676</v>
      </c>
    </row>
    <row r="162" spans="1:17">
      <c r="A162" s="12" t="s">
        <v>483</v>
      </c>
      <c r="B162" s="13">
        <v>45394</v>
      </c>
      <c r="C162" s="12" t="s">
        <v>350</v>
      </c>
      <c r="D162" s="12" t="s">
        <v>201</v>
      </c>
      <c r="E162" s="12" t="s">
        <v>320</v>
      </c>
      <c r="F162" s="14">
        <v>8</v>
      </c>
      <c r="G162" s="14">
        <v>4880</v>
      </c>
      <c r="H162" s="14">
        <v>20.3</v>
      </c>
      <c r="I162" s="14">
        <v>31114.880000000001</v>
      </c>
      <c r="J162" s="12" t="s">
        <v>104</v>
      </c>
      <c r="K162" s="12" t="s">
        <v>150</v>
      </c>
      <c r="L162" s="23" t="str">
        <f>VLOOKUP(D162,Products!$A:$F,3,FALSE)</f>
        <v>Beauty</v>
      </c>
      <c r="M162" s="23" t="str">
        <f>VLOOKUP(E162,Sales_Reps!$A:$E,3,FALSE)</f>
        <v>East</v>
      </c>
      <c r="N162" s="23" t="str">
        <f t="shared" si="6"/>
        <v>Apr-24</v>
      </c>
      <c r="O162" s="23" t="str">
        <f t="shared" si="7"/>
        <v>Q2 2024</v>
      </c>
      <c r="P162" s="23">
        <f>VLOOKUP(D162,Products!$A:$F,4,FALSE)</f>
        <v>2768</v>
      </c>
      <c r="Q162" s="35">
        <f t="shared" si="8"/>
        <v>0.43278688524590164</v>
      </c>
    </row>
    <row r="163" spans="1:17">
      <c r="A163" s="12" t="s">
        <v>484</v>
      </c>
      <c r="B163" s="13">
        <v>45579</v>
      </c>
      <c r="C163" s="12" t="s">
        <v>167</v>
      </c>
      <c r="D163" s="12" t="s">
        <v>144</v>
      </c>
      <c r="E163" s="12" t="s">
        <v>218</v>
      </c>
      <c r="F163" s="14">
        <v>9</v>
      </c>
      <c r="G163" s="14">
        <v>970</v>
      </c>
      <c r="H163" s="14">
        <v>18.2</v>
      </c>
      <c r="I163" s="14">
        <v>7141.14</v>
      </c>
      <c r="J163" s="12" t="s">
        <v>104</v>
      </c>
      <c r="K163" s="12" t="s">
        <v>105</v>
      </c>
      <c r="L163" s="23" t="str">
        <f>VLOOKUP(D163,Products!$A:$F,3,FALSE)</f>
        <v>Grocery</v>
      </c>
      <c r="M163" s="23" t="str">
        <f>VLOOKUP(E163,Sales_Reps!$A:$E,3,FALSE)</f>
        <v>West</v>
      </c>
      <c r="N163" s="23" t="str">
        <f t="shared" si="6"/>
        <v>Oct-24</v>
      </c>
      <c r="O163" s="23" t="str">
        <f t="shared" si="7"/>
        <v>Q4 2024</v>
      </c>
      <c r="P163" s="23">
        <f>VLOOKUP(D163,Products!$A:$F,4,FALSE)</f>
        <v>434</v>
      </c>
      <c r="Q163" s="35">
        <f t="shared" si="8"/>
        <v>0.5525773195876289</v>
      </c>
    </row>
    <row r="164" spans="1:17">
      <c r="A164" s="12" t="s">
        <v>485</v>
      </c>
      <c r="B164" s="13">
        <v>45442</v>
      </c>
      <c r="C164" s="12" t="s">
        <v>486</v>
      </c>
      <c r="D164" s="12" t="s">
        <v>296</v>
      </c>
      <c r="E164" s="12" t="s">
        <v>255</v>
      </c>
      <c r="F164" s="14">
        <v>8</v>
      </c>
      <c r="G164" s="14">
        <v>2660</v>
      </c>
      <c r="H164" s="14">
        <v>17.600000000000001</v>
      </c>
      <c r="I164" s="14">
        <v>17534.72</v>
      </c>
      <c r="J164" s="12" t="s">
        <v>104</v>
      </c>
      <c r="K164" s="12" t="s">
        <v>134</v>
      </c>
      <c r="L164" s="23" t="str">
        <f>VLOOKUP(D164,Products!$A:$F,3,FALSE)</f>
        <v>Electronics</v>
      </c>
      <c r="M164" s="23" t="str">
        <f>VLOOKUP(E164,Sales_Reps!$A:$E,3,FALSE)</f>
        <v>East</v>
      </c>
      <c r="N164" s="23" t="str">
        <f t="shared" si="6"/>
        <v>May-24</v>
      </c>
      <c r="O164" s="23" t="str">
        <f t="shared" si="7"/>
        <v>Q2 2024</v>
      </c>
      <c r="P164" s="23">
        <f>VLOOKUP(D164,Products!$A:$F,4,FALSE)</f>
        <v>1259</v>
      </c>
      <c r="Q164" s="35">
        <f t="shared" si="8"/>
        <v>0.52669172932330832</v>
      </c>
    </row>
    <row r="165" spans="1:17">
      <c r="A165" s="12" t="s">
        <v>487</v>
      </c>
      <c r="B165" s="13">
        <v>45414</v>
      </c>
      <c r="C165" s="12" t="s">
        <v>154</v>
      </c>
      <c r="D165" s="12" t="s">
        <v>108</v>
      </c>
      <c r="E165" s="12" t="s">
        <v>205</v>
      </c>
      <c r="F165" s="14">
        <v>2</v>
      </c>
      <c r="G165" s="14">
        <v>820</v>
      </c>
      <c r="H165" s="14">
        <v>18.100000000000001</v>
      </c>
      <c r="I165" s="14">
        <v>1343.16</v>
      </c>
      <c r="J165" s="12" t="s">
        <v>157</v>
      </c>
      <c r="K165" s="12" t="s">
        <v>116</v>
      </c>
      <c r="L165" s="23" t="str">
        <f>VLOOKUP(D165,Products!$A:$F,3,FALSE)</f>
        <v>Apparel</v>
      </c>
      <c r="M165" s="23" t="str">
        <f>VLOOKUP(E165,Sales_Reps!$A:$E,3,FALSE)</f>
        <v>South</v>
      </c>
      <c r="N165" s="23" t="str">
        <f t="shared" si="6"/>
        <v>May-24</v>
      </c>
      <c r="O165" s="23" t="str">
        <f t="shared" si="7"/>
        <v>Q2 2024</v>
      </c>
      <c r="P165" s="23">
        <f>VLOOKUP(D165,Products!$A:$F,4,FALSE)</f>
        <v>391</v>
      </c>
      <c r="Q165" s="35">
        <f t="shared" si="8"/>
        <v>0.52317073170731709</v>
      </c>
    </row>
    <row r="166" spans="1:17">
      <c r="A166" s="12" t="s">
        <v>488</v>
      </c>
      <c r="B166" s="13">
        <v>45349</v>
      </c>
      <c r="C166" s="12" t="s">
        <v>489</v>
      </c>
      <c r="D166" s="12" t="s">
        <v>312</v>
      </c>
      <c r="E166" s="12" t="s">
        <v>221</v>
      </c>
      <c r="F166" s="14">
        <v>7</v>
      </c>
      <c r="G166" s="14">
        <v>2030</v>
      </c>
      <c r="H166" s="14">
        <v>23.7</v>
      </c>
      <c r="I166" s="14">
        <v>10842.23</v>
      </c>
      <c r="J166" s="12" t="s">
        <v>110</v>
      </c>
      <c r="K166" s="12" t="s">
        <v>111</v>
      </c>
      <c r="L166" s="23" t="str">
        <f>VLOOKUP(D166,Products!$A:$F,3,FALSE)</f>
        <v>Home</v>
      </c>
      <c r="M166" s="23" t="str">
        <f>VLOOKUP(E166,Sales_Reps!$A:$E,3,FALSE)</f>
        <v>South</v>
      </c>
      <c r="N166" s="23" t="str">
        <f t="shared" si="6"/>
        <v>Feb-24</v>
      </c>
      <c r="O166" s="23" t="str">
        <f t="shared" si="7"/>
        <v>Q1 2024</v>
      </c>
      <c r="P166" s="23">
        <f>VLOOKUP(D166,Products!$A:$F,4,FALSE)</f>
        <v>1143</v>
      </c>
      <c r="Q166" s="35">
        <f t="shared" si="8"/>
        <v>0.43694581280788175</v>
      </c>
    </row>
    <row r="167" spans="1:17">
      <c r="A167" s="12" t="s">
        <v>490</v>
      </c>
      <c r="B167" s="13">
        <v>45533</v>
      </c>
      <c r="C167" s="12" t="s">
        <v>491</v>
      </c>
      <c r="D167" s="12" t="s">
        <v>309</v>
      </c>
      <c r="E167" s="12" t="s">
        <v>221</v>
      </c>
      <c r="F167" s="14">
        <v>5</v>
      </c>
      <c r="G167" s="14">
        <v>620</v>
      </c>
      <c r="H167" s="14">
        <v>13.8</v>
      </c>
      <c r="I167" s="14">
        <v>2672.2</v>
      </c>
      <c r="J167" s="12" t="s">
        <v>104</v>
      </c>
      <c r="K167" s="12" t="s">
        <v>116</v>
      </c>
      <c r="L167" s="23" t="str">
        <f>VLOOKUP(D167,Products!$A:$F,3,FALSE)</f>
        <v>Apparel</v>
      </c>
      <c r="M167" s="23" t="str">
        <f>VLOOKUP(E167,Sales_Reps!$A:$E,3,FALSE)</f>
        <v>South</v>
      </c>
      <c r="N167" s="23" t="str">
        <f t="shared" si="6"/>
        <v>Aug-24</v>
      </c>
      <c r="O167" s="23" t="str">
        <f t="shared" si="7"/>
        <v>Q3 2024</v>
      </c>
      <c r="P167" s="23">
        <f>VLOOKUP(D167,Products!$A:$F,4,FALSE)</f>
        <v>396</v>
      </c>
      <c r="Q167" s="35">
        <f t="shared" si="8"/>
        <v>0.36129032258064514</v>
      </c>
    </row>
    <row r="168" spans="1:17">
      <c r="A168" s="12" t="s">
        <v>492</v>
      </c>
      <c r="B168" s="13">
        <v>45489</v>
      </c>
      <c r="C168" s="12" t="s">
        <v>468</v>
      </c>
      <c r="D168" s="12" t="s">
        <v>262</v>
      </c>
      <c r="E168" s="12" t="s">
        <v>302</v>
      </c>
      <c r="F168" s="14">
        <v>7</v>
      </c>
      <c r="G168" s="14">
        <v>2270</v>
      </c>
      <c r="H168" s="14">
        <v>5.5</v>
      </c>
      <c r="I168" s="14">
        <v>15016.05</v>
      </c>
      <c r="J168" s="12" t="s">
        <v>104</v>
      </c>
      <c r="K168" s="12" t="s">
        <v>116</v>
      </c>
      <c r="L168" s="23" t="str">
        <f>VLOOKUP(D168,Products!$A:$F,3,FALSE)</f>
        <v>Grocery</v>
      </c>
      <c r="M168" s="23" t="str">
        <f>VLOOKUP(E168,Sales_Reps!$A:$E,3,FALSE)</f>
        <v>East</v>
      </c>
      <c r="N168" s="23" t="str">
        <f t="shared" si="6"/>
        <v>Jul-24</v>
      </c>
      <c r="O168" s="23" t="str">
        <f t="shared" si="7"/>
        <v>Q3 2024</v>
      </c>
      <c r="P168" s="23">
        <f>VLOOKUP(D168,Products!$A:$F,4,FALSE)</f>
        <v>1412</v>
      </c>
      <c r="Q168" s="35">
        <f t="shared" si="8"/>
        <v>0.37797356828193834</v>
      </c>
    </row>
    <row r="169" spans="1:17">
      <c r="A169" s="12" t="s">
        <v>493</v>
      </c>
      <c r="B169" s="13">
        <v>45457</v>
      </c>
      <c r="C169" s="12" t="s">
        <v>192</v>
      </c>
      <c r="D169" s="12" t="s">
        <v>114</v>
      </c>
      <c r="E169" s="12" t="s">
        <v>363</v>
      </c>
      <c r="F169" s="14">
        <v>1</v>
      </c>
      <c r="G169" s="14">
        <v>470</v>
      </c>
      <c r="H169" s="14">
        <v>13.7</v>
      </c>
      <c r="I169" s="14">
        <v>405.61</v>
      </c>
      <c r="J169" s="12" t="s">
        <v>110</v>
      </c>
      <c r="K169" s="12" t="s">
        <v>150</v>
      </c>
      <c r="L169" s="23" t="str">
        <f>VLOOKUP(D169,Products!$A:$F,3,FALSE)</f>
        <v>Sports</v>
      </c>
      <c r="M169" s="23" t="str">
        <f>VLOOKUP(E169,Sales_Reps!$A:$E,3,FALSE)</f>
        <v>South</v>
      </c>
      <c r="N169" s="23" t="str">
        <f t="shared" si="6"/>
        <v>Jun-24</v>
      </c>
      <c r="O169" s="23" t="str">
        <f t="shared" si="7"/>
        <v>Q2 2024</v>
      </c>
      <c r="P169" s="23">
        <f>VLOOKUP(D169,Products!$A:$F,4,FALSE)</f>
        <v>302</v>
      </c>
      <c r="Q169" s="35">
        <f t="shared" si="8"/>
        <v>0.35744680851063831</v>
      </c>
    </row>
    <row r="170" spans="1:17">
      <c r="A170" s="12" t="s">
        <v>494</v>
      </c>
      <c r="B170" s="13">
        <v>45601</v>
      </c>
      <c r="C170" s="12" t="s">
        <v>167</v>
      </c>
      <c r="D170" s="12" t="s">
        <v>381</v>
      </c>
      <c r="E170" s="12" t="s">
        <v>103</v>
      </c>
      <c r="F170" s="14">
        <v>6</v>
      </c>
      <c r="G170" s="14">
        <v>5330</v>
      </c>
      <c r="H170" s="14">
        <v>17.899999999999999</v>
      </c>
      <c r="I170" s="14">
        <v>26255.58</v>
      </c>
      <c r="J170" s="12" t="s">
        <v>104</v>
      </c>
      <c r="K170" s="12" t="s">
        <v>105</v>
      </c>
      <c r="L170" s="23" t="str">
        <f>VLOOKUP(D170,Products!$A:$F,3,FALSE)</f>
        <v>Electronics</v>
      </c>
      <c r="M170" s="23" t="str">
        <f>VLOOKUP(E170,Sales_Reps!$A:$E,3,FALSE)</f>
        <v>North</v>
      </c>
      <c r="N170" s="23" t="str">
        <f t="shared" si="6"/>
        <v>Nov-24</v>
      </c>
      <c r="O170" s="23" t="str">
        <f t="shared" si="7"/>
        <v>Q4 2024</v>
      </c>
      <c r="P170" s="23">
        <f>VLOOKUP(D170,Products!$A:$F,4,FALSE)</f>
        <v>2405</v>
      </c>
      <c r="Q170" s="35">
        <f t="shared" si="8"/>
        <v>0.54878048780487809</v>
      </c>
    </row>
    <row r="171" spans="1:17">
      <c r="A171" s="12" t="s">
        <v>495</v>
      </c>
      <c r="B171" s="13">
        <v>45294</v>
      </c>
      <c r="C171" s="12" t="s">
        <v>496</v>
      </c>
      <c r="D171" s="12" t="s">
        <v>258</v>
      </c>
      <c r="E171" s="12" t="s">
        <v>314</v>
      </c>
      <c r="F171" s="14">
        <v>1</v>
      </c>
      <c r="G171" s="14">
        <v>6080</v>
      </c>
      <c r="H171" s="14">
        <v>25.5</v>
      </c>
      <c r="I171" s="14">
        <v>4529.6000000000004</v>
      </c>
      <c r="J171" s="12" t="s">
        <v>104</v>
      </c>
      <c r="K171" s="12" t="s">
        <v>105</v>
      </c>
      <c r="L171" s="23" t="str">
        <f>VLOOKUP(D171,Products!$A:$F,3,FALSE)</f>
        <v>Beauty</v>
      </c>
      <c r="M171" s="23" t="str">
        <f>VLOOKUP(E171,Sales_Reps!$A:$E,3,FALSE)</f>
        <v>North</v>
      </c>
      <c r="N171" s="23" t="str">
        <f t="shared" si="6"/>
        <v>Jan-24</v>
      </c>
      <c r="O171" s="23" t="str">
        <f t="shared" si="7"/>
        <v>Q1 2024</v>
      </c>
      <c r="P171" s="23">
        <f>VLOOKUP(D171,Products!$A:$F,4,FALSE)</f>
        <v>2617</v>
      </c>
      <c r="Q171" s="35">
        <f t="shared" si="8"/>
        <v>0.56957236842105263</v>
      </c>
    </row>
    <row r="172" spans="1:17">
      <c r="A172" s="12" t="s">
        <v>497</v>
      </c>
      <c r="B172" s="13">
        <v>45345</v>
      </c>
      <c r="C172" s="12" t="s">
        <v>278</v>
      </c>
      <c r="D172" s="12" t="s">
        <v>251</v>
      </c>
      <c r="E172" s="12" t="s">
        <v>302</v>
      </c>
      <c r="F172" s="14">
        <v>5</v>
      </c>
      <c r="G172" s="14">
        <v>3780</v>
      </c>
      <c r="H172" s="14">
        <v>28.6</v>
      </c>
      <c r="I172" s="14">
        <v>13494.6</v>
      </c>
      <c r="J172" s="12" t="s">
        <v>104</v>
      </c>
      <c r="K172" s="12" t="s">
        <v>116</v>
      </c>
      <c r="L172" s="23" t="str">
        <f>VLOOKUP(D172,Products!$A:$F,3,FALSE)</f>
        <v>Grocery</v>
      </c>
      <c r="M172" s="23" t="str">
        <f>VLOOKUP(E172,Sales_Reps!$A:$E,3,FALSE)</f>
        <v>East</v>
      </c>
      <c r="N172" s="23" t="str">
        <f t="shared" si="6"/>
        <v>Feb-24</v>
      </c>
      <c r="O172" s="23" t="str">
        <f t="shared" si="7"/>
        <v>Q1 2024</v>
      </c>
      <c r="P172" s="23">
        <f>VLOOKUP(D172,Products!$A:$F,4,FALSE)</f>
        <v>2436</v>
      </c>
      <c r="Q172" s="35">
        <f t="shared" si="8"/>
        <v>0.35555555555555557</v>
      </c>
    </row>
    <row r="173" spans="1:17">
      <c r="A173" s="12" t="s">
        <v>498</v>
      </c>
      <c r="B173" s="13">
        <v>45391</v>
      </c>
      <c r="C173" s="12" t="s">
        <v>499</v>
      </c>
      <c r="D173" s="12" t="s">
        <v>309</v>
      </c>
      <c r="E173" s="12" t="s">
        <v>149</v>
      </c>
      <c r="F173" s="14">
        <v>5</v>
      </c>
      <c r="G173" s="14">
        <v>620</v>
      </c>
      <c r="H173" s="14">
        <v>6.9</v>
      </c>
      <c r="I173" s="14">
        <v>2886.1</v>
      </c>
      <c r="J173" s="12" t="s">
        <v>157</v>
      </c>
      <c r="K173" s="12" t="s">
        <v>150</v>
      </c>
      <c r="L173" s="23" t="str">
        <f>VLOOKUP(D173,Products!$A:$F,3,FALSE)</f>
        <v>Apparel</v>
      </c>
      <c r="M173" s="23" t="str">
        <f>VLOOKUP(E173,Sales_Reps!$A:$E,3,FALSE)</f>
        <v>South</v>
      </c>
      <c r="N173" s="23" t="str">
        <f t="shared" si="6"/>
        <v>Apr-24</v>
      </c>
      <c r="O173" s="23" t="str">
        <f t="shared" si="7"/>
        <v>Q2 2024</v>
      </c>
      <c r="P173" s="23">
        <f>VLOOKUP(D173,Products!$A:$F,4,FALSE)</f>
        <v>396</v>
      </c>
      <c r="Q173" s="35">
        <f t="shared" si="8"/>
        <v>0.36129032258064514</v>
      </c>
    </row>
    <row r="174" spans="1:17">
      <c r="A174" s="12" t="s">
        <v>500</v>
      </c>
      <c r="B174" s="13">
        <v>45419</v>
      </c>
      <c r="C174" s="12" t="s">
        <v>444</v>
      </c>
      <c r="D174" s="12" t="s">
        <v>372</v>
      </c>
      <c r="E174" s="12" t="s">
        <v>360</v>
      </c>
      <c r="F174" s="14">
        <v>8</v>
      </c>
      <c r="G174" s="14">
        <v>2510</v>
      </c>
      <c r="H174" s="14">
        <v>0.7</v>
      </c>
      <c r="I174" s="14">
        <v>19939.439999999999</v>
      </c>
      <c r="J174" s="12" t="s">
        <v>104</v>
      </c>
      <c r="K174" s="12" t="s">
        <v>105</v>
      </c>
      <c r="L174" s="23" t="str">
        <f>VLOOKUP(D174,Products!$A:$F,3,FALSE)</f>
        <v>Apparel</v>
      </c>
      <c r="M174" s="23" t="str">
        <f>VLOOKUP(E174,Sales_Reps!$A:$E,3,FALSE)</f>
        <v>West</v>
      </c>
      <c r="N174" s="23" t="str">
        <f t="shared" si="6"/>
        <v>May-24</v>
      </c>
      <c r="O174" s="23" t="str">
        <f t="shared" si="7"/>
        <v>Q2 2024</v>
      </c>
      <c r="P174" s="23">
        <f>VLOOKUP(D174,Products!$A:$F,4,FALSE)</f>
        <v>1075</v>
      </c>
      <c r="Q174" s="35">
        <f t="shared" si="8"/>
        <v>0.57171314741035861</v>
      </c>
    </row>
    <row r="175" spans="1:17">
      <c r="A175" s="12" t="s">
        <v>501</v>
      </c>
      <c r="B175" s="13">
        <v>45306</v>
      </c>
      <c r="C175" s="12" t="s">
        <v>502</v>
      </c>
      <c r="D175" s="12" t="s">
        <v>190</v>
      </c>
      <c r="E175" s="12" t="s">
        <v>209</v>
      </c>
      <c r="F175" s="14">
        <v>1</v>
      </c>
      <c r="G175" s="14">
        <v>2720</v>
      </c>
      <c r="H175" s="14">
        <v>13.7</v>
      </c>
      <c r="I175" s="14">
        <v>2347.36</v>
      </c>
      <c r="J175" s="12" t="s">
        <v>104</v>
      </c>
      <c r="K175" s="12" t="s">
        <v>105</v>
      </c>
      <c r="L175" s="23" t="str">
        <f>VLOOKUP(D175,Products!$A:$F,3,FALSE)</f>
        <v>Apparel</v>
      </c>
      <c r="M175" s="23" t="str">
        <f>VLOOKUP(E175,Sales_Reps!$A:$E,3,FALSE)</f>
        <v>East</v>
      </c>
      <c r="N175" s="23" t="str">
        <f t="shared" si="6"/>
        <v>Jan-24</v>
      </c>
      <c r="O175" s="23" t="str">
        <f t="shared" si="7"/>
        <v>Q1 2024</v>
      </c>
      <c r="P175" s="23">
        <f>VLOOKUP(D175,Products!$A:$F,4,FALSE)</f>
        <v>1962</v>
      </c>
      <c r="Q175" s="35">
        <f t="shared" si="8"/>
        <v>0.2786764705882353</v>
      </c>
    </row>
    <row r="176" spans="1:17">
      <c r="A176" s="12" t="s">
        <v>503</v>
      </c>
      <c r="B176" s="13">
        <v>45546</v>
      </c>
      <c r="C176" s="12" t="s">
        <v>504</v>
      </c>
      <c r="D176" s="12" t="s">
        <v>114</v>
      </c>
      <c r="E176" s="12" t="s">
        <v>320</v>
      </c>
      <c r="F176" s="14">
        <v>9</v>
      </c>
      <c r="G176" s="14">
        <v>470</v>
      </c>
      <c r="H176" s="14">
        <v>23.6</v>
      </c>
      <c r="I176" s="14">
        <v>3231.72</v>
      </c>
      <c r="J176" s="12" t="s">
        <v>104</v>
      </c>
      <c r="K176" s="12" t="s">
        <v>105</v>
      </c>
      <c r="L176" s="23" t="str">
        <f>VLOOKUP(D176,Products!$A:$F,3,FALSE)</f>
        <v>Sports</v>
      </c>
      <c r="M176" s="23" t="str">
        <f>VLOOKUP(E176,Sales_Reps!$A:$E,3,FALSE)</f>
        <v>East</v>
      </c>
      <c r="N176" s="23" t="str">
        <f t="shared" si="6"/>
        <v>Sep-24</v>
      </c>
      <c r="O176" s="23" t="str">
        <f t="shared" si="7"/>
        <v>Q3 2024</v>
      </c>
      <c r="P176" s="23">
        <f>VLOOKUP(D176,Products!$A:$F,4,FALSE)</f>
        <v>302</v>
      </c>
      <c r="Q176" s="35">
        <f t="shared" si="8"/>
        <v>0.35744680851063831</v>
      </c>
    </row>
    <row r="177" spans="1:17">
      <c r="A177" s="12" t="s">
        <v>505</v>
      </c>
      <c r="B177" s="13">
        <v>45633</v>
      </c>
      <c r="C177" s="12" t="s">
        <v>329</v>
      </c>
      <c r="D177" s="12" t="s">
        <v>160</v>
      </c>
      <c r="E177" s="12" t="s">
        <v>320</v>
      </c>
      <c r="F177" s="14">
        <v>10</v>
      </c>
      <c r="G177" s="14">
        <v>3250</v>
      </c>
      <c r="H177" s="14">
        <v>21</v>
      </c>
      <c r="I177" s="14">
        <v>25675</v>
      </c>
      <c r="J177" s="12" t="s">
        <v>157</v>
      </c>
      <c r="K177" s="12" t="s">
        <v>150</v>
      </c>
      <c r="L177" s="23" t="str">
        <f>VLOOKUP(D177,Products!$A:$F,3,FALSE)</f>
        <v>Home</v>
      </c>
      <c r="M177" s="23" t="str">
        <f>VLOOKUP(E177,Sales_Reps!$A:$E,3,FALSE)</f>
        <v>East</v>
      </c>
      <c r="N177" s="23" t="str">
        <f t="shared" si="6"/>
        <v>Dec-24</v>
      </c>
      <c r="O177" s="23" t="str">
        <f t="shared" si="7"/>
        <v>Q4 2024</v>
      </c>
      <c r="P177" s="23">
        <f>VLOOKUP(D177,Products!$A:$F,4,FALSE)</f>
        <v>1556</v>
      </c>
      <c r="Q177" s="35">
        <f t="shared" si="8"/>
        <v>0.52123076923076928</v>
      </c>
    </row>
    <row r="178" spans="1:17">
      <c r="A178" s="12" t="s">
        <v>506</v>
      </c>
      <c r="B178" s="13">
        <v>45649</v>
      </c>
      <c r="C178" s="12" t="s">
        <v>507</v>
      </c>
      <c r="D178" s="12" t="s">
        <v>460</v>
      </c>
      <c r="E178" s="12" t="s">
        <v>145</v>
      </c>
      <c r="F178" s="14">
        <v>6</v>
      </c>
      <c r="G178" s="14">
        <v>5080</v>
      </c>
      <c r="H178" s="14">
        <v>16.8</v>
      </c>
      <c r="I178" s="14">
        <v>25359.360000000001</v>
      </c>
      <c r="J178" s="12" t="s">
        <v>110</v>
      </c>
      <c r="K178" s="12" t="s">
        <v>116</v>
      </c>
      <c r="L178" s="23" t="str">
        <f>VLOOKUP(D178,Products!$A:$F,3,FALSE)</f>
        <v>Home</v>
      </c>
      <c r="M178" s="23" t="str">
        <f>VLOOKUP(E178,Sales_Reps!$A:$E,3,FALSE)</f>
        <v>West</v>
      </c>
      <c r="N178" s="23" t="str">
        <f t="shared" si="6"/>
        <v>Dec-24</v>
      </c>
      <c r="O178" s="23" t="str">
        <f t="shared" si="7"/>
        <v>Q4 2024</v>
      </c>
      <c r="P178" s="23">
        <f>VLOOKUP(D178,Products!$A:$F,4,FALSE)</f>
        <v>2459</v>
      </c>
      <c r="Q178" s="35">
        <f t="shared" si="8"/>
        <v>0.51594488188976373</v>
      </c>
    </row>
    <row r="179" spans="1:17">
      <c r="A179" s="12" t="s">
        <v>508</v>
      </c>
      <c r="B179" s="13">
        <v>45312</v>
      </c>
      <c r="C179" s="12" t="s">
        <v>459</v>
      </c>
      <c r="D179" s="12" t="s">
        <v>204</v>
      </c>
      <c r="E179" s="12" t="s">
        <v>342</v>
      </c>
      <c r="F179" s="14">
        <v>2</v>
      </c>
      <c r="G179" s="14">
        <v>3570</v>
      </c>
      <c r="H179" s="14">
        <v>6.7</v>
      </c>
      <c r="I179" s="14">
        <v>6661.62</v>
      </c>
      <c r="J179" s="12" t="s">
        <v>157</v>
      </c>
      <c r="K179" s="12" t="s">
        <v>105</v>
      </c>
      <c r="L179" s="23" t="str">
        <f>VLOOKUP(D179,Products!$A:$F,3,FALSE)</f>
        <v>Electronics</v>
      </c>
      <c r="M179" s="23" t="str">
        <f>VLOOKUP(E179,Sales_Reps!$A:$E,3,FALSE)</f>
        <v>South</v>
      </c>
      <c r="N179" s="23" t="str">
        <f t="shared" si="6"/>
        <v>Jan-24</v>
      </c>
      <c r="O179" s="23" t="str">
        <f t="shared" si="7"/>
        <v>Q1 2024</v>
      </c>
      <c r="P179" s="23">
        <f>VLOOKUP(D179,Products!$A:$F,4,FALSE)</f>
        <v>1665</v>
      </c>
      <c r="Q179" s="35">
        <f t="shared" si="8"/>
        <v>0.53361344537815125</v>
      </c>
    </row>
    <row r="180" spans="1:17">
      <c r="A180" s="12" t="s">
        <v>509</v>
      </c>
      <c r="B180" s="13">
        <v>45382</v>
      </c>
      <c r="C180" s="12" t="s">
        <v>510</v>
      </c>
      <c r="D180" s="12" t="s">
        <v>254</v>
      </c>
      <c r="E180" s="12" t="s">
        <v>342</v>
      </c>
      <c r="F180" s="14">
        <v>4</v>
      </c>
      <c r="G180" s="14">
        <v>3640</v>
      </c>
      <c r="H180" s="14">
        <v>18.399999999999999</v>
      </c>
      <c r="I180" s="14">
        <v>11880.96</v>
      </c>
      <c r="J180" s="12" t="s">
        <v>104</v>
      </c>
      <c r="K180" s="12" t="s">
        <v>105</v>
      </c>
      <c r="L180" s="23" t="str">
        <f>VLOOKUP(D180,Products!$A:$F,3,FALSE)</f>
        <v>Apparel</v>
      </c>
      <c r="M180" s="23" t="str">
        <f>VLOOKUP(E180,Sales_Reps!$A:$E,3,FALSE)</f>
        <v>South</v>
      </c>
      <c r="N180" s="23" t="str">
        <f t="shared" si="6"/>
        <v>Mar-24</v>
      </c>
      <c r="O180" s="23" t="str">
        <f t="shared" si="7"/>
        <v>Q1 2024</v>
      </c>
      <c r="P180" s="23">
        <f>VLOOKUP(D180,Products!$A:$F,4,FALSE)</f>
        <v>2611</v>
      </c>
      <c r="Q180" s="35">
        <f t="shared" si="8"/>
        <v>0.28269230769230769</v>
      </c>
    </row>
    <row r="181" spans="1:17">
      <c r="A181" s="12" t="s">
        <v>511</v>
      </c>
      <c r="B181" s="13">
        <v>45524</v>
      </c>
      <c r="C181" s="12" t="s">
        <v>167</v>
      </c>
      <c r="D181" s="12" t="s">
        <v>281</v>
      </c>
      <c r="E181" s="12" t="s">
        <v>232</v>
      </c>
      <c r="F181" s="14">
        <v>8</v>
      </c>
      <c r="G181" s="14">
        <v>4070</v>
      </c>
      <c r="H181" s="14">
        <v>6.6</v>
      </c>
      <c r="I181" s="14">
        <v>30411.040000000001</v>
      </c>
      <c r="J181" s="12" t="s">
        <v>104</v>
      </c>
      <c r="K181" s="12" t="s">
        <v>105</v>
      </c>
      <c r="L181" s="23" t="str">
        <f>VLOOKUP(D181,Products!$A:$F,3,FALSE)</f>
        <v>Grocery</v>
      </c>
      <c r="M181" s="23" t="str">
        <f>VLOOKUP(E181,Sales_Reps!$A:$E,3,FALSE)</f>
        <v>North</v>
      </c>
      <c r="N181" s="23" t="str">
        <f t="shared" si="6"/>
        <v>Aug-24</v>
      </c>
      <c r="O181" s="23" t="str">
        <f t="shared" si="7"/>
        <v>Q3 2024</v>
      </c>
      <c r="P181" s="23">
        <f>VLOOKUP(D181,Products!$A:$F,4,FALSE)</f>
        <v>2027</v>
      </c>
      <c r="Q181" s="35">
        <f t="shared" si="8"/>
        <v>0.50196560196560192</v>
      </c>
    </row>
    <row r="182" spans="1:17">
      <c r="A182" s="12" t="s">
        <v>512</v>
      </c>
      <c r="B182" s="13">
        <v>45392</v>
      </c>
      <c r="C182" s="12" t="s">
        <v>186</v>
      </c>
      <c r="D182" s="12" t="s">
        <v>469</v>
      </c>
      <c r="E182" s="12" t="s">
        <v>342</v>
      </c>
      <c r="F182" s="14">
        <v>6</v>
      </c>
      <c r="G182" s="14">
        <v>3450</v>
      </c>
      <c r="H182" s="14">
        <v>14.4</v>
      </c>
      <c r="I182" s="14">
        <v>17719.2</v>
      </c>
      <c r="J182" s="12" t="s">
        <v>110</v>
      </c>
      <c r="K182" s="12" t="s">
        <v>129</v>
      </c>
      <c r="L182" s="23" t="str">
        <f>VLOOKUP(D182,Products!$A:$F,3,FALSE)</f>
        <v>Apparel</v>
      </c>
      <c r="M182" s="23" t="str">
        <f>VLOOKUP(E182,Sales_Reps!$A:$E,3,FALSE)</f>
        <v>South</v>
      </c>
      <c r="N182" s="23" t="str">
        <f t="shared" si="6"/>
        <v>Apr-24</v>
      </c>
      <c r="O182" s="23" t="str">
        <f t="shared" si="7"/>
        <v>Q2 2024</v>
      </c>
      <c r="P182" s="23">
        <f>VLOOKUP(D182,Products!$A:$F,4,FALSE)</f>
        <v>1748</v>
      </c>
      <c r="Q182" s="35">
        <f t="shared" si="8"/>
        <v>0.49333333333333335</v>
      </c>
    </row>
    <row r="183" spans="1:17">
      <c r="A183" s="12" t="s">
        <v>513</v>
      </c>
      <c r="B183" s="13">
        <v>45443</v>
      </c>
      <c r="C183" s="12" t="s">
        <v>147</v>
      </c>
      <c r="D183" s="12" t="s">
        <v>460</v>
      </c>
      <c r="E183" s="12" t="s">
        <v>246</v>
      </c>
      <c r="F183" s="14">
        <v>7</v>
      </c>
      <c r="G183" s="14">
        <v>5080</v>
      </c>
      <c r="H183" s="14">
        <v>25.4</v>
      </c>
      <c r="I183" s="14">
        <v>26527.759999999998</v>
      </c>
      <c r="J183" s="12" t="s">
        <v>110</v>
      </c>
      <c r="K183" s="12" t="s">
        <v>150</v>
      </c>
      <c r="L183" s="23" t="str">
        <f>VLOOKUP(D183,Products!$A:$F,3,FALSE)</f>
        <v>Home</v>
      </c>
      <c r="M183" s="23" t="str">
        <f>VLOOKUP(E183,Sales_Reps!$A:$E,3,FALSE)</f>
        <v>West</v>
      </c>
      <c r="N183" s="23" t="str">
        <f t="shared" si="6"/>
        <v>May-24</v>
      </c>
      <c r="O183" s="23" t="str">
        <f t="shared" si="7"/>
        <v>Q2 2024</v>
      </c>
      <c r="P183" s="23">
        <f>VLOOKUP(D183,Products!$A:$F,4,FALSE)</f>
        <v>2459</v>
      </c>
      <c r="Q183" s="35">
        <f t="shared" si="8"/>
        <v>0.51594488188976373</v>
      </c>
    </row>
    <row r="184" spans="1:17">
      <c r="A184" s="12" t="s">
        <v>514</v>
      </c>
      <c r="B184" s="13">
        <v>45333</v>
      </c>
      <c r="C184" s="12" t="s">
        <v>341</v>
      </c>
      <c r="D184" s="12" t="s">
        <v>217</v>
      </c>
      <c r="E184" s="12" t="s">
        <v>145</v>
      </c>
      <c r="F184" s="14">
        <v>10</v>
      </c>
      <c r="G184" s="14">
        <v>2760</v>
      </c>
      <c r="H184" s="14">
        <v>20.100000000000001</v>
      </c>
      <c r="I184" s="14">
        <v>22052.400000000001</v>
      </c>
      <c r="J184" s="12" t="s">
        <v>104</v>
      </c>
      <c r="K184" s="12" t="s">
        <v>150</v>
      </c>
      <c r="L184" s="23" t="str">
        <f>VLOOKUP(D184,Products!$A:$F,3,FALSE)</f>
        <v>Grocery</v>
      </c>
      <c r="M184" s="23" t="str">
        <f>VLOOKUP(E184,Sales_Reps!$A:$E,3,FALSE)</f>
        <v>West</v>
      </c>
      <c r="N184" s="23" t="str">
        <f t="shared" si="6"/>
        <v>Feb-24</v>
      </c>
      <c r="O184" s="23" t="str">
        <f t="shared" si="7"/>
        <v>Q1 2024</v>
      </c>
      <c r="P184" s="23">
        <f>VLOOKUP(D184,Products!$A:$F,4,FALSE)</f>
        <v>1435</v>
      </c>
      <c r="Q184" s="35">
        <f t="shared" si="8"/>
        <v>0.48007246376811596</v>
      </c>
    </row>
    <row r="185" spans="1:17">
      <c r="A185" s="12" t="s">
        <v>515</v>
      </c>
      <c r="B185" s="13">
        <v>45456</v>
      </c>
      <c r="C185" s="12" t="s">
        <v>428</v>
      </c>
      <c r="D185" s="12" t="s">
        <v>193</v>
      </c>
      <c r="E185" s="12" t="s">
        <v>363</v>
      </c>
      <c r="F185" s="14">
        <v>6</v>
      </c>
      <c r="G185" s="14">
        <v>1650</v>
      </c>
      <c r="H185" s="14">
        <v>11.3</v>
      </c>
      <c r="I185" s="14">
        <v>8781.2999999999993</v>
      </c>
      <c r="J185" s="12" t="s">
        <v>110</v>
      </c>
      <c r="K185" s="12" t="s">
        <v>129</v>
      </c>
      <c r="L185" s="23" t="str">
        <f>VLOOKUP(D185,Products!$A:$F,3,FALSE)</f>
        <v>Beauty</v>
      </c>
      <c r="M185" s="23" t="str">
        <f>VLOOKUP(E185,Sales_Reps!$A:$E,3,FALSE)</f>
        <v>South</v>
      </c>
      <c r="N185" s="23" t="str">
        <f t="shared" si="6"/>
        <v>Jun-24</v>
      </c>
      <c r="O185" s="23" t="str">
        <f t="shared" si="7"/>
        <v>Q2 2024</v>
      </c>
      <c r="P185" s="23">
        <f>VLOOKUP(D185,Products!$A:$F,4,FALSE)</f>
        <v>1222</v>
      </c>
      <c r="Q185" s="35">
        <f t="shared" si="8"/>
        <v>0.2593939393939394</v>
      </c>
    </row>
    <row r="186" spans="1:17">
      <c r="A186" s="12" t="s">
        <v>516</v>
      </c>
      <c r="B186" s="13">
        <v>45295</v>
      </c>
      <c r="C186" s="12" t="s">
        <v>311</v>
      </c>
      <c r="D186" s="12" t="s">
        <v>265</v>
      </c>
      <c r="E186" s="12" t="s">
        <v>103</v>
      </c>
      <c r="F186" s="14">
        <v>9</v>
      </c>
      <c r="G186" s="14">
        <v>3870</v>
      </c>
      <c r="H186" s="14">
        <v>27.5</v>
      </c>
      <c r="I186" s="14">
        <v>25251.75</v>
      </c>
      <c r="J186" s="12" t="s">
        <v>104</v>
      </c>
      <c r="K186" s="12" t="s">
        <v>150</v>
      </c>
      <c r="L186" s="23" t="str">
        <f>VLOOKUP(D186,Products!$A:$F,3,FALSE)</f>
        <v>Electronics</v>
      </c>
      <c r="M186" s="23" t="str">
        <f>VLOOKUP(E186,Sales_Reps!$A:$E,3,FALSE)</f>
        <v>North</v>
      </c>
      <c r="N186" s="23" t="str">
        <f t="shared" si="6"/>
        <v>Jan-24</v>
      </c>
      <c r="O186" s="23" t="str">
        <f t="shared" si="7"/>
        <v>Q1 2024</v>
      </c>
      <c r="P186" s="23">
        <f>VLOOKUP(D186,Products!$A:$F,4,FALSE)</f>
        <v>1559</v>
      </c>
      <c r="Q186" s="35">
        <f t="shared" si="8"/>
        <v>0.59715762273901807</v>
      </c>
    </row>
    <row r="187" spans="1:17">
      <c r="A187" s="12" t="s">
        <v>517</v>
      </c>
      <c r="B187" s="13">
        <v>45532</v>
      </c>
      <c r="C187" s="12" t="s">
        <v>518</v>
      </c>
      <c r="D187" s="12" t="s">
        <v>519</v>
      </c>
      <c r="E187" s="12" t="s">
        <v>302</v>
      </c>
      <c r="F187" s="14">
        <v>2</v>
      </c>
      <c r="G187" s="14">
        <v>1090</v>
      </c>
      <c r="H187" s="14">
        <v>18.7</v>
      </c>
      <c r="I187" s="14">
        <v>1772.34</v>
      </c>
      <c r="J187" s="12" t="s">
        <v>161</v>
      </c>
      <c r="K187" s="12" t="s">
        <v>150</v>
      </c>
      <c r="L187" s="23" t="str">
        <f>VLOOKUP(D187,Products!$A:$F,3,FALSE)</f>
        <v>Home</v>
      </c>
      <c r="M187" s="23" t="str">
        <f>VLOOKUP(E187,Sales_Reps!$A:$E,3,FALSE)</f>
        <v>East</v>
      </c>
      <c r="N187" s="23" t="str">
        <f t="shared" si="6"/>
        <v>Aug-24</v>
      </c>
      <c r="O187" s="23" t="str">
        <f t="shared" si="7"/>
        <v>Q3 2024</v>
      </c>
      <c r="P187" s="23">
        <f>VLOOKUP(D187,Products!$A:$F,4,FALSE)</f>
        <v>464</v>
      </c>
      <c r="Q187" s="35">
        <f t="shared" si="8"/>
        <v>0.57431192660550456</v>
      </c>
    </row>
    <row r="188" spans="1:17">
      <c r="A188" s="12" t="s">
        <v>520</v>
      </c>
      <c r="B188" s="13">
        <v>45564</v>
      </c>
      <c r="C188" s="12" t="s">
        <v>521</v>
      </c>
      <c r="D188" s="12" t="s">
        <v>397</v>
      </c>
      <c r="E188" s="12" t="s">
        <v>128</v>
      </c>
      <c r="F188" s="14">
        <v>4</v>
      </c>
      <c r="G188" s="14">
        <v>960</v>
      </c>
      <c r="H188" s="14">
        <v>23.4</v>
      </c>
      <c r="I188" s="14">
        <v>2941.44</v>
      </c>
      <c r="J188" s="12" t="s">
        <v>104</v>
      </c>
      <c r="K188" s="12" t="s">
        <v>134</v>
      </c>
      <c r="L188" s="23" t="str">
        <f>VLOOKUP(D188,Products!$A:$F,3,FALSE)</f>
        <v>Beauty</v>
      </c>
      <c r="M188" s="23" t="str">
        <f>VLOOKUP(E188,Sales_Reps!$A:$E,3,FALSE)</f>
        <v>West</v>
      </c>
      <c r="N188" s="23" t="str">
        <f t="shared" si="6"/>
        <v>Sep-24</v>
      </c>
      <c r="O188" s="23" t="str">
        <f t="shared" si="7"/>
        <v>Q3 2024</v>
      </c>
      <c r="P188" s="23">
        <f>VLOOKUP(D188,Products!$A:$F,4,FALSE)</f>
        <v>675</v>
      </c>
      <c r="Q188" s="35">
        <f t="shared" si="8"/>
        <v>0.296875</v>
      </c>
    </row>
    <row r="189" spans="1:17">
      <c r="A189" s="12" t="s">
        <v>522</v>
      </c>
      <c r="B189" s="13">
        <v>45539</v>
      </c>
      <c r="C189" s="12" t="s">
        <v>264</v>
      </c>
      <c r="D189" s="12" t="s">
        <v>196</v>
      </c>
      <c r="E189" s="12" t="s">
        <v>175</v>
      </c>
      <c r="F189" s="14">
        <v>3</v>
      </c>
      <c r="G189" s="14">
        <v>3350</v>
      </c>
      <c r="H189" s="14">
        <v>17.899999999999999</v>
      </c>
      <c r="I189" s="14">
        <v>8251.0499999999993</v>
      </c>
      <c r="J189" s="12" t="s">
        <v>104</v>
      </c>
      <c r="K189" s="12" t="s">
        <v>134</v>
      </c>
      <c r="L189" s="23" t="str">
        <f>VLOOKUP(D189,Products!$A:$F,3,FALSE)</f>
        <v>Beauty</v>
      </c>
      <c r="M189" s="23" t="str">
        <f>VLOOKUP(E189,Sales_Reps!$A:$E,3,FALSE)</f>
        <v>East</v>
      </c>
      <c r="N189" s="23" t="str">
        <f t="shared" si="6"/>
        <v>Sep-24</v>
      </c>
      <c r="O189" s="23" t="str">
        <f t="shared" si="7"/>
        <v>Q3 2024</v>
      </c>
      <c r="P189" s="23">
        <f>VLOOKUP(D189,Products!$A:$F,4,FALSE)</f>
        <v>1728</v>
      </c>
      <c r="Q189" s="35">
        <f t="shared" si="8"/>
        <v>0.48417910447761192</v>
      </c>
    </row>
    <row r="190" spans="1:17">
      <c r="A190" s="12" t="s">
        <v>523</v>
      </c>
      <c r="B190" s="13">
        <v>45605</v>
      </c>
      <c r="C190" s="12" t="s">
        <v>524</v>
      </c>
      <c r="D190" s="12" t="s">
        <v>262</v>
      </c>
      <c r="E190" s="12" t="s">
        <v>109</v>
      </c>
      <c r="F190" s="14">
        <v>4</v>
      </c>
      <c r="G190" s="14">
        <v>2270</v>
      </c>
      <c r="H190" s="14">
        <v>29</v>
      </c>
      <c r="I190" s="14">
        <v>6446.8</v>
      </c>
      <c r="J190" s="12" t="s">
        <v>104</v>
      </c>
      <c r="K190" s="12" t="s">
        <v>105</v>
      </c>
      <c r="L190" s="23" t="str">
        <f>VLOOKUP(D190,Products!$A:$F,3,FALSE)</f>
        <v>Grocery</v>
      </c>
      <c r="M190" s="23" t="str">
        <f>VLOOKUP(E190,Sales_Reps!$A:$E,3,FALSE)</f>
        <v>North</v>
      </c>
      <c r="N190" s="23" t="str">
        <f t="shared" si="6"/>
        <v>Nov-24</v>
      </c>
      <c r="O190" s="23" t="str">
        <f t="shared" si="7"/>
        <v>Q4 2024</v>
      </c>
      <c r="P190" s="23">
        <f>VLOOKUP(D190,Products!$A:$F,4,FALSE)</f>
        <v>1412</v>
      </c>
      <c r="Q190" s="35">
        <f t="shared" si="8"/>
        <v>0.37797356828193834</v>
      </c>
    </row>
    <row r="191" spans="1:17">
      <c r="A191" s="12" t="s">
        <v>525</v>
      </c>
      <c r="B191" s="13">
        <v>45460</v>
      </c>
      <c r="C191" s="12" t="s">
        <v>446</v>
      </c>
      <c r="D191" s="12" t="s">
        <v>287</v>
      </c>
      <c r="E191" s="12" t="s">
        <v>171</v>
      </c>
      <c r="F191" s="14">
        <v>9</v>
      </c>
      <c r="G191" s="14">
        <v>4610</v>
      </c>
      <c r="H191" s="14">
        <v>28.3</v>
      </c>
      <c r="I191" s="14">
        <v>29748.33</v>
      </c>
      <c r="J191" s="12" t="s">
        <v>110</v>
      </c>
      <c r="K191" s="12" t="s">
        <v>134</v>
      </c>
      <c r="L191" s="23" t="str">
        <f>VLOOKUP(D191,Products!$A:$F,3,FALSE)</f>
        <v>Home</v>
      </c>
      <c r="M191" s="23" t="str">
        <f>VLOOKUP(E191,Sales_Reps!$A:$E,3,FALSE)</f>
        <v>East</v>
      </c>
      <c r="N191" s="23" t="str">
        <f t="shared" si="6"/>
        <v>Jun-24</v>
      </c>
      <c r="O191" s="23" t="str">
        <f t="shared" si="7"/>
        <v>Q2 2024</v>
      </c>
      <c r="P191" s="23">
        <f>VLOOKUP(D191,Products!$A:$F,4,FALSE)</f>
        <v>1850</v>
      </c>
      <c r="Q191" s="35">
        <f t="shared" si="8"/>
        <v>0.59869848156182215</v>
      </c>
    </row>
    <row r="192" spans="1:17">
      <c r="A192" s="12" t="s">
        <v>526</v>
      </c>
      <c r="B192" s="13">
        <v>45538</v>
      </c>
      <c r="C192" s="12" t="s">
        <v>527</v>
      </c>
      <c r="D192" s="12" t="s">
        <v>123</v>
      </c>
      <c r="E192" s="12" t="s">
        <v>221</v>
      </c>
      <c r="F192" s="14">
        <v>3</v>
      </c>
      <c r="G192" s="14">
        <v>3160</v>
      </c>
      <c r="H192" s="14">
        <v>7.3</v>
      </c>
      <c r="I192" s="14">
        <v>8787.9599999999991</v>
      </c>
      <c r="J192" s="12" t="s">
        <v>104</v>
      </c>
      <c r="K192" s="12" t="s">
        <v>134</v>
      </c>
      <c r="L192" s="23" t="str">
        <f>VLOOKUP(D192,Products!$A:$F,3,FALSE)</f>
        <v>Apparel</v>
      </c>
      <c r="M192" s="23" t="str">
        <f>VLOOKUP(E192,Sales_Reps!$A:$E,3,FALSE)</f>
        <v>South</v>
      </c>
      <c r="N192" s="23" t="str">
        <f t="shared" si="6"/>
        <v>Sep-24</v>
      </c>
      <c r="O192" s="23" t="str">
        <f t="shared" si="7"/>
        <v>Q3 2024</v>
      </c>
      <c r="P192" s="23">
        <f>VLOOKUP(D192,Products!$A:$F,4,FALSE)</f>
        <v>1886</v>
      </c>
      <c r="Q192" s="35">
        <f t="shared" si="8"/>
        <v>0.4031645569620253</v>
      </c>
    </row>
    <row r="193" spans="1:17">
      <c r="A193" s="12" t="s">
        <v>528</v>
      </c>
      <c r="B193" s="13">
        <v>45573</v>
      </c>
      <c r="C193" s="12" t="s">
        <v>529</v>
      </c>
      <c r="D193" s="12" t="s">
        <v>262</v>
      </c>
      <c r="E193" s="12" t="s">
        <v>156</v>
      </c>
      <c r="F193" s="14">
        <v>8</v>
      </c>
      <c r="G193" s="14">
        <v>2270</v>
      </c>
      <c r="H193" s="14">
        <v>15.6</v>
      </c>
      <c r="I193" s="14">
        <v>15327.04</v>
      </c>
      <c r="J193" s="12" t="s">
        <v>104</v>
      </c>
      <c r="K193" s="12" t="s">
        <v>150</v>
      </c>
      <c r="L193" s="23" t="str">
        <f>VLOOKUP(D193,Products!$A:$F,3,FALSE)</f>
        <v>Grocery</v>
      </c>
      <c r="M193" s="23" t="str">
        <f>VLOOKUP(E193,Sales_Reps!$A:$E,3,FALSE)</f>
        <v>North</v>
      </c>
      <c r="N193" s="23" t="str">
        <f t="shared" si="6"/>
        <v>Oct-24</v>
      </c>
      <c r="O193" s="23" t="str">
        <f t="shared" si="7"/>
        <v>Q4 2024</v>
      </c>
      <c r="P193" s="23">
        <f>VLOOKUP(D193,Products!$A:$F,4,FALSE)</f>
        <v>1412</v>
      </c>
      <c r="Q193" s="35">
        <f t="shared" si="8"/>
        <v>0.37797356828193834</v>
      </c>
    </row>
    <row r="194" spans="1:17">
      <c r="A194" s="12" t="s">
        <v>530</v>
      </c>
      <c r="B194" s="13">
        <v>45483</v>
      </c>
      <c r="C194" s="12" t="s">
        <v>143</v>
      </c>
      <c r="D194" s="12" t="s">
        <v>293</v>
      </c>
      <c r="E194" s="12" t="s">
        <v>145</v>
      </c>
      <c r="F194" s="14">
        <v>8</v>
      </c>
      <c r="G194" s="14">
        <v>3020</v>
      </c>
      <c r="H194" s="14">
        <v>16.3</v>
      </c>
      <c r="I194" s="14">
        <v>20221.919999999998</v>
      </c>
      <c r="J194" s="12" t="s">
        <v>157</v>
      </c>
      <c r="K194" s="12" t="s">
        <v>105</v>
      </c>
      <c r="L194" s="23" t="str">
        <f>VLOOKUP(D194,Products!$A:$F,3,FALSE)</f>
        <v>Beauty</v>
      </c>
      <c r="M194" s="23" t="str">
        <f>VLOOKUP(E194,Sales_Reps!$A:$E,3,FALSE)</f>
        <v>West</v>
      </c>
      <c r="N194" s="23" t="str">
        <f t="shared" si="6"/>
        <v>Jul-24</v>
      </c>
      <c r="O194" s="23" t="str">
        <f t="shared" si="7"/>
        <v>Q3 2024</v>
      </c>
      <c r="P194" s="23">
        <f>VLOOKUP(D194,Products!$A:$F,4,FALSE)</f>
        <v>1626</v>
      </c>
      <c r="Q194" s="35">
        <f t="shared" si="8"/>
        <v>0.46158940397350995</v>
      </c>
    </row>
    <row r="195" spans="1:17">
      <c r="A195" s="12" t="s">
        <v>531</v>
      </c>
      <c r="B195" s="13">
        <v>45617</v>
      </c>
      <c r="C195" s="12" t="s">
        <v>170</v>
      </c>
      <c r="D195" s="12" t="s">
        <v>532</v>
      </c>
      <c r="E195" s="12" t="s">
        <v>187</v>
      </c>
      <c r="F195" s="14">
        <v>7</v>
      </c>
      <c r="G195" s="14">
        <v>6940</v>
      </c>
      <c r="H195" s="14">
        <v>8.5</v>
      </c>
      <c r="I195" s="14">
        <v>44450.7</v>
      </c>
      <c r="J195" s="12" t="s">
        <v>104</v>
      </c>
      <c r="K195" s="12" t="s">
        <v>134</v>
      </c>
      <c r="L195" s="23" t="str">
        <f>VLOOKUP(D195,Products!$A:$F,3,FALSE)</f>
        <v>Sports</v>
      </c>
      <c r="M195" s="23" t="str">
        <f>VLOOKUP(E195,Sales_Reps!$A:$E,3,FALSE)</f>
        <v>West</v>
      </c>
      <c r="N195" s="23" t="str">
        <f t="shared" ref="N195:N258" si="9">TEXT(B195, "mmm-yy")</f>
        <v>Nov-24</v>
      </c>
      <c r="O195" s="23" t="str">
        <f t="shared" ref="O195:O258" si="10">"Q" &amp; INT((MONTH(B195)-1)/3)+1 &amp; " " &amp; YEAR(B195)</f>
        <v>Q4 2024</v>
      </c>
      <c r="P195" s="23">
        <f>VLOOKUP(D195,Products!$A:$F,4,FALSE)</f>
        <v>2827</v>
      </c>
      <c r="Q195" s="35">
        <f t="shared" ref="Q195:Q258" si="11">(G195 - P195) / G195</f>
        <v>0.5926512968299712</v>
      </c>
    </row>
    <row r="196" spans="1:17">
      <c r="A196" s="12" t="s">
        <v>533</v>
      </c>
      <c r="B196" s="13">
        <v>45546</v>
      </c>
      <c r="C196" s="12" t="s">
        <v>504</v>
      </c>
      <c r="D196" s="12" t="s">
        <v>276</v>
      </c>
      <c r="E196" s="12" t="s">
        <v>342</v>
      </c>
      <c r="F196" s="14">
        <v>8</v>
      </c>
      <c r="G196" s="14">
        <v>1540</v>
      </c>
      <c r="H196" s="14">
        <v>21</v>
      </c>
      <c r="I196" s="14">
        <v>9732.7999999999993</v>
      </c>
      <c r="J196" s="12" t="s">
        <v>104</v>
      </c>
      <c r="K196" s="12" t="s">
        <v>105</v>
      </c>
      <c r="L196" s="23" t="str">
        <f>VLOOKUP(D196,Products!$A:$F,3,FALSE)</f>
        <v>Beauty</v>
      </c>
      <c r="M196" s="23" t="str">
        <f>VLOOKUP(E196,Sales_Reps!$A:$E,3,FALSE)</f>
        <v>South</v>
      </c>
      <c r="N196" s="23" t="str">
        <f t="shared" si="9"/>
        <v>Sep-24</v>
      </c>
      <c r="O196" s="23" t="str">
        <f t="shared" si="10"/>
        <v>Q3 2024</v>
      </c>
      <c r="P196" s="23">
        <f>VLOOKUP(D196,Products!$A:$F,4,FALSE)</f>
        <v>647</v>
      </c>
      <c r="Q196" s="35">
        <f t="shared" si="11"/>
        <v>0.57987012987012987</v>
      </c>
    </row>
    <row r="197" spans="1:17">
      <c r="A197" s="12" t="s">
        <v>534</v>
      </c>
      <c r="B197" s="13">
        <v>45380</v>
      </c>
      <c r="C197" s="12" t="s">
        <v>535</v>
      </c>
      <c r="D197" s="12" t="s">
        <v>184</v>
      </c>
      <c r="E197" s="12" t="s">
        <v>246</v>
      </c>
      <c r="F197" s="14">
        <v>6</v>
      </c>
      <c r="G197" s="14">
        <v>2480</v>
      </c>
      <c r="H197" s="14">
        <v>27.9</v>
      </c>
      <c r="I197" s="14">
        <v>10728.48</v>
      </c>
      <c r="J197" s="12" t="s">
        <v>104</v>
      </c>
      <c r="K197" s="12" t="s">
        <v>105</v>
      </c>
      <c r="L197" s="23" t="str">
        <f>VLOOKUP(D197,Products!$A:$F,3,FALSE)</f>
        <v>Apparel</v>
      </c>
      <c r="M197" s="23" t="str">
        <f>VLOOKUP(E197,Sales_Reps!$A:$E,3,FALSE)</f>
        <v>West</v>
      </c>
      <c r="N197" s="23" t="str">
        <f t="shared" si="9"/>
        <v>Mar-24</v>
      </c>
      <c r="O197" s="23" t="str">
        <f t="shared" si="10"/>
        <v>Q1 2024</v>
      </c>
      <c r="P197" s="23">
        <f>VLOOKUP(D197,Products!$A:$F,4,FALSE)</f>
        <v>1173</v>
      </c>
      <c r="Q197" s="35">
        <f t="shared" si="11"/>
        <v>0.52701612903225803</v>
      </c>
    </row>
    <row r="198" spans="1:17">
      <c r="A198" s="12" t="s">
        <v>536</v>
      </c>
      <c r="B198" s="13">
        <v>45320</v>
      </c>
      <c r="C198" s="12" t="s">
        <v>537</v>
      </c>
      <c r="D198" s="12" t="s">
        <v>164</v>
      </c>
      <c r="E198" s="12" t="s">
        <v>302</v>
      </c>
      <c r="F198" s="14">
        <v>4</v>
      </c>
      <c r="G198" s="14">
        <v>190</v>
      </c>
      <c r="H198" s="14">
        <v>21.5</v>
      </c>
      <c r="I198" s="14">
        <v>596.6</v>
      </c>
      <c r="J198" s="12" t="s">
        <v>104</v>
      </c>
      <c r="K198" s="12" t="s">
        <v>129</v>
      </c>
      <c r="L198" s="23" t="str">
        <f>VLOOKUP(D198,Products!$A:$F,3,FALSE)</f>
        <v>Sports</v>
      </c>
      <c r="M198" s="23" t="str">
        <f>VLOOKUP(E198,Sales_Reps!$A:$E,3,FALSE)</f>
        <v>East</v>
      </c>
      <c r="N198" s="23" t="str">
        <f t="shared" si="9"/>
        <v>Jan-24</v>
      </c>
      <c r="O198" s="23" t="str">
        <f t="shared" si="10"/>
        <v>Q1 2024</v>
      </c>
      <c r="P198" s="23">
        <f>VLOOKUP(D198,Products!$A:$F,4,FALSE)</f>
        <v>147</v>
      </c>
      <c r="Q198" s="35">
        <f t="shared" si="11"/>
        <v>0.22631578947368422</v>
      </c>
    </row>
    <row r="199" spans="1:17">
      <c r="A199" s="12" t="s">
        <v>538</v>
      </c>
      <c r="B199" s="13">
        <v>45355</v>
      </c>
      <c r="C199" s="12" t="s">
        <v>539</v>
      </c>
      <c r="D199" s="12" t="s">
        <v>212</v>
      </c>
      <c r="E199" s="12" t="s">
        <v>115</v>
      </c>
      <c r="F199" s="14">
        <v>1</v>
      </c>
      <c r="G199" s="14">
        <v>2860</v>
      </c>
      <c r="H199" s="14">
        <v>15.3</v>
      </c>
      <c r="I199" s="14">
        <v>2422.42</v>
      </c>
      <c r="J199" s="12" t="s">
        <v>104</v>
      </c>
      <c r="K199" s="12" t="s">
        <v>116</v>
      </c>
      <c r="L199" s="23" t="str">
        <f>VLOOKUP(D199,Products!$A:$F,3,FALSE)</f>
        <v>Sports</v>
      </c>
      <c r="M199" s="23" t="str">
        <f>VLOOKUP(E199,Sales_Reps!$A:$E,3,FALSE)</f>
        <v>South</v>
      </c>
      <c r="N199" s="23" t="str">
        <f t="shared" si="9"/>
        <v>Mar-24</v>
      </c>
      <c r="O199" s="23" t="str">
        <f t="shared" si="10"/>
        <v>Q1 2024</v>
      </c>
      <c r="P199" s="23">
        <f>VLOOKUP(D199,Products!$A:$F,4,FALSE)</f>
        <v>2028</v>
      </c>
      <c r="Q199" s="35">
        <f t="shared" si="11"/>
        <v>0.29090909090909089</v>
      </c>
    </row>
    <row r="200" spans="1:17">
      <c r="A200" s="12" t="s">
        <v>540</v>
      </c>
      <c r="B200" s="13">
        <v>45350</v>
      </c>
      <c r="C200" s="12" t="s">
        <v>541</v>
      </c>
      <c r="D200" s="12" t="s">
        <v>372</v>
      </c>
      <c r="E200" s="12" t="s">
        <v>205</v>
      </c>
      <c r="F200" s="14">
        <v>4</v>
      </c>
      <c r="G200" s="14">
        <v>2510</v>
      </c>
      <c r="H200" s="14">
        <v>10.1</v>
      </c>
      <c r="I200" s="14">
        <v>9025.9599999999991</v>
      </c>
      <c r="J200" s="12" t="s">
        <v>161</v>
      </c>
      <c r="K200" s="12" t="s">
        <v>129</v>
      </c>
      <c r="L200" s="23" t="str">
        <f>VLOOKUP(D200,Products!$A:$F,3,FALSE)</f>
        <v>Apparel</v>
      </c>
      <c r="M200" s="23" t="str">
        <f>VLOOKUP(E200,Sales_Reps!$A:$E,3,FALSE)</f>
        <v>South</v>
      </c>
      <c r="N200" s="23" t="str">
        <f t="shared" si="9"/>
        <v>Feb-24</v>
      </c>
      <c r="O200" s="23" t="str">
        <f t="shared" si="10"/>
        <v>Q1 2024</v>
      </c>
      <c r="P200" s="23">
        <f>VLOOKUP(D200,Products!$A:$F,4,FALSE)</f>
        <v>1075</v>
      </c>
      <c r="Q200" s="35">
        <f t="shared" si="11"/>
        <v>0.57171314741035861</v>
      </c>
    </row>
    <row r="201" spans="1:17">
      <c r="A201" s="12" t="s">
        <v>542</v>
      </c>
      <c r="B201" s="13">
        <v>45587</v>
      </c>
      <c r="C201" s="12" t="s">
        <v>402</v>
      </c>
      <c r="D201" s="12" t="s">
        <v>204</v>
      </c>
      <c r="E201" s="12" t="s">
        <v>165</v>
      </c>
      <c r="F201" s="14">
        <v>2</v>
      </c>
      <c r="G201" s="14">
        <v>3570</v>
      </c>
      <c r="H201" s="14">
        <v>11.6</v>
      </c>
      <c r="I201" s="14">
        <v>6311.76</v>
      </c>
      <c r="J201" s="12" t="s">
        <v>110</v>
      </c>
      <c r="K201" s="12" t="s">
        <v>134</v>
      </c>
      <c r="L201" s="23" t="str">
        <f>VLOOKUP(D201,Products!$A:$F,3,FALSE)</f>
        <v>Electronics</v>
      </c>
      <c r="M201" s="23" t="str">
        <f>VLOOKUP(E201,Sales_Reps!$A:$E,3,FALSE)</f>
        <v>North</v>
      </c>
      <c r="N201" s="23" t="str">
        <f t="shared" si="9"/>
        <v>Oct-24</v>
      </c>
      <c r="O201" s="23" t="str">
        <f t="shared" si="10"/>
        <v>Q4 2024</v>
      </c>
      <c r="P201" s="23">
        <f>VLOOKUP(D201,Products!$A:$F,4,FALSE)</f>
        <v>1665</v>
      </c>
      <c r="Q201" s="35">
        <f t="shared" si="11"/>
        <v>0.53361344537815125</v>
      </c>
    </row>
    <row r="202" spans="1:17">
      <c r="A202" s="12" t="s">
        <v>543</v>
      </c>
      <c r="B202" s="13">
        <v>45344</v>
      </c>
      <c r="C202" s="12" t="s">
        <v>507</v>
      </c>
      <c r="D202" s="12" t="s">
        <v>243</v>
      </c>
      <c r="E202" s="12" t="s">
        <v>363</v>
      </c>
      <c r="F202" s="14">
        <v>7</v>
      </c>
      <c r="G202" s="14">
        <v>3730</v>
      </c>
      <c r="H202" s="14">
        <v>2.5</v>
      </c>
      <c r="I202" s="14">
        <v>25457.25</v>
      </c>
      <c r="J202" s="12" t="s">
        <v>157</v>
      </c>
      <c r="K202" s="12" t="s">
        <v>116</v>
      </c>
      <c r="L202" s="23" t="str">
        <f>VLOOKUP(D202,Products!$A:$F,3,FALSE)</f>
        <v>Home</v>
      </c>
      <c r="M202" s="23" t="str">
        <f>VLOOKUP(E202,Sales_Reps!$A:$E,3,FALSE)</f>
        <v>South</v>
      </c>
      <c r="N202" s="23" t="str">
        <f t="shared" si="9"/>
        <v>Feb-24</v>
      </c>
      <c r="O202" s="23" t="str">
        <f t="shared" si="10"/>
        <v>Q1 2024</v>
      </c>
      <c r="P202" s="23">
        <f>VLOOKUP(D202,Products!$A:$F,4,FALSE)</f>
        <v>2135</v>
      </c>
      <c r="Q202" s="35">
        <f t="shared" si="11"/>
        <v>0.42761394101876676</v>
      </c>
    </row>
    <row r="203" spans="1:17">
      <c r="A203" s="12" t="s">
        <v>544</v>
      </c>
      <c r="B203" s="13">
        <v>45492</v>
      </c>
      <c r="C203" s="12" t="s">
        <v>545</v>
      </c>
      <c r="D203" s="12" t="s">
        <v>127</v>
      </c>
      <c r="E203" s="12" t="s">
        <v>187</v>
      </c>
      <c r="F203" s="14">
        <v>6</v>
      </c>
      <c r="G203" s="14">
        <v>370</v>
      </c>
      <c r="H203" s="14">
        <v>9.9</v>
      </c>
      <c r="I203" s="14">
        <v>2000.22</v>
      </c>
      <c r="J203" s="12" t="s">
        <v>104</v>
      </c>
      <c r="K203" s="12" t="s">
        <v>129</v>
      </c>
      <c r="L203" s="23" t="str">
        <f>VLOOKUP(D203,Products!$A:$F,3,FALSE)</f>
        <v>Home</v>
      </c>
      <c r="M203" s="23" t="str">
        <f>VLOOKUP(E203,Sales_Reps!$A:$E,3,FALSE)</f>
        <v>West</v>
      </c>
      <c r="N203" s="23" t="str">
        <f t="shared" si="9"/>
        <v>Jul-24</v>
      </c>
      <c r="O203" s="23" t="str">
        <f t="shared" si="10"/>
        <v>Q3 2024</v>
      </c>
      <c r="P203" s="23">
        <f>VLOOKUP(D203,Products!$A:$F,4,FALSE)</f>
        <v>288</v>
      </c>
      <c r="Q203" s="35">
        <f t="shared" si="11"/>
        <v>0.22162162162162163</v>
      </c>
    </row>
    <row r="204" spans="1:17">
      <c r="A204" s="12" t="s">
        <v>546</v>
      </c>
      <c r="B204" s="13">
        <v>45490</v>
      </c>
      <c r="C204" s="12" t="s">
        <v>547</v>
      </c>
      <c r="D204" s="12" t="s">
        <v>296</v>
      </c>
      <c r="E204" s="12" t="s">
        <v>115</v>
      </c>
      <c r="F204" s="14">
        <v>4</v>
      </c>
      <c r="G204" s="14">
        <v>2660</v>
      </c>
      <c r="H204" s="14">
        <v>29.7</v>
      </c>
      <c r="I204" s="14">
        <v>7479.92</v>
      </c>
      <c r="J204" s="12" t="s">
        <v>104</v>
      </c>
      <c r="K204" s="12" t="s">
        <v>116</v>
      </c>
      <c r="L204" s="23" t="str">
        <f>VLOOKUP(D204,Products!$A:$F,3,FALSE)</f>
        <v>Electronics</v>
      </c>
      <c r="M204" s="23" t="str">
        <f>VLOOKUP(E204,Sales_Reps!$A:$E,3,FALSE)</f>
        <v>South</v>
      </c>
      <c r="N204" s="23" t="str">
        <f t="shared" si="9"/>
        <v>Jul-24</v>
      </c>
      <c r="O204" s="23" t="str">
        <f t="shared" si="10"/>
        <v>Q3 2024</v>
      </c>
      <c r="P204" s="23">
        <f>VLOOKUP(D204,Products!$A:$F,4,FALSE)</f>
        <v>1259</v>
      </c>
      <c r="Q204" s="35">
        <f t="shared" si="11"/>
        <v>0.52669172932330832</v>
      </c>
    </row>
    <row r="205" spans="1:17">
      <c r="A205" s="12" t="s">
        <v>548</v>
      </c>
      <c r="B205" s="13">
        <v>45538</v>
      </c>
      <c r="C205" s="12" t="s">
        <v>402</v>
      </c>
      <c r="D205" s="12" t="s">
        <v>217</v>
      </c>
      <c r="E205" s="12" t="s">
        <v>205</v>
      </c>
      <c r="F205" s="14">
        <v>6</v>
      </c>
      <c r="G205" s="14">
        <v>2760</v>
      </c>
      <c r="H205" s="14">
        <v>0.9</v>
      </c>
      <c r="I205" s="14">
        <v>16410.96</v>
      </c>
      <c r="J205" s="12" t="s">
        <v>104</v>
      </c>
      <c r="K205" s="12" t="s">
        <v>134</v>
      </c>
      <c r="L205" s="23" t="str">
        <f>VLOOKUP(D205,Products!$A:$F,3,FALSE)</f>
        <v>Grocery</v>
      </c>
      <c r="M205" s="23" t="str">
        <f>VLOOKUP(E205,Sales_Reps!$A:$E,3,FALSE)</f>
        <v>South</v>
      </c>
      <c r="N205" s="23" t="str">
        <f t="shared" si="9"/>
        <v>Sep-24</v>
      </c>
      <c r="O205" s="23" t="str">
        <f t="shared" si="10"/>
        <v>Q3 2024</v>
      </c>
      <c r="P205" s="23">
        <f>VLOOKUP(D205,Products!$A:$F,4,FALSE)</f>
        <v>1435</v>
      </c>
      <c r="Q205" s="35">
        <f t="shared" si="11"/>
        <v>0.48007246376811596</v>
      </c>
    </row>
    <row r="206" spans="1:17">
      <c r="A206" s="12" t="s">
        <v>549</v>
      </c>
      <c r="B206" s="13">
        <v>45591</v>
      </c>
      <c r="C206" s="12" t="s">
        <v>550</v>
      </c>
      <c r="D206" s="12" t="s">
        <v>196</v>
      </c>
      <c r="E206" s="12" t="s">
        <v>221</v>
      </c>
      <c r="F206" s="14">
        <v>6</v>
      </c>
      <c r="G206" s="14">
        <v>3350</v>
      </c>
      <c r="H206" s="14">
        <v>17.899999999999999</v>
      </c>
      <c r="I206" s="14">
        <v>16502.099999999999</v>
      </c>
      <c r="J206" s="12" t="s">
        <v>104</v>
      </c>
      <c r="K206" s="12" t="s">
        <v>116</v>
      </c>
      <c r="L206" s="23" t="str">
        <f>VLOOKUP(D206,Products!$A:$F,3,FALSE)</f>
        <v>Beauty</v>
      </c>
      <c r="M206" s="23" t="str">
        <f>VLOOKUP(E206,Sales_Reps!$A:$E,3,FALSE)</f>
        <v>South</v>
      </c>
      <c r="N206" s="23" t="str">
        <f t="shared" si="9"/>
        <v>Oct-24</v>
      </c>
      <c r="O206" s="23" t="str">
        <f t="shared" si="10"/>
        <v>Q4 2024</v>
      </c>
      <c r="P206" s="23">
        <f>VLOOKUP(D206,Products!$A:$F,4,FALSE)</f>
        <v>1728</v>
      </c>
      <c r="Q206" s="35">
        <f t="shared" si="11"/>
        <v>0.48417910447761192</v>
      </c>
    </row>
    <row r="207" spans="1:17">
      <c r="A207" s="12" t="s">
        <v>551</v>
      </c>
      <c r="B207" s="13">
        <v>45319</v>
      </c>
      <c r="C207" s="12" t="s">
        <v>457</v>
      </c>
      <c r="D207" s="12" t="s">
        <v>299</v>
      </c>
      <c r="E207" s="12" t="s">
        <v>255</v>
      </c>
      <c r="F207" s="14">
        <v>8</v>
      </c>
      <c r="G207" s="14">
        <v>300</v>
      </c>
      <c r="H207" s="14">
        <v>20.6</v>
      </c>
      <c r="I207" s="14">
        <v>1905.6</v>
      </c>
      <c r="J207" s="12" t="s">
        <v>161</v>
      </c>
      <c r="K207" s="12" t="s">
        <v>105</v>
      </c>
      <c r="L207" s="23" t="str">
        <f>VLOOKUP(D207,Products!$A:$F,3,FALSE)</f>
        <v>Electronics</v>
      </c>
      <c r="M207" s="23" t="str">
        <f>VLOOKUP(E207,Sales_Reps!$A:$E,3,FALSE)</f>
        <v>East</v>
      </c>
      <c r="N207" s="23" t="str">
        <f t="shared" si="9"/>
        <v>Jan-24</v>
      </c>
      <c r="O207" s="23" t="str">
        <f t="shared" si="10"/>
        <v>Q1 2024</v>
      </c>
      <c r="P207" s="23">
        <f>VLOOKUP(D207,Products!$A:$F,4,FALSE)</f>
        <v>128</v>
      </c>
      <c r="Q207" s="35">
        <f t="shared" si="11"/>
        <v>0.57333333333333336</v>
      </c>
    </row>
    <row r="208" spans="1:17">
      <c r="A208" s="12" t="s">
        <v>552</v>
      </c>
      <c r="B208" s="13">
        <v>45527</v>
      </c>
      <c r="C208" s="12" t="s">
        <v>545</v>
      </c>
      <c r="D208" s="12" t="s">
        <v>190</v>
      </c>
      <c r="E208" s="12" t="s">
        <v>314</v>
      </c>
      <c r="F208" s="14">
        <v>5</v>
      </c>
      <c r="G208" s="14">
        <v>2720</v>
      </c>
      <c r="H208" s="14">
        <v>17.100000000000001</v>
      </c>
      <c r="I208" s="14">
        <v>11274.4</v>
      </c>
      <c r="J208" s="12" t="s">
        <v>110</v>
      </c>
      <c r="K208" s="12" t="s">
        <v>129</v>
      </c>
      <c r="L208" s="23" t="str">
        <f>VLOOKUP(D208,Products!$A:$F,3,FALSE)</f>
        <v>Apparel</v>
      </c>
      <c r="M208" s="23" t="str">
        <f>VLOOKUP(E208,Sales_Reps!$A:$E,3,FALSE)</f>
        <v>North</v>
      </c>
      <c r="N208" s="23" t="str">
        <f t="shared" si="9"/>
        <v>Aug-24</v>
      </c>
      <c r="O208" s="23" t="str">
        <f t="shared" si="10"/>
        <v>Q3 2024</v>
      </c>
      <c r="P208" s="23">
        <f>VLOOKUP(D208,Products!$A:$F,4,FALSE)</f>
        <v>1962</v>
      </c>
      <c r="Q208" s="35">
        <f t="shared" si="11"/>
        <v>0.2786764705882353</v>
      </c>
    </row>
    <row r="209" spans="1:17">
      <c r="A209" s="12" t="s">
        <v>553</v>
      </c>
      <c r="B209" s="13">
        <v>45572</v>
      </c>
      <c r="C209" s="12" t="s">
        <v>554</v>
      </c>
      <c r="D209" s="12" t="s">
        <v>265</v>
      </c>
      <c r="E209" s="12" t="s">
        <v>205</v>
      </c>
      <c r="F209" s="14">
        <v>1</v>
      </c>
      <c r="G209" s="14">
        <v>3870</v>
      </c>
      <c r="H209" s="14">
        <v>23.5</v>
      </c>
      <c r="I209" s="14">
        <v>2960.55</v>
      </c>
      <c r="J209" s="12" t="s">
        <v>110</v>
      </c>
      <c r="K209" s="12" t="s">
        <v>150</v>
      </c>
      <c r="L209" s="23" t="str">
        <f>VLOOKUP(D209,Products!$A:$F,3,FALSE)</f>
        <v>Electronics</v>
      </c>
      <c r="M209" s="23" t="str">
        <f>VLOOKUP(E209,Sales_Reps!$A:$E,3,FALSE)</f>
        <v>South</v>
      </c>
      <c r="N209" s="23" t="str">
        <f t="shared" si="9"/>
        <v>Oct-24</v>
      </c>
      <c r="O209" s="23" t="str">
        <f t="shared" si="10"/>
        <v>Q4 2024</v>
      </c>
      <c r="P209" s="23">
        <f>VLOOKUP(D209,Products!$A:$F,4,FALSE)</f>
        <v>1559</v>
      </c>
      <c r="Q209" s="35">
        <f t="shared" si="11"/>
        <v>0.59715762273901807</v>
      </c>
    </row>
    <row r="210" spans="1:17">
      <c r="A210" s="12" t="s">
        <v>555</v>
      </c>
      <c r="B210" s="13">
        <v>45637</v>
      </c>
      <c r="C210" s="12" t="s">
        <v>556</v>
      </c>
      <c r="D210" s="12" t="s">
        <v>243</v>
      </c>
      <c r="E210" s="12" t="s">
        <v>342</v>
      </c>
      <c r="F210" s="14">
        <v>3</v>
      </c>
      <c r="G210" s="14">
        <v>3730</v>
      </c>
      <c r="H210" s="14">
        <v>0.7</v>
      </c>
      <c r="I210" s="14">
        <v>11111.67</v>
      </c>
      <c r="J210" s="12" t="s">
        <v>110</v>
      </c>
      <c r="K210" s="12" t="s">
        <v>150</v>
      </c>
      <c r="L210" s="23" t="str">
        <f>VLOOKUP(D210,Products!$A:$F,3,FALSE)</f>
        <v>Home</v>
      </c>
      <c r="M210" s="23" t="str">
        <f>VLOOKUP(E210,Sales_Reps!$A:$E,3,FALSE)</f>
        <v>South</v>
      </c>
      <c r="N210" s="23" t="str">
        <f t="shared" si="9"/>
        <v>Dec-24</v>
      </c>
      <c r="O210" s="23" t="str">
        <f t="shared" si="10"/>
        <v>Q4 2024</v>
      </c>
      <c r="P210" s="23">
        <f>VLOOKUP(D210,Products!$A:$F,4,FALSE)</f>
        <v>2135</v>
      </c>
      <c r="Q210" s="35">
        <f t="shared" si="11"/>
        <v>0.42761394101876676</v>
      </c>
    </row>
    <row r="211" spans="1:17">
      <c r="A211" s="12" t="s">
        <v>557</v>
      </c>
      <c r="B211" s="13">
        <v>45315</v>
      </c>
      <c r="C211" s="12" t="s">
        <v>558</v>
      </c>
      <c r="D211" s="12" t="s">
        <v>184</v>
      </c>
      <c r="E211" s="12" t="s">
        <v>342</v>
      </c>
      <c r="F211" s="14">
        <v>8</v>
      </c>
      <c r="G211" s="14">
        <v>2480</v>
      </c>
      <c r="H211" s="14">
        <v>18.2</v>
      </c>
      <c r="I211" s="14">
        <v>16229.12</v>
      </c>
      <c r="J211" s="12" t="s">
        <v>157</v>
      </c>
      <c r="K211" s="12" t="s">
        <v>111</v>
      </c>
      <c r="L211" s="23" t="str">
        <f>VLOOKUP(D211,Products!$A:$F,3,FALSE)</f>
        <v>Apparel</v>
      </c>
      <c r="M211" s="23" t="str">
        <f>VLOOKUP(E211,Sales_Reps!$A:$E,3,FALSE)</f>
        <v>South</v>
      </c>
      <c r="N211" s="23" t="str">
        <f t="shared" si="9"/>
        <v>Jan-24</v>
      </c>
      <c r="O211" s="23" t="str">
        <f t="shared" si="10"/>
        <v>Q1 2024</v>
      </c>
      <c r="P211" s="23">
        <f>VLOOKUP(D211,Products!$A:$F,4,FALSE)</f>
        <v>1173</v>
      </c>
      <c r="Q211" s="35">
        <f t="shared" si="11"/>
        <v>0.52701612903225803</v>
      </c>
    </row>
    <row r="212" spans="1:17">
      <c r="A212" s="12" t="s">
        <v>559</v>
      </c>
      <c r="B212" s="13">
        <v>45374</v>
      </c>
      <c r="C212" s="12" t="s">
        <v>405</v>
      </c>
      <c r="D212" s="12" t="s">
        <v>132</v>
      </c>
      <c r="E212" s="12" t="s">
        <v>138</v>
      </c>
      <c r="F212" s="14">
        <v>2</v>
      </c>
      <c r="G212" s="14">
        <v>960</v>
      </c>
      <c r="H212" s="14">
        <v>2.2000000000000002</v>
      </c>
      <c r="I212" s="14">
        <v>1877.76</v>
      </c>
      <c r="J212" s="12" t="s">
        <v>104</v>
      </c>
      <c r="K212" s="12" t="s">
        <v>150</v>
      </c>
      <c r="L212" s="23" t="str">
        <f>VLOOKUP(D212,Products!$A:$F,3,FALSE)</f>
        <v>Sports</v>
      </c>
      <c r="M212" s="23" t="str">
        <f>VLOOKUP(E212,Sales_Reps!$A:$E,3,FALSE)</f>
        <v>East</v>
      </c>
      <c r="N212" s="23" t="str">
        <f t="shared" si="9"/>
        <v>Mar-24</v>
      </c>
      <c r="O212" s="23" t="str">
        <f t="shared" si="10"/>
        <v>Q1 2024</v>
      </c>
      <c r="P212" s="23">
        <f>VLOOKUP(D212,Products!$A:$F,4,FALSE)</f>
        <v>705</v>
      </c>
      <c r="Q212" s="35">
        <f t="shared" si="11"/>
        <v>0.265625</v>
      </c>
    </row>
    <row r="213" spans="1:17">
      <c r="A213" s="12" t="s">
        <v>560</v>
      </c>
      <c r="B213" s="13">
        <v>45335</v>
      </c>
      <c r="C213" s="12" t="s">
        <v>561</v>
      </c>
      <c r="D213" s="12" t="s">
        <v>201</v>
      </c>
      <c r="E213" s="12" t="s">
        <v>320</v>
      </c>
      <c r="F213" s="14">
        <v>8</v>
      </c>
      <c r="G213" s="14">
        <v>4880</v>
      </c>
      <c r="H213" s="14">
        <v>11.9</v>
      </c>
      <c r="I213" s="14">
        <v>34394.239999999998</v>
      </c>
      <c r="J213" s="12" t="s">
        <v>104</v>
      </c>
      <c r="K213" s="12" t="s">
        <v>150</v>
      </c>
      <c r="L213" s="23" t="str">
        <f>VLOOKUP(D213,Products!$A:$F,3,FALSE)</f>
        <v>Beauty</v>
      </c>
      <c r="M213" s="23" t="str">
        <f>VLOOKUP(E213,Sales_Reps!$A:$E,3,FALSE)</f>
        <v>East</v>
      </c>
      <c r="N213" s="23" t="str">
        <f t="shared" si="9"/>
        <v>Feb-24</v>
      </c>
      <c r="O213" s="23" t="str">
        <f t="shared" si="10"/>
        <v>Q1 2024</v>
      </c>
      <c r="P213" s="23">
        <f>VLOOKUP(D213,Products!$A:$F,4,FALSE)</f>
        <v>2768</v>
      </c>
      <c r="Q213" s="35">
        <f t="shared" si="11"/>
        <v>0.43278688524590164</v>
      </c>
    </row>
    <row r="214" spans="1:17">
      <c r="A214" s="12" t="s">
        <v>562</v>
      </c>
      <c r="B214" s="13">
        <v>45656</v>
      </c>
      <c r="C214" s="12" t="s">
        <v>563</v>
      </c>
      <c r="D214" s="12" t="s">
        <v>102</v>
      </c>
      <c r="E214" s="12" t="s">
        <v>187</v>
      </c>
      <c r="F214" s="14">
        <v>2</v>
      </c>
      <c r="G214" s="14">
        <v>3620</v>
      </c>
      <c r="H214" s="14">
        <v>1.1000000000000001</v>
      </c>
      <c r="I214" s="14">
        <v>7160.36</v>
      </c>
      <c r="J214" s="12" t="s">
        <v>110</v>
      </c>
      <c r="K214" s="12" t="s">
        <v>116</v>
      </c>
      <c r="L214" s="23" t="str">
        <f>VLOOKUP(D214,Products!$A:$F,3,FALSE)</f>
        <v>Apparel</v>
      </c>
      <c r="M214" s="23" t="str">
        <f>VLOOKUP(E214,Sales_Reps!$A:$E,3,FALSE)</f>
        <v>West</v>
      </c>
      <c r="N214" s="23" t="str">
        <f t="shared" si="9"/>
        <v>Dec-24</v>
      </c>
      <c r="O214" s="23" t="str">
        <f t="shared" si="10"/>
        <v>Q4 2024</v>
      </c>
      <c r="P214" s="23">
        <f>VLOOKUP(D214,Products!$A:$F,4,FALSE)</f>
        <v>2509</v>
      </c>
      <c r="Q214" s="35">
        <f t="shared" si="11"/>
        <v>0.3069060773480663</v>
      </c>
    </row>
    <row r="215" spans="1:17">
      <c r="A215" s="12" t="s">
        <v>564</v>
      </c>
      <c r="B215" s="13">
        <v>45573</v>
      </c>
      <c r="C215" s="12" t="s">
        <v>308</v>
      </c>
      <c r="D215" s="12" t="s">
        <v>425</v>
      </c>
      <c r="E215" s="12" t="s">
        <v>124</v>
      </c>
      <c r="F215" s="14">
        <v>8</v>
      </c>
      <c r="G215" s="14">
        <v>3970</v>
      </c>
      <c r="H215" s="14">
        <v>18.100000000000001</v>
      </c>
      <c r="I215" s="14">
        <v>26011.439999999999</v>
      </c>
      <c r="J215" s="12" t="s">
        <v>104</v>
      </c>
      <c r="K215" s="12" t="s">
        <v>116</v>
      </c>
      <c r="L215" s="23" t="str">
        <f>VLOOKUP(D215,Products!$A:$F,3,FALSE)</f>
        <v>Electronics</v>
      </c>
      <c r="M215" s="23" t="str">
        <f>VLOOKUP(E215,Sales_Reps!$A:$E,3,FALSE)</f>
        <v>North</v>
      </c>
      <c r="N215" s="23" t="str">
        <f t="shared" si="9"/>
        <v>Oct-24</v>
      </c>
      <c r="O215" s="23" t="str">
        <f t="shared" si="10"/>
        <v>Q4 2024</v>
      </c>
      <c r="P215" s="23">
        <f>VLOOKUP(D215,Products!$A:$F,4,FALSE)</f>
        <v>2865</v>
      </c>
      <c r="Q215" s="35">
        <f t="shared" si="11"/>
        <v>0.27833753148614609</v>
      </c>
    </row>
    <row r="216" spans="1:17">
      <c r="A216" s="12" t="s">
        <v>565</v>
      </c>
      <c r="B216" s="13">
        <v>45534</v>
      </c>
      <c r="C216" s="12" t="s">
        <v>183</v>
      </c>
      <c r="D216" s="12" t="s">
        <v>262</v>
      </c>
      <c r="E216" s="12" t="s">
        <v>218</v>
      </c>
      <c r="F216" s="14">
        <v>8</v>
      </c>
      <c r="G216" s="14">
        <v>2270</v>
      </c>
      <c r="H216" s="14">
        <v>19.600000000000001</v>
      </c>
      <c r="I216" s="14">
        <v>14600.64</v>
      </c>
      <c r="J216" s="12" t="s">
        <v>104</v>
      </c>
      <c r="K216" s="12" t="s">
        <v>150</v>
      </c>
      <c r="L216" s="23" t="str">
        <f>VLOOKUP(D216,Products!$A:$F,3,FALSE)</f>
        <v>Grocery</v>
      </c>
      <c r="M216" s="23" t="str">
        <f>VLOOKUP(E216,Sales_Reps!$A:$E,3,FALSE)</f>
        <v>West</v>
      </c>
      <c r="N216" s="23" t="str">
        <f t="shared" si="9"/>
        <v>Aug-24</v>
      </c>
      <c r="O216" s="23" t="str">
        <f t="shared" si="10"/>
        <v>Q3 2024</v>
      </c>
      <c r="P216" s="23">
        <f>VLOOKUP(D216,Products!$A:$F,4,FALSE)</f>
        <v>1412</v>
      </c>
      <c r="Q216" s="35">
        <f t="shared" si="11"/>
        <v>0.37797356828193834</v>
      </c>
    </row>
    <row r="217" spans="1:17">
      <c r="A217" s="12" t="s">
        <v>566</v>
      </c>
      <c r="B217" s="13">
        <v>45639</v>
      </c>
      <c r="C217" s="12" t="s">
        <v>283</v>
      </c>
      <c r="D217" s="12" t="s">
        <v>251</v>
      </c>
      <c r="E217" s="12" t="s">
        <v>269</v>
      </c>
      <c r="F217" s="14">
        <v>1</v>
      </c>
      <c r="G217" s="14">
        <v>3780</v>
      </c>
      <c r="H217" s="14">
        <v>22.6</v>
      </c>
      <c r="I217" s="14">
        <v>2925.72</v>
      </c>
      <c r="J217" s="12" t="s">
        <v>104</v>
      </c>
      <c r="K217" s="12" t="s">
        <v>116</v>
      </c>
      <c r="L217" s="23" t="str">
        <f>VLOOKUP(D217,Products!$A:$F,3,FALSE)</f>
        <v>Grocery</v>
      </c>
      <c r="M217" s="23" t="str">
        <f>VLOOKUP(E217,Sales_Reps!$A:$E,3,FALSE)</f>
        <v>South</v>
      </c>
      <c r="N217" s="23" t="str">
        <f t="shared" si="9"/>
        <v>Dec-24</v>
      </c>
      <c r="O217" s="23" t="str">
        <f t="shared" si="10"/>
        <v>Q4 2024</v>
      </c>
      <c r="P217" s="23">
        <f>VLOOKUP(D217,Products!$A:$F,4,FALSE)</f>
        <v>2436</v>
      </c>
      <c r="Q217" s="35">
        <f t="shared" si="11"/>
        <v>0.35555555555555557</v>
      </c>
    </row>
    <row r="218" spans="1:17">
      <c r="A218" s="12" t="s">
        <v>567</v>
      </c>
      <c r="B218" s="13">
        <v>45653</v>
      </c>
      <c r="C218" s="12" t="s">
        <v>568</v>
      </c>
      <c r="D218" s="12" t="s">
        <v>281</v>
      </c>
      <c r="E218" s="12" t="s">
        <v>302</v>
      </c>
      <c r="F218" s="14">
        <v>9</v>
      </c>
      <c r="G218" s="14">
        <v>4070</v>
      </c>
      <c r="H218" s="14">
        <v>28.2</v>
      </c>
      <c r="I218" s="14">
        <v>26300.34</v>
      </c>
      <c r="J218" s="12" t="s">
        <v>104</v>
      </c>
      <c r="K218" s="12" t="s">
        <v>129</v>
      </c>
      <c r="L218" s="23" t="str">
        <f>VLOOKUP(D218,Products!$A:$F,3,FALSE)</f>
        <v>Grocery</v>
      </c>
      <c r="M218" s="23" t="str">
        <f>VLOOKUP(E218,Sales_Reps!$A:$E,3,FALSE)</f>
        <v>East</v>
      </c>
      <c r="N218" s="23" t="str">
        <f t="shared" si="9"/>
        <v>Dec-24</v>
      </c>
      <c r="O218" s="23" t="str">
        <f t="shared" si="10"/>
        <v>Q4 2024</v>
      </c>
      <c r="P218" s="23">
        <f>VLOOKUP(D218,Products!$A:$F,4,FALSE)</f>
        <v>2027</v>
      </c>
      <c r="Q218" s="35">
        <f t="shared" si="11"/>
        <v>0.50196560196560192</v>
      </c>
    </row>
    <row r="219" spans="1:17">
      <c r="A219" s="12" t="s">
        <v>569</v>
      </c>
      <c r="B219" s="13">
        <v>45424</v>
      </c>
      <c r="C219" s="12" t="s">
        <v>570</v>
      </c>
      <c r="D219" s="12" t="s">
        <v>296</v>
      </c>
      <c r="E219" s="12" t="s">
        <v>120</v>
      </c>
      <c r="F219" s="14">
        <v>9</v>
      </c>
      <c r="G219" s="14">
        <v>2660</v>
      </c>
      <c r="H219" s="14">
        <v>13.1</v>
      </c>
      <c r="I219" s="14">
        <v>20803.86</v>
      </c>
      <c r="J219" s="12" t="s">
        <v>110</v>
      </c>
      <c r="K219" s="12" t="s">
        <v>129</v>
      </c>
      <c r="L219" s="23" t="str">
        <f>VLOOKUP(D219,Products!$A:$F,3,FALSE)</f>
        <v>Electronics</v>
      </c>
      <c r="M219" s="23" t="str">
        <f>VLOOKUP(E219,Sales_Reps!$A:$E,3,FALSE)</f>
        <v>North</v>
      </c>
      <c r="N219" s="23" t="str">
        <f t="shared" si="9"/>
        <v>May-24</v>
      </c>
      <c r="O219" s="23" t="str">
        <f t="shared" si="10"/>
        <v>Q2 2024</v>
      </c>
      <c r="P219" s="23">
        <f>VLOOKUP(D219,Products!$A:$F,4,FALSE)</f>
        <v>1259</v>
      </c>
      <c r="Q219" s="35">
        <f t="shared" si="11"/>
        <v>0.52669172932330832</v>
      </c>
    </row>
    <row r="220" spans="1:17">
      <c r="A220" s="12" t="s">
        <v>571</v>
      </c>
      <c r="B220" s="13">
        <v>45400</v>
      </c>
      <c r="C220" s="12" t="s">
        <v>572</v>
      </c>
      <c r="D220" s="12" t="s">
        <v>204</v>
      </c>
      <c r="E220" s="12" t="s">
        <v>156</v>
      </c>
      <c r="F220" s="14">
        <v>4</v>
      </c>
      <c r="G220" s="14">
        <v>3570</v>
      </c>
      <c r="H220" s="14">
        <v>1.5</v>
      </c>
      <c r="I220" s="14">
        <v>14065.8</v>
      </c>
      <c r="J220" s="12" t="s">
        <v>157</v>
      </c>
      <c r="K220" s="12" t="s">
        <v>129</v>
      </c>
      <c r="L220" s="23" t="str">
        <f>VLOOKUP(D220,Products!$A:$F,3,FALSE)</f>
        <v>Electronics</v>
      </c>
      <c r="M220" s="23" t="str">
        <f>VLOOKUP(E220,Sales_Reps!$A:$E,3,FALSE)</f>
        <v>North</v>
      </c>
      <c r="N220" s="23" t="str">
        <f t="shared" si="9"/>
        <v>Apr-24</v>
      </c>
      <c r="O220" s="23" t="str">
        <f t="shared" si="10"/>
        <v>Q2 2024</v>
      </c>
      <c r="P220" s="23">
        <f>VLOOKUP(D220,Products!$A:$F,4,FALSE)</f>
        <v>1665</v>
      </c>
      <c r="Q220" s="35">
        <f t="shared" si="11"/>
        <v>0.53361344537815125</v>
      </c>
    </row>
    <row r="221" spans="1:17">
      <c r="A221" s="12" t="s">
        <v>573</v>
      </c>
      <c r="B221" s="13">
        <v>45531</v>
      </c>
      <c r="C221" s="12" t="s">
        <v>574</v>
      </c>
      <c r="D221" s="12" t="s">
        <v>397</v>
      </c>
      <c r="E221" s="12" t="s">
        <v>232</v>
      </c>
      <c r="F221" s="14">
        <v>2</v>
      </c>
      <c r="G221" s="14">
        <v>960</v>
      </c>
      <c r="H221" s="14">
        <v>18.600000000000001</v>
      </c>
      <c r="I221" s="14">
        <v>1562.88</v>
      </c>
      <c r="J221" s="12" t="s">
        <v>104</v>
      </c>
      <c r="K221" s="12" t="s">
        <v>129</v>
      </c>
      <c r="L221" s="23" t="str">
        <f>VLOOKUP(D221,Products!$A:$F,3,FALSE)</f>
        <v>Beauty</v>
      </c>
      <c r="M221" s="23" t="str">
        <f>VLOOKUP(E221,Sales_Reps!$A:$E,3,FALSE)</f>
        <v>North</v>
      </c>
      <c r="N221" s="23" t="str">
        <f t="shared" si="9"/>
        <v>Aug-24</v>
      </c>
      <c r="O221" s="23" t="str">
        <f t="shared" si="10"/>
        <v>Q3 2024</v>
      </c>
      <c r="P221" s="23">
        <f>VLOOKUP(D221,Products!$A:$F,4,FALSE)</f>
        <v>675</v>
      </c>
      <c r="Q221" s="35">
        <f t="shared" si="11"/>
        <v>0.296875</v>
      </c>
    </row>
    <row r="222" spans="1:17">
      <c r="A222" s="12" t="s">
        <v>575</v>
      </c>
      <c r="B222" s="13">
        <v>45546</v>
      </c>
      <c r="C222" s="12" t="s">
        <v>576</v>
      </c>
      <c r="D222" s="12" t="s">
        <v>174</v>
      </c>
      <c r="E222" s="12" t="s">
        <v>320</v>
      </c>
      <c r="F222" s="14">
        <v>2</v>
      </c>
      <c r="G222" s="14">
        <v>3450</v>
      </c>
      <c r="H222" s="14">
        <v>3.7</v>
      </c>
      <c r="I222" s="14">
        <v>6644.7</v>
      </c>
      <c r="J222" s="12" t="s">
        <v>104</v>
      </c>
      <c r="K222" s="12" t="s">
        <v>105</v>
      </c>
      <c r="L222" s="23" t="str">
        <f>VLOOKUP(D222,Products!$A:$F,3,FALSE)</f>
        <v>Beauty</v>
      </c>
      <c r="M222" s="23" t="str">
        <f>VLOOKUP(E222,Sales_Reps!$A:$E,3,FALSE)</f>
        <v>East</v>
      </c>
      <c r="N222" s="23" t="str">
        <f t="shared" si="9"/>
        <v>Sep-24</v>
      </c>
      <c r="O222" s="23" t="str">
        <f t="shared" si="10"/>
        <v>Q3 2024</v>
      </c>
      <c r="P222" s="23">
        <f>VLOOKUP(D222,Products!$A:$F,4,FALSE)</f>
        <v>2420</v>
      </c>
      <c r="Q222" s="35">
        <f t="shared" si="11"/>
        <v>0.29855072463768118</v>
      </c>
    </row>
    <row r="223" spans="1:17">
      <c r="A223" s="12" t="s">
        <v>577</v>
      </c>
      <c r="B223" s="13">
        <v>45608</v>
      </c>
      <c r="C223" s="12" t="s">
        <v>578</v>
      </c>
      <c r="D223" s="12" t="s">
        <v>208</v>
      </c>
      <c r="E223" s="12" t="s">
        <v>103</v>
      </c>
      <c r="F223" s="14">
        <v>6</v>
      </c>
      <c r="G223" s="14">
        <v>5100</v>
      </c>
      <c r="H223" s="14">
        <v>1.2</v>
      </c>
      <c r="I223" s="14">
        <v>30232.799999999999</v>
      </c>
      <c r="J223" s="12" t="s">
        <v>104</v>
      </c>
      <c r="K223" s="12" t="s">
        <v>150</v>
      </c>
      <c r="L223" s="23" t="str">
        <f>VLOOKUP(D223,Products!$A:$F,3,FALSE)</f>
        <v>Beauty</v>
      </c>
      <c r="M223" s="23" t="str">
        <f>VLOOKUP(E223,Sales_Reps!$A:$E,3,FALSE)</f>
        <v>North</v>
      </c>
      <c r="N223" s="23" t="str">
        <f t="shared" si="9"/>
        <v>Nov-24</v>
      </c>
      <c r="O223" s="23" t="str">
        <f t="shared" si="10"/>
        <v>Q4 2024</v>
      </c>
      <c r="P223" s="23">
        <f>VLOOKUP(D223,Products!$A:$F,4,FALSE)</f>
        <v>2237</v>
      </c>
      <c r="Q223" s="35">
        <f t="shared" si="11"/>
        <v>0.56137254901960787</v>
      </c>
    </row>
    <row r="224" spans="1:17">
      <c r="A224" s="12" t="s">
        <v>579</v>
      </c>
      <c r="B224" s="13">
        <v>45614</v>
      </c>
      <c r="C224" s="12" t="s">
        <v>580</v>
      </c>
      <c r="D224" s="12" t="s">
        <v>299</v>
      </c>
      <c r="E224" s="12" t="s">
        <v>109</v>
      </c>
      <c r="F224" s="14">
        <v>9</v>
      </c>
      <c r="G224" s="14">
        <v>300</v>
      </c>
      <c r="H224" s="14">
        <v>25.4</v>
      </c>
      <c r="I224" s="14">
        <v>2014.2</v>
      </c>
      <c r="J224" s="12" t="s">
        <v>157</v>
      </c>
      <c r="K224" s="12" t="s">
        <v>105</v>
      </c>
      <c r="L224" s="23" t="str">
        <f>VLOOKUP(D224,Products!$A:$F,3,FALSE)</f>
        <v>Electronics</v>
      </c>
      <c r="M224" s="23" t="str">
        <f>VLOOKUP(E224,Sales_Reps!$A:$E,3,FALSE)</f>
        <v>North</v>
      </c>
      <c r="N224" s="23" t="str">
        <f t="shared" si="9"/>
        <v>Nov-24</v>
      </c>
      <c r="O224" s="23" t="str">
        <f t="shared" si="10"/>
        <v>Q4 2024</v>
      </c>
      <c r="P224" s="23">
        <f>VLOOKUP(D224,Products!$A:$F,4,FALSE)</f>
        <v>128</v>
      </c>
      <c r="Q224" s="35">
        <f t="shared" si="11"/>
        <v>0.57333333333333336</v>
      </c>
    </row>
    <row r="225" spans="1:17">
      <c r="A225" s="12" t="s">
        <v>581</v>
      </c>
      <c r="B225" s="13">
        <v>45405</v>
      </c>
      <c r="C225" s="12" t="s">
        <v>582</v>
      </c>
      <c r="D225" s="12" t="s">
        <v>201</v>
      </c>
      <c r="E225" s="12" t="s">
        <v>209</v>
      </c>
      <c r="F225" s="14">
        <v>7</v>
      </c>
      <c r="G225" s="14">
        <v>4880</v>
      </c>
      <c r="H225" s="14">
        <v>16.899999999999999</v>
      </c>
      <c r="I225" s="14">
        <v>28386.959999999999</v>
      </c>
      <c r="J225" s="12" t="s">
        <v>110</v>
      </c>
      <c r="K225" s="12" t="s">
        <v>129</v>
      </c>
      <c r="L225" s="23" t="str">
        <f>VLOOKUP(D225,Products!$A:$F,3,FALSE)</f>
        <v>Beauty</v>
      </c>
      <c r="M225" s="23" t="str">
        <f>VLOOKUP(E225,Sales_Reps!$A:$E,3,FALSE)</f>
        <v>East</v>
      </c>
      <c r="N225" s="23" t="str">
        <f t="shared" si="9"/>
        <v>Apr-24</v>
      </c>
      <c r="O225" s="23" t="str">
        <f t="shared" si="10"/>
        <v>Q2 2024</v>
      </c>
      <c r="P225" s="23">
        <f>VLOOKUP(D225,Products!$A:$F,4,FALSE)</f>
        <v>2768</v>
      </c>
      <c r="Q225" s="35">
        <f t="shared" si="11"/>
        <v>0.43278688524590164</v>
      </c>
    </row>
    <row r="226" spans="1:17">
      <c r="A226" s="12" t="s">
        <v>583</v>
      </c>
      <c r="B226" s="13">
        <v>45504</v>
      </c>
      <c r="C226" s="12" t="s">
        <v>584</v>
      </c>
      <c r="D226" s="12" t="s">
        <v>160</v>
      </c>
      <c r="E226" s="12" t="s">
        <v>171</v>
      </c>
      <c r="F226" s="14">
        <v>9</v>
      </c>
      <c r="G226" s="14">
        <v>3250</v>
      </c>
      <c r="H226" s="14">
        <v>10.8</v>
      </c>
      <c r="I226" s="14">
        <v>26091</v>
      </c>
      <c r="J226" s="12" t="s">
        <v>157</v>
      </c>
      <c r="K226" s="12" t="s">
        <v>134</v>
      </c>
      <c r="L226" s="23" t="str">
        <f>VLOOKUP(D226,Products!$A:$F,3,FALSE)</f>
        <v>Home</v>
      </c>
      <c r="M226" s="23" t="str">
        <f>VLOOKUP(E226,Sales_Reps!$A:$E,3,FALSE)</f>
        <v>East</v>
      </c>
      <c r="N226" s="23" t="str">
        <f t="shared" si="9"/>
        <v>Jul-24</v>
      </c>
      <c r="O226" s="23" t="str">
        <f t="shared" si="10"/>
        <v>Q3 2024</v>
      </c>
      <c r="P226" s="23">
        <f>VLOOKUP(D226,Products!$A:$F,4,FALSE)</f>
        <v>1556</v>
      </c>
      <c r="Q226" s="35">
        <f t="shared" si="11"/>
        <v>0.52123076923076928</v>
      </c>
    </row>
    <row r="227" spans="1:17">
      <c r="A227" s="12" t="s">
        <v>585</v>
      </c>
      <c r="B227" s="13">
        <v>45298</v>
      </c>
      <c r="C227" s="12" t="s">
        <v>459</v>
      </c>
      <c r="D227" s="12" t="s">
        <v>174</v>
      </c>
      <c r="E227" s="12" t="s">
        <v>120</v>
      </c>
      <c r="F227" s="14">
        <v>3</v>
      </c>
      <c r="G227" s="14">
        <v>3450</v>
      </c>
      <c r="H227" s="14">
        <v>5.4</v>
      </c>
      <c r="I227" s="14">
        <v>9791.1</v>
      </c>
      <c r="J227" s="12" t="s">
        <v>110</v>
      </c>
      <c r="K227" s="12" t="s">
        <v>105</v>
      </c>
      <c r="L227" s="23" t="str">
        <f>VLOOKUP(D227,Products!$A:$F,3,FALSE)</f>
        <v>Beauty</v>
      </c>
      <c r="M227" s="23" t="str">
        <f>VLOOKUP(E227,Sales_Reps!$A:$E,3,FALSE)</f>
        <v>North</v>
      </c>
      <c r="N227" s="23" t="str">
        <f t="shared" si="9"/>
        <v>Jan-24</v>
      </c>
      <c r="O227" s="23" t="str">
        <f t="shared" si="10"/>
        <v>Q1 2024</v>
      </c>
      <c r="P227" s="23">
        <f>VLOOKUP(D227,Products!$A:$F,4,FALSE)</f>
        <v>2420</v>
      </c>
      <c r="Q227" s="35">
        <f t="shared" si="11"/>
        <v>0.29855072463768118</v>
      </c>
    </row>
    <row r="228" spans="1:17">
      <c r="A228" s="12" t="s">
        <v>586</v>
      </c>
      <c r="B228" s="13">
        <v>45346</v>
      </c>
      <c r="C228" s="12" t="s">
        <v>587</v>
      </c>
      <c r="D228" s="12" t="s">
        <v>258</v>
      </c>
      <c r="E228" s="12" t="s">
        <v>175</v>
      </c>
      <c r="F228" s="14">
        <v>5</v>
      </c>
      <c r="G228" s="14">
        <v>6080</v>
      </c>
      <c r="H228" s="14">
        <v>18</v>
      </c>
      <c r="I228" s="14">
        <v>24928</v>
      </c>
      <c r="J228" s="12" t="s">
        <v>104</v>
      </c>
      <c r="K228" s="12" t="s">
        <v>116</v>
      </c>
      <c r="L228" s="23" t="str">
        <f>VLOOKUP(D228,Products!$A:$F,3,FALSE)</f>
        <v>Beauty</v>
      </c>
      <c r="M228" s="23" t="str">
        <f>VLOOKUP(E228,Sales_Reps!$A:$E,3,FALSE)</f>
        <v>East</v>
      </c>
      <c r="N228" s="23" t="str">
        <f t="shared" si="9"/>
        <v>Feb-24</v>
      </c>
      <c r="O228" s="23" t="str">
        <f t="shared" si="10"/>
        <v>Q1 2024</v>
      </c>
      <c r="P228" s="23">
        <f>VLOOKUP(D228,Products!$A:$F,4,FALSE)</f>
        <v>2617</v>
      </c>
      <c r="Q228" s="35">
        <f t="shared" si="11"/>
        <v>0.56957236842105263</v>
      </c>
    </row>
    <row r="229" spans="1:17">
      <c r="A229" s="12" t="s">
        <v>588</v>
      </c>
      <c r="B229" s="13">
        <v>45487</v>
      </c>
      <c r="C229" s="12" t="s">
        <v>457</v>
      </c>
      <c r="D229" s="12" t="s">
        <v>258</v>
      </c>
      <c r="E229" s="12" t="s">
        <v>302</v>
      </c>
      <c r="F229" s="14">
        <v>7</v>
      </c>
      <c r="G229" s="14">
        <v>6080</v>
      </c>
      <c r="H229" s="14">
        <v>9.1999999999999993</v>
      </c>
      <c r="I229" s="14">
        <v>38644.480000000003</v>
      </c>
      <c r="J229" s="12" t="s">
        <v>104</v>
      </c>
      <c r="K229" s="12" t="s">
        <v>105</v>
      </c>
      <c r="L229" s="23" t="str">
        <f>VLOOKUP(D229,Products!$A:$F,3,FALSE)</f>
        <v>Beauty</v>
      </c>
      <c r="M229" s="23" t="str">
        <f>VLOOKUP(E229,Sales_Reps!$A:$E,3,FALSE)</f>
        <v>East</v>
      </c>
      <c r="N229" s="23" t="str">
        <f t="shared" si="9"/>
        <v>Jul-24</v>
      </c>
      <c r="O229" s="23" t="str">
        <f t="shared" si="10"/>
        <v>Q3 2024</v>
      </c>
      <c r="P229" s="23">
        <f>VLOOKUP(D229,Products!$A:$F,4,FALSE)</f>
        <v>2617</v>
      </c>
      <c r="Q229" s="35">
        <f t="shared" si="11"/>
        <v>0.56957236842105263</v>
      </c>
    </row>
    <row r="230" spans="1:17">
      <c r="A230" s="12" t="s">
        <v>589</v>
      </c>
      <c r="B230" s="13">
        <v>45585</v>
      </c>
      <c r="C230" s="12" t="s">
        <v>556</v>
      </c>
      <c r="D230" s="12" t="s">
        <v>148</v>
      </c>
      <c r="E230" s="12" t="s">
        <v>115</v>
      </c>
      <c r="F230" s="14">
        <v>5</v>
      </c>
      <c r="G230" s="14">
        <v>2270</v>
      </c>
      <c r="H230" s="14">
        <v>0.4</v>
      </c>
      <c r="I230" s="14">
        <v>11304.6</v>
      </c>
      <c r="J230" s="12" t="s">
        <v>157</v>
      </c>
      <c r="K230" s="12" t="s">
        <v>150</v>
      </c>
      <c r="L230" s="23" t="str">
        <f>VLOOKUP(D230,Products!$A:$F,3,FALSE)</f>
        <v>Grocery</v>
      </c>
      <c r="M230" s="23" t="str">
        <f>VLOOKUP(E230,Sales_Reps!$A:$E,3,FALSE)</f>
        <v>South</v>
      </c>
      <c r="N230" s="23" t="str">
        <f t="shared" si="9"/>
        <v>Oct-24</v>
      </c>
      <c r="O230" s="23" t="str">
        <f t="shared" si="10"/>
        <v>Q4 2024</v>
      </c>
      <c r="P230" s="23">
        <f>VLOOKUP(D230,Products!$A:$F,4,FALSE)</f>
        <v>1203</v>
      </c>
      <c r="Q230" s="35">
        <f t="shared" si="11"/>
        <v>0.47004405286343615</v>
      </c>
    </row>
    <row r="231" spans="1:17">
      <c r="A231" s="12" t="s">
        <v>590</v>
      </c>
      <c r="B231" s="13">
        <v>45373</v>
      </c>
      <c r="C231" s="12" t="s">
        <v>388</v>
      </c>
      <c r="D231" s="12" t="s">
        <v>201</v>
      </c>
      <c r="E231" s="12" t="s">
        <v>363</v>
      </c>
      <c r="F231" s="14">
        <v>10</v>
      </c>
      <c r="G231" s="14">
        <v>4880</v>
      </c>
      <c r="H231" s="14">
        <v>24.5</v>
      </c>
      <c r="I231" s="14">
        <v>36844</v>
      </c>
      <c r="J231" s="12" t="s">
        <v>161</v>
      </c>
      <c r="K231" s="12" t="s">
        <v>129</v>
      </c>
      <c r="L231" s="23" t="str">
        <f>VLOOKUP(D231,Products!$A:$F,3,FALSE)</f>
        <v>Beauty</v>
      </c>
      <c r="M231" s="23" t="str">
        <f>VLOOKUP(E231,Sales_Reps!$A:$E,3,FALSE)</f>
        <v>South</v>
      </c>
      <c r="N231" s="23" t="str">
        <f t="shared" si="9"/>
        <v>Mar-24</v>
      </c>
      <c r="O231" s="23" t="str">
        <f t="shared" si="10"/>
        <v>Q1 2024</v>
      </c>
      <c r="P231" s="23">
        <f>VLOOKUP(D231,Products!$A:$F,4,FALSE)</f>
        <v>2768</v>
      </c>
      <c r="Q231" s="35">
        <f t="shared" si="11"/>
        <v>0.43278688524590164</v>
      </c>
    </row>
    <row r="232" spans="1:17">
      <c r="A232" s="12" t="s">
        <v>591</v>
      </c>
      <c r="B232" s="13">
        <v>45293</v>
      </c>
      <c r="C232" s="12" t="s">
        <v>195</v>
      </c>
      <c r="D232" s="12" t="s">
        <v>384</v>
      </c>
      <c r="E232" s="12" t="s">
        <v>314</v>
      </c>
      <c r="F232" s="14">
        <v>2</v>
      </c>
      <c r="G232" s="14">
        <v>2380</v>
      </c>
      <c r="H232" s="14">
        <v>2.2999999999999998</v>
      </c>
      <c r="I232" s="14">
        <v>4650.5200000000004</v>
      </c>
      <c r="J232" s="12" t="s">
        <v>104</v>
      </c>
      <c r="K232" s="12" t="s">
        <v>111</v>
      </c>
      <c r="L232" s="23" t="str">
        <f>VLOOKUP(D232,Products!$A:$F,3,FALSE)</f>
        <v>Grocery</v>
      </c>
      <c r="M232" s="23" t="str">
        <f>VLOOKUP(E232,Sales_Reps!$A:$E,3,FALSE)</f>
        <v>North</v>
      </c>
      <c r="N232" s="23" t="str">
        <f t="shared" si="9"/>
        <v>Jan-24</v>
      </c>
      <c r="O232" s="23" t="str">
        <f t="shared" si="10"/>
        <v>Q1 2024</v>
      </c>
      <c r="P232" s="23">
        <f>VLOOKUP(D232,Products!$A:$F,4,FALSE)</f>
        <v>1182</v>
      </c>
      <c r="Q232" s="35">
        <f t="shared" si="11"/>
        <v>0.50336134453781511</v>
      </c>
    </row>
    <row r="233" spans="1:17">
      <c r="A233" s="12" t="s">
        <v>592</v>
      </c>
      <c r="B233" s="13">
        <v>45498</v>
      </c>
      <c r="C233" s="12" t="s">
        <v>306</v>
      </c>
      <c r="D233" s="12" t="s">
        <v>199</v>
      </c>
      <c r="E233" s="12" t="s">
        <v>128</v>
      </c>
      <c r="F233" s="14">
        <v>1</v>
      </c>
      <c r="G233" s="14">
        <v>1010</v>
      </c>
      <c r="H233" s="14">
        <v>29.9</v>
      </c>
      <c r="I233" s="14">
        <v>708.01</v>
      </c>
      <c r="J233" s="12" t="s">
        <v>104</v>
      </c>
      <c r="K233" s="12" t="s">
        <v>111</v>
      </c>
      <c r="L233" s="23" t="str">
        <f>VLOOKUP(D233,Products!$A:$F,3,FALSE)</f>
        <v>Sports</v>
      </c>
      <c r="M233" s="23" t="str">
        <f>VLOOKUP(E233,Sales_Reps!$A:$E,3,FALSE)</f>
        <v>West</v>
      </c>
      <c r="N233" s="23" t="str">
        <f t="shared" si="9"/>
        <v>Jul-24</v>
      </c>
      <c r="O233" s="23" t="str">
        <f t="shared" si="10"/>
        <v>Q3 2024</v>
      </c>
      <c r="P233" s="23">
        <f>VLOOKUP(D233,Products!$A:$F,4,FALSE)</f>
        <v>516</v>
      </c>
      <c r="Q233" s="35">
        <f t="shared" si="11"/>
        <v>0.4891089108910891</v>
      </c>
    </row>
    <row r="234" spans="1:17">
      <c r="A234" s="12" t="s">
        <v>593</v>
      </c>
      <c r="B234" s="13">
        <v>45643</v>
      </c>
      <c r="C234" s="12" t="s">
        <v>329</v>
      </c>
      <c r="D234" s="12" t="s">
        <v>532</v>
      </c>
      <c r="E234" s="12" t="s">
        <v>246</v>
      </c>
      <c r="F234" s="14">
        <v>7</v>
      </c>
      <c r="G234" s="14">
        <v>6940</v>
      </c>
      <c r="H234" s="14">
        <v>25.8</v>
      </c>
      <c r="I234" s="14">
        <v>36046.36</v>
      </c>
      <c r="J234" s="12" t="s">
        <v>104</v>
      </c>
      <c r="K234" s="12" t="s">
        <v>150</v>
      </c>
      <c r="L234" s="23" t="str">
        <f>VLOOKUP(D234,Products!$A:$F,3,FALSE)</f>
        <v>Sports</v>
      </c>
      <c r="M234" s="23" t="str">
        <f>VLOOKUP(E234,Sales_Reps!$A:$E,3,FALSE)</f>
        <v>West</v>
      </c>
      <c r="N234" s="23" t="str">
        <f t="shared" si="9"/>
        <v>Dec-24</v>
      </c>
      <c r="O234" s="23" t="str">
        <f t="shared" si="10"/>
        <v>Q4 2024</v>
      </c>
      <c r="P234" s="23">
        <f>VLOOKUP(D234,Products!$A:$F,4,FALSE)</f>
        <v>2827</v>
      </c>
      <c r="Q234" s="35">
        <f t="shared" si="11"/>
        <v>0.5926512968299712</v>
      </c>
    </row>
    <row r="235" spans="1:17">
      <c r="A235" s="12" t="s">
        <v>594</v>
      </c>
      <c r="B235" s="13">
        <v>45542</v>
      </c>
      <c r="C235" s="12" t="s">
        <v>570</v>
      </c>
      <c r="D235" s="12" t="s">
        <v>403</v>
      </c>
      <c r="E235" s="12" t="s">
        <v>133</v>
      </c>
      <c r="F235" s="14">
        <v>6</v>
      </c>
      <c r="G235" s="14">
        <v>2290</v>
      </c>
      <c r="H235" s="14">
        <v>25.9</v>
      </c>
      <c r="I235" s="14">
        <v>10181.34</v>
      </c>
      <c r="J235" s="12" t="s">
        <v>110</v>
      </c>
      <c r="K235" s="12" t="s">
        <v>129</v>
      </c>
      <c r="L235" s="23" t="str">
        <f>VLOOKUP(D235,Products!$A:$F,3,FALSE)</f>
        <v>Beauty</v>
      </c>
      <c r="M235" s="23" t="str">
        <f>VLOOKUP(E235,Sales_Reps!$A:$E,3,FALSE)</f>
        <v>West</v>
      </c>
      <c r="N235" s="23" t="str">
        <f t="shared" si="9"/>
        <v>Sep-24</v>
      </c>
      <c r="O235" s="23" t="str">
        <f t="shared" si="10"/>
        <v>Q3 2024</v>
      </c>
      <c r="P235" s="23">
        <f>VLOOKUP(D235,Products!$A:$F,4,FALSE)</f>
        <v>1219</v>
      </c>
      <c r="Q235" s="35">
        <f t="shared" si="11"/>
        <v>0.46768558951965067</v>
      </c>
    </row>
    <row r="236" spans="1:17">
      <c r="A236" s="12" t="s">
        <v>595</v>
      </c>
      <c r="B236" s="13">
        <v>45508</v>
      </c>
      <c r="C236" s="12" t="s">
        <v>154</v>
      </c>
      <c r="D236" s="12" t="s">
        <v>127</v>
      </c>
      <c r="E236" s="12" t="s">
        <v>115</v>
      </c>
      <c r="F236" s="14">
        <v>2</v>
      </c>
      <c r="G236" s="14">
        <v>370</v>
      </c>
      <c r="H236" s="14">
        <v>3.9</v>
      </c>
      <c r="I236" s="14">
        <v>711.14</v>
      </c>
      <c r="J236" s="12" t="s">
        <v>104</v>
      </c>
      <c r="K236" s="12" t="s">
        <v>116</v>
      </c>
      <c r="L236" s="23" t="str">
        <f>VLOOKUP(D236,Products!$A:$F,3,FALSE)</f>
        <v>Home</v>
      </c>
      <c r="M236" s="23" t="str">
        <f>VLOOKUP(E236,Sales_Reps!$A:$E,3,FALSE)</f>
        <v>South</v>
      </c>
      <c r="N236" s="23" t="str">
        <f t="shared" si="9"/>
        <v>Aug-24</v>
      </c>
      <c r="O236" s="23" t="str">
        <f t="shared" si="10"/>
        <v>Q3 2024</v>
      </c>
      <c r="P236" s="23">
        <f>VLOOKUP(D236,Products!$A:$F,4,FALSE)</f>
        <v>288</v>
      </c>
      <c r="Q236" s="35">
        <f t="shared" si="11"/>
        <v>0.22162162162162163</v>
      </c>
    </row>
    <row r="237" spans="1:17">
      <c r="A237" s="12" t="s">
        <v>596</v>
      </c>
      <c r="B237" s="13">
        <v>45353</v>
      </c>
      <c r="C237" s="12" t="s">
        <v>597</v>
      </c>
      <c r="D237" s="12" t="s">
        <v>262</v>
      </c>
      <c r="E237" s="12" t="s">
        <v>209</v>
      </c>
      <c r="F237" s="14">
        <v>1</v>
      </c>
      <c r="G237" s="14">
        <v>2270</v>
      </c>
      <c r="H237" s="14">
        <v>25.3</v>
      </c>
      <c r="I237" s="14">
        <v>1695.69</v>
      </c>
      <c r="J237" s="12" t="s">
        <v>104</v>
      </c>
      <c r="K237" s="12" t="s">
        <v>105</v>
      </c>
      <c r="L237" s="23" t="str">
        <f>VLOOKUP(D237,Products!$A:$F,3,FALSE)</f>
        <v>Grocery</v>
      </c>
      <c r="M237" s="23" t="str">
        <f>VLOOKUP(E237,Sales_Reps!$A:$E,3,FALSE)</f>
        <v>East</v>
      </c>
      <c r="N237" s="23" t="str">
        <f t="shared" si="9"/>
        <v>Mar-24</v>
      </c>
      <c r="O237" s="23" t="str">
        <f t="shared" si="10"/>
        <v>Q1 2024</v>
      </c>
      <c r="P237" s="23">
        <f>VLOOKUP(D237,Products!$A:$F,4,FALSE)</f>
        <v>1412</v>
      </c>
      <c r="Q237" s="35">
        <f t="shared" si="11"/>
        <v>0.37797356828193834</v>
      </c>
    </row>
    <row r="238" spans="1:17">
      <c r="A238" s="12" t="s">
        <v>598</v>
      </c>
      <c r="B238" s="13">
        <v>45344</v>
      </c>
      <c r="C238" s="12" t="s">
        <v>599</v>
      </c>
      <c r="D238" s="12" t="s">
        <v>258</v>
      </c>
      <c r="E238" s="12" t="s">
        <v>314</v>
      </c>
      <c r="F238" s="14">
        <v>4</v>
      </c>
      <c r="G238" s="14">
        <v>6080</v>
      </c>
      <c r="H238" s="14">
        <v>28.8</v>
      </c>
      <c r="I238" s="14">
        <v>17315.84</v>
      </c>
      <c r="J238" s="12" t="s">
        <v>110</v>
      </c>
      <c r="K238" s="12" t="s">
        <v>111</v>
      </c>
      <c r="L238" s="23" t="str">
        <f>VLOOKUP(D238,Products!$A:$F,3,FALSE)</f>
        <v>Beauty</v>
      </c>
      <c r="M238" s="23" t="str">
        <f>VLOOKUP(E238,Sales_Reps!$A:$E,3,FALSE)</f>
        <v>North</v>
      </c>
      <c r="N238" s="23" t="str">
        <f t="shared" si="9"/>
        <v>Feb-24</v>
      </c>
      <c r="O238" s="23" t="str">
        <f t="shared" si="10"/>
        <v>Q1 2024</v>
      </c>
      <c r="P238" s="23">
        <f>VLOOKUP(D238,Products!$A:$F,4,FALSE)</f>
        <v>2617</v>
      </c>
      <c r="Q238" s="35">
        <f t="shared" si="11"/>
        <v>0.56957236842105263</v>
      </c>
    </row>
    <row r="239" spans="1:17">
      <c r="A239" s="12" t="s">
        <v>600</v>
      </c>
      <c r="B239" s="13">
        <v>45389</v>
      </c>
      <c r="C239" s="12" t="s">
        <v>264</v>
      </c>
      <c r="D239" s="12" t="s">
        <v>381</v>
      </c>
      <c r="E239" s="12" t="s">
        <v>320</v>
      </c>
      <c r="F239" s="14">
        <v>2</v>
      </c>
      <c r="G239" s="14">
        <v>5330</v>
      </c>
      <c r="H239" s="14">
        <v>23.8</v>
      </c>
      <c r="I239" s="14">
        <v>8122.92</v>
      </c>
      <c r="J239" s="12" t="s">
        <v>110</v>
      </c>
      <c r="K239" s="12" t="s">
        <v>134</v>
      </c>
      <c r="L239" s="23" t="str">
        <f>VLOOKUP(D239,Products!$A:$F,3,FALSE)</f>
        <v>Electronics</v>
      </c>
      <c r="M239" s="23" t="str">
        <f>VLOOKUP(E239,Sales_Reps!$A:$E,3,FALSE)</f>
        <v>East</v>
      </c>
      <c r="N239" s="23" t="str">
        <f t="shared" si="9"/>
        <v>Apr-24</v>
      </c>
      <c r="O239" s="23" t="str">
        <f t="shared" si="10"/>
        <v>Q2 2024</v>
      </c>
      <c r="P239" s="23">
        <f>VLOOKUP(D239,Products!$A:$F,4,FALSE)</f>
        <v>2405</v>
      </c>
      <c r="Q239" s="35">
        <f t="shared" si="11"/>
        <v>0.54878048780487809</v>
      </c>
    </row>
    <row r="240" spans="1:17">
      <c r="A240" s="12" t="s">
        <v>601</v>
      </c>
      <c r="B240" s="13">
        <v>45344</v>
      </c>
      <c r="C240" s="12" t="s">
        <v>602</v>
      </c>
      <c r="D240" s="12" t="s">
        <v>281</v>
      </c>
      <c r="E240" s="12" t="s">
        <v>133</v>
      </c>
      <c r="F240" s="14">
        <v>2</v>
      </c>
      <c r="G240" s="14">
        <v>4070</v>
      </c>
      <c r="H240" s="14">
        <v>4.3</v>
      </c>
      <c r="I240" s="14">
        <v>7789.98</v>
      </c>
      <c r="J240" s="12" t="s">
        <v>104</v>
      </c>
      <c r="K240" s="12" t="s">
        <v>111</v>
      </c>
      <c r="L240" s="23" t="str">
        <f>VLOOKUP(D240,Products!$A:$F,3,FALSE)</f>
        <v>Grocery</v>
      </c>
      <c r="M240" s="23" t="str">
        <f>VLOOKUP(E240,Sales_Reps!$A:$E,3,FALSE)</f>
        <v>West</v>
      </c>
      <c r="N240" s="23" t="str">
        <f t="shared" si="9"/>
        <v>Feb-24</v>
      </c>
      <c r="O240" s="23" t="str">
        <f t="shared" si="10"/>
        <v>Q1 2024</v>
      </c>
      <c r="P240" s="23">
        <f>VLOOKUP(D240,Products!$A:$F,4,FALSE)</f>
        <v>2027</v>
      </c>
      <c r="Q240" s="35">
        <f t="shared" si="11"/>
        <v>0.50196560196560192</v>
      </c>
    </row>
    <row r="241" spans="1:17">
      <c r="A241" s="12" t="s">
        <v>603</v>
      </c>
      <c r="B241" s="13">
        <v>45480</v>
      </c>
      <c r="C241" s="12" t="s">
        <v>477</v>
      </c>
      <c r="D241" s="12" t="s">
        <v>299</v>
      </c>
      <c r="E241" s="12" t="s">
        <v>156</v>
      </c>
      <c r="F241" s="14">
        <v>6</v>
      </c>
      <c r="G241" s="14">
        <v>300</v>
      </c>
      <c r="H241" s="14">
        <v>17.399999999999999</v>
      </c>
      <c r="I241" s="14">
        <v>1486.8</v>
      </c>
      <c r="J241" s="12" t="s">
        <v>157</v>
      </c>
      <c r="K241" s="12" t="s">
        <v>105</v>
      </c>
      <c r="L241" s="23" t="str">
        <f>VLOOKUP(D241,Products!$A:$F,3,FALSE)</f>
        <v>Electronics</v>
      </c>
      <c r="M241" s="23" t="str">
        <f>VLOOKUP(E241,Sales_Reps!$A:$E,3,FALSE)</f>
        <v>North</v>
      </c>
      <c r="N241" s="23" t="str">
        <f t="shared" si="9"/>
        <v>Jul-24</v>
      </c>
      <c r="O241" s="23" t="str">
        <f t="shared" si="10"/>
        <v>Q3 2024</v>
      </c>
      <c r="P241" s="23">
        <f>VLOOKUP(D241,Products!$A:$F,4,FALSE)</f>
        <v>128</v>
      </c>
      <c r="Q241" s="35">
        <f t="shared" si="11"/>
        <v>0.57333333333333336</v>
      </c>
    </row>
    <row r="242" spans="1:17">
      <c r="A242" s="12" t="s">
        <v>604</v>
      </c>
      <c r="B242" s="13">
        <v>45488</v>
      </c>
      <c r="C242" s="12" t="s">
        <v>143</v>
      </c>
      <c r="D242" s="12" t="s">
        <v>201</v>
      </c>
      <c r="E242" s="12" t="s">
        <v>115</v>
      </c>
      <c r="F242" s="14">
        <v>1</v>
      </c>
      <c r="G242" s="14">
        <v>4880</v>
      </c>
      <c r="H242" s="14">
        <v>17.5</v>
      </c>
      <c r="I242" s="14">
        <v>4026</v>
      </c>
      <c r="J242" s="12" t="s">
        <v>104</v>
      </c>
      <c r="K242" s="12" t="s">
        <v>105</v>
      </c>
      <c r="L242" s="23" t="str">
        <f>VLOOKUP(D242,Products!$A:$F,3,FALSE)</f>
        <v>Beauty</v>
      </c>
      <c r="M242" s="23" t="str">
        <f>VLOOKUP(E242,Sales_Reps!$A:$E,3,FALSE)</f>
        <v>South</v>
      </c>
      <c r="N242" s="23" t="str">
        <f t="shared" si="9"/>
        <v>Jul-24</v>
      </c>
      <c r="O242" s="23" t="str">
        <f t="shared" si="10"/>
        <v>Q3 2024</v>
      </c>
      <c r="P242" s="23">
        <f>VLOOKUP(D242,Products!$A:$F,4,FALSE)</f>
        <v>2768</v>
      </c>
      <c r="Q242" s="35">
        <f t="shared" si="11"/>
        <v>0.43278688524590164</v>
      </c>
    </row>
    <row r="243" spans="1:17">
      <c r="A243" s="12" t="s">
        <v>605</v>
      </c>
      <c r="B243" s="13">
        <v>45326</v>
      </c>
      <c r="C243" s="12" t="s">
        <v>606</v>
      </c>
      <c r="D243" s="12" t="s">
        <v>212</v>
      </c>
      <c r="E243" s="12" t="s">
        <v>360</v>
      </c>
      <c r="F243" s="14">
        <v>3</v>
      </c>
      <c r="G243" s="14">
        <v>2860</v>
      </c>
      <c r="H243" s="14">
        <v>20.100000000000001</v>
      </c>
      <c r="I243" s="14">
        <v>6855.42</v>
      </c>
      <c r="J243" s="12" t="s">
        <v>104</v>
      </c>
      <c r="K243" s="12" t="s">
        <v>111</v>
      </c>
      <c r="L243" s="23" t="str">
        <f>VLOOKUP(D243,Products!$A:$F,3,FALSE)</f>
        <v>Sports</v>
      </c>
      <c r="M243" s="23" t="str">
        <f>VLOOKUP(E243,Sales_Reps!$A:$E,3,FALSE)</f>
        <v>West</v>
      </c>
      <c r="N243" s="23" t="str">
        <f t="shared" si="9"/>
        <v>Feb-24</v>
      </c>
      <c r="O243" s="23" t="str">
        <f t="shared" si="10"/>
        <v>Q1 2024</v>
      </c>
      <c r="P243" s="23">
        <f>VLOOKUP(D243,Products!$A:$F,4,FALSE)</f>
        <v>2028</v>
      </c>
      <c r="Q243" s="35">
        <f t="shared" si="11"/>
        <v>0.29090909090909089</v>
      </c>
    </row>
    <row r="244" spans="1:17">
      <c r="A244" s="12" t="s">
        <v>607</v>
      </c>
      <c r="B244" s="13">
        <v>45627</v>
      </c>
      <c r="C244" s="12" t="s">
        <v>325</v>
      </c>
      <c r="D244" s="12" t="s">
        <v>276</v>
      </c>
      <c r="E244" s="12" t="s">
        <v>314</v>
      </c>
      <c r="F244" s="14">
        <v>3</v>
      </c>
      <c r="G244" s="14">
        <v>1540</v>
      </c>
      <c r="H244" s="14">
        <v>20.9</v>
      </c>
      <c r="I244" s="14">
        <v>3654.42</v>
      </c>
      <c r="J244" s="12" t="s">
        <v>104</v>
      </c>
      <c r="K244" s="12" t="s">
        <v>105</v>
      </c>
      <c r="L244" s="23" t="str">
        <f>VLOOKUP(D244,Products!$A:$F,3,FALSE)</f>
        <v>Beauty</v>
      </c>
      <c r="M244" s="23" t="str">
        <f>VLOOKUP(E244,Sales_Reps!$A:$E,3,FALSE)</f>
        <v>North</v>
      </c>
      <c r="N244" s="23" t="str">
        <f t="shared" si="9"/>
        <v>Dec-24</v>
      </c>
      <c r="O244" s="23" t="str">
        <f t="shared" si="10"/>
        <v>Q4 2024</v>
      </c>
      <c r="P244" s="23">
        <f>VLOOKUP(D244,Products!$A:$F,4,FALSE)</f>
        <v>647</v>
      </c>
      <c r="Q244" s="35">
        <f t="shared" si="11"/>
        <v>0.57987012987012987</v>
      </c>
    </row>
    <row r="245" spans="1:17">
      <c r="A245" s="12" t="s">
        <v>608</v>
      </c>
      <c r="B245" s="13">
        <v>45576</v>
      </c>
      <c r="C245" s="12" t="s">
        <v>609</v>
      </c>
      <c r="D245" s="12" t="s">
        <v>152</v>
      </c>
      <c r="E245" s="12" t="s">
        <v>149</v>
      </c>
      <c r="F245" s="14">
        <v>10</v>
      </c>
      <c r="G245" s="14">
        <v>2640</v>
      </c>
      <c r="H245" s="14">
        <v>11.2</v>
      </c>
      <c r="I245" s="14">
        <v>23443.200000000001</v>
      </c>
      <c r="J245" s="12" t="s">
        <v>110</v>
      </c>
      <c r="K245" s="12" t="s">
        <v>150</v>
      </c>
      <c r="L245" s="23" t="str">
        <f>VLOOKUP(D245,Products!$A:$F,3,FALSE)</f>
        <v>Electronics</v>
      </c>
      <c r="M245" s="23" t="str">
        <f>VLOOKUP(E245,Sales_Reps!$A:$E,3,FALSE)</f>
        <v>South</v>
      </c>
      <c r="N245" s="23" t="str">
        <f t="shared" si="9"/>
        <v>Oct-24</v>
      </c>
      <c r="O245" s="23" t="str">
        <f t="shared" si="10"/>
        <v>Q4 2024</v>
      </c>
      <c r="P245" s="23">
        <f>VLOOKUP(D245,Products!$A:$F,4,FALSE)</f>
        <v>1149</v>
      </c>
      <c r="Q245" s="35">
        <f t="shared" si="11"/>
        <v>0.56477272727272732</v>
      </c>
    </row>
    <row r="246" spans="1:17">
      <c r="A246" s="12" t="s">
        <v>610</v>
      </c>
      <c r="B246" s="13">
        <v>45317</v>
      </c>
      <c r="C246" s="12" t="s">
        <v>433</v>
      </c>
      <c r="D246" s="12" t="s">
        <v>123</v>
      </c>
      <c r="E246" s="12" t="s">
        <v>269</v>
      </c>
      <c r="F246" s="14">
        <v>1</v>
      </c>
      <c r="G246" s="14">
        <v>3160</v>
      </c>
      <c r="H246" s="14">
        <v>11.5</v>
      </c>
      <c r="I246" s="14">
        <v>2796.6</v>
      </c>
      <c r="J246" s="12" t="s">
        <v>104</v>
      </c>
      <c r="K246" s="12" t="s">
        <v>134</v>
      </c>
      <c r="L246" s="23" t="str">
        <f>VLOOKUP(D246,Products!$A:$F,3,FALSE)</f>
        <v>Apparel</v>
      </c>
      <c r="M246" s="23" t="str">
        <f>VLOOKUP(E246,Sales_Reps!$A:$E,3,FALSE)</f>
        <v>South</v>
      </c>
      <c r="N246" s="23" t="str">
        <f t="shared" si="9"/>
        <v>Jan-24</v>
      </c>
      <c r="O246" s="23" t="str">
        <f t="shared" si="10"/>
        <v>Q1 2024</v>
      </c>
      <c r="P246" s="23">
        <f>VLOOKUP(D246,Products!$A:$F,4,FALSE)</f>
        <v>1886</v>
      </c>
      <c r="Q246" s="35">
        <f t="shared" si="11"/>
        <v>0.4031645569620253</v>
      </c>
    </row>
    <row r="247" spans="1:17">
      <c r="A247" s="12" t="s">
        <v>611</v>
      </c>
      <c r="B247" s="13">
        <v>45650</v>
      </c>
      <c r="C247" s="12" t="s">
        <v>612</v>
      </c>
      <c r="D247" s="12" t="s">
        <v>181</v>
      </c>
      <c r="E247" s="12" t="s">
        <v>103</v>
      </c>
      <c r="F247" s="14">
        <v>4</v>
      </c>
      <c r="G247" s="14">
        <v>1080</v>
      </c>
      <c r="H247" s="14">
        <v>20.7</v>
      </c>
      <c r="I247" s="14">
        <v>3425.76</v>
      </c>
      <c r="J247" s="12" t="s">
        <v>110</v>
      </c>
      <c r="K247" s="12" t="s">
        <v>116</v>
      </c>
      <c r="L247" s="23" t="str">
        <f>VLOOKUP(D247,Products!$A:$F,3,FALSE)</f>
        <v>Home</v>
      </c>
      <c r="M247" s="23" t="str">
        <f>VLOOKUP(E247,Sales_Reps!$A:$E,3,FALSE)</f>
        <v>North</v>
      </c>
      <c r="N247" s="23" t="str">
        <f t="shared" si="9"/>
        <v>Dec-24</v>
      </c>
      <c r="O247" s="23" t="str">
        <f t="shared" si="10"/>
        <v>Q4 2024</v>
      </c>
      <c r="P247" s="23">
        <f>VLOOKUP(D247,Products!$A:$F,4,FALSE)</f>
        <v>519</v>
      </c>
      <c r="Q247" s="35">
        <f t="shared" si="11"/>
        <v>0.51944444444444449</v>
      </c>
    </row>
    <row r="248" spans="1:17">
      <c r="A248" s="12" t="s">
        <v>613</v>
      </c>
      <c r="B248" s="13">
        <v>45585</v>
      </c>
      <c r="C248" s="12" t="s">
        <v>614</v>
      </c>
      <c r="D248" s="12" t="s">
        <v>199</v>
      </c>
      <c r="E248" s="12" t="s">
        <v>269</v>
      </c>
      <c r="F248" s="14">
        <v>4</v>
      </c>
      <c r="G248" s="14">
        <v>1010</v>
      </c>
      <c r="H248" s="14">
        <v>29.5</v>
      </c>
      <c r="I248" s="14">
        <v>2848.2</v>
      </c>
      <c r="J248" s="12" t="s">
        <v>110</v>
      </c>
      <c r="K248" s="12" t="s">
        <v>129</v>
      </c>
      <c r="L248" s="23" t="str">
        <f>VLOOKUP(D248,Products!$A:$F,3,FALSE)</f>
        <v>Sports</v>
      </c>
      <c r="M248" s="23" t="str">
        <f>VLOOKUP(E248,Sales_Reps!$A:$E,3,FALSE)</f>
        <v>South</v>
      </c>
      <c r="N248" s="23" t="str">
        <f t="shared" si="9"/>
        <v>Oct-24</v>
      </c>
      <c r="O248" s="23" t="str">
        <f t="shared" si="10"/>
        <v>Q4 2024</v>
      </c>
      <c r="P248" s="23">
        <f>VLOOKUP(D248,Products!$A:$F,4,FALSE)</f>
        <v>516</v>
      </c>
      <c r="Q248" s="35">
        <f t="shared" si="11"/>
        <v>0.4891089108910891</v>
      </c>
    </row>
    <row r="249" spans="1:17">
      <c r="A249" s="12" t="s">
        <v>615</v>
      </c>
      <c r="B249" s="13">
        <v>45545</v>
      </c>
      <c r="C249" s="12" t="s">
        <v>616</v>
      </c>
      <c r="D249" s="12" t="s">
        <v>155</v>
      </c>
      <c r="E249" s="12" t="s">
        <v>360</v>
      </c>
      <c r="F249" s="14">
        <v>7</v>
      </c>
      <c r="G249" s="14">
        <v>2600</v>
      </c>
      <c r="H249" s="14">
        <v>6.6</v>
      </c>
      <c r="I249" s="14">
        <v>16998.8</v>
      </c>
      <c r="J249" s="12" t="s">
        <v>104</v>
      </c>
      <c r="K249" s="12" t="s">
        <v>134</v>
      </c>
      <c r="L249" s="23" t="str">
        <f>VLOOKUP(D249,Products!$A:$F,3,FALSE)</f>
        <v>Electronics</v>
      </c>
      <c r="M249" s="23" t="str">
        <f>VLOOKUP(E249,Sales_Reps!$A:$E,3,FALSE)</f>
        <v>West</v>
      </c>
      <c r="N249" s="23" t="str">
        <f t="shared" si="9"/>
        <v>Sep-24</v>
      </c>
      <c r="O249" s="23" t="str">
        <f t="shared" si="10"/>
        <v>Q3 2024</v>
      </c>
      <c r="P249" s="23">
        <f>VLOOKUP(D249,Products!$A:$F,4,FALSE)</f>
        <v>1052</v>
      </c>
      <c r="Q249" s="35">
        <f t="shared" si="11"/>
        <v>0.5953846153846154</v>
      </c>
    </row>
    <row r="250" spans="1:17">
      <c r="A250" s="12" t="s">
        <v>617</v>
      </c>
      <c r="B250" s="13">
        <v>45395</v>
      </c>
      <c r="C250" s="12" t="s">
        <v>275</v>
      </c>
      <c r="D250" s="12" t="s">
        <v>372</v>
      </c>
      <c r="E250" s="12" t="s">
        <v>221</v>
      </c>
      <c r="F250" s="14">
        <v>4</v>
      </c>
      <c r="G250" s="14">
        <v>2510</v>
      </c>
      <c r="H250" s="14">
        <v>1</v>
      </c>
      <c r="I250" s="14">
        <v>9939.6</v>
      </c>
      <c r="J250" s="12" t="s">
        <v>104</v>
      </c>
      <c r="K250" s="12" t="s">
        <v>116</v>
      </c>
      <c r="L250" s="23" t="str">
        <f>VLOOKUP(D250,Products!$A:$F,3,FALSE)</f>
        <v>Apparel</v>
      </c>
      <c r="M250" s="23" t="str">
        <f>VLOOKUP(E250,Sales_Reps!$A:$E,3,FALSE)</f>
        <v>South</v>
      </c>
      <c r="N250" s="23" t="str">
        <f t="shared" si="9"/>
        <v>Apr-24</v>
      </c>
      <c r="O250" s="23" t="str">
        <f t="shared" si="10"/>
        <v>Q2 2024</v>
      </c>
      <c r="P250" s="23">
        <f>VLOOKUP(D250,Products!$A:$F,4,FALSE)</f>
        <v>1075</v>
      </c>
      <c r="Q250" s="35">
        <f t="shared" si="11"/>
        <v>0.57171314741035861</v>
      </c>
    </row>
    <row r="251" spans="1:17">
      <c r="A251" s="12" t="s">
        <v>618</v>
      </c>
      <c r="B251" s="13">
        <v>45636</v>
      </c>
      <c r="C251" s="12" t="s">
        <v>619</v>
      </c>
      <c r="D251" s="12" t="s">
        <v>281</v>
      </c>
      <c r="E251" s="12" t="s">
        <v>302</v>
      </c>
      <c r="F251" s="14">
        <v>9</v>
      </c>
      <c r="G251" s="14">
        <v>4070</v>
      </c>
      <c r="H251" s="14">
        <v>6.7</v>
      </c>
      <c r="I251" s="14">
        <v>34175.79</v>
      </c>
      <c r="J251" s="12" t="s">
        <v>157</v>
      </c>
      <c r="K251" s="12" t="s">
        <v>111</v>
      </c>
      <c r="L251" s="23" t="str">
        <f>VLOOKUP(D251,Products!$A:$F,3,FALSE)</f>
        <v>Grocery</v>
      </c>
      <c r="M251" s="23" t="str">
        <f>VLOOKUP(E251,Sales_Reps!$A:$E,3,FALSE)</f>
        <v>East</v>
      </c>
      <c r="N251" s="23" t="str">
        <f t="shared" si="9"/>
        <v>Dec-24</v>
      </c>
      <c r="O251" s="23" t="str">
        <f t="shared" si="10"/>
        <v>Q4 2024</v>
      </c>
      <c r="P251" s="23">
        <f>VLOOKUP(D251,Products!$A:$F,4,FALSE)</f>
        <v>2027</v>
      </c>
      <c r="Q251" s="35">
        <f t="shared" si="11"/>
        <v>0.50196560196560192</v>
      </c>
    </row>
    <row r="252" spans="1:17">
      <c r="A252" s="12" t="s">
        <v>620</v>
      </c>
      <c r="B252" s="13">
        <v>45612</v>
      </c>
      <c r="C252" s="12" t="s">
        <v>621</v>
      </c>
      <c r="D252" s="12" t="s">
        <v>108</v>
      </c>
      <c r="E252" s="12" t="s">
        <v>149</v>
      </c>
      <c r="F252" s="14">
        <v>6</v>
      </c>
      <c r="G252" s="14">
        <v>820</v>
      </c>
      <c r="H252" s="14">
        <v>14</v>
      </c>
      <c r="I252" s="14">
        <v>4231.2</v>
      </c>
      <c r="J252" s="12" t="s">
        <v>104</v>
      </c>
      <c r="K252" s="12" t="s">
        <v>134</v>
      </c>
      <c r="L252" s="23" t="str">
        <f>VLOOKUP(D252,Products!$A:$F,3,FALSE)</f>
        <v>Apparel</v>
      </c>
      <c r="M252" s="23" t="str">
        <f>VLOOKUP(E252,Sales_Reps!$A:$E,3,FALSE)</f>
        <v>South</v>
      </c>
      <c r="N252" s="23" t="str">
        <f t="shared" si="9"/>
        <v>Nov-24</v>
      </c>
      <c r="O252" s="23" t="str">
        <f t="shared" si="10"/>
        <v>Q4 2024</v>
      </c>
      <c r="P252" s="23">
        <f>VLOOKUP(D252,Products!$A:$F,4,FALSE)</f>
        <v>391</v>
      </c>
      <c r="Q252" s="35">
        <f t="shared" si="11"/>
        <v>0.52317073170731709</v>
      </c>
    </row>
    <row r="253" spans="1:17">
      <c r="A253" s="12" t="s">
        <v>622</v>
      </c>
      <c r="B253" s="13">
        <v>45495</v>
      </c>
      <c r="C253" s="12" t="s">
        <v>623</v>
      </c>
      <c r="D253" s="12" t="s">
        <v>144</v>
      </c>
      <c r="E253" s="12" t="s">
        <v>109</v>
      </c>
      <c r="F253" s="14">
        <v>2</v>
      </c>
      <c r="G253" s="14">
        <v>970</v>
      </c>
      <c r="H253" s="14">
        <v>23.8</v>
      </c>
      <c r="I253" s="14">
        <v>1478.28</v>
      </c>
      <c r="J253" s="12" t="s">
        <v>104</v>
      </c>
      <c r="K253" s="12" t="s">
        <v>129</v>
      </c>
      <c r="L253" s="23" t="str">
        <f>VLOOKUP(D253,Products!$A:$F,3,FALSE)</f>
        <v>Grocery</v>
      </c>
      <c r="M253" s="23" t="str">
        <f>VLOOKUP(E253,Sales_Reps!$A:$E,3,FALSE)</f>
        <v>North</v>
      </c>
      <c r="N253" s="23" t="str">
        <f t="shared" si="9"/>
        <v>Jul-24</v>
      </c>
      <c r="O253" s="23" t="str">
        <f t="shared" si="10"/>
        <v>Q3 2024</v>
      </c>
      <c r="P253" s="23">
        <f>VLOOKUP(D253,Products!$A:$F,4,FALSE)</f>
        <v>434</v>
      </c>
      <c r="Q253" s="35">
        <f t="shared" si="11"/>
        <v>0.5525773195876289</v>
      </c>
    </row>
    <row r="254" spans="1:17">
      <c r="A254" s="12" t="s">
        <v>624</v>
      </c>
      <c r="B254" s="13">
        <v>45337</v>
      </c>
      <c r="C254" s="12" t="s">
        <v>625</v>
      </c>
      <c r="D254" s="12" t="s">
        <v>281</v>
      </c>
      <c r="E254" s="12" t="s">
        <v>342</v>
      </c>
      <c r="F254" s="14">
        <v>4</v>
      </c>
      <c r="G254" s="14">
        <v>4070</v>
      </c>
      <c r="H254" s="14">
        <v>19</v>
      </c>
      <c r="I254" s="14">
        <v>13186.8</v>
      </c>
      <c r="J254" s="12" t="s">
        <v>110</v>
      </c>
      <c r="K254" s="12" t="s">
        <v>105</v>
      </c>
      <c r="L254" s="23" t="str">
        <f>VLOOKUP(D254,Products!$A:$F,3,FALSE)</f>
        <v>Grocery</v>
      </c>
      <c r="M254" s="23" t="str">
        <f>VLOOKUP(E254,Sales_Reps!$A:$E,3,FALSE)</f>
        <v>South</v>
      </c>
      <c r="N254" s="23" t="str">
        <f t="shared" si="9"/>
        <v>Feb-24</v>
      </c>
      <c r="O254" s="23" t="str">
        <f t="shared" si="10"/>
        <v>Q1 2024</v>
      </c>
      <c r="P254" s="23">
        <f>VLOOKUP(D254,Products!$A:$F,4,FALSE)</f>
        <v>2027</v>
      </c>
      <c r="Q254" s="35">
        <f t="shared" si="11"/>
        <v>0.50196560196560192</v>
      </c>
    </row>
    <row r="255" spans="1:17">
      <c r="A255" s="12" t="s">
        <v>626</v>
      </c>
      <c r="B255" s="13">
        <v>45333</v>
      </c>
      <c r="C255" s="12" t="s">
        <v>627</v>
      </c>
      <c r="D255" s="12" t="s">
        <v>174</v>
      </c>
      <c r="E255" s="12" t="s">
        <v>255</v>
      </c>
      <c r="F255" s="14">
        <v>3</v>
      </c>
      <c r="G255" s="14">
        <v>3450</v>
      </c>
      <c r="H255" s="14">
        <v>4.4000000000000004</v>
      </c>
      <c r="I255" s="14">
        <v>9894.6</v>
      </c>
      <c r="J255" s="12" t="s">
        <v>157</v>
      </c>
      <c r="K255" s="12" t="s">
        <v>134</v>
      </c>
      <c r="L255" s="23" t="str">
        <f>VLOOKUP(D255,Products!$A:$F,3,FALSE)</f>
        <v>Beauty</v>
      </c>
      <c r="M255" s="23" t="str">
        <f>VLOOKUP(E255,Sales_Reps!$A:$E,3,FALSE)</f>
        <v>East</v>
      </c>
      <c r="N255" s="23" t="str">
        <f t="shared" si="9"/>
        <v>Feb-24</v>
      </c>
      <c r="O255" s="23" t="str">
        <f t="shared" si="10"/>
        <v>Q1 2024</v>
      </c>
      <c r="P255" s="23">
        <f>VLOOKUP(D255,Products!$A:$F,4,FALSE)</f>
        <v>2420</v>
      </c>
      <c r="Q255" s="35">
        <f t="shared" si="11"/>
        <v>0.29855072463768118</v>
      </c>
    </row>
    <row r="256" spans="1:17">
      <c r="A256" s="12" t="s">
        <v>628</v>
      </c>
      <c r="B256" s="13">
        <v>45511</v>
      </c>
      <c r="C256" s="12" t="s">
        <v>353</v>
      </c>
      <c r="D256" s="12" t="s">
        <v>251</v>
      </c>
      <c r="E256" s="12" t="s">
        <v>149</v>
      </c>
      <c r="F256" s="14">
        <v>5</v>
      </c>
      <c r="G256" s="14">
        <v>3780</v>
      </c>
      <c r="H256" s="14">
        <v>13.5</v>
      </c>
      <c r="I256" s="14">
        <v>16348.5</v>
      </c>
      <c r="J256" s="12" t="s">
        <v>104</v>
      </c>
      <c r="K256" s="12" t="s">
        <v>129</v>
      </c>
      <c r="L256" s="23" t="str">
        <f>VLOOKUP(D256,Products!$A:$F,3,FALSE)</f>
        <v>Grocery</v>
      </c>
      <c r="M256" s="23" t="str">
        <f>VLOOKUP(E256,Sales_Reps!$A:$E,3,FALSE)</f>
        <v>South</v>
      </c>
      <c r="N256" s="23" t="str">
        <f t="shared" si="9"/>
        <v>Aug-24</v>
      </c>
      <c r="O256" s="23" t="str">
        <f t="shared" si="10"/>
        <v>Q3 2024</v>
      </c>
      <c r="P256" s="23">
        <f>VLOOKUP(D256,Products!$A:$F,4,FALSE)</f>
        <v>2436</v>
      </c>
      <c r="Q256" s="35">
        <f t="shared" si="11"/>
        <v>0.35555555555555557</v>
      </c>
    </row>
    <row r="257" spans="1:17">
      <c r="A257" s="12" t="s">
        <v>629</v>
      </c>
      <c r="B257" s="13">
        <v>45595</v>
      </c>
      <c r="C257" s="12" t="s">
        <v>630</v>
      </c>
      <c r="D257" s="12" t="s">
        <v>132</v>
      </c>
      <c r="E257" s="12" t="s">
        <v>156</v>
      </c>
      <c r="F257" s="14">
        <v>1</v>
      </c>
      <c r="G257" s="14">
        <v>960</v>
      </c>
      <c r="H257" s="14">
        <v>29.2</v>
      </c>
      <c r="I257" s="14">
        <v>679.68</v>
      </c>
      <c r="J257" s="12" t="s">
        <v>104</v>
      </c>
      <c r="K257" s="12" t="s">
        <v>129</v>
      </c>
      <c r="L257" s="23" t="str">
        <f>VLOOKUP(D257,Products!$A:$F,3,FALSE)</f>
        <v>Sports</v>
      </c>
      <c r="M257" s="23" t="str">
        <f>VLOOKUP(E257,Sales_Reps!$A:$E,3,FALSE)</f>
        <v>North</v>
      </c>
      <c r="N257" s="23" t="str">
        <f t="shared" si="9"/>
        <v>Oct-24</v>
      </c>
      <c r="O257" s="23" t="str">
        <f t="shared" si="10"/>
        <v>Q4 2024</v>
      </c>
      <c r="P257" s="23">
        <f>VLOOKUP(D257,Products!$A:$F,4,FALSE)</f>
        <v>705</v>
      </c>
      <c r="Q257" s="35">
        <f t="shared" si="11"/>
        <v>0.265625</v>
      </c>
    </row>
    <row r="258" spans="1:17">
      <c r="A258" s="12" t="s">
        <v>631</v>
      </c>
      <c r="B258" s="13">
        <v>45321</v>
      </c>
      <c r="C258" s="12" t="s">
        <v>632</v>
      </c>
      <c r="D258" s="12" t="s">
        <v>204</v>
      </c>
      <c r="E258" s="12" t="s">
        <v>302</v>
      </c>
      <c r="F258" s="14">
        <v>10</v>
      </c>
      <c r="G258" s="14">
        <v>3570</v>
      </c>
      <c r="H258" s="14">
        <v>10.7</v>
      </c>
      <c r="I258" s="14">
        <v>31880.1</v>
      </c>
      <c r="J258" s="12" t="s">
        <v>104</v>
      </c>
      <c r="K258" s="12" t="s">
        <v>129</v>
      </c>
      <c r="L258" s="23" t="str">
        <f>VLOOKUP(D258,Products!$A:$F,3,FALSE)</f>
        <v>Electronics</v>
      </c>
      <c r="M258" s="23" t="str">
        <f>VLOOKUP(E258,Sales_Reps!$A:$E,3,FALSE)</f>
        <v>East</v>
      </c>
      <c r="N258" s="23" t="str">
        <f t="shared" si="9"/>
        <v>Jan-24</v>
      </c>
      <c r="O258" s="23" t="str">
        <f t="shared" si="10"/>
        <v>Q1 2024</v>
      </c>
      <c r="P258" s="23">
        <f>VLOOKUP(D258,Products!$A:$F,4,FALSE)</f>
        <v>1665</v>
      </c>
      <c r="Q258" s="35">
        <f t="shared" si="11"/>
        <v>0.53361344537815125</v>
      </c>
    </row>
    <row r="259" spans="1:17">
      <c r="A259" s="12" t="s">
        <v>633</v>
      </c>
      <c r="B259" s="13">
        <v>45511</v>
      </c>
      <c r="C259" s="12" t="s">
        <v>634</v>
      </c>
      <c r="D259" s="12" t="s">
        <v>204</v>
      </c>
      <c r="E259" s="12" t="s">
        <v>133</v>
      </c>
      <c r="F259" s="14">
        <v>7</v>
      </c>
      <c r="G259" s="14">
        <v>3570</v>
      </c>
      <c r="H259" s="14">
        <v>12.2</v>
      </c>
      <c r="I259" s="14">
        <v>21941.22</v>
      </c>
      <c r="J259" s="12" t="s">
        <v>104</v>
      </c>
      <c r="K259" s="12" t="s">
        <v>129</v>
      </c>
      <c r="L259" s="23" t="str">
        <f>VLOOKUP(D259,Products!$A:$F,3,FALSE)</f>
        <v>Electronics</v>
      </c>
      <c r="M259" s="23" t="str">
        <f>VLOOKUP(E259,Sales_Reps!$A:$E,3,FALSE)</f>
        <v>West</v>
      </c>
      <c r="N259" s="23" t="str">
        <f t="shared" ref="N259:N322" si="12">TEXT(B259, "mmm-yy")</f>
        <v>Aug-24</v>
      </c>
      <c r="O259" s="23" t="str">
        <f t="shared" ref="O259:O322" si="13">"Q" &amp; INT((MONTH(B259)-1)/3)+1 &amp; " " &amp; YEAR(B259)</f>
        <v>Q3 2024</v>
      </c>
      <c r="P259" s="23">
        <f>VLOOKUP(D259,Products!$A:$F,4,FALSE)</f>
        <v>1665</v>
      </c>
      <c r="Q259" s="35">
        <f t="shared" ref="Q259:Q322" si="14">(G259 - P259) / G259</f>
        <v>0.53361344537815125</v>
      </c>
    </row>
    <row r="260" spans="1:17">
      <c r="A260" s="12" t="s">
        <v>635</v>
      </c>
      <c r="B260" s="13">
        <v>45575</v>
      </c>
      <c r="C260" s="12" t="s">
        <v>527</v>
      </c>
      <c r="D260" s="12" t="s">
        <v>181</v>
      </c>
      <c r="E260" s="12" t="s">
        <v>115</v>
      </c>
      <c r="F260" s="14">
        <v>6</v>
      </c>
      <c r="G260" s="14">
        <v>1080</v>
      </c>
      <c r="H260" s="14">
        <v>19.8</v>
      </c>
      <c r="I260" s="14">
        <v>5196.96</v>
      </c>
      <c r="J260" s="12" t="s">
        <v>104</v>
      </c>
      <c r="K260" s="12" t="s">
        <v>134</v>
      </c>
      <c r="L260" s="23" t="str">
        <f>VLOOKUP(D260,Products!$A:$F,3,FALSE)</f>
        <v>Home</v>
      </c>
      <c r="M260" s="23" t="str">
        <f>VLOOKUP(E260,Sales_Reps!$A:$E,3,FALSE)</f>
        <v>South</v>
      </c>
      <c r="N260" s="23" t="str">
        <f t="shared" si="12"/>
        <v>Oct-24</v>
      </c>
      <c r="O260" s="23" t="str">
        <f t="shared" si="13"/>
        <v>Q4 2024</v>
      </c>
      <c r="P260" s="23">
        <f>VLOOKUP(D260,Products!$A:$F,4,FALSE)</f>
        <v>519</v>
      </c>
      <c r="Q260" s="35">
        <f t="shared" si="14"/>
        <v>0.51944444444444449</v>
      </c>
    </row>
    <row r="261" spans="1:17">
      <c r="A261" s="12" t="s">
        <v>636</v>
      </c>
      <c r="B261" s="13">
        <v>45649</v>
      </c>
      <c r="C261" s="12" t="s">
        <v>192</v>
      </c>
      <c r="D261" s="12" t="s">
        <v>469</v>
      </c>
      <c r="E261" s="12" t="s">
        <v>149</v>
      </c>
      <c r="F261" s="14">
        <v>8</v>
      </c>
      <c r="G261" s="14">
        <v>3450</v>
      </c>
      <c r="H261" s="14">
        <v>19</v>
      </c>
      <c r="I261" s="14">
        <v>22356</v>
      </c>
      <c r="J261" s="12" t="s">
        <v>104</v>
      </c>
      <c r="K261" s="12" t="s">
        <v>150</v>
      </c>
      <c r="L261" s="23" t="str">
        <f>VLOOKUP(D261,Products!$A:$F,3,FALSE)</f>
        <v>Apparel</v>
      </c>
      <c r="M261" s="23" t="str">
        <f>VLOOKUP(E261,Sales_Reps!$A:$E,3,FALSE)</f>
        <v>South</v>
      </c>
      <c r="N261" s="23" t="str">
        <f t="shared" si="12"/>
        <v>Dec-24</v>
      </c>
      <c r="O261" s="23" t="str">
        <f t="shared" si="13"/>
        <v>Q4 2024</v>
      </c>
      <c r="P261" s="23">
        <f>VLOOKUP(D261,Products!$A:$F,4,FALSE)</f>
        <v>1748</v>
      </c>
      <c r="Q261" s="35">
        <f t="shared" si="14"/>
        <v>0.49333333333333335</v>
      </c>
    </row>
    <row r="262" spans="1:17">
      <c r="A262" s="12" t="s">
        <v>637</v>
      </c>
      <c r="B262" s="13">
        <v>45371</v>
      </c>
      <c r="C262" s="12" t="s">
        <v>638</v>
      </c>
      <c r="D262" s="12" t="s">
        <v>296</v>
      </c>
      <c r="E262" s="12" t="s">
        <v>171</v>
      </c>
      <c r="F262" s="14">
        <v>4</v>
      </c>
      <c r="G262" s="14">
        <v>2660</v>
      </c>
      <c r="H262" s="14">
        <v>18.8</v>
      </c>
      <c r="I262" s="14">
        <v>8639.68</v>
      </c>
      <c r="J262" s="12" t="s">
        <v>110</v>
      </c>
      <c r="K262" s="12" t="s">
        <v>111</v>
      </c>
      <c r="L262" s="23" t="str">
        <f>VLOOKUP(D262,Products!$A:$F,3,FALSE)</f>
        <v>Electronics</v>
      </c>
      <c r="M262" s="23" t="str">
        <f>VLOOKUP(E262,Sales_Reps!$A:$E,3,FALSE)</f>
        <v>East</v>
      </c>
      <c r="N262" s="23" t="str">
        <f t="shared" si="12"/>
        <v>Mar-24</v>
      </c>
      <c r="O262" s="23" t="str">
        <f t="shared" si="13"/>
        <v>Q1 2024</v>
      </c>
      <c r="P262" s="23">
        <f>VLOOKUP(D262,Products!$A:$F,4,FALSE)</f>
        <v>1259</v>
      </c>
      <c r="Q262" s="35">
        <f t="shared" si="14"/>
        <v>0.52669172932330832</v>
      </c>
    </row>
    <row r="263" spans="1:17">
      <c r="A263" s="12" t="s">
        <v>639</v>
      </c>
      <c r="B263" s="13">
        <v>45522</v>
      </c>
      <c r="C263" s="12" t="s">
        <v>322</v>
      </c>
      <c r="D263" s="12" t="s">
        <v>168</v>
      </c>
      <c r="E263" s="12" t="s">
        <v>221</v>
      </c>
      <c r="F263" s="14">
        <v>4</v>
      </c>
      <c r="G263" s="14">
        <v>2400</v>
      </c>
      <c r="H263" s="14">
        <v>5.6</v>
      </c>
      <c r="I263" s="14">
        <v>9062.4</v>
      </c>
      <c r="J263" s="12" t="s">
        <v>104</v>
      </c>
      <c r="K263" s="12" t="s">
        <v>150</v>
      </c>
      <c r="L263" s="23" t="str">
        <f>VLOOKUP(D263,Products!$A:$F,3,FALSE)</f>
        <v>Sports</v>
      </c>
      <c r="M263" s="23" t="str">
        <f>VLOOKUP(E263,Sales_Reps!$A:$E,3,FALSE)</f>
        <v>South</v>
      </c>
      <c r="N263" s="23" t="str">
        <f t="shared" si="12"/>
        <v>Aug-24</v>
      </c>
      <c r="O263" s="23" t="str">
        <f t="shared" si="13"/>
        <v>Q3 2024</v>
      </c>
      <c r="P263" s="23">
        <f>VLOOKUP(D263,Products!$A:$F,4,FALSE)</f>
        <v>974</v>
      </c>
      <c r="Q263" s="35">
        <f t="shared" si="14"/>
        <v>0.59416666666666662</v>
      </c>
    </row>
    <row r="264" spans="1:17">
      <c r="A264" s="12" t="s">
        <v>640</v>
      </c>
      <c r="B264" s="13">
        <v>45513</v>
      </c>
      <c r="C264" s="12" t="s">
        <v>641</v>
      </c>
      <c r="D264" s="12" t="s">
        <v>155</v>
      </c>
      <c r="E264" s="12" t="s">
        <v>165</v>
      </c>
      <c r="F264" s="14">
        <v>10</v>
      </c>
      <c r="G264" s="14">
        <v>2600</v>
      </c>
      <c r="H264" s="14">
        <v>24.7</v>
      </c>
      <c r="I264" s="14">
        <v>19578</v>
      </c>
      <c r="J264" s="12" t="s">
        <v>104</v>
      </c>
      <c r="K264" s="12" t="s">
        <v>105</v>
      </c>
      <c r="L264" s="23" t="str">
        <f>VLOOKUP(D264,Products!$A:$F,3,FALSE)</f>
        <v>Electronics</v>
      </c>
      <c r="M264" s="23" t="str">
        <f>VLOOKUP(E264,Sales_Reps!$A:$E,3,FALSE)</f>
        <v>North</v>
      </c>
      <c r="N264" s="23" t="str">
        <f t="shared" si="12"/>
        <v>Aug-24</v>
      </c>
      <c r="O264" s="23" t="str">
        <f t="shared" si="13"/>
        <v>Q3 2024</v>
      </c>
      <c r="P264" s="23">
        <f>VLOOKUP(D264,Products!$A:$F,4,FALSE)</f>
        <v>1052</v>
      </c>
      <c r="Q264" s="35">
        <f t="shared" si="14"/>
        <v>0.5953846153846154</v>
      </c>
    </row>
    <row r="265" spans="1:17">
      <c r="A265" s="12" t="s">
        <v>642</v>
      </c>
      <c r="B265" s="13">
        <v>45513</v>
      </c>
      <c r="C265" s="12" t="s">
        <v>643</v>
      </c>
      <c r="D265" s="12" t="s">
        <v>368</v>
      </c>
      <c r="E265" s="12" t="s">
        <v>156</v>
      </c>
      <c r="F265" s="14">
        <v>3</v>
      </c>
      <c r="G265" s="14">
        <v>4060</v>
      </c>
      <c r="H265" s="14">
        <v>6.9</v>
      </c>
      <c r="I265" s="14">
        <v>11339.58</v>
      </c>
      <c r="J265" s="12" t="s">
        <v>104</v>
      </c>
      <c r="K265" s="12" t="s">
        <v>116</v>
      </c>
      <c r="L265" s="23" t="str">
        <f>VLOOKUP(D265,Products!$A:$F,3,FALSE)</f>
        <v>Grocery</v>
      </c>
      <c r="M265" s="23" t="str">
        <f>VLOOKUP(E265,Sales_Reps!$A:$E,3,FALSE)</f>
        <v>North</v>
      </c>
      <c r="N265" s="23" t="str">
        <f t="shared" si="12"/>
        <v>Aug-24</v>
      </c>
      <c r="O265" s="23" t="str">
        <f t="shared" si="13"/>
        <v>Q3 2024</v>
      </c>
      <c r="P265" s="23">
        <f>VLOOKUP(D265,Products!$A:$F,4,FALSE)</f>
        <v>2911</v>
      </c>
      <c r="Q265" s="35">
        <f t="shared" si="14"/>
        <v>0.28300492610837441</v>
      </c>
    </row>
    <row r="266" spans="1:17">
      <c r="A266" s="12" t="s">
        <v>644</v>
      </c>
      <c r="B266" s="13">
        <v>45465</v>
      </c>
      <c r="C266" s="12" t="s">
        <v>645</v>
      </c>
      <c r="D266" s="12" t="s">
        <v>141</v>
      </c>
      <c r="E266" s="12" t="s">
        <v>171</v>
      </c>
      <c r="F266" s="14">
        <v>6</v>
      </c>
      <c r="G266" s="14">
        <v>5490</v>
      </c>
      <c r="H266" s="14">
        <v>8.4</v>
      </c>
      <c r="I266" s="14">
        <v>30173.040000000001</v>
      </c>
      <c r="J266" s="12" t="s">
        <v>104</v>
      </c>
      <c r="K266" s="12" t="s">
        <v>150</v>
      </c>
      <c r="L266" s="23" t="str">
        <f>VLOOKUP(D266,Products!$A:$F,3,FALSE)</f>
        <v>Home</v>
      </c>
      <c r="M266" s="23" t="str">
        <f>VLOOKUP(E266,Sales_Reps!$A:$E,3,FALSE)</f>
        <v>East</v>
      </c>
      <c r="N266" s="23" t="str">
        <f t="shared" si="12"/>
        <v>Jun-24</v>
      </c>
      <c r="O266" s="23" t="str">
        <f t="shared" si="13"/>
        <v>Q2 2024</v>
      </c>
      <c r="P266" s="23">
        <f>VLOOKUP(D266,Products!$A:$F,4,FALSE)</f>
        <v>2549</v>
      </c>
      <c r="Q266" s="35">
        <f t="shared" si="14"/>
        <v>0.53570127504553733</v>
      </c>
    </row>
    <row r="267" spans="1:17">
      <c r="A267" s="12" t="s">
        <v>646</v>
      </c>
      <c r="B267" s="13">
        <v>45407</v>
      </c>
      <c r="C267" s="12" t="s">
        <v>502</v>
      </c>
      <c r="D267" s="12" t="s">
        <v>127</v>
      </c>
      <c r="E267" s="12" t="s">
        <v>320</v>
      </c>
      <c r="F267" s="14">
        <v>6</v>
      </c>
      <c r="G267" s="14">
        <v>370</v>
      </c>
      <c r="H267" s="14">
        <v>15.1</v>
      </c>
      <c r="I267" s="14">
        <v>1884.78</v>
      </c>
      <c r="J267" s="12" t="s">
        <v>104</v>
      </c>
      <c r="K267" s="12" t="s">
        <v>105</v>
      </c>
      <c r="L267" s="23" t="str">
        <f>VLOOKUP(D267,Products!$A:$F,3,FALSE)</f>
        <v>Home</v>
      </c>
      <c r="M267" s="23" t="str">
        <f>VLOOKUP(E267,Sales_Reps!$A:$E,3,FALSE)</f>
        <v>East</v>
      </c>
      <c r="N267" s="23" t="str">
        <f t="shared" si="12"/>
        <v>Apr-24</v>
      </c>
      <c r="O267" s="23" t="str">
        <f t="shared" si="13"/>
        <v>Q2 2024</v>
      </c>
      <c r="P267" s="23">
        <f>VLOOKUP(D267,Products!$A:$F,4,FALSE)</f>
        <v>288</v>
      </c>
      <c r="Q267" s="35">
        <f t="shared" si="14"/>
        <v>0.22162162162162163</v>
      </c>
    </row>
    <row r="268" spans="1:17">
      <c r="A268" s="12" t="s">
        <v>647</v>
      </c>
      <c r="B268" s="13">
        <v>45405</v>
      </c>
      <c r="C268" s="12" t="s">
        <v>374</v>
      </c>
      <c r="D268" s="12" t="s">
        <v>309</v>
      </c>
      <c r="E268" s="12" t="s">
        <v>171</v>
      </c>
      <c r="F268" s="14">
        <v>5</v>
      </c>
      <c r="G268" s="14">
        <v>620</v>
      </c>
      <c r="H268" s="14">
        <v>13.1</v>
      </c>
      <c r="I268" s="14">
        <v>2693.9</v>
      </c>
      <c r="J268" s="12" t="s">
        <v>157</v>
      </c>
      <c r="K268" s="12" t="s">
        <v>116</v>
      </c>
      <c r="L268" s="23" t="str">
        <f>VLOOKUP(D268,Products!$A:$F,3,FALSE)</f>
        <v>Apparel</v>
      </c>
      <c r="M268" s="23" t="str">
        <f>VLOOKUP(E268,Sales_Reps!$A:$E,3,FALSE)</f>
        <v>East</v>
      </c>
      <c r="N268" s="23" t="str">
        <f t="shared" si="12"/>
        <v>Apr-24</v>
      </c>
      <c r="O268" s="23" t="str">
        <f t="shared" si="13"/>
        <v>Q2 2024</v>
      </c>
      <c r="P268" s="23">
        <f>VLOOKUP(D268,Products!$A:$F,4,FALSE)</f>
        <v>396</v>
      </c>
      <c r="Q268" s="35">
        <f t="shared" si="14"/>
        <v>0.36129032258064514</v>
      </c>
    </row>
    <row r="269" spans="1:17">
      <c r="A269" s="12" t="s">
        <v>648</v>
      </c>
      <c r="B269" s="13">
        <v>45332</v>
      </c>
      <c r="C269" s="12" t="s">
        <v>359</v>
      </c>
      <c r="D269" s="12" t="s">
        <v>160</v>
      </c>
      <c r="E269" s="12" t="s">
        <v>246</v>
      </c>
      <c r="F269" s="14">
        <v>9</v>
      </c>
      <c r="G269" s="14">
        <v>3250</v>
      </c>
      <c r="H269" s="14">
        <v>16.5</v>
      </c>
      <c r="I269" s="14">
        <v>24423.75</v>
      </c>
      <c r="J269" s="12" t="s">
        <v>104</v>
      </c>
      <c r="K269" s="12" t="s">
        <v>111</v>
      </c>
      <c r="L269" s="23" t="str">
        <f>VLOOKUP(D269,Products!$A:$F,3,FALSE)</f>
        <v>Home</v>
      </c>
      <c r="M269" s="23" t="str">
        <f>VLOOKUP(E269,Sales_Reps!$A:$E,3,FALSE)</f>
        <v>West</v>
      </c>
      <c r="N269" s="23" t="str">
        <f t="shared" si="12"/>
        <v>Feb-24</v>
      </c>
      <c r="O269" s="23" t="str">
        <f t="shared" si="13"/>
        <v>Q1 2024</v>
      </c>
      <c r="P269" s="23">
        <f>VLOOKUP(D269,Products!$A:$F,4,FALSE)</f>
        <v>1556</v>
      </c>
      <c r="Q269" s="35">
        <f t="shared" si="14"/>
        <v>0.52123076923076928</v>
      </c>
    </row>
    <row r="270" spans="1:17">
      <c r="A270" s="12" t="s">
        <v>649</v>
      </c>
      <c r="B270" s="13">
        <v>45299</v>
      </c>
      <c r="C270" s="12" t="s">
        <v>245</v>
      </c>
      <c r="D270" s="12" t="s">
        <v>258</v>
      </c>
      <c r="E270" s="12" t="s">
        <v>290</v>
      </c>
      <c r="F270" s="14">
        <v>1</v>
      </c>
      <c r="G270" s="14">
        <v>6080</v>
      </c>
      <c r="H270" s="14">
        <v>0.1</v>
      </c>
      <c r="I270" s="14">
        <v>6073.92</v>
      </c>
      <c r="J270" s="12" t="s">
        <v>104</v>
      </c>
      <c r="K270" s="12" t="s">
        <v>129</v>
      </c>
      <c r="L270" s="23" t="str">
        <f>VLOOKUP(D270,Products!$A:$F,3,FALSE)</f>
        <v>Beauty</v>
      </c>
      <c r="M270" s="23" t="str">
        <f>VLOOKUP(E270,Sales_Reps!$A:$E,3,FALSE)</f>
        <v>South</v>
      </c>
      <c r="N270" s="23" t="str">
        <f t="shared" si="12"/>
        <v>Jan-24</v>
      </c>
      <c r="O270" s="23" t="str">
        <f t="shared" si="13"/>
        <v>Q1 2024</v>
      </c>
      <c r="P270" s="23">
        <f>VLOOKUP(D270,Products!$A:$F,4,FALSE)</f>
        <v>2617</v>
      </c>
      <c r="Q270" s="35">
        <f t="shared" si="14"/>
        <v>0.56957236842105263</v>
      </c>
    </row>
    <row r="271" spans="1:17">
      <c r="A271" s="12" t="s">
        <v>650</v>
      </c>
      <c r="B271" s="13">
        <v>45386</v>
      </c>
      <c r="C271" s="12" t="s">
        <v>606</v>
      </c>
      <c r="D271" s="12" t="s">
        <v>254</v>
      </c>
      <c r="E271" s="12" t="s">
        <v>115</v>
      </c>
      <c r="F271" s="14">
        <v>8</v>
      </c>
      <c r="G271" s="14">
        <v>3640</v>
      </c>
      <c r="H271" s="14">
        <v>13.5</v>
      </c>
      <c r="I271" s="14">
        <v>25188.799999999999</v>
      </c>
      <c r="J271" s="12" t="s">
        <v>104</v>
      </c>
      <c r="K271" s="12" t="s">
        <v>111</v>
      </c>
      <c r="L271" s="23" t="str">
        <f>VLOOKUP(D271,Products!$A:$F,3,FALSE)</f>
        <v>Apparel</v>
      </c>
      <c r="M271" s="23" t="str">
        <f>VLOOKUP(E271,Sales_Reps!$A:$E,3,FALSE)</f>
        <v>South</v>
      </c>
      <c r="N271" s="23" t="str">
        <f t="shared" si="12"/>
        <v>Apr-24</v>
      </c>
      <c r="O271" s="23" t="str">
        <f t="shared" si="13"/>
        <v>Q2 2024</v>
      </c>
      <c r="P271" s="23">
        <f>VLOOKUP(D271,Products!$A:$F,4,FALSE)</f>
        <v>2611</v>
      </c>
      <c r="Q271" s="35">
        <f t="shared" si="14"/>
        <v>0.28269230769230769</v>
      </c>
    </row>
    <row r="272" spans="1:17">
      <c r="A272" s="12" t="s">
        <v>651</v>
      </c>
      <c r="B272" s="13">
        <v>45472</v>
      </c>
      <c r="C272" s="12" t="s">
        <v>652</v>
      </c>
      <c r="D272" s="12" t="s">
        <v>123</v>
      </c>
      <c r="E272" s="12" t="s">
        <v>109</v>
      </c>
      <c r="F272" s="14">
        <v>9</v>
      </c>
      <c r="G272" s="14">
        <v>3160</v>
      </c>
      <c r="H272" s="14">
        <v>29.7</v>
      </c>
      <c r="I272" s="14">
        <v>19993.32</v>
      </c>
      <c r="J272" s="12" t="s">
        <v>104</v>
      </c>
      <c r="K272" s="12" t="s">
        <v>116</v>
      </c>
      <c r="L272" s="23" t="str">
        <f>VLOOKUP(D272,Products!$A:$F,3,FALSE)</f>
        <v>Apparel</v>
      </c>
      <c r="M272" s="23" t="str">
        <f>VLOOKUP(E272,Sales_Reps!$A:$E,3,FALSE)</f>
        <v>North</v>
      </c>
      <c r="N272" s="23" t="str">
        <f t="shared" si="12"/>
        <v>Jun-24</v>
      </c>
      <c r="O272" s="23" t="str">
        <f t="shared" si="13"/>
        <v>Q2 2024</v>
      </c>
      <c r="P272" s="23">
        <f>VLOOKUP(D272,Products!$A:$F,4,FALSE)</f>
        <v>1886</v>
      </c>
      <c r="Q272" s="35">
        <f t="shared" si="14"/>
        <v>0.4031645569620253</v>
      </c>
    </row>
    <row r="273" spans="1:17">
      <c r="A273" s="12" t="s">
        <v>653</v>
      </c>
      <c r="B273" s="13">
        <v>45428</v>
      </c>
      <c r="C273" s="12" t="s">
        <v>578</v>
      </c>
      <c r="D273" s="12" t="s">
        <v>265</v>
      </c>
      <c r="E273" s="12" t="s">
        <v>103</v>
      </c>
      <c r="F273" s="14">
        <v>2</v>
      </c>
      <c r="G273" s="14">
        <v>3870</v>
      </c>
      <c r="H273" s="14">
        <v>18.100000000000001</v>
      </c>
      <c r="I273" s="14">
        <v>6339.06</v>
      </c>
      <c r="J273" s="12" t="s">
        <v>157</v>
      </c>
      <c r="K273" s="12" t="s">
        <v>150</v>
      </c>
      <c r="L273" s="23" t="str">
        <f>VLOOKUP(D273,Products!$A:$F,3,FALSE)</f>
        <v>Electronics</v>
      </c>
      <c r="M273" s="23" t="str">
        <f>VLOOKUP(E273,Sales_Reps!$A:$E,3,FALSE)</f>
        <v>North</v>
      </c>
      <c r="N273" s="23" t="str">
        <f t="shared" si="12"/>
        <v>May-24</v>
      </c>
      <c r="O273" s="23" t="str">
        <f t="shared" si="13"/>
        <v>Q2 2024</v>
      </c>
      <c r="P273" s="23">
        <f>VLOOKUP(D273,Products!$A:$F,4,FALSE)</f>
        <v>1559</v>
      </c>
      <c r="Q273" s="35">
        <f t="shared" si="14"/>
        <v>0.59715762273901807</v>
      </c>
    </row>
    <row r="274" spans="1:17">
      <c r="A274" s="12" t="s">
        <v>654</v>
      </c>
      <c r="B274" s="13">
        <v>45430</v>
      </c>
      <c r="C274" s="12" t="s">
        <v>655</v>
      </c>
      <c r="D274" s="12" t="s">
        <v>220</v>
      </c>
      <c r="E274" s="12" t="s">
        <v>187</v>
      </c>
      <c r="F274" s="14">
        <v>3</v>
      </c>
      <c r="G274" s="14">
        <v>660</v>
      </c>
      <c r="H274" s="14">
        <v>9.1999999999999993</v>
      </c>
      <c r="I274" s="14">
        <v>1797.84</v>
      </c>
      <c r="J274" s="12" t="s">
        <v>104</v>
      </c>
      <c r="K274" s="12" t="s">
        <v>116</v>
      </c>
      <c r="L274" s="23" t="str">
        <f>VLOOKUP(D274,Products!$A:$F,3,FALSE)</f>
        <v>Home</v>
      </c>
      <c r="M274" s="23" t="str">
        <f>VLOOKUP(E274,Sales_Reps!$A:$E,3,FALSE)</f>
        <v>West</v>
      </c>
      <c r="N274" s="23" t="str">
        <f t="shared" si="12"/>
        <v>May-24</v>
      </c>
      <c r="O274" s="23" t="str">
        <f t="shared" si="13"/>
        <v>Q2 2024</v>
      </c>
      <c r="P274" s="23">
        <f>VLOOKUP(D274,Products!$A:$F,4,FALSE)</f>
        <v>329</v>
      </c>
      <c r="Q274" s="35">
        <f t="shared" si="14"/>
        <v>0.50151515151515147</v>
      </c>
    </row>
    <row r="275" spans="1:17">
      <c r="A275" s="12" t="s">
        <v>656</v>
      </c>
      <c r="B275" s="13">
        <v>45418</v>
      </c>
      <c r="C275" s="12" t="s">
        <v>422</v>
      </c>
      <c r="D275" s="12" t="s">
        <v>368</v>
      </c>
      <c r="E275" s="12" t="s">
        <v>269</v>
      </c>
      <c r="F275" s="14">
        <v>4</v>
      </c>
      <c r="G275" s="14">
        <v>4060</v>
      </c>
      <c r="H275" s="14">
        <v>28</v>
      </c>
      <c r="I275" s="14">
        <v>11692.8</v>
      </c>
      <c r="J275" s="12" t="s">
        <v>104</v>
      </c>
      <c r="K275" s="12" t="s">
        <v>111</v>
      </c>
      <c r="L275" s="23" t="str">
        <f>VLOOKUP(D275,Products!$A:$F,3,FALSE)</f>
        <v>Grocery</v>
      </c>
      <c r="M275" s="23" t="str">
        <f>VLOOKUP(E275,Sales_Reps!$A:$E,3,FALSE)</f>
        <v>South</v>
      </c>
      <c r="N275" s="23" t="str">
        <f t="shared" si="12"/>
        <v>May-24</v>
      </c>
      <c r="O275" s="23" t="str">
        <f t="shared" si="13"/>
        <v>Q2 2024</v>
      </c>
      <c r="P275" s="23">
        <f>VLOOKUP(D275,Products!$A:$F,4,FALSE)</f>
        <v>2911</v>
      </c>
      <c r="Q275" s="35">
        <f t="shared" si="14"/>
        <v>0.28300492610837441</v>
      </c>
    </row>
    <row r="276" spans="1:17">
      <c r="A276" s="12" t="s">
        <v>657</v>
      </c>
      <c r="B276" s="13">
        <v>45360</v>
      </c>
      <c r="C276" s="12" t="s">
        <v>374</v>
      </c>
      <c r="D276" s="12" t="s">
        <v>460</v>
      </c>
      <c r="E276" s="12" t="s">
        <v>363</v>
      </c>
      <c r="F276" s="14">
        <v>2</v>
      </c>
      <c r="G276" s="14">
        <v>5080</v>
      </c>
      <c r="H276" s="14">
        <v>7.7</v>
      </c>
      <c r="I276" s="14">
        <v>9377.68</v>
      </c>
      <c r="J276" s="12" t="s">
        <v>161</v>
      </c>
      <c r="K276" s="12" t="s">
        <v>116</v>
      </c>
      <c r="L276" s="23" t="str">
        <f>VLOOKUP(D276,Products!$A:$F,3,FALSE)</f>
        <v>Home</v>
      </c>
      <c r="M276" s="23" t="str">
        <f>VLOOKUP(E276,Sales_Reps!$A:$E,3,FALSE)</f>
        <v>South</v>
      </c>
      <c r="N276" s="23" t="str">
        <f t="shared" si="12"/>
        <v>Mar-24</v>
      </c>
      <c r="O276" s="23" t="str">
        <f t="shared" si="13"/>
        <v>Q1 2024</v>
      </c>
      <c r="P276" s="23">
        <f>VLOOKUP(D276,Products!$A:$F,4,FALSE)</f>
        <v>2459</v>
      </c>
      <c r="Q276" s="35">
        <f t="shared" si="14"/>
        <v>0.51594488188976373</v>
      </c>
    </row>
    <row r="277" spans="1:17">
      <c r="A277" s="12" t="s">
        <v>658</v>
      </c>
      <c r="B277" s="13">
        <v>45296</v>
      </c>
      <c r="C277" s="12" t="s">
        <v>329</v>
      </c>
      <c r="D277" s="12" t="s">
        <v>204</v>
      </c>
      <c r="E277" s="12" t="s">
        <v>109</v>
      </c>
      <c r="F277" s="14">
        <v>3</v>
      </c>
      <c r="G277" s="14">
        <v>3570</v>
      </c>
      <c r="H277" s="14">
        <v>9.5</v>
      </c>
      <c r="I277" s="14">
        <v>9692.5499999999993</v>
      </c>
      <c r="J277" s="12" t="s">
        <v>104</v>
      </c>
      <c r="K277" s="12" t="s">
        <v>150</v>
      </c>
      <c r="L277" s="23" t="str">
        <f>VLOOKUP(D277,Products!$A:$F,3,FALSE)</f>
        <v>Electronics</v>
      </c>
      <c r="M277" s="23" t="str">
        <f>VLOOKUP(E277,Sales_Reps!$A:$E,3,FALSE)</f>
        <v>North</v>
      </c>
      <c r="N277" s="23" t="str">
        <f t="shared" si="12"/>
        <v>Jan-24</v>
      </c>
      <c r="O277" s="23" t="str">
        <f t="shared" si="13"/>
        <v>Q1 2024</v>
      </c>
      <c r="P277" s="23">
        <f>VLOOKUP(D277,Products!$A:$F,4,FALSE)</f>
        <v>1665</v>
      </c>
      <c r="Q277" s="35">
        <f t="shared" si="14"/>
        <v>0.53361344537815125</v>
      </c>
    </row>
    <row r="278" spans="1:17">
      <c r="A278" s="12" t="s">
        <v>659</v>
      </c>
      <c r="B278" s="13">
        <v>45460</v>
      </c>
      <c r="C278" s="12" t="s">
        <v>660</v>
      </c>
      <c r="D278" s="12" t="s">
        <v>309</v>
      </c>
      <c r="E278" s="12" t="s">
        <v>209</v>
      </c>
      <c r="F278" s="14">
        <v>2</v>
      </c>
      <c r="G278" s="14">
        <v>620</v>
      </c>
      <c r="H278" s="14">
        <v>29.5</v>
      </c>
      <c r="I278" s="14">
        <v>874.2</v>
      </c>
      <c r="J278" s="12" t="s">
        <v>104</v>
      </c>
      <c r="K278" s="12" t="s">
        <v>129</v>
      </c>
      <c r="L278" s="23" t="str">
        <f>VLOOKUP(D278,Products!$A:$F,3,FALSE)</f>
        <v>Apparel</v>
      </c>
      <c r="M278" s="23" t="str">
        <f>VLOOKUP(E278,Sales_Reps!$A:$E,3,FALSE)</f>
        <v>East</v>
      </c>
      <c r="N278" s="23" t="str">
        <f t="shared" si="12"/>
        <v>Jun-24</v>
      </c>
      <c r="O278" s="23" t="str">
        <f t="shared" si="13"/>
        <v>Q2 2024</v>
      </c>
      <c r="P278" s="23">
        <f>VLOOKUP(D278,Products!$A:$F,4,FALSE)</f>
        <v>396</v>
      </c>
      <c r="Q278" s="35">
        <f t="shared" si="14"/>
        <v>0.36129032258064514</v>
      </c>
    </row>
    <row r="279" spans="1:17">
      <c r="A279" s="12" t="s">
        <v>661</v>
      </c>
      <c r="B279" s="13">
        <v>45638</v>
      </c>
      <c r="C279" s="12" t="s">
        <v>420</v>
      </c>
      <c r="D279" s="12" t="s">
        <v>469</v>
      </c>
      <c r="E279" s="12" t="s">
        <v>269</v>
      </c>
      <c r="F279" s="14">
        <v>3</v>
      </c>
      <c r="G279" s="14">
        <v>3450</v>
      </c>
      <c r="H279" s="14">
        <v>3</v>
      </c>
      <c r="I279" s="14">
        <v>10039.5</v>
      </c>
      <c r="J279" s="12" t="s">
        <v>104</v>
      </c>
      <c r="K279" s="12" t="s">
        <v>134</v>
      </c>
      <c r="L279" s="23" t="str">
        <f>VLOOKUP(D279,Products!$A:$F,3,FALSE)</f>
        <v>Apparel</v>
      </c>
      <c r="M279" s="23" t="str">
        <f>VLOOKUP(E279,Sales_Reps!$A:$E,3,FALSE)</f>
        <v>South</v>
      </c>
      <c r="N279" s="23" t="str">
        <f t="shared" si="12"/>
        <v>Dec-24</v>
      </c>
      <c r="O279" s="23" t="str">
        <f t="shared" si="13"/>
        <v>Q4 2024</v>
      </c>
      <c r="P279" s="23">
        <f>VLOOKUP(D279,Products!$A:$F,4,FALSE)</f>
        <v>1748</v>
      </c>
      <c r="Q279" s="35">
        <f t="shared" si="14"/>
        <v>0.49333333333333335</v>
      </c>
    </row>
    <row r="280" spans="1:17">
      <c r="A280" s="12" t="s">
        <v>662</v>
      </c>
      <c r="B280" s="13">
        <v>45408</v>
      </c>
      <c r="C280" s="12" t="s">
        <v>539</v>
      </c>
      <c r="D280" s="12" t="s">
        <v>208</v>
      </c>
      <c r="E280" s="12" t="s">
        <v>120</v>
      </c>
      <c r="F280" s="14">
        <v>7</v>
      </c>
      <c r="G280" s="14">
        <v>5100</v>
      </c>
      <c r="H280" s="14">
        <v>4.3</v>
      </c>
      <c r="I280" s="14">
        <v>34164.9</v>
      </c>
      <c r="J280" s="12" t="s">
        <v>104</v>
      </c>
      <c r="K280" s="12" t="s">
        <v>116</v>
      </c>
      <c r="L280" s="23" t="str">
        <f>VLOOKUP(D280,Products!$A:$F,3,FALSE)</f>
        <v>Beauty</v>
      </c>
      <c r="M280" s="23" t="str">
        <f>VLOOKUP(E280,Sales_Reps!$A:$E,3,FALSE)</f>
        <v>North</v>
      </c>
      <c r="N280" s="23" t="str">
        <f t="shared" si="12"/>
        <v>Apr-24</v>
      </c>
      <c r="O280" s="23" t="str">
        <f t="shared" si="13"/>
        <v>Q2 2024</v>
      </c>
      <c r="P280" s="23">
        <f>VLOOKUP(D280,Products!$A:$F,4,FALSE)</f>
        <v>2237</v>
      </c>
      <c r="Q280" s="35">
        <f t="shared" si="14"/>
        <v>0.56137254901960787</v>
      </c>
    </row>
    <row r="281" spans="1:17">
      <c r="A281" s="12" t="s">
        <v>663</v>
      </c>
      <c r="B281" s="13">
        <v>45541</v>
      </c>
      <c r="C281" s="12" t="s">
        <v>446</v>
      </c>
      <c r="D281" s="12" t="s">
        <v>265</v>
      </c>
      <c r="E281" s="12" t="s">
        <v>165</v>
      </c>
      <c r="F281" s="14">
        <v>9</v>
      </c>
      <c r="G281" s="14">
        <v>3870</v>
      </c>
      <c r="H281" s="14">
        <v>4.8</v>
      </c>
      <c r="I281" s="14">
        <v>33158.160000000003</v>
      </c>
      <c r="J281" s="12" t="s">
        <v>104</v>
      </c>
      <c r="K281" s="12" t="s">
        <v>134</v>
      </c>
      <c r="L281" s="23" t="str">
        <f>VLOOKUP(D281,Products!$A:$F,3,FALSE)</f>
        <v>Electronics</v>
      </c>
      <c r="M281" s="23" t="str">
        <f>VLOOKUP(E281,Sales_Reps!$A:$E,3,FALSE)</f>
        <v>North</v>
      </c>
      <c r="N281" s="23" t="str">
        <f t="shared" si="12"/>
        <v>Sep-24</v>
      </c>
      <c r="O281" s="23" t="str">
        <f t="shared" si="13"/>
        <v>Q3 2024</v>
      </c>
      <c r="P281" s="23">
        <f>VLOOKUP(D281,Products!$A:$F,4,FALSE)</f>
        <v>1559</v>
      </c>
      <c r="Q281" s="35">
        <f t="shared" si="14"/>
        <v>0.59715762273901807</v>
      </c>
    </row>
    <row r="282" spans="1:17">
      <c r="A282" s="12" t="s">
        <v>664</v>
      </c>
      <c r="B282" s="13">
        <v>45633</v>
      </c>
      <c r="C282" s="12" t="s">
        <v>625</v>
      </c>
      <c r="D282" s="12" t="s">
        <v>284</v>
      </c>
      <c r="E282" s="12" t="s">
        <v>246</v>
      </c>
      <c r="F282" s="14">
        <v>5</v>
      </c>
      <c r="G282" s="14">
        <v>1220</v>
      </c>
      <c r="H282" s="14">
        <v>4</v>
      </c>
      <c r="I282" s="14">
        <v>5856</v>
      </c>
      <c r="J282" s="12" t="s">
        <v>157</v>
      </c>
      <c r="K282" s="12" t="s">
        <v>105</v>
      </c>
      <c r="L282" s="23" t="str">
        <f>VLOOKUP(D282,Products!$A:$F,3,FALSE)</f>
        <v>Electronics</v>
      </c>
      <c r="M282" s="23" t="str">
        <f>VLOOKUP(E282,Sales_Reps!$A:$E,3,FALSE)</f>
        <v>West</v>
      </c>
      <c r="N282" s="23" t="str">
        <f t="shared" si="12"/>
        <v>Dec-24</v>
      </c>
      <c r="O282" s="23" t="str">
        <f t="shared" si="13"/>
        <v>Q4 2024</v>
      </c>
      <c r="P282" s="23">
        <f>VLOOKUP(D282,Products!$A:$F,4,FALSE)</f>
        <v>517</v>
      </c>
      <c r="Q282" s="35">
        <f t="shared" si="14"/>
        <v>0.57622950819672136</v>
      </c>
    </row>
    <row r="283" spans="1:17">
      <c r="A283" s="12" t="s">
        <v>665</v>
      </c>
      <c r="B283" s="13">
        <v>45338</v>
      </c>
      <c r="C283" s="12" t="s">
        <v>183</v>
      </c>
      <c r="D283" s="12" t="s">
        <v>141</v>
      </c>
      <c r="E283" s="12" t="s">
        <v>171</v>
      </c>
      <c r="F283" s="14">
        <v>5</v>
      </c>
      <c r="G283" s="14">
        <v>5490</v>
      </c>
      <c r="H283" s="14">
        <v>19.8</v>
      </c>
      <c r="I283" s="14">
        <v>22014.9</v>
      </c>
      <c r="J283" s="12" t="s">
        <v>104</v>
      </c>
      <c r="K283" s="12" t="s">
        <v>150</v>
      </c>
      <c r="L283" s="23" t="str">
        <f>VLOOKUP(D283,Products!$A:$F,3,FALSE)</f>
        <v>Home</v>
      </c>
      <c r="M283" s="23" t="str">
        <f>VLOOKUP(E283,Sales_Reps!$A:$E,3,FALSE)</f>
        <v>East</v>
      </c>
      <c r="N283" s="23" t="str">
        <f t="shared" si="12"/>
        <v>Feb-24</v>
      </c>
      <c r="O283" s="23" t="str">
        <f t="shared" si="13"/>
        <v>Q1 2024</v>
      </c>
      <c r="P283" s="23">
        <f>VLOOKUP(D283,Products!$A:$F,4,FALSE)</f>
        <v>2549</v>
      </c>
      <c r="Q283" s="35">
        <f t="shared" si="14"/>
        <v>0.53570127504553733</v>
      </c>
    </row>
    <row r="284" spans="1:17">
      <c r="A284" s="12" t="s">
        <v>666</v>
      </c>
      <c r="B284" s="13">
        <v>45529</v>
      </c>
      <c r="C284" s="12" t="s">
        <v>402</v>
      </c>
      <c r="D284" s="12" t="s">
        <v>193</v>
      </c>
      <c r="E284" s="12" t="s">
        <v>232</v>
      </c>
      <c r="F284" s="14">
        <v>1</v>
      </c>
      <c r="G284" s="14">
        <v>1650</v>
      </c>
      <c r="H284" s="14">
        <v>26.2</v>
      </c>
      <c r="I284" s="14">
        <v>1217.7</v>
      </c>
      <c r="J284" s="12" t="s">
        <v>104</v>
      </c>
      <c r="K284" s="12" t="s">
        <v>134</v>
      </c>
      <c r="L284" s="23" t="str">
        <f>VLOOKUP(D284,Products!$A:$F,3,FALSE)</f>
        <v>Beauty</v>
      </c>
      <c r="M284" s="23" t="str">
        <f>VLOOKUP(E284,Sales_Reps!$A:$E,3,FALSE)</f>
        <v>North</v>
      </c>
      <c r="N284" s="23" t="str">
        <f t="shared" si="12"/>
        <v>Aug-24</v>
      </c>
      <c r="O284" s="23" t="str">
        <f t="shared" si="13"/>
        <v>Q3 2024</v>
      </c>
      <c r="P284" s="23">
        <f>VLOOKUP(D284,Products!$A:$F,4,FALSE)</f>
        <v>1222</v>
      </c>
      <c r="Q284" s="35">
        <f t="shared" si="14"/>
        <v>0.2593939393939394</v>
      </c>
    </row>
    <row r="285" spans="1:17">
      <c r="A285" s="12" t="s">
        <v>667</v>
      </c>
      <c r="B285" s="13">
        <v>45460</v>
      </c>
      <c r="C285" s="12" t="s">
        <v>668</v>
      </c>
      <c r="D285" s="12" t="s">
        <v>296</v>
      </c>
      <c r="E285" s="12" t="s">
        <v>165</v>
      </c>
      <c r="F285" s="14">
        <v>1</v>
      </c>
      <c r="G285" s="14">
        <v>2660</v>
      </c>
      <c r="H285" s="14">
        <v>21</v>
      </c>
      <c r="I285" s="14">
        <v>2101.4</v>
      </c>
      <c r="J285" s="12" t="s">
        <v>104</v>
      </c>
      <c r="K285" s="12" t="s">
        <v>150</v>
      </c>
      <c r="L285" s="23" t="str">
        <f>VLOOKUP(D285,Products!$A:$F,3,FALSE)</f>
        <v>Electronics</v>
      </c>
      <c r="M285" s="23" t="str">
        <f>VLOOKUP(E285,Sales_Reps!$A:$E,3,FALSE)</f>
        <v>North</v>
      </c>
      <c r="N285" s="23" t="str">
        <f t="shared" si="12"/>
        <v>Jun-24</v>
      </c>
      <c r="O285" s="23" t="str">
        <f t="shared" si="13"/>
        <v>Q2 2024</v>
      </c>
      <c r="P285" s="23">
        <f>VLOOKUP(D285,Products!$A:$F,4,FALSE)</f>
        <v>1259</v>
      </c>
      <c r="Q285" s="35">
        <f t="shared" si="14"/>
        <v>0.52669172932330832</v>
      </c>
    </row>
    <row r="286" spans="1:17">
      <c r="A286" s="12" t="s">
        <v>669</v>
      </c>
      <c r="B286" s="13">
        <v>45375</v>
      </c>
      <c r="C286" s="12" t="s">
        <v>348</v>
      </c>
      <c r="D286" s="12" t="s">
        <v>355</v>
      </c>
      <c r="E286" s="12" t="s">
        <v>165</v>
      </c>
      <c r="F286" s="14">
        <v>6</v>
      </c>
      <c r="G286" s="14">
        <v>2210</v>
      </c>
      <c r="H286" s="14">
        <v>9.8000000000000007</v>
      </c>
      <c r="I286" s="14">
        <v>11960.52</v>
      </c>
      <c r="J286" s="12" t="s">
        <v>110</v>
      </c>
      <c r="K286" s="12" t="s">
        <v>134</v>
      </c>
      <c r="L286" s="23" t="str">
        <f>VLOOKUP(D286,Products!$A:$F,3,FALSE)</f>
        <v>Grocery</v>
      </c>
      <c r="M286" s="23" t="str">
        <f>VLOOKUP(E286,Sales_Reps!$A:$E,3,FALSE)</f>
        <v>North</v>
      </c>
      <c r="N286" s="23" t="str">
        <f t="shared" si="12"/>
        <v>Mar-24</v>
      </c>
      <c r="O286" s="23" t="str">
        <f t="shared" si="13"/>
        <v>Q1 2024</v>
      </c>
      <c r="P286" s="23">
        <f>VLOOKUP(D286,Products!$A:$F,4,FALSE)</f>
        <v>1010</v>
      </c>
      <c r="Q286" s="35">
        <f t="shared" si="14"/>
        <v>0.54298642533936647</v>
      </c>
    </row>
    <row r="287" spans="1:17">
      <c r="A287" s="12" t="s">
        <v>670</v>
      </c>
      <c r="B287" s="13">
        <v>45310</v>
      </c>
      <c r="C287" s="12" t="s">
        <v>539</v>
      </c>
      <c r="D287" s="12" t="s">
        <v>155</v>
      </c>
      <c r="E287" s="12" t="s">
        <v>232</v>
      </c>
      <c r="F287" s="14">
        <v>9</v>
      </c>
      <c r="G287" s="14">
        <v>2600</v>
      </c>
      <c r="H287" s="14">
        <v>15.7</v>
      </c>
      <c r="I287" s="14">
        <v>19726.2</v>
      </c>
      <c r="J287" s="12" t="s">
        <v>104</v>
      </c>
      <c r="K287" s="12" t="s">
        <v>116</v>
      </c>
      <c r="L287" s="23" t="str">
        <f>VLOOKUP(D287,Products!$A:$F,3,FALSE)</f>
        <v>Electronics</v>
      </c>
      <c r="M287" s="23" t="str">
        <f>VLOOKUP(E287,Sales_Reps!$A:$E,3,FALSE)</f>
        <v>North</v>
      </c>
      <c r="N287" s="23" t="str">
        <f t="shared" si="12"/>
        <v>Jan-24</v>
      </c>
      <c r="O287" s="23" t="str">
        <f t="shared" si="13"/>
        <v>Q1 2024</v>
      </c>
      <c r="P287" s="23">
        <f>VLOOKUP(D287,Products!$A:$F,4,FALSE)</f>
        <v>1052</v>
      </c>
      <c r="Q287" s="35">
        <f t="shared" si="14"/>
        <v>0.5953846153846154</v>
      </c>
    </row>
    <row r="288" spans="1:17">
      <c r="A288" s="12" t="s">
        <v>671</v>
      </c>
      <c r="B288" s="13">
        <v>45314</v>
      </c>
      <c r="C288" s="12" t="s">
        <v>672</v>
      </c>
      <c r="D288" s="12" t="s">
        <v>293</v>
      </c>
      <c r="E288" s="12" t="s">
        <v>128</v>
      </c>
      <c r="F288" s="14">
        <v>3</v>
      </c>
      <c r="G288" s="14">
        <v>3020</v>
      </c>
      <c r="H288" s="14">
        <v>22.6</v>
      </c>
      <c r="I288" s="14">
        <v>7012.44</v>
      </c>
      <c r="J288" s="12" t="s">
        <v>104</v>
      </c>
      <c r="K288" s="12" t="s">
        <v>150</v>
      </c>
      <c r="L288" s="23" t="str">
        <f>VLOOKUP(D288,Products!$A:$F,3,FALSE)</f>
        <v>Beauty</v>
      </c>
      <c r="M288" s="23" t="str">
        <f>VLOOKUP(E288,Sales_Reps!$A:$E,3,FALSE)</f>
        <v>West</v>
      </c>
      <c r="N288" s="23" t="str">
        <f t="shared" si="12"/>
        <v>Jan-24</v>
      </c>
      <c r="O288" s="23" t="str">
        <f t="shared" si="13"/>
        <v>Q1 2024</v>
      </c>
      <c r="P288" s="23">
        <f>VLOOKUP(D288,Products!$A:$F,4,FALSE)</f>
        <v>1626</v>
      </c>
      <c r="Q288" s="35">
        <f t="shared" si="14"/>
        <v>0.46158940397350995</v>
      </c>
    </row>
    <row r="289" spans="1:17">
      <c r="A289" s="12" t="s">
        <v>673</v>
      </c>
      <c r="B289" s="13">
        <v>45459</v>
      </c>
      <c r="C289" s="12" t="s">
        <v>331</v>
      </c>
      <c r="D289" s="12" t="s">
        <v>127</v>
      </c>
      <c r="E289" s="12" t="s">
        <v>109</v>
      </c>
      <c r="F289" s="14">
        <v>6</v>
      </c>
      <c r="G289" s="14">
        <v>370</v>
      </c>
      <c r="H289" s="14">
        <v>12.4</v>
      </c>
      <c r="I289" s="14">
        <v>1944.72</v>
      </c>
      <c r="J289" s="12" t="s">
        <v>104</v>
      </c>
      <c r="K289" s="12" t="s">
        <v>105</v>
      </c>
      <c r="L289" s="23" t="str">
        <f>VLOOKUP(D289,Products!$A:$F,3,FALSE)</f>
        <v>Home</v>
      </c>
      <c r="M289" s="23" t="str">
        <f>VLOOKUP(E289,Sales_Reps!$A:$E,3,FALSE)</f>
        <v>North</v>
      </c>
      <c r="N289" s="23" t="str">
        <f t="shared" si="12"/>
        <v>Jun-24</v>
      </c>
      <c r="O289" s="23" t="str">
        <f t="shared" si="13"/>
        <v>Q2 2024</v>
      </c>
      <c r="P289" s="23">
        <f>VLOOKUP(D289,Products!$A:$F,4,FALSE)</f>
        <v>288</v>
      </c>
      <c r="Q289" s="35">
        <f t="shared" si="14"/>
        <v>0.22162162162162163</v>
      </c>
    </row>
    <row r="290" spans="1:17">
      <c r="A290" s="12" t="s">
        <v>674</v>
      </c>
      <c r="B290" s="13">
        <v>45312</v>
      </c>
      <c r="C290" s="12" t="s">
        <v>632</v>
      </c>
      <c r="D290" s="12" t="s">
        <v>381</v>
      </c>
      <c r="E290" s="12" t="s">
        <v>120</v>
      </c>
      <c r="F290" s="14">
        <v>8</v>
      </c>
      <c r="G290" s="14">
        <v>5330</v>
      </c>
      <c r="H290" s="14">
        <v>16.2</v>
      </c>
      <c r="I290" s="14">
        <v>35732.32</v>
      </c>
      <c r="J290" s="12" t="s">
        <v>104</v>
      </c>
      <c r="K290" s="12" t="s">
        <v>129</v>
      </c>
      <c r="L290" s="23" t="str">
        <f>VLOOKUP(D290,Products!$A:$F,3,FALSE)</f>
        <v>Electronics</v>
      </c>
      <c r="M290" s="23" t="str">
        <f>VLOOKUP(E290,Sales_Reps!$A:$E,3,FALSE)</f>
        <v>North</v>
      </c>
      <c r="N290" s="23" t="str">
        <f t="shared" si="12"/>
        <v>Jan-24</v>
      </c>
      <c r="O290" s="23" t="str">
        <f t="shared" si="13"/>
        <v>Q1 2024</v>
      </c>
      <c r="P290" s="23">
        <f>VLOOKUP(D290,Products!$A:$F,4,FALSE)</f>
        <v>2405</v>
      </c>
      <c r="Q290" s="35">
        <f t="shared" si="14"/>
        <v>0.54878048780487809</v>
      </c>
    </row>
    <row r="291" spans="1:17">
      <c r="A291" s="12" t="s">
        <v>675</v>
      </c>
      <c r="B291" s="13">
        <v>45500</v>
      </c>
      <c r="C291" s="12" t="s">
        <v>242</v>
      </c>
      <c r="D291" s="12" t="s">
        <v>676</v>
      </c>
      <c r="E291" s="12" t="s">
        <v>187</v>
      </c>
      <c r="F291" s="14">
        <v>4</v>
      </c>
      <c r="G291" s="14">
        <v>3560</v>
      </c>
      <c r="H291" s="14">
        <v>10.5</v>
      </c>
      <c r="I291" s="14">
        <v>12744.8</v>
      </c>
      <c r="J291" s="12" t="s">
        <v>104</v>
      </c>
      <c r="K291" s="12" t="s">
        <v>111</v>
      </c>
      <c r="L291" s="23" t="str">
        <f>VLOOKUP(D291,Products!$A:$F,3,FALSE)</f>
        <v>Apparel</v>
      </c>
      <c r="M291" s="23" t="str">
        <f>VLOOKUP(E291,Sales_Reps!$A:$E,3,FALSE)</f>
        <v>West</v>
      </c>
      <c r="N291" s="23" t="str">
        <f t="shared" si="12"/>
        <v>Jul-24</v>
      </c>
      <c r="O291" s="23" t="str">
        <f t="shared" si="13"/>
        <v>Q3 2024</v>
      </c>
      <c r="P291" s="23">
        <f>VLOOKUP(D291,Products!$A:$F,4,FALSE)</f>
        <v>2629</v>
      </c>
      <c r="Q291" s="35">
        <f t="shared" si="14"/>
        <v>0.26151685393258428</v>
      </c>
    </row>
    <row r="292" spans="1:17">
      <c r="A292" s="12" t="s">
        <v>677</v>
      </c>
      <c r="B292" s="13">
        <v>45389</v>
      </c>
      <c r="C292" s="12" t="s">
        <v>621</v>
      </c>
      <c r="D292" s="12" t="s">
        <v>199</v>
      </c>
      <c r="E292" s="12" t="s">
        <v>187</v>
      </c>
      <c r="F292" s="14">
        <v>10</v>
      </c>
      <c r="G292" s="14">
        <v>1010</v>
      </c>
      <c r="H292" s="14">
        <v>10.8</v>
      </c>
      <c r="I292" s="14">
        <v>9009.2000000000007</v>
      </c>
      <c r="J292" s="12" t="s">
        <v>104</v>
      </c>
      <c r="K292" s="12" t="s">
        <v>134</v>
      </c>
      <c r="L292" s="23" t="str">
        <f>VLOOKUP(D292,Products!$A:$F,3,FALSE)</f>
        <v>Sports</v>
      </c>
      <c r="M292" s="23" t="str">
        <f>VLOOKUP(E292,Sales_Reps!$A:$E,3,FALSE)</f>
        <v>West</v>
      </c>
      <c r="N292" s="23" t="str">
        <f t="shared" si="12"/>
        <v>Apr-24</v>
      </c>
      <c r="O292" s="23" t="str">
        <f t="shared" si="13"/>
        <v>Q2 2024</v>
      </c>
      <c r="P292" s="23">
        <f>VLOOKUP(D292,Products!$A:$F,4,FALSE)</f>
        <v>516</v>
      </c>
      <c r="Q292" s="35">
        <f t="shared" si="14"/>
        <v>0.4891089108910891</v>
      </c>
    </row>
    <row r="293" spans="1:17">
      <c r="A293" s="12" t="s">
        <v>678</v>
      </c>
      <c r="B293" s="13">
        <v>45619</v>
      </c>
      <c r="C293" s="12" t="s">
        <v>679</v>
      </c>
      <c r="D293" s="12" t="s">
        <v>532</v>
      </c>
      <c r="E293" s="12" t="s">
        <v>120</v>
      </c>
      <c r="F293" s="14">
        <v>8</v>
      </c>
      <c r="G293" s="14">
        <v>6940</v>
      </c>
      <c r="H293" s="14">
        <v>3.2</v>
      </c>
      <c r="I293" s="14">
        <v>53743.360000000001</v>
      </c>
      <c r="J293" s="12" t="s">
        <v>157</v>
      </c>
      <c r="K293" s="12" t="s">
        <v>111</v>
      </c>
      <c r="L293" s="23" t="str">
        <f>VLOOKUP(D293,Products!$A:$F,3,FALSE)</f>
        <v>Sports</v>
      </c>
      <c r="M293" s="23" t="str">
        <f>VLOOKUP(E293,Sales_Reps!$A:$E,3,FALSE)</f>
        <v>North</v>
      </c>
      <c r="N293" s="23" t="str">
        <f t="shared" si="12"/>
        <v>Nov-24</v>
      </c>
      <c r="O293" s="23" t="str">
        <f t="shared" si="13"/>
        <v>Q4 2024</v>
      </c>
      <c r="P293" s="23">
        <f>VLOOKUP(D293,Products!$A:$F,4,FALSE)</f>
        <v>2827</v>
      </c>
      <c r="Q293" s="35">
        <f t="shared" si="14"/>
        <v>0.5926512968299712</v>
      </c>
    </row>
    <row r="294" spans="1:17">
      <c r="A294" s="12" t="s">
        <v>680</v>
      </c>
      <c r="B294" s="13">
        <v>45617</v>
      </c>
      <c r="C294" s="12" t="s">
        <v>329</v>
      </c>
      <c r="D294" s="12" t="s">
        <v>123</v>
      </c>
      <c r="E294" s="12" t="s">
        <v>205</v>
      </c>
      <c r="F294" s="14">
        <v>7</v>
      </c>
      <c r="G294" s="14">
        <v>3160</v>
      </c>
      <c r="H294" s="14">
        <v>3.6</v>
      </c>
      <c r="I294" s="14">
        <v>21323.68</v>
      </c>
      <c r="J294" s="12" t="s">
        <v>104</v>
      </c>
      <c r="K294" s="12" t="s">
        <v>150</v>
      </c>
      <c r="L294" s="23" t="str">
        <f>VLOOKUP(D294,Products!$A:$F,3,FALSE)</f>
        <v>Apparel</v>
      </c>
      <c r="M294" s="23" t="str">
        <f>VLOOKUP(E294,Sales_Reps!$A:$E,3,FALSE)</f>
        <v>South</v>
      </c>
      <c r="N294" s="23" t="str">
        <f t="shared" si="12"/>
        <v>Nov-24</v>
      </c>
      <c r="O294" s="23" t="str">
        <f t="shared" si="13"/>
        <v>Q4 2024</v>
      </c>
      <c r="P294" s="23">
        <f>VLOOKUP(D294,Products!$A:$F,4,FALSE)</f>
        <v>1886</v>
      </c>
      <c r="Q294" s="35">
        <f t="shared" si="14"/>
        <v>0.4031645569620253</v>
      </c>
    </row>
    <row r="295" spans="1:17">
      <c r="A295" s="12" t="s">
        <v>681</v>
      </c>
      <c r="B295" s="13">
        <v>45640</v>
      </c>
      <c r="C295" s="12" t="s">
        <v>502</v>
      </c>
      <c r="D295" s="12" t="s">
        <v>119</v>
      </c>
      <c r="E295" s="12" t="s">
        <v>124</v>
      </c>
      <c r="F295" s="14">
        <v>2</v>
      </c>
      <c r="G295" s="14">
        <v>3660</v>
      </c>
      <c r="H295" s="14">
        <v>30</v>
      </c>
      <c r="I295" s="14">
        <v>5124</v>
      </c>
      <c r="J295" s="12" t="s">
        <v>110</v>
      </c>
      <c r="K295" s="12" t="s">
        <v>105</v>
      </c>
      <c r="L295" s="23" t="str">
        <f>VLOOKUP(D295,Products!$A:$F,3,FALSE)</f>
        <v>Grocery</v>
      </c>
      <c r="M295" s="23" t="str">
        <f>VLOOKUP(E295,Sales_Reps!$A:$E,3,FALSE)</f>
        <v>North</v>
      </c>
      <c r="N295" s="23" t="str">
        <f t="shared" si="12"/>
        <v>Dec-24</v>
      </c>
      <c r="O295" s="23" t="str">
        <f t="shared" si="13"/>
        <v>Q4 2024</v>
      </c>
      <c r="P295" s="23">
        <f>VLOOKUP(D295,Products!$A:$F,4,FALSE)</f>
        <v>2214</v>
      </c>
      <c r="Q295" s="35">
        <f t="shared" si="14"/>
        <v>0.39508196721311473</v>
      </c>
    </row>
    <row r="296" spans="1:17">
      <c r="A296" s="12" t="s">
        <v>682</v>
      </c>
      <c r="B296" s="13">
        <v>45401</v>
      </c>
      <c r="C296" s="12" t="s">
        <v>383</v>
      </c>
      <c r="D296" s="12" t="s">
        <v>148</v>
      </c>
      <c r="E296" s="12" t="s">
        <v>109</v>
      </c>
      <c r="F296" s="14">
        <v>1</v>
      </c>
      <c r="G296" s="14">
        <v>2270</v>
      </c>
      <c r="H296" s="14">
        <v>4.8</v>
      </c>
      <c r="I296" s="14">
        <v>2161.04</v>
      </c>
      <c r="J296" s="12" t="s">
        <v>157</v>
      </c>
      <c r="K296" s="12" t="s">
        <v>129</v>
      </c>
      <c r="L296" s="23" t="str">
        <f>VLOOKUP(D296,Products!$A:$F,3,FALSE)</f>
        <v>Grocery</v>
      </c>
      <c r="M296" s="23" t="str">
        <f>VLOOKUP(E296,Sales_Reps!$A:$E,3,FALSE)</f>
        <v>North</v>
      </c>
      <c r="N296" s="23" t="str">
        <f t="shared" si="12"/>
        <v>Apr-24</v>
      </c>
      <c r="O296" s="23" t="str">
        <f t="shared" si="13"/>
        <v>Q2 2024</v>
      </c>
      <c r="P296" s="23">
        <f>VLOOKUP(D296,Products!$A:$F,4,FALSE)</f>
        <v>1203</v>
      </c>
      <c r="Q296" s="35">
        <f t="shared" si="14"/>
        <v>0.47004405286343615</v>
      </c>
    </row>
    <row r="297" spans="1:17">
      <c r="A297" s="12" t="s">
        <v>683</v>
      </c>
      <c r="B297" s="13">
        <v>45405</v>
      </c>
      <c r="C297" s="12" t="s">
        <v>240</v>
      </c>
      <c r="D297" s="12" t="s">
        <v>478</v>
      </c>
      <c r="E297" s="12" t="s">
        <v>128</v>
      </c>
      <c r="F297" s="14">
        <v>8</v>
      </c>
      <c r="G297" s="14">
        <v>3780</v>
      </c>
      <c r="H297" s="14">
        <v>13</v>
      </c>
      <c r="I297" s="14">
        <v>26308.799999999999</v>
      </c>
      <c r="J297" s="12" t="s">
        <v>104</v>
      </c>
      <c r="K297" s="12" t="s">
        <v>116</v>
      </c>
      <c r="L297" s="23" t="str">
        <f>VLOOKUP(D297,Products!$A:$F,3,FALSE)</f>
        <v>Sports</v>
      </c>
      <c r="M297" s="23" t="str">
        <f>VLOOKUP(E297,Sales_Reps!$A:$E,3,FALSE)</f>
        <v>West</v>
      </c>
      <c r="N297" s="23" t="str">
        <f t="shared" si="12"/>
        <v>Apr-24</v>
      </c>
      <c r="O297" s="23" t="str">
        <f t="shared" si="13"/>
        <v>Q2 2024</v>
      </c>
      <c r="P297" s="23">
        <f>VLOOKUP(D297,Products!$A:$F,4,FALSE)</f>
        <v>1860</v>
      </c>
      <c r="Q297" s="35">
        <f t="shared" si="14"/>
        <v>0.50793650793650791</v>
      </c>
    </row>
    <row r="298" spans="1:17">
      <c r="A298" s="12" t="s">
        <v>684</v>
      </c>
      <c r="B298" s="13">
        <v>45537</v>
      </c>
      <c r="C298" s="12" t="s">
        <v>634</v>
      </c>
      <c r="D298" s="12" t="s">
        <v>254</v>
      </c>
      <c r="E298" s="12" t="s">
        <v>342</v>
      </c>
      <c r="F298" s="14">
        <v>1</v>
      </c>
      <c r="G298" s="14">
        <v>3640</v>
      </c>
      <c r="H298" s="14">
        <v>15.3</v>
      </c>
      <c r="I298" s="14">
        <v>3083.08</v>
      </c>
      <c r="J298" s="12" t="s">
        <v>110</v>
      </c>
      <c r="K298" s="12" t="s">
        <v>129</v>
      </c>
      <c r="L298" s="23" t="str">
        <f>VLOOKUP(D298,Products!$A:$F,3,FALSE)</f>
        <v>Apparel</v>
      </c>
      <c r="M298" s="23" t="str">
        <f>VLOOKUP(E298,Sales_Reps!$A:$E,3,FALSE)</f>
        <v>South</v>
      </c>
      <c r="N298" s="23" t="str">
        <f t="shared" si="12"/>
        <v>Sep-24</v>
      </c>
      <c r="O298" s="23" t="str">
        <f t="shared" si="13"/>
        <v>Q3 2024</v>
      </c>
      <c r="P298" s="23">
        <f>VLOOKUP(D298,Products!$A:$F,4,FALSE)</f>
        <v>2611</v>
      </c>
      <c r="Q298" s="35">
        <f t="shared" si="14"/>
        <v>0.28269230769230769</v>
      </c>
    </row>
    <row r="299" spans="1:17">
      <c r="A299" s="12" t="s">
        <v>685</v>
      </c>
      <c r="B299" s="13">
        <v>45475</v>
      </c>
      <c r="C299" s="12" t="s">
        <v>686</v>
      </c>
      <c r="D299" s="12" t="s">
        <v>284</v>
      </c>
      <c r="E299" s="12" t="s">
        <v>221</v>
      </c>
      <c r="F299" s="14">
        <v>8</v>
      </c>
      <c r="G299" s="14">
        <v>1220</v>
      </c>
      <c r="H299" s="14">
        <v>28.2</v>
      </c>
      <c r="I299" s="14">
        <v>7007.68</v>
      </c>
      <c r="J299" s="12" t="s">
        <v>104</v>
      </c>
      <c r="K299" s="12" t="s">
        <v>150</v>
      </c>
      <c r="L299" s="23" t="str">
        <f>VLOOKUP(D299,Products!$A:$F,3,FALSE)</f>
        <v>Electronics</v>
      </c>
      <c r="M299" s="23" t="str">
        <f>VLOOKUP(E299,Sales_Reps!$A:$E,3,FALSE)</f>
        <v>South</v>
      </c>
      <c r="N299" s="23" t="str">
        <f t="shared" si="12"/>
        <v>Jul-24</v>
      </c>
      <c r="O299" s="23" t="str">
        <f t="shared" si="13"/>
        <v>Q3 2024</v>
      </c>
      <c r="P299" s="23">
        <f>VLOOKUP(D299,Products!$A:$F,4,FALSE)</f>
        <v>517</v>
      </c>
      <c r="Q299" s="35">
        <f t="shared" si="14"/>
        <v>0.57622950819672136</v>
      </c>
    </row>
    <row r="300" spans="1:17">
      <c r="A300" s="12" t="s">
        <v>687</v>
      </c>
      <c r="B300" s="13">
        <v>45624</v>
      </c>
      <c r="C300" s="12" t="s">
        <v>286</v>
      </c>
      <c r="D300" s="12" t="s">
        <v>372</v>
      </c>
      <c r="E300" s="12" t="s">
        <v>187</v>
      </c>
      <c r="F300" s="14">
        <v>3</v>
      </c>
      <c r="G300" s="14">
        <v>2510</v>
      </c>
      <c r="H300" s="14">
        <v>17.399999999999999</v>
      </c>
      <c r="I300" s="14">
        <v>6219.78</v>
      </c>
      <c r="J300" s="12" t="s">
        <v>104</v>
      </c>
      <c r="K300" s="12" t="s">
        <v>129</v>
      </c>
      <c r="L300" s="23" t="str">
        <f>VLOOKUP(D300,Products!$A:$F,3,FALSE)</f>
        <v>Apparel</v>
      </c>
      <c r="M300" s="23" t="str">
        <f>VLOOKUP(E300,Sales_Reps!$A:$E,3,FALSE)</f>
        <v>West</v>
      </c>
      <c r="N300" s="23" t="str">
        <f t="shared" si="12"/>
        <v>Nov-24</v>
      </c>
      <c r="O300" s="23" t="str">
        <f t="shared" si="13"/>
        <v>Q4 2024</v>
      </c>
      <c r="P300" s="23">
        <f>VLOOKUP(D300,Products!$A:$F,4,FALSE)</f>
        <v>1075</v>
      </c>
      <c r="Q300" s="35">
        <f t="shared" si="14"/>
        <v>0.57171314741035861</v>
      </c>
    </row>
    <row r="301" spans="1:17">
      <c r="A301" s="12" t="s">
        <v>688</v>
      </c>
      <c r="B301" s="13">
        <v>45635</v>
      </c>
      <c r="C301" s="12" t="s">
        <v>582</v>
      </c>
      <c r="D301" s="12" t="s">
        <v>181</v>
      </c>
      <c r="E301" s="12" t="s">
        <v>156</v>
      </c>
      <c r="F301" s="14">
        <v>1</v>
      </c>
      <c r="G301" s="14">
        <v>1080</v>
      </c>
      <c r="H301" s="14">
        <v>13.9</v>
      </c>
      <c r="I301" s="14">
        <v>929.88</v>
      </c>
      <c r="J301" s="12" t="s">
        <v>104</v>
      </c>
      <c r="K301" s="12" t="s">
        <v>129</v>
      </c>
      <c r="L301" s="23" t="str">
        <f>VLOOKUP(D301,Products!$A:$F,3,FALSE)</f>
        <v>Home</v>
      </c>
      <c r="M301" s="23" t="str">
        <f>VLOOKUP(E301,Sales_Reps!$A:$E,3,FALSE)</f>
        <v>North</v>
      </c>
      <c r="N301" s="23" t="str">
        <f t="shared" si="12"/>
        <v>Dec-24</v>
      </c>
      <c r="O301" s="23" t="str">
        <f t="shared" si="13"/>
        <v>Q4 2024</v>
      </c>
      <c r="P301" s="23">
        <f>VLOOKUP(D301,Products!$A:$F,4,FALSE)</f>
        <v>519</v>
      </c>
      <c r="Q301" s="35">
        <f t="shared" si="14"/>
        <v>0.51944444444444449</v>
      </c>
    </row>
    <row r="302" spans="1:17">
      <c r="A302" s="12" t="s">
        <v>689</v>
      </c>
      <c r="B302" s="13">
        <v>45395</v>
      </c>
      <c r="C302" s="12" t="s">
        <v>690</v>
      </c>
      <c r="D302" s="12" t="s">
        <v>312</v>
      </c>
      <c r="E302" s="12" t="s">
        <v>363</v>
      </c>
      <c r="F302" s="14">
        <v>7</v>
      </c>
      <c r="G302" s="14">
        <v>2030</v>
      </c>
      <c r="H302" s="14">
        <v>29.2</v>
      </c>
      <c r="I302" s="14">
        <v>10060.68</v>
      </c>
      <c r="J302" s="12" t="s">
        <v>104</v>
      </c>
      <c r="K302" s="12" t="s">
        <v>129</v>
      </c>
      <c r="L302" s="23" t="str">
        <f>VLOOKUP(D302,Products!$A:$F,3,FALSE)</f>
        <v>Home</v>
      </c>
      <c r="M302" s="23" t="str">
        <f>VLOOKUP(E302,Sales_Reps!$A:$E,3,FALSE)</f>
        <v>South</v>
      </c>
      <c r="N302" s="23" t="str">
        <f t="shared" si="12"/>
        <v>Apr-24</v>
      </c>
      <c r="O302" s="23" t="str">
        <f t="shared" si="13"/>
        <v>Q2 2024</v>
      </c>
      <c r="P302" s="23">
        <f>VLOOKUP(D302,Products!$A:$F,4,FALSE)</f>
        <v>1143</v>
      </c>
      <c r="Q302" s="35">
        <f t="shared" si="14"/>
        <v>0.43694581280788175</v>
      </c>
    </row>
    <row r="303" spans="1:17">
      <c r="A303" s="12" t="s">
        <v>691</v>
      </c>
      <c r="B303" s="13">
        <v>45415</v>
      </c>
      <c r="C303" s="12" t="s">
        <v>186</v>
      </c>
      <c r="D303" s="12" t="s">
        <v>478</v>
      </c>
      <c r="E303" s="12" t="s">
        <v>209</v>
      </c>
      <c r="F303" s="14">
        <v>6</v>
      </c>
      <c r="G303" s="14">
        <v>3780</v>
      </c>
      <c r="H303" s="14">
        <v>20.9</v>
      </c>
      <c r="I303" s="14">
        <v>17939.88</v>
      </c>
      <c r="J303" s="12" t="s">
        <v>161</v>
      </c>
      <c r="K303" s="12" t="s">
        <v>129</v>
      </c>
      <c r="L303" s="23" t="str">
        <f>VLOOKUP(D303,Products!$A:$F,3,FALSE)</f>
        <v>Sports</v>
      </c>
      <c r="M303" s="23" t="str">
        <f>VLOOKUP(E303,Sales_Reps!$A:$E,3,FALSE)</f>
        <v>East</v>
      </c>
      <c r="N303" s="23" t="str">
        <f t="shared" si="12"/>
        <v>May-24</v>
      </c>
      <c r="O303" s="23" t="str">
        <f t="shared" si="13"/>
        <v>Q2 2024</v>
      </c>
      <c r="P303" s="23">
        <f>VLOOKUP(D303,Products!$A:$F,4,FALSE)</f>
        <v>1860</v>
      </c>
      <c r="Q303" s="35">
        <f t="shared" si="14"/>
        <v>0.50793650793650791</v>
      </c>
    </row>
    <row r="304" spans="1:17">
      <c r="A304" s="12" t="s">
        <v>692</v>
      </c>
      <c r="B304" s="13">
        <v>45653</v>
      </c>
      <c r="C304" s="12" t="s">
        <v>693</v>
      </c>
      <c r="D304" s="12" t="s">
        <v>123</v>
      </c>
      <c r="E304" s="12" t="s">
        <v>363</v>
      </c>
      <c r="F304" s="14">
        <v>1</v>
      </c>
      <c r="G304" s="14">
        <v>3160</v>
      </c>
      <c r="H304" s="14">
        <v>10.7</v>
      </c>
      <c r="I304" s="14">
        <v>2821.88</v>
      </c>
      <c r="J304" s="12" t="s">
        <v>104</v>
      </c>
      <c r="K304" s="12" t="s">
        <v>105</v>
      </c>
      <c r="L304" s="23" t="str">
        <f>VLOOKUP(D304,Products!$A:$F,3,FALSE)</f>
        <v>Apparel</v>
      </c>
      <c r="M304" s="23" t="str">
        <f>VLOOKUP(E304,Sales_Reps!$A:$E,3,FALSE)</f>
        <v>South</v>
      </c>
      <c r="N304" s="23" t="str">
        <f t="shared" si="12"/>
        <v>Dec-24</v>
      </c>
      <c r="O304" s="23" t="str">
        <f t="shared" si="13"/>
        <v>Q4 2024</v>
      </c>
      <c r="P304" s="23">
        <f>VLOOKUP(D304,Products!$A:$F,4,FALSE)</f>
        <v>1886</v>
      </c>
      <c r="Q304" s="35">
        <f t="shared" si="14"/>
        <v>0.4031645569620253</v>
      </c>
    </row>
    <row r="305" spans="1:17">
      <c r="A305" s="12" t="s">
        <v>694</v>
      </c>
      <c r="B305" s="13">
        <v>45564</v>
      </c>
      <c r="C305" s="12" t="s">
        <v>311</v>
      </c>
      <c r="D305" s="12" t="s">
        <v>201</v>
      </c>
      <c r="E305" s="12" t="s">
        <v>149</v>
      </c>
      <c r="F305" s="14">
        <v>5</v>
      </c>
      <c r="G305" s="14">
        <v>4880</v>
      </c>
      <c r="H305" s="14">
        <v>11.4</v>
      </c>
      <c r="I305" s="14">
        <v>21618.400000000001</v>
      </c>
      <c r="J305" s="12" t="s">
        <v>104</v>
      </c>
      <c r="K305" s="12" t="s">
        <v>150</v>
      </c>
      <c r="L305" s="23" t="str">
        <f>VLOOKUP(D305,Products!$A:$F,3,FALSE)</f>
        <v>Beauty</v>
      </c>
      <c r="M305" s="23" t="str">
        <f>VLOOKUP(E305,Sales_Reps!$A:$E,3,FALSE)</f>
        <v>South</v>
      </c>
      <c r="N305" s="23" t="str">
        <f t="shared" si="12"/>
        <v>Sep-24</v>
      </c>
      <c r="O305" s="23" t="str">
        <f t="shared" si="13"/>
        <v>Q3 2024</v>
      </c>
      <c r="P305" s="23">
        <f>VLOOKUP(D305,Products!$A:$F,4,FALSE)</f>
        <v>2768</v>
      </c>
      <c r="Q305" s="35">
        <f t="shared" si="14"/>
        <v>0.43278688524590164</v>
      </c>
    </row>
    <row r="306" spans="1:17">
      <c r="A306" s="12" t="s">
        <v>695</v>
      </c>
      <c r="B306" s="13">
        <v>45633</v>
      </c>
      <c r="C306" s="12" t="s">
        <v>655</v>
      </c>
      <c r="D306" s="12" t="s">
        <v>243</v>
      </c>
      <c r="E306" s="12" t="s">
        <v>221</v>
      </c>
      <c r="F306" s="14">
        <v>9</v>
      </c>
      <c r="G306" s="14">
        <v>3730</v>
      </c>
      <c r="H306" s="14">
        <v>10</v>
      </c>
      <c r="I306" s="14">
        <v>30213</v>
      </c>
      <c r="J306" s="12" t="s">
        <v>104</v>
      </c>
      <c r="K306" s="12" t="s">
        <v>116</v>
      </c>
      <c r="L306" s="23" t="str">
        <f>VLOOKUP(D306,Products!$A:$F,3,FALSE)</f>
        <v>Home</v>
      </c>
      <c r="M306" s="23" t="str">
        <f>VLOOKUP(E306,Sales_Reps!$A:$E,3,FALSE)</f>
        <v>South</v>
      </c>
      <c r="N306" s="23" t="str">
        <f t="shared" si="12"/>
        <v>Dec-24</v>
      </c>
      <c r="O306" s="23" t="str">
        <f t="shared" si="13"/>
        <v>Q4 2024</v>
      </c>
      <c r="P306" s="23">
        <f>VLOOKUP(D306,Products!$A:$F,4,FALSE)</f>
        <v>2135</v>
      </c>
      <c r="Q306" s="35">
        <f t="shared" si="14"/>
        <v>0.42761394101876676</v>
      </c>
    </row>
    <row r="307" spans="1:17">
      <c r="A307" s="12" t="s">
        <v>696</v>
      </c>
      <c r="B307" s="13">
        <v>45309</v>
      </c>
      <c r="C307" s="12" t="s">
        <v>697</v>
      </c>
      <c r="D307" s="12" t="s">
        <v>460</v>
      </c>
      <c r="E307" s="12" t="s">
        <v>156</v>
      </c>
      <c r="F307" s="14">
        <v>5</v>
      </c>
      <c r="G307" s="14">
        <v>5080</v>
      </c>
      <c r="H307" s="14">
        <v>15.3</v>
      </c>
      <c r="I307" s="14">
        <v>21513.8</v>
      </c>
      <c r="J307" s="12" t="s">
        <v>104</v>
      </c>
      <c r="K307" s="12" t="s">
        <v>111</v>
      </c>
      <c r="L307" s="23" t="str">
        <f>VLOOKUP(D307,Products!$A:$F,3,FALSE)</f>
        <v>Home</v>
      </c>
      <c r="M307" s="23" t="str">
        <f>VLOOKUP(E307,Sales_Reps!$A:$E,3,FALSE)</f>
        <v>North</v>
      </c>
      <c r="N307" s="23" t="str">
        <f t="shared" si="12"/>
        <v>Jan-24</v>
      </c>
      <c r="O307" s="23" t="str">
        <f t="shared" si="13"/>
        <v>Q1 2024</v>
      </c>
      <c r="P307" s="23">
        <f>VLOOKUP(D307,Products!$A:$F,4,FALSE)</f>
        <v>2459</v>
      </c>
      <c r="Q307" s="35">
        <f t="shared" si="14"/>
        <v>0.51594488188976373</v>
      </c>
    </row>
    <row r="308" spans="1:17">
      <c r="A308" s="12" t="s">
        <v>698</v>
      </c>
      <c r="B308" s="13">
        <v>45403</v>
      </c>
      <c r="C308" s="12" t="s">
        <v>177</v>
      </c>
      <c r="D308" s="12" t="s">
        <v>403</v>
      </c>
      <c r="E308" s="12" t="s">
        <v>269</v>
      </c>
      <c r="F308" s="14">
        <v>9</v>
      </c>
      <c r="G308" s="14">
        <v>2290</v>
      </c>
      <c r="H308" s="14">
        <v>3.3</v>
      </c>
      <c r="I308" s="14">
        <v>19929.87</v>
      </c>
      <c r="J308" s="12" t="s">
        <v>110</v>
      </c>
      <c r="K308" s="12" t="s">
        <v>129</v>
      </c>
      <c r="L308" s="23" t="str">
        <f>VLOOKUP(D308,Products!$A:$F,3,FALSE)</f>
        <v>Beauty</v>
      </c>
      <c r="M308" s="23" t="str">
        <f>VLOOKUP(E308,Sales_Reps!$A:$E,3,FALSE)</f>
        <v>South</v>
      </c>
      <c r="N308" s="23" t="str">
        <f t="shared" si="12"/>
        <v>Apr-24</v>
      </c>
      <c r="O308" s="23" t="str">
        <f t="shared" si="13"/>
        <v>Q2 2024</v>
      </c>
      <c r="P308" s="23">
        <f>VLOOKUP(D308,Products!$A:$F,4,FALSE)</f>
        <v>1219</v>
      </c>
      <c r="Q308" s="35">
        <f t="shared" si="14"/>
        <v>0.46768558951965067</v>
      </c>
    </row>
    <row r="309" spans="1:17">
      <c r="A309" s="12" t="s">
        <v>699</v>
      </c>
      <c r="B309" s="13">
        <v>45554</v>
      </c>
      <c r="C309" s="12" t="s">
        <v>563</v>
      </c>
      <c r="D309" s="12" t="s">
        <v>296</v>
      </c>
      <c r="E309" s="12" t="s">
        <v>149</v>
      </c>
      <c r="F309" s="14">
        <v>5</v>
      </c>
      <c r="G309" s="14">
        <v>2660</v>
      </c>
      <c r="H309" s="14">
        <v>8.3000000000000007</v>
      </c>
      <c r="I309" s="14">
        <v>12196.1</v>
      </c>
      <c r="J309" s="12" t="s">
        <v>104</v>
      </c>
      <c r="K309" s="12" t="s">
        <v>116</v>
      </c>
      <c r="L309" s="23" t="str">
        <f>VLOOKUP(D309,Products!$A:$F,3,FALSE)</f>
        <v>Electronics</v>
      </c>
      <c r="M309" s="23" t="str">
        <f>VLOOKUP(E309,Sales_Reps!$A:$E,3,FALSE)</f>
        <v>South</v>
      </c>
      <c r="N309" s="23" t="str">
        <f t="shared" si="12"/>
        <v>Sep-24</v>
      </c>
      <c r="O309" s="23" t="str">
        <f t="shared" si="13"/>
        <v>Q3 2024</v>
      </c>
      <c r="P309" s="23">
        <f>VLOOKUP(D309,Products!$A:$F,4,FALSE)</f>
        <v>1259</v>
      </c>
      <c r="Q309" s="35">
        <f t="shared" si="14"/>
        <v>0.52669172932330832</v>
      </c>
    </row>
    <row r="310" spans="1:17">
      <c r="A310" s="12" t="s">
        <v>700</v>
      </c>
      <c r="B310" s="13">
        <v>45529</v>
      </c>
      <c r="C310" s="12" t="s">
        <v>701</v>
      </c>
      <c r="D310" s="12" t="s">
        <v>251</v>
      </c>
      <c r="E310" s="12" t="s">
        <v>128</v>
      </c>
      <c r="F310" s="14">
        <v>6</v>
      </c>
      <c r="G310" s="14">
        <v>3780</v>
      </c>
      <c r="H310" s="14">
        <v>28.3</v>
      </c>
      <c r="I310" s="14">
        <v>16261.56</v>
      </c>
      <c r="J310" s="12" t="s">
        <v>104</v>
      </c>
      <c r="K310" s="12" t="s">
        <v>116</v>
      </c>
      <c r="L310" s="23" t="str">
        <f>VLOOKUP(D310,Products!$A:$F,3,FALSE)</f>
        <v>Grocery</v>
      </c>
      <c r="M310" s="23" t="str">
        <f>VLOOKUP(E310,Sales_Reps!$A:$E,3,FALSE)</f>
        <v>West</v>
      </c>
      <c r="N310" s="23" t="str">
        <f t="shared" si="12"/>
        <v>Aug-24</v>
      </c>
      <c r="O310" s="23" t="str">
        <f t="shared" si="13"/>
        <v>Q3 2024</v>
      </c>
      <c r="P310" s="23">
        <f>VLOOKUP(D310,Products!$A:$F,4,FALSE)</f>
        <v>2436</v>
      </c>
      <c r="Q310" s="35">
        <f t="shared" si="14"/>
        <v>0.35555555555555557</v>
      </c>
    </row>
    <row r="311" spans="1:17">
      <c r="A311" s="12" t="s">
        <v>702</v>
      </c>
      <c r="B311" s="13">
        <v>45300</v>
      </c>
      <c r="C311" s="12" t="s">
        <v>703</v>
      </c>
      <c r="D311" s="12" t="s">
        <v>217</v>
      </c>
      <c r="E311" s="12" t="s">
        <v>145</v>
      </c>
      <c r="F311" s="14">
        <v>5</v>
      </c>
      <c r="G311" s="14">
        <v>2760</v>
      </c>
      <c r="H311" s="14">
        <v>4.9000000000000004</v>
      </c>
      <c r="I311" s="14">
        <v>13123.8</v>
      </c>
      <c r="J311" s="12" t="s">
        <v>104</v>
      </c>
      <c r="K311" s="12" t="s">
        <v>129</v>
      </c>
      <c r="L311" s="23" t="str">
        <f>VLOOKUP(D311,Products!$A:$F,3,FALSE)</f>
        <v>Grocery</v>
      </c>
      <c r="M311" s="23" t="str">
        <f>VLOOKUP(E311,Sales_Reps!$A:$E,3,FALSE)</f>
        <v>West</v>
      </c>
      <c r="N311" s="23" t="str">
        <f t="shared" si="12"/>
        <v>Jan-24</v>
      </c>
      <c r="O311" s="23" t="str">
        <f t="shared" si="13"/>
        <v>Q1 2024</v>
      </c>
      <c r="P311" s="23">
        <f>VLOOKUP(D311,Products!$A:$F,4,FALSE)</f>
        <v>1435</v>
      </c>
      <c r="Q311" s="35">
        <f t="shared" si="14"/>
        <v>0.48007246376811596</v>
      </c>
    </row>
    <row r="312" spans="1:17">
      <c r="A312" s="12" t="s">
        <v>704</v>
      </c>
      <c r="B312" s="13">
        <v>45368</v>
      </c>
      <c r="C312" s="12" t="s">
        <v>350</v>
      </c>
      <c r="D312" s="12" t="s">
        <v>276</v>
      </c>
      <c r="E312" s="12" t="s">
        <v>120</v>
      </c>
      <c r="F312" s="14">
        <v>8</v>
      </c>
      <c r="G312" s="14">
        <v>1540</v>
      </c>
      <c r="H312" s="14">
        <v>29.4</v>
      </c>
      <c r="I312" s="14">
        <v>8697.92</v>
      </c>
      <c r="J312" s="12" t="s">
        <v>157</v>
      </c>
      <c r="K312" s="12" t="s">
        <v>150</v>
      </c>
      <c r="L312" s="23" t="str">
        <f>VLOOKUP(D312,Products!$A:$F,3,FALSE)</f>
        <v>Beauty</v>
      </c>
      <c r="M312" s="23" t="str">
        <f>VLOOKUP(E312,Sales_Reps!$A:$E,3,FALSE)</f>
        <v>North</v>
      </c>
      <c r="N312" s="23" t="str">
        <f t="shared" si="12"/>
        <v>Mar-24</v>
      </c>
      <c r="O312" s="23" t="str">
        <f t="shared" si="13"/>
        <v>Q1 2024</v>
      </c>
      <c r="P312" s="23">
        <f>VLOOKUP(D312,Products!$A:$F,4,FALSE)</f>
        <v>647</v>
      </c>
      <c r="Q312" s="35">
        <f t="shared" si="14"/>
        <v>0.57987012987012987</v>
      </c>
    </row>
    <row r="313" spans="1:17">
      <c r="A313" s="12" t="s">
        <v>705</v>
      </c>
      <c r="B313" s="13">
        <v>45374</v>
      </c>
      <c r="C313" s="12" t="s">
        <v>706</v>
      </c>
      <c r="D313" s="12" t="s">
        <v>201</v>
      </c>
      <c r="E313" s="12" t="s">
        <v>302</v>
      </c>
      <c r="F313" s="14">
        <v>1</v>
      </c>
      <c r="G313" s="14">
        <v>4880</v>
      </c>
      <c r="H313" s="14">
        <v>18.100000000000001</v>
      </c>
      <c r="I313" s="14">
        <v>3996.72</v>
      </c>
      <c r="J313" s="12" t="s">
        <v>104</v>
      </c>
      <c r="K313" s="12" t="s">
        <v>150</v>
      </c>
      <c r="L313" s="23" t="str">
        <f>VLOOKUP(D313,Products!$A:$F,3,FALSE)</f>
        <v>Beauty</v>
      </c>
      <c r="M313" s="23" t="str">
        <f>VLOOKUP(E313,Sales_Reps!$A:$E,3,FALSE)</f>
        <v>East</v>
      </c>
      <c r="N313" s="23" t="str">
        <f t="shared" si="12"/>
        <v>Mar-24</v>
      </c>
      <c r="O313" s="23" t="str">
        <f t="shared" si="13"/>
        <v>Q1 2024</v>
      </c>
      <c r="P313" s="23">
        <f>VLOOKUP(D313,Products!$A:$F,4,FALSE)</f>
        <v>2768</v>
      </c>
      <c r="Q313" s="35">
        <f t="shared" si="14"/>
        <v>0.43278688524590164</v>
      </c>
    </row>
    <row r="314" spans="1:17">
      <c r="A314" s="12" t="s">
        <v>707</v>
      </c>
      <c r="B314" s="13">
        <v>45592</v>
      </c>
      <c r="C314" s="12" t="s">
        <v>499</v>
      </c>
      <c r="D314" s="12" t="s">
        <v>148</v>
      </c>
      <c r="E314" s="12" t="s">
        <v>205</v>
      </c>
      <c r="F314" s="14">
        <v>8</v>
      </c>
      <c r="G314" s="14">
        <v>2270</v>
      </c>
      <c r="H314" s="14">
        <v>19.8</v>
      </c>
      <c r="I314" s="14">
        <v>14564.32</v>
      </c>
      <c r="J314" s="12" t="s">
        <v>110</v>
      </c>
      <c r="K314" s="12" t="s">
        <v>150</v>
      </c>
      <c r="L314" s="23" t="str">
        <f>VLOOKUP(D314,Products!$A:$F,3,FALSE)</f>
        <v>Grocery</v>
      </c>
      <c r="M314" s="23" t="str">
        <f>VLOOKUP(E314,Sales_Reps!$A:$E,3,FALSE)</f>
        <v>South</v>
      </c>
      <c r="N314" s="23" t="str">
        <f t="shared" si="12"/>
        <v>Oct-24</v>
      </c>
      <c r="O314" s="23" t="str">
        <f t="shared" si="13"/>
        <v>Q4 2024</v>
      </c>
      <c r="P314" s="23">
        <f>VLOOKUP(D314,Products!$A:$F,4,FALSE)</f>
        <v>1203</v>
      </c>
      <c r="Q314" s="35">
        <f t="shared" si="14"/>
        <v>0.47004405286343615</v>
      </c>
    </row>
    <row r="315" spans="1:17">
      <c r="A315" s="12" t="s">
        <v>708</v>
      </c>
      <c r="B315" s="13">
        <v>45508</v>
      </c>
      <c r="C315" s="12" t="s">
        <v>632</v>
      </c>
      <c r="D315" s="12" t="s">
        <v>184</v>
      </c>
      <c r="E315" s="12" t="s">
        <v>149</v>
      </c>
      <c r="F315" s="14">
        <v>10</v>
      </c>
      <c r="G315" s="14">
        <v>2480</v>
      </c>
      <c r="H315" s="14">
        <v>24.4</v>
      </c>
      <c r="I315" s="14">
        <v>18748.8</v>
      </c>
      <c r="J315" s="12" t="s">
        <v>110</v>
      </c>
      <c r="K315" s="12" t="s">
        <v>129</v>
      </c>
      <c r="L315" s="23" t="str">
        <f>VLOOKUP(D315,Products!$A:$F,3,FALSE)</f>
        <v>Apparel</v>
      </c>
      <c r="M315" s="23" t="str">
        <f>VLOOKUP(E315,Sales_Reps!$A:$E,3,FALSE)</f>
        <v>South</v>
      </c>
      <c r="N315" s="23" t="str">
        <f t="shared" si="12"/>
        <v>Aug-24</v>
      </c>
      <c r="O315" s="23" t="str">
        <f t="shared" si="13"/>
        <v>Q3 2024</v>
      </c>
      <c r="P315" s="23">
        <f>VLOOKUP(D315,Products!$A:$F,4,FALSE)</f>
        <v>1173</v>
      </c>
      <c r="Q315" s="35">
        <f t="shared" si="14"/>
        <v>0.52701612903225803</v>
      </c>
    </row>
    <row r="316" spans="1:17">
      <c r="A316" s="12" t="s">
        <v>709</v>
      </c>
      <c r="B316" s="13">
        <v>45481</v>
      </c>
      <c r="C316" s="12" t="s">
        <v>147</v>
      </c>
      <c r="D316" s="12" t="s">
        <v>293</v>
      </c>
      <c r="E316" s="12" t="s">
        <v>115</v>
      </c>
      <c r="F316" s="14">
        <v>8</v>
      </c>
      <c r="G316" s="14">
        <v>3020</v>
      </c>
      <c r="H316" s="14">
        <v>15.2</v>
      </c>
      <c r="I316" s="14">
        <v>20487.68</v>
      </c>
      <c r="J316" s="12" t="s">
        <v>110</v>
      </c>
      <c r="K316" s="12" t="s">
        <v>150</v>
      </c>
      <c r="L316" s="23" t="str">
        <f>VLOOKUP(D316,Products!$A:$F,3,FALSE)</f>
        <v>Beauty</v>
      </c>
      <c r="M316" s="23" t="str">
        <f>VLOOKUP(E316,Sales_Reps!$A:$E,3,FALSE)</f>
        <v>South</v>
      </c>
      <c r="N316" s="23" t="str">
        <f t="shared" si="12"/>
        <v>Jul-24</v>
      </c>
      <c r="O316" s="23" t="str">
        <f t="shared" si="13"/>
        <v>Q3 2024</v>
      </c>
      <c r="P316" s="23">
        <f>VLOOKUP(D316,Products!$A:$F,4,FALSE)</f>
        <v>1626</v>
      </c>
      <c r="Q316" s="35">
        <f t="shared" si="14"/>
        <v>0.46158940397350995</v>
      </c>
    </row>
    <row r="317" spans="1:17">
      <c r="A317" s="12" t="s">
        <v>710</v>
      </c>
      <c r="B317" s="13">
        <v>45517</v>
      </c>
      <c r="C317" s="12" t="s">
        <v>345</v>
      </c>
      <c r="D317" s="12" t="s">
        <v>276</v>
      </c>
      <c r="E317" s="12" t="s">
        <v>138</v>
      </c>
      <c r="F317" s="14">
        <v>10</v>
      </c>
      <c r="G317" s="14">
        <v>1540</v>
      </c>
      <c r="H317" s="14">
        <v>0.6</v>
      </c>
      <c r="I317" s="14">
        <v>15307.6</v>
      </c>
      <c r="J317" s="12" t="s">
        <v>104</v>
      </c>
      <c r="K317" s="12" t="s">
        <v>111</v>
      </c>
      <c r="L317" s="23" t="str">
        <f>VLOOKUP(D317,Products!$A:$F,3,FALSE)</f>
        <v>Beauty</v>
      </c>
      <c r="M317" s="23" t="str">
        <f>VLOOKUP(E317,Sales_Reps!$A:$E,3,FALSE)</f>
        <v>East</v>
      </c>
      <c r="N317" s="23" t="str">
        <f t="shared" si="12"/>
        <v>Aug-24</v>
      </c>
      <c r="O317" s="23" t="str">
        <f t="shared" si="13"/>
        <v>Q3 2024</v>
      </c>
      <c r="P317" s="23">
        <f>VLOOKUP(D317,Products!$A:$F,4,FALSE)</f>
        <v>647</v>
      </c>
      <c r="Q317" s="35">
        <f t="shared" si="14"/>
        <v>0.57987012987012987</v>
      </c>
    </row>
    <row r="318" spans="1:17">
      <c r="A318" s="12" t="s">
        <v>711</v>
      </c>
      <c r="B318" s="13">
        <v>45632</v>
      </c>
      <c r="C318" s="12" t="s">
        <v>507</v>
      </c>
      <c r="D318" s="12" t="s">
        <v>123</v>
      </c>
      <c r="E318" s="12" t="s">
        <v>232</v>
      </c>
      <c r="F318" s="14">
        <v>7</v>
      </c>
      <c r="G318" s="14">
        <v>3160</v>
      </c>
      <c r="H318" s="14">
        <v>8.9</v>
      </c>
      <c r="I318" s="14">
        <v>20151.32</v>
      </c>
      <c r="J318" s="12" t="s">
        <v>104</v>
      </c>
      <c r="K318" s="12" t="s">
        <v>116</v>
      </c>
      <c r="L318" s="23" t="str">
        <f>VLOOKUP(D318,Products!$A:$F,3,FALSE)</f>
        <v>Apparel</v>
      </c>
      <c r="M318" s="23" t="str">
        <f>VLOOKUP(E318,Sales_Reps!$A:$E,3,FALSE)</f>
        <v>North</v>
      </c>
      <c r="N318" s="23" t="str">
        <f t="shared" si="12"/>
        <v>Dec-24</v>
      </c>
      <c r="O318" s="23" t="str">
        <f t="shared" si="13"/>
        <v>Q4 2024</v>
      </c>
      <c r="P318" s="23">
        <f>VLOOKUP(D318,Products!$A:$F,4,FALSE)</f>
        <v>1886</v>
      </c>
      <c r="Q318" s="35">
        <f t="shared" si="14"/>
        <v>0.4031645569620253</v>
      </c>
    </row>
    <row r="319" spans="1:17">
      <c r="A319" s="12" t="s">
        <v>712</v>
      </c>
      <c r="B319" s="13">
        <v>45592</v>
      </c>
      <c r="C319" s="12" t="s">
        <v>227</v>
      </c>
      <c r="D319" s="12" t="s">
        <v>199</v>
      </c>
      <c r="E319" s="12" t="s">
        <v>269</v>
      </c>
      <c r="F319" s="14">
        <v>6</v>
      </c>
      <c r="G319" s="14">
        <v>1010</v>
      </c>
      <c r="H319" s="14">
        <v>12.9</v>
      </c>
      <c r="I319" s="14">
        <v>5278.26</v>
      </c>
      <c r="J319" s="12" t="s">
        <v>104</v>
      </c>
      <c r="K319" s="12" t="s">
        <v>116</v>
      </c>
      <c r="L319" s="23" t="str">
        <f>VLOOKUP(D319,Products!$A:$F,3,FALSE)</f>
        <v>Sports</v>
      </c>
      <c r="M319" s="23" t="str">
        <f>VLOOKUP(E319,Sales_Reps!$A:$E,3,FALSE)</f>
        <v>South</v>
      </c>
      <c r="N319" s="23" t="str">
        <f t="shared" si="12"/>
        <v>Oct-24</v>
      </c>
      <c r="O319" s="23" t="str">
        <f t="shared" si="13"/>
        <v>Q4 2024</v>
      </c>
      <c r="P319" s="23">
        <f>VLOOKUP(D319,Products!$A:$F,4,FALSE)</f>
        <v>516</v>
      </c>
      <c r="Q319" s="35">
        <f t="shared" si="14"/>
        <v>0.4891089108910891</v>
      </c>
    </row>
    <row r="320" spans="1:17">
      <c r="A320" s="12" t="s">
        <v>713</v>
      </c>
      <c r="B320" s="13">
        <v>45450</v>
      </c>
      <c r="C320" s="12" t="s">
        <v>714</v>
      </c>
      <c r="D320" s="12" t="s">
        <v>287</v>
      </c>
      <c r="E320" s="12" t="s">
        <v>209</v>
      </c>
      <c r="F320" s="14">
        <v>4</v>
      </c>
      <c r="G320" s="14">
        <v>4610</v>
      </c>
      <c r="H320" s="14">
        <v>18.2</v>
      </c>
      <c r="I320" s="14">
        <v>15083.92</v>
      </c>
      <c r="J320" s="12" t="s">
        <v>104</v>
      </c>
      <c r="K320" s="12" t="s">
        <v>150</v>
      </c>
      <c r="L320" s="23" t="str">
        <f>VLOOKUP(D320,Products!$A:$F,3,FALSE)</f>
        <v>Home</v>
      </c>
      <c r="M320" s="23" t="str">
        <f>VLOOKUP(E320,Sales_Reps!$A:$E,3,FALSE)</f>
        <v>East</v>
      </c>
      <c r="N320" s="23" t="str">
        <f t="shared" si="12"/>
        <v>Jun-24</v>
      </c>
      <c r="O320" s="23" t="str">
        <f t="shared" si="13"/>
        <v>Q2 2024</v>
      </c>
      <c r="P320" s="23">
        <f>VLOOKUP(D320,Products!$A:$F,4,FALSE)</f>
        <v>1850</v>
      </c>
      <c r="Q320" s="35">
        <f t="shared" si="14"/>
        <v>0.59869848156182215</v>
      </c>
    </row>
    <row r="321" spans="1:17">
      <c r="A321" s="12" t="s">
        <v>715</v>
      </c>
      <c r="B321" s="13">
        <v>45343</v>
      </c>
      <c r="C321" s="12" t="s">
        <v>280</v>
      </c>
      <c r="D321" s="12" t="s">
        <v>368</v>
      </c>
      <c r="E321" s="12" t="s">
        <v>246</v>
      </c>
      <c r="F321" s="14">
        <v>6</v>
      </c>
      <c r="G321" s="14">
        <v>4060</v>
      </c>
      <c r="H321" s="14">
        <v>24.3</v>
      </c>
      <c r="I321" s="14">
        <v>18440.52</v>
      </c>
      <c r="J321" s="12" t="s">
        <v>104</v>
      </c>
      <c r="K321" s="12" t="s">
        <v>150</v>
      </c>
      <c r="L321" s="23" t="str">
        <f>VLOOKUP(D321,Products!$A:$F,3,FALSE)</f>
        <v>Grocery</v>
      </c>
      <c r="M321" s="23" t="str">
        <f>VLOOKUP(E321,Sales_Reps!$A:$E,3,FALSE)</f>
        <v>West</v>
      </c>
      <c r="N321" s="23" t="str">
        <f t="shared" si="12"/>
        <v>Feb-24</v>
      </c>
      <c r="O321" s="23" t="str">
        <f t="shared" si="13"/>
        <v>Q1 2024</v>
      </c>
      <c r="P321" s="23">
        <f>VLOOKUP(D321,Products!$A:$F,4,FALSE)</f>
        <v>2911</v>
      </c>
      <c r="Q321" s="35">
        <f t="shared" si="14"/>
        <v>0.28300492610837441</v>
      </c>
    </row>
    <row r="322" spans="1:17">
      <c r="A322" s="12" t="s">
        <v>716</v>
      </c>
      <c r="B322" s="13">
        <v>45509</v>
      </c>
      <c r="C322" s="12" t="s">
        <v>717</v>
      </c>
      <c r="D322" s="12" t="s">
        <v>309</v>
      </c>
      <c r="E322" s="12" t="s">
        <v>232</v>
      </c>
      <c r="F322" s="14">
        <v>5</v>
      </c>
      <c r="G322" s="14">
        <v>620</v>
      </c>
      <c r="H322" s="14">
        <v>10.7</v>
      </c>
      <c r="I322" s="14">
        <v>2768.3</v>
      </c>
      <c r="J322" s="12" t="s">
        <v>161</v>
      </c>
      <c r="K322" s="12" t="s">
        <v>111</v>
      </c>
      <c r="L322" s="23" t="str">
        <f>VLOOKUP(D322,Products!$A:$F,3,FALSE)</f>
        <v>Apparel</v>
      </c>
      <c r="M322" s="23" t="str">
        <f>VLOOKUP(E322,Sales_Reps!$A:$E,3,FALSE)</f>
        <v>North</v>
      </c>
      <c r="N322" s="23" t="str">
        <f t="shared" si="12"/>
        <v>Aug-24</v>
      </c>
      <c r="O322" s="23" t="str">
        <f t="shared" si="13"/>
        <v>Q3 2024</v>
      </c>
      <c r="P322" s="23">
        <f>VLOOKUP(D322,Products!$A:$F,4,FALSE)</f>
        <v>396</v>
      </c>
      <c r="Q322" s="35">
        <f t="shared" si="14"/>
        <v>0.36129032258064514</v>
      </c>
    </row>
    <row r="323" spans="1:17">
      <c r="A323" s="12" t="s">
        <v>718</v>
      </c>
      <c r="B323" s="13">
        <v>45513</v>
      </c>
      <c r="C323" s="12" t="s">
        <v>471</v>
      </c>
      <c r="D323" s="12" t="s">
        <v>676</v>
      </c>
      <c r="E323" s="12" t="s">
        <v>165</v>
      </c>
      <c r="F323" s="14">
        <v>3</v>
      </c>
      <c r="G323" s="14">
        <v>3560</v>
      </c>
      <c r="H323" s="14">
        <v>4.0999999999999996</v>
      </c>
      <c r="I323" s="14">
        <v>10242.120000000001</v>
      </c>
      <c r="J323" s="12" t="s">
        <v>104</v>
      </c>
      <c r="K323" s="12" t="s">
        <v>150</v>
      </c>
      <c r="L323" s="23" t="str">
        <f>VLOOKUP(D323,Products!$A:$F,3,FALSE)</f>
        <v>Apparel</v>
      </c>
      <c r="M323" s="23" t="str">
        <f>VLOOKUP(E323,Sales_Reps!$A:$E,3,FALSE)</f>
        <v>North</v>
      </c>
      <c r="N323" s="23" t="str">
        <f t="shared" ref="N323:N386" si="15">TEXT(B323, "mmm-yy")</f>
        <v>Aug-24</v>
      </c>
      <c r="O323" s="23" t="str">
        <f t="shared" ref="O323:O386" si="16">"Q" &amp; INT((MONTH(B323)-1)/3)+1 &amp; " " &amp; YEAR(B323)</f>
        <v>Q3 2024</v>
      </c>
      <c r="P323" s="23">
        <f>VLOOKUP(D323,Products!$A:$F,4,FALSE)</f>
        <v>2629</v>
      </c>
      <c r="Q323" s="35">
        <f t="shared" ref="Q323:Q386" si="17">(G323 - P323) / G323</f>
        <v>0.26151685393258428</v>
      </c>
    </row>
    <row r="324" spans="1:17">
      <c r="A324" s="12" t="s">
        <v>719</v>
      </c>
      <c r="B324" s="13">
        <v>45500</v>
      </c>
      <c r="C324" s="12" t="s">
        <v>720</v>
      </c>
      <c r="D324" s="12" t="s">
        <v>168</v>
      </c>
      <c r="E324" s="12" t="s">
        <v>342</v>
      </c>
      <c r="F324" s="14">
        <v>2</v>
      </c>
      <c r="G324" s="14">
        <v>2400</v>
      </c>
      <c r="H324" s="14">
        <v>13</v>
      </c>
      <c r="I324" s="14">
        <v>4176</v>
      </c>
      <c r="J324" s="12" t="s">
        <v>104</v>
      </c>
      <c r="K324" s="12" t="s">
        <v>105</v>
      </c>
      <c r="L324" s="23" t="str">
        <f>VLOOKUP(D324,Products!$A:$F,3,FALSE)</f>
        <v>Sports</v>
      </c>
      <c r="M324" s="23" t="str">
        <f>VLOOKUP(E324,Sales_Reps!$A:$E,3,FALSE)</f>
        <v>South</v>
      </c>
      <c r="N324" s="23" t="str">
        <f t="shared" si="15"/>
        <v>Jul-24</v>
      </c>
      <c r="O324" s="23" t="str">
        <f t="shared" si="16"/>
        <v>Q3 2024</v>
      </c>
      <c r="P324" s="23">
        <f>VLOOKUP(D324,Products!$A:$F,4,FALSE)</f>
        <v>974</v>
      </c>
      <c r="Q324" s="35">
        <f t="shared" si="17"/>
        <v>0.59416666666666662</v>
      </c>
    </row>
    <row r="325" spans="1:17">
      <c r="A325" s="12" t="s">
        <v>721</v>
      </c>
      <c r="B325" s="13">
        <v>45407</v>
      </c>
      <c r="C325" s="12" t="s">
        <v>722</v>
      </c>
      <c r="D325" s="12" t="s">
        <v>532</v>
      </c>
      <c r="E325" s="12" t="s">
        <v>120</v>
      </c>
      <c r="F325" s="14">
        <v>9</v>
      </c>
      <c r="G325" s="14">
        <v>6940</v>
      </c>
      <c r="H325" s="14">
        <v>26.2</v>
      </c>
      <c r="I325" s="14">
        <v>46095.48</v>
      </c>
      <c r="J325" s="12" t="s">
        <v>104</v>
      </c>
      <c r="K325" s="12" t="s">
        <v>116</v>
      </c>
      <c r="L325" s="23" t="str">
        <f>VLOOKUP(D325,Products!$A:$F,3,FALSE)</f>
        <v>Sports</v>
      </c>
      <c r="M325" s="23" t="str">
        <f>VLOOKUP(E325,Sales_Reps!$A:$E,3,FALSE)</f>
        <v>North</v>
      </c>
      <c r="N325" s="23" t="str">
        <f t="shared" si="15"/>
        <v>Apr-24</v>
      </c>
      <c r="O325" s="23" t="str">
        <f t="shared" si="16"/>
        <v>Q2 2024</v>
      </c>
      <c r="P325" s="23">
        <f>VLOOKUP(D325,Products!$A:$F,4,FALSE)</f>
        <v>2827</v>
      </c>
      <c r="Q325" s="35">
        <f t="shared" si="17"/>
        <v>0.5926512968299712</v>
      </c>
    </row>
    <row r="326" spans="1:17">
      <c r="A326" s="12" t="s">
        <v>723</v>
      </c>
      <c r="B326" s="13">
        <v>45385</v>
      </c>
      <c r="C326" s="12" t="s">
        <v>724</v>
      </c>
      <c r="D326" s="12" t="s">
        <v>384</v>
      </c>
      <c r="E326" s="12" t="s">
        <v>128</v>
      </c>
      <c r="F326" s="14">
        <v>9</v>
      </c>
      <c r="G326" s="14">
        <v>2380</v>
      </c>
      <c r="H326" s="14">
        <v>22.7</v>
      </c>
      <c r="I326" s="14">
        <v>16557.66</v>
      </c>
      <c r="J326" s="12" t="s">
        <v>104</v>
      </c>
      <c r="K326" s="12" t="s">
        <v>129</v>
      </c>
      <c r="L326" s="23" t="str">
        <f>VLOOKUP(D326,Products!$A:$F,3,FALSE)</f>
        <v>Grocery</v>
      </c>
      <c r="M326" s="23" t="str">
        <f>VLOOKUP(E326,Sales_Reps!$A:$E,3,FALSE)</f>
        <v>West</v>
      </c>
      <c r="N326" s="23" t="str">
        <f t="shared" si="15"/>
        <v>Apr-24</v>
      </c>
      <c r="O326" s="23" t="str">
        <f t="shared" si="16"/>
        <v>Q2 2024</v>
      </c>
      <c r="P326" s="23">
        <f>VLOOKUP(D326,Products!$A:$F,4,FALSE)</f>
        <v>1182</v>
      </c>
      <c r="Q326" s="35">
        <f t="shared" si="17"/>
        <v>0.50336134453781511</v>
      </c>
    </row>
    <row r="327" spans="1:17">
      <c r="A327" s="12" t="s">
        <v>725</v>
      </c>
      <c r="B327" s="13">
        <v>45542</v>
      </c>
      <c r="C327" s="12" t="s">
        <v>283</v>
      </c>
      <c r="D327" s="12" t="s">
        <v>102</v>
      </c>
      <c r="E327" s="12" t="s">
        <v>145</v>
      </c>
      <c r="F327" s="14">
        <v>6</v>
      </c>
      <c r="G327" s="14">
        <v>3620</v>
      </c>
      <c r="H327" s="14">
        <v>9.1999999999999993</v>
      </c>
      <c r="I327" s="14">
        <v>19721.759999999998</v>
      </c>
      <c r="J327" s="12" t="s">
        <v>104</v>
      </c>
      <c r="K327" s="12" t="s">
        <v>116</v>
      </c>
      <c r="L327" s="23" t="str">
        <f>VLOOKUP(D327,Products!$A:$F,3,FALSE)</f>
        <v>Apparel</v>
      </c>
      <c r="M327" s="23" t="str">
        <f>VLOOKUP(E327,Sales_Reps!$A:$E,3,FALSE)</f>
        <v>West</v>
      </c>
      <c r="N327" s="23" t="str">
        <f t="shared" si="15"/>
        <v>Sep-24</v>
      </c>
      <c r="O327" s="23" t="str">
        <f t="shared" si="16"/>
        <v>Q3 2024</v>
      </c>
      <c r="P327" s="23">
        <f>VLOOKUP(D327,Products!$A:$F,4,FALSE)</f>
        <v>2509</v>
      </c>
      <c r="Q327" s="35">
        <f t="shared" si="17"/>
        <v>0.3069060773480663</v>
      </c>
    </row>
    <row r="328" spans="1:17">
      <c r="A328" s="12" t="s">
        <v>726</v>
      </c>
      <c r="B328" s="13">
        <v>45422</v>
      </c>
      <c r="C328" s="12" t="s">
        <v>471</v>
      </c>
      <c r="D328" s="12" t="s">
        <v>258</v>
      </c>
      <c r="E328" s="12" t="s">
        <v>156</v>
      </c>
      <c r="F328" s="14">
        <v>1</v>
      </c>
      <c r="G328" s="14">
        <v>6080</v>
      </c>
      <c r="H328" s="14">
        <v>29.4</v>
      </c>
      <c r="I328" s="14">
        <v>4292.4799999999996</v>
      </c>
      <c r="J328" s="12" t="s">
        <v>157</v>
      </c>
      <c r="K328" s="12" t="s">
        <v>150</v>
      </c>
      <c r="L328" s="23" t="str">
        <f>VLOOKUP(D328,Products!$A:$F,3,FALSE)</f>
        <v>Beauty</v>
      </c>
      <c r="M328" s="23" t="str">
        <f>VLOOKUP(E328,Sales_Reps!$A:$E,3,FALSE)</f>
        <v>North</v>
      </c>
      <c r="N328" s="23" t="str">
        <f t="shared" si="15"/>
        <v>May-24</v>
      </c>
      <c r="O328" s="23" t="str">
        <f t="shared" si="16"/>
        <v>Q2 2024</v>
      </c>
      <c r="P328" s="23">
        <f>VLOOKUP(D328,Products!$A:$F,4,FALSE)</f>
        <v>2617</v>
      </c>
      <c r="Q328" s="35">
        <f t="shared" si="17"/>
        <v>0.56957236842105263</v>
      </c>
    </row>
    <row r="329" spans="1:17">
      <c r="A329" s="12" t="s">
        <v>727</v>
      </c>
      <c r="B329" s="13">
        <v>45343</v>
      </c>
      <c r="C329" s="12" t="s">
        <v>697</v>
      </c>
      <c r="D329" s="12" t="s">
        <v>108</v>
      </c>
      <c r="E329" s="12" t="s">
        <v>320</v>
      </c>
      <c r="F329" s="14">
        <v>6</v>
      </c>
      <c r="G329" s="14">
        <v>820</v>
      </c>
      <c r="H329" s="14">
        <v>29.1</v>
      </c>
      <c r="I329" s="14">
        <v>3488.28</v>
      </c>
      <c r="J329" s="12" t="s">
        <v>104</v>
      </c>
      <c r="K329" s="12" t="s">
        <v>111</v>
      </c>
      <c r="L329" s="23" t="str">
        <f>VLOOKUP(D329,Products!$A:$F,3,FALSE)</f>
        <v>Apparel</v>
      </c>
      <c r="M329" s="23" t="str">
        <f>VLOOKUP(E329,Sales_Reps!$A:$E,3,FALSE)</f>
        <v>East</v>
      </c>
      <c r="N329" s="23" t="str">
        <f t="shared" si="15"/>
        <v>Feb-24</v>
      </c>
      <c r="O329" s="23" t="str">
        <f t="shared" si="16"/>
        <v>Q1 2024</v>
      </c>
      <c r="P329" s="23">
        <f>VLOOKUP(D329,Products!$A:$F,4,FALSE)</f>
        <v>391</v>
      </c>
      <c r="Q329" s="35">
        <f t="shared" si="17"/>
        <v>0.52317073170731709</v>
      </c>
    </row>
    <row r="330" spans="1:17">
      <c r="A330" s="12" t="s">
        <v>728</v>
      </c>
      <c r="B330" s="13">
        <v>45646</v>
      </c>
      <c r="C330" s="12" t="s">
        <v>729</v>
      </c>
      <c r="D330" s="12" t="s">
        <v>293</v>
      </c>
      <c r="E330" s="12" t="s">
        <v>133</v>
      </c>
      <c r="F330" s="14">
        <v>9</v>
      </c>
      <c r="G330" s="14">
        <v>3020</v>
      </c>
      <c r="H330" s="14">
        <v>7.9</v>
      </c>
      <c r="I330" s="14">
        <v>25032.78</v>
      </c>
      <c r="J330" s="12" t="s">
        <v>104</v>
      </c>
      <c r="K330" s="12" t="s">
        <v>129</v>
      </c>
      <c r="L330" s="23" t="str">
        <f>VLOOKUP(D330,Products!$A:$F,3,FALSE)</f>
        <v>Beauty</v>
      </c>
      <c r="M330" s="23" t="str">
        <f>VLOOKUP(E330,Sales_Reps!$A:$E,3,FALSE)</f>
        <v>West</v>
      </c>
      <c r="N330" s="23" t="str">
        <f t="shared" si="15"/>
        <v>Dec-24</v>
      </c>
      <c r="O330" s="23" t="str">
        <f t="shared" si="16"/>
        <v>Q4 2024</v>
      </c>
      <c r="P330" s="23">
        <f>VLOOKUP(D330,Products!$A:$F,4,FALSE)</f>
        <v>1626</v>
      </c>
      <c r="Q330" s="35">
        <f t="shared" si="17"/>
        <v>0.46158940397350995</v>
      </c>
    </row>
    <row r="331" spans="1:17">
      <c r="A331" s="12" t="s">
        <v>730</v>
      </c>
      <c r="B331" s="13">
        <v>45645</v>
      </c>
      <c r="C331" s="12" t="s">
        <v>731</v>
      </c>
      <c r="D331" s="12" t="s">
        <v>265</v>
      </c>
      <c r="E331" s="12" t="s">
        <v>246</v>
      </c>
      <c r="F331" s="14">
        <v>8</v>
      </c>
      <c r="G331" s="14">
        <v>3870</v>
      </c>
      <c r="H331" s="14">
        <v>11.9</v>
      </c>
      <c r="I331" s="14">
        <v>27275.759999999998</v>
      </c>
      <c r="J331" s="12" t="s">
        <v>104</v>
      </c>
      <c r="K331" s="12" t="s">
        <v>116</v>
      </c>
      <c r="L331" s="23" t="str">
        <f>VLOOKUP(D331,Products!$A:$F,3,FALSE)</f>
        <v>Electronics</v>
      </c>
      <c r="M331" s="23" t="str">
        <f>VLOOKUP(E331,Sales_Reps!$A:$E,3,FALSE)</f>
        <v>West</v>
      </c>
      <c r="N331" s="23" t="str">
        <f t="shared" si="15"/>
        <v>Dec-24</v>
      </c>
      <c r="O331" s="23" t="str">
        <f t="shared" si="16"/>
        <v>Q4 2024</v>
      </c>
      <c r="P331" s="23">
        <f>VLOOKUP(D331,Products!$A:$F,4,FALSE)</f>
        <v>1559</v>
      </c>
      <c r="Q331" s="35">
        <f t="shared" si="17"/>
        <v>0.59715762273901807</v>
      </c>
    </row>
    <row r="332" spans="1:17">
      <c r="A332" s="12" t="s">
        <v>732</v>
      </c>
      <c r="B332" s="13">
        <v>45528</v>
      </c>
      <c r="C332" s="12" t="s">
        <v>457</v>
      </c>
      <c r="D332" s="12" t="s">
        <v>174</v>
      </c>
      <c r="E332" s="12" t="s">
        <v>187</v>
      </c>
      <c r="F332" s="14">
        <v>6</v>
      </c>
      <c r="G332" s="14">
        <v>3450</v>
      </c>
      <c r="H332" s="14">
        <v>13.9</v>
      </c>
      <c r="I332" s="14">
        <v>17822.7</v>
      </c>
      <c r="J332" s="12" t="s">
        <v>104</v>
      </c>
      <c r="K332" s="12" t="s">
        <v>105</v>
      </c>
      <c r="L332" s="23" t="str">
        <f>VLOOKUP(D332,Products!$A:$F,3,FALSE)</f>
        <v>Beauty</v>
      </c>
      <c r="M332" s="23" t="str">
        <f>VLOOKUP(E332,Sales_Reps!$A:$E,3,FALSE)</f>
        <v>West</v>
      </c>
      <c r="N332" s="23" t="str">
        <f t="shared" si="15"/>
        <v>Aug-24</v>
      </c>
      <c r="O332" s="23" t="str">
        <f t="shared" si="16"/>
        <v>Q3 2024</v>
      </c>
      <c r="P332" s="23">
        <f>VLOOKUP(D332,Products!$A:$F,4,FALSE)</f>
        <v>2420</v>
      </c>
      <c r="Q332" s="35">
        <f t="shared" si="17"/>
        <v>0.29855072463768118</v>
      </c>
    </row>
    <row r="333" spans="1:17">
      <c r="A333" s="12" t="s">
        <v>733</v>
      </c>
      <c r="B333" s="13">
        <v>45655</v>
      </c>
      <c r="C333" s="12" t="s">
        <v>734</v>
      </c>
      <c r="D333" s="12" t="s">
        <v>208</v>
      </c>
      <c r="E333" s="12" t="s">
        <v>124</v>
      </c>
      <c r="F333" s="14">
        <v>9</v>
      </c>
      <c r="G333" s="14">
        <v>5100</v>
      </c>
      <c r="H333" s="14">
        <v>2.1</v>
      </c>
      <c r="I333" s="14">
        <v>44936.1</v>
      </c>
      <c r="J333" s="12" t="s">
        <v>104</v>
      </c>
      <c r="K333" s="12" t="s">
        <v>111</v>
      </c>
      <c r="L333" s="23" t="str">
        <f>VLOOKUP(D333,Products!$A:$F,3,FALSE)</f>
        <v>Beauty</v>
      </c>
      <c r="M333" s="23" t="str">
        <f>VLOOKUP(E333,Sales_Reps!$A:$E,3,FALSE)</f>
        <v>North</v>
      </c>
      <c r="N333" s="23" t="str">
        <f t="shared" si="15"/>
        <v>Dec-24</v>
      </c>
      <c r="O333" s="23" t="str">
        <f t="shared" si="16"/>
        <v>Q4 2024</v>
      </c>
      <c r="P333" s="23">
        <f>VLOOKUP(D333,Products!$A:$F,4,FALSE)</f>
        <v>2237</v>
      </c>
      <c r="Q333" s="35">
        <f t="shared" si="17"/>
        <v>0.56137254901960787</v>
      </c>
    </row>
    <row r="334" spans="1:17">
      <c r="A334" s="12" t="s">
        <v>735</v>
      </c>
      <c r="B334" s="13">
        <v>45518</v>
      </c>
      <c r="C334" s="12" t="s">
        <v>416</v>
      </c>
      <c r="D334" s="12" t="s">
        <v>281</v>
      </c>
      <c r="E334" s="12" t="s">
        <v>124</v>
      </c>
      <c r="F334" s="14">
        <v>2</v>
      </c>
      <c r="G334" s="14">
        <v>4070</v>
      </c>
      <c r="H334" s="14">
        <v>28.6</v>
      </c>
      <c r="I334" s="14">
        <v>5811.96</v>
      </c>
      <c r="J334" s="12" t="s">
        <v>104</v>
      </c>
      <c r="K334" s="12" t="s">
        <v>116</v>
      </c>
      <c r="L334" s="23" t="str">
        <f>VLOOKUP(D334,Products!$A:$F,3,FALSE)</f>
        <v>Grocery</v>
      </c>
      <c r="M334" s="23" t="str">
        <f>VLOOKUP(E334,Sales_Reps!$A:$E,3,FALSE)</f>
        <v>North</v>
      </c>
      <c r="N334" s="23" t="str">
        <f t="shared" si="15"/>
        <v>Aug-24</v>
      </c>
      <c r="O334" s="23" t="str">
        <f t="shared" si="16"/>
        <v>Q3 2024</v>
      </c>
      <c r="P334" s="23">
        <f>VLOOKUP(D334,Products!$A:$F,4,FALSE)</f>
        <v>2027</v>
      </c>
      <c r="Q334" s="35">
        <f t="shared" si="17"/>
        <v>0.50196560196560192</v>
      </c>
    </row>
    <row r="335" spans="1:17">
      <c r="A335" s="12" t="s">
        <v>736</v>
      </c>
      <c r="B335" s="13">
        <v>45339</v>
      </c>
      <c r="C335" s="12" t="s">
        <v>693</v>
      </c>
      <c r="D335" s="12" t="s">
        <v>381</v>
      </c>
      <c r="E335" s="12" t="s">
        <v>103</v>
      </c>
      <c r="F335" s="14">
        <v>9</v>
      </c>
      <c r="G335" s="14">
        <v>5330</v>
      </c>
      <c r="H335" s="14">
        <v>6.2</v>
      </c>
      <c r="I335" s="14">
        <v>44995.86</v>
      </c>
      <c r="J335" s="12" t="s">
        <v>104</v>
      </c>
      <c r="K335" s="12" t="s">
        <v>105</v>
      </c>
      <c r="L335" s="23" t="str">
        <f>VLOOKUP(D335,Products!$A:$F,3,FALSE)</f>
        <v>Electronics</v>
      </c>
      <c r="M335" s="23" t="str">
        <f>VLOOKUP(E335,Sales_Reps!$A:$E,3,FALSE)</f>
        <v>North</v>
      </c>
      <c r="N335" s="23" t="str">
        <f t="shared" si="15"/>
        <v>Feb-24</v>
      </c>
      <c r="O335" s="23" t="str">
        <f t="shared" si="16"/>
        <v>Q1 2024</v>
      </c>
      <c r="P335" s="23">
        <f>VLOOKUP(D335,Products!$A:$F,4,FALSE)</f>
        <v>2405</v>
      </c>
      <c r="Q335" s="35">
        <f t="shared" si="17"/>
        <v>0.54878048780487809</v>
      </c>
    </row>
    <row r="336" spans="1:17">
      <c r="A336" s="12" t="s">
        <v>680</v>
      </c>
      <c r="B336" s="13">
        <v>45319</v>
      </c>
      <c r="C336" s="12" t="s">
        <v>737</v>
      </c>
      <c r="D336" s="12" t="s">
        <v>148</v>
      </c>
      <c r="E336" s="12" t="s">
        <v>209</v>
      </c>
      <c r="F336" s="14">
        <v>6</v>
      </c>
      <c r="G336" s="14">
        <v>2270</v>
      </c>
      <c r="H336" s="14">
        <v>23.7</v>
      </c>
      <c r="I336" s="14">
        <v>10392.06</v>
      </c>
      <c r="J336" s="12" t="s">
        <v>104</v>
      </c>
      <c r="K336" s="12" t="s">
        <v>738</v>
      </c>
      <c r="L336" s="23" t="str">
        <f>VLOOKUP(D336,Products!$A:$F,3,FALSE)</f>
        <v>Grocery</v>
      </c>
      <c r="M336" s="23" t="str">
        <f>VLOOKUP(E336,Sales_Reps!$A:$E,3,FALSE)</f>
        <v>East</v>
      </c>
      <c r="N336" s="23" t="str">
        <f t="shared" si="15"/>
        <v>Jan-24</v>
      </c>
      <c r="O336" s="23" t="str">
        <f t="shared" si="16"/>
        <v>Q1 2024</v>
      </c>
      <c r="P336" s="23">
        <f>VLOOKUP(D336,Products!$A:$F,4,FALSE)</f>
        <v>1203</v>
      </c>
      <c r="Q336" s="35">
        <f t="shared" si="17"/>
        <v>0.47004405286343615</v>
      </c>
    </row>
    <row r="337" spans="1:17">
      <c r="A337" s="12" t="s">
        <v>739</v>
      </c>
      <c r="B337" s="13">
        <v>45618</v>
      </c>
      <c r="C337" s="12" t="s">
        <v>159</v>
      </c>
      <c r="D337" s="12" t="s">
        <v>372</v>
      </c>
      <c r="E337" s="12" t="s">
        <v>133</v>
      </c>
      <c r="F337" s="14">
        <v>5</v>
      </c>
      <c r="G337" s="14">
        <v>2510</v>
      </c>
      <c r="H337" s="14">
        <v>25</v>
      </c>
      <c r="I337" s="14">
        <v>9412.5</v>
      </c>
      <c r="J337" s="12" t="s">
        <v>104</v>
      </c>
      <c r="K337" s="12" t="s">
        <v>105</v>
      </c>
      <c r="L337" s="23" t="str">
        <f>VLOOKUP(D337,Products!$A:$F,3,FALSE)</f>
        <v>Apparel</v>
      </c>
      <c r="M337" s="23" t="str">
        <f>VLOOKUP(E337,Sales_Reps!$A:$E,3,FALSE)</f>
        <v>West</v>
      </c>
      <c r="N337" s="23" t="str">
        <f t="shared" si="15"/>
        <v>Nov-24</v>
      </c>
      <c r="O337" s="23" t="str">
        <f t="shared" si="16"/>
        <v>Q4 2024</v>
      </c>
      <c r="P337" s="23">
        <f>VLOOKUP(D337,Products!$A:$F,4,FALSE)</f>
        <v>1075</v>
      </c>
      <c r="Q337" s="35">
        <f t="shared" si="17"/>
        <v>0.57171314741035861</v>
      </c>
    </row>
    <row r="338" spans="1:17">
      <c r="A338" s="12" t="s">
        <v>740</v>
      </c>
      <c r="B338" s="13">
        <v>45335</v>
      </c>
      <c r="C338" s="12" t="s">
        <v>643</v>
      </c>
      <c r="D338" s="12" t="s">
        <v>384</v>
      </c>
      <c r="E338" s="12" t="s">
        <v>138</v>
      </c>
      <c r="F338" s="14">
        <v>9</v>
      </c>
      <c r="G338" s="14">
        <v>2380</v>
      </c>
      <c r="H338" s="14">
        <v>16.8</v>
      </c>
      <c r="I338" s="14">
        <v>17821.439999999999</v>
      </c>
      <c r="J338" s="12" t="s">
        <v>104</v>
      </c>
      <c r="K338" s="12" t="s">
        <v>116</v>
      </c>
      <c r="L338" s="23" t="str">
        <f>VLOOKUP(D338,Products!$A:$F,3,FALSE)</f>
        <v>Grocery</v>
      </c>
      <c r="M338" s="23" t="str">
        <f>VLOOKUP(E338,Sales_Reps!$A:$E,3,FALSE)</f>
        <v>East</v>
      </c>
      <c r="N338" s="23" t="str">
        <f t="shared" si="15"/>
        <v>Feb-24</v>
      </c>
      <c r="O338" s="23" t="str">
        <f t="shared" si="16"/>
        <v>Q1 2024</v>
      </c>
      <c r="P338" s="23">
        <f>VLOOKUP(D338,Products!$A:$F,4,FALSE)</f>
        <v>1182</v>
      </c>
      <c r="Q338" s="35">
        <f t="shared" si="17"/>
        <v>0.50336134453781511</v>
      </c>
    </row>
    <row r="339" spans="1:17">
      <c r="A339" s="12" t="s">
        <v>741</v>
      </c>
      <c r="B339" s="13">
        <v>45420</v>
      </c>
      <c r="C339" s="12" t="s">
        <v>742</v>
      </c>
      <c r="D339" s="12" t="s">
        <v>469</v>
      </c>
      <c r="E339" s="12" t="s">
        <v>124</v>
      </c>
      <c r="F339" s="14">
        <v>1</v>
      </c>
      <c r="G339" s="14">
        <v>3450</v>
      </c>
      <c r="H339" s="14">
        <v>1.5</v>
      </c>
      <c r="I339" s="14">
        <v>3398.25</v>
      </c>
      <c r="J339" s="12" t="s">
        <v>161</v>
      </c>
      <c r="K339" s="12" t="s">
        <v>116</v>
      </c>
      <c r="L339" s="23" t="str">
        <f>VLOOKUP(D339,Products!$A:$F,3,FALSE)</f>
        <v>Apparel</v>
      </c>
      <c r="M339" s="23" t="str">
        <f>VLOOKUP(E339,Sales_Reps!$A:$E,3,FALSE)</f>
        <v>North</v>
      </c>
      <c r="N339" s="23" t="str">
        <f t="shared" si="15"/>
        <v>May-24</v>
      </c>
      <c r="O339" s="23" t="str">
        <f t="shared" si="16"/>
        <v>Q2 2024</v>
      </c>
      <c r="P339" s="23">
        <f>VLOOKUP(D339,Products!$A:$F,4,FALSE)</f>
        <v>1748</v>
      </c>
      <c r="Q339" s="35">
        <f t="shared" si="17"/>
        <v>0.49333333333333335</v>
      </c>
    </row>
    <row r="340" spans="1:17">
      <c r="A340" s="12" t="s">
        <v>743</v>
      </c>
      <c r="B340" s="13">
        <v>45295</v>
      </c>
      <c r="C340" s="12" t="s">
        <v>136</v>
      </c>
      <c r="D340" s="12" t="s">
        <v>204</v>
      </c>
      <c r="E340" s="12" t="s">
        <v>314</v>
      </c>
      <c r="F340" s="14">
        <v>5</v>
      </c>
      <c r="G340" s="14">
        <v>3570</v>
      </c>
      <c r="H340" s="14">
        <v>12.8</v>
      </c>
      <c r="I340" s="14">
        <v>15565.2</v>
      </c>
      <c r="J340" s="12" t="s">
        <v>104</v>
      </c>
      <c r="K340" s="12" t="s">
        <v>134</v>
      </c>
      <c r="L340" s="23" t="str">
        <f>VLOOKUP(D340,Products!$A:$F,3,FALSE)</f>
        <v>Electronics</v>
      </c>
      <c r="M340" s="23" t="str">
        <f>VLOOKUP(E340,Sales_Reps!$A:$E,3,FALSE)</f>
        <v>North</v>
      </c>
      <c r="N340" s="23" t="str">
        <f t="shared" si="15"/>
        <v>Jan-24</v>
      </c>
      <c r="O340" s="23" t="str">
        <f t="shared" si="16"/>
        <v>Q1 2024</v>
      </c>
      <c r="P340" s="23">
        <f>VLOOKUP(D340,Products!$A:$F,4,FALSE)</f>
        <v>1665</v>
      </c>
      <c r="Q340" s="35">
        <f t="shared" si="17"/>
        <v>0.53361344537815125</v>
      </c>
    </row>
    <row r="341" spans="1:17">
      <c r="A341" s="12" t="s">
        <v>744</v>
      </c>
      <c r="B341" s="13">
        <v>45590</v>
      </c>
      <c r="C341" s="12" t="s">
        <v>273</v>
      </c>
      <c r="D341" s="12" t="s">
        <v>381</v>
      </c>
      <c r="E341" s="12" t="s">
        <v>246</v>
      </c>
      <c r="F341" s="14">
        <v>3</v>
      </c>
      <c r="G341" s="14">
        <v>5330</v>
      </c>
      <c r="H341" s="14">
        <v>16.2</v>
      </c>
      <c r="I341" s="14">
        <v>13399.62</v>
      </c>
      <c r="J341" s="12" t="s">
        <v>104</v>
      </c>
      <c r="K341" s="12" t="s">
        <v>150</v>
      </c>
      <c r="L341" s="23" t="str">
        <f>VLOOKUP(D341,Products!$A:$F,3,FALSE)</f>
        <v>Electronics</v>
      </c>
      <c r="M341" s="23" t="str">
        <f>VLOOKUP(E341,Sales_Reps!$A:$E,3,FALSE)</f>
        <v>West</v>
      </c>
      <c r="N341" s="23" t="str">
        <f t="shared" si="15"/>
        <v>Oct-24</v>
      </c>
      <c r="O341" s="23" t="str">
        <f t="shared" si="16"/>
        <v>Q4 2024</v>
      </c>
      <c r="P341" s="23">
        <f>VLOOKUP(D341,Products!$A:$F,4,FALSE)</f>
        <v>2405</v>
      </c>
      <c r="Q341" s="35">
        <f t="shared" si="17"/>
        <v>0.54878048780487809</v>
      </c>
    </row>
    <row r="342" spans="1:17">
      <c r="A342" s="12" t="s">
        <v>745</v>
      </c>
      <c r="B342" s="13">
        <v>45341</v>
      </c>
      <c r="C342" s="12" t="s">
        <v>746</v>
      </c>
      <c r="D342" s="12" t="s">
        <v>119</v>
      </c>
      <c r="E342" s="12" t="s">
        <v>360</v>
      </c>
      <c r="F342" s="14">
        <v>3</v>
      </c>
      <c r="G342" s="14">
        <v>3660</v>
      </c>
      <c r="H342" s="14">
        <v>25.3</v>
      </c>
      <c r="I342" s="14">
        <v>8202.06</v>
      </c>
      <c r="J342" s="12" t="s">
        <v>104</v>
      </c>
      <c r="K342" s="12" t="s">
        <v>129</v>
      </c>
      <c r="L342" s="23" t="str">
        <f>VLOOKUP(D342,Products!$A:$F,3,FALSE)</f>
        <v>Grocery</v>
      </c>
      <c r="M342" s="23" t="str">
        <f>VLOOKUP(E342,Sales_Reps!$A:$E,3,FALSE)</f>
        <v>West</v>
      </c>
      <c r="N342" s="23" t="str">
        <f t="shared" si="15"/>
        <v>Feb-24</v>
      </c>
      <c r="O342" s="23" t="str">
        <f t="shared" si="16"/>
        <v>Q1 2024</v>
      </c>
      <c r="P342" s="23">
        <f>VLOOKUP(D342,Products!$A:$F,4,FALSE)</f>
        <v>2214</v>
      </c>
      <c r="Q342" s="35">
        <f t="shared" si="17"/>
        <v>0.39508196721311473</v>
      </c>
    </row>
    <row r="343" spans="1:17">
      <c r="A343" s="12" t="s">
        <v>747</v>
      </c>
      <c r="B343" s="13">
        <v>45600</v>
      </c>
      <c r="C343" s="12" t="s">
        <v>690</v>
      </c>
      <c r="D343" s="12" t="s">
        <v>199</v>
      </c>
      <c r="E343" s="12" t="s">
        <v>205</v>
      </c>
      <c r="F343" s="14">
        <v>2</v>
      </c>
      <c r="G343" s="14">
        <v>1010</v>
      </c>
      <c r="H343" s="14">
        <v>29.2</v>
      </c>
      <c r="I343" s="14">
        <v>1430.16</v>
      </c>
      <c r="J343" s="12" t="s">
        <v>104</v>
      </c>
      <c r="K343" s="12" t="s">
        <v>129</v>
      </c>
      <c r="L343" s="23" t="str">
        <f>VLOOKUP(D343,Products!$A:$F,3,FALSE)</f>
        <v>Sports</v>
      </c>
      <c r="M343" s="23" t="str">
        <f>VLOOKUP(E343,Sales_Reps!$A:$E,3,FALSE)</f>
        <v>South</v>
      </c>
      <c r="N343" s="23" t="str">
        <f t="shared" si="15"/>
        <v>Nov-24</v>
      </c>
      <c r="O343" s="23" t="str">
        <f t="shared" si="16"/>
        <v>Q4 2024</v>
      </c>
      <c r="P343" s="23">
        <f>VLOOKUP(D343,Products!$A:$F,4,FALSE)</f>
        <v>516</v>
      </c>
      <c r="Q343" s="35">
        <f t="shared" si="17"/>
        <v>0.4891089108910891</v>
      </c>
    </row>
    <row r="344" spans="1:17">
      <c r="A344" s="12" t="s">
        <v>748</v>
      </c>
      <c r="B344" s="13">
        <v>45506</v>
      </c>
      <c r="C344" s="12" t="s">
        <v>612</v>
      </c>
      <c r="D344" s="12" t="s">
        <v>181</v>
      </c>
      <c r="E344" s="12" t="s">
        <v>205</v>
      </c>
      <c r="F344" s="14">
        <v>1</v>
      </c>
      <c r="G344" s="14">
        <v>1080</v>
      </c>
      <c r="H344" s="14">
        <v>1.8</v>
      </c>
      <c r="I344" s="14">
        <v>1060.56</v>
      </c>
      <c r="J344" s="12" t="s">
        <v>104</v>
      </c>
      <c r="K344" s="12" t="s">
        <v>116</v>
      </c>
      <c r="L344" s="23" t="str">
        <f>VLOOKUP(D344,Products!$A:$F,3,FALSE)</f>
        <v>Home</v>
      </c>
      <c r="M344" s="23" t="str">
        <f>VLOOKUP(E344,Sales_Reps!$A:$E,3,FALSE)</f>
        <v>South</v>
      </c>
      <c r="N344" s="23" t="str">
        <f t="shared" si="15"/>
        <v>Aug-24</v>
      </c>
      <c r="O344" s="23" t="str">
        <f t="shared" si="16"/>
        <v>Q3 2024</v>
      </c>
      <c r="P344" s="23">
        <f>VLOOKUP(D344,Products!$A:$F,4,FALSE)</f>
        <v>519</v>
      </c>
      <c r="Q344" s="35">
        <f t="shared" si="17"/>
        <v>0.51944444444444449</v>
      </c>
    </row>
    <row r="345" spans="1:17">
      <c r="A345" s="12" t="s">
        <v>749</v>
      </c>
      <c r="B345" s="13">
        <v>45414</v>
      </c>
      <c r="C345" s="12" t="s">
        <v>430</v>
      </c>
      <c r="D345" s="12" t="s">
        <v>178</v>
      </c>
      <c r="E345" s="12" t="s">
        <v>149</v>
      </c>
      <c r="F345" s="14">
        <v>8</v>
      </c>
      <c r="G345" s="14">
        <v>3450</v>
      </c>
      <c r="H345" s="14">
        <v>20.399999999999999</v>
      </c>
      <c r="I345" s="14">
        <v>21969.599999999999</v>
      </c>
      <c r="J345" s="12" t="s">
        <v>104</v>
      </c>
      <c r="K345" s="12" t="s">
        <v>105</v>
      </c>
      <c r="L345" s="23" t="str">
        <f>VLOOKUP(D345,Products!$A:$F,3,FALSE)</f>
        <v>Sports</v>
      </c>
      <c r="M345" s="23" t="str">
        <f>VLOOKUP(E345,Sales_Reps!$A:$E,3,FALSE)</f>
        <v>South</v>
      </c>
      <c r="N345" s="23" t="str">
        <f t="shared" si="15"/>
        <v>May-24</v>
      </c>
      <c r="O345" s="23" t="str">
        <f t="shared" si="16"/>
        <v>Q2 2024</v>
      </c>
      <c r="P345" s="23">
        <f>VLOOKUP(D345,Products!$A:$F,4,FALSE)</f>
        <v>2467</v>
      </c>
      <c r="Q345" s="35">
        <f t="shared" si="17"/>
        <v>0.28492753623188405</v>
      </c>
    </row>
    <row r="346" spans="1:17">
      <c r="A346" s="12" t="s">
        <v>750</v>
      </c>
      <c r="B346" s="13">
        <v>45553</v>
      </c>
      <c r="C346" s="12" t="s">
        <v>388</v>
      </c>
      <c r="D346" s="12" t="s">
        <v>532</v>
      </c>
      <c r="E346" s="12" t="s">
        <v>205</v>
      </c>
      <c r="F346" s="14">
        <v>8</v>
      </c>
      <c r="G346" s="14">
        <v>6940</v>
      </c>
      <c r="H346" s="14">
        <v>19.399999999999999</v>
      </c>
      <c r="I346" s="14">
        <v>44749.120000000003</v>
      </c>
      <c r="J346" s="12" t="s">
        <v>104</v>
      </c>
      <c r="K346" s="12" t="s">
        <v>129</v>
      </c>
      <c r="L346" s="23" t="str">
        <f>VLOOKUP(D346,Products!$A:$F,3,FALSE)</f>
        <v>Sports</v>
      </c>
      <c r="M346" s="23" t="str">
        <f>VLOOKUP(E346,Sales_Reps!$A:$E,3,FALSE)</f>
        <v>South</v>
      </c>
      <c r="N346" s="23" t="str">
        <f t="shared" si="15"/>
        <v>Sep-24</v>
      </c>
      <c r="O346" s="23" t="str">
        <f t="shared" si="16"/>
        <v>Q3 2024</v>
      </c>
      <c r="P346" s="23">
        <f>VLOOKUP(D346,Products!$A:$F,4,FALSE)</f>
        <v>2827</v>
      </c>
      <c r="Q346" s="35">
        <f t="shared" si="17"/>
        <v>0.5926512968299712</v>
      </c>
    </row>
    <row r="347" spans="1:17">
      <c r="A347" s="12" t="s">
        <v>751</v>
      </c>
      <c r="B347" s="13">
        <v>45434</v>
      </c>
      <c r="C347" s="12" t="s">
        <v>752</v>
      </c>
      <c r="D347" s="12" t="s">
        <v>276</v>
      </c>
      <c r="E347" s="12" t="s">
        <v>165</v>
      </c>
      <c r="F347" s="14">
        <v>2</v>
      </c>
      <c r="G347" s="14">
        <v>1540</v>
      </c>
      <c r="H347" s="14">
        <v>9.3000000000000007</v>
      </c>
      <c r="I347" s="14">
        <v>2793.56</v>
      </c>
      <c r="J347" s="12" t="s">
        <v>104</v>
      </c>
      <c r="K347" s="12" t="s">
        <v>105</v>
      </c>
      <c r="L347" s="23" t="str">
        <f>VLOOKUP(D347,Products!$A:$F,3,FALSE)</f>
        <v>Beauty</v>
      </c>
      <c r="M347" s="23" t="str">
        <f>VLOOKUP(E347,Sales_Reps!$A:$E,3,FALSE)</f>
        <v>North</v>
      </c>
      <c r="N347" s="23" t="str">
        <f t="shared" si="15"/>
        <v>May-24</v>
      </c>
      <c r="O347" s="23" t="str">
        <f t="shared" si="16"/>
        <v>Q2 2024</v>
      </c>
      <c r="P347" s="23">
        <f>VLOOKUP(D347,Products!$A:$F,4,FALSE)</f>
        <v>647</v>
      </c>
      <c r="Q347" s="35">
        <f t="shared" si="17"/>
        <v>0.57987012987012987</v>
      </c>
    </row>
    <row r="348" spans="1:17">
      <c r="A348" s="12" t="s">
        <v>753</v>
      </c>
      <c r="B348" s="13">
        <v>45446</v>
      </c>
      <c r="C348" s="12" t="s">
        <v>214</v>
      </c>
      <c r="D348" s="12" t="s">
        <v>152</v>
      </c>
      <c r="E348" s="12" t="s">
        <v>205</v>
      </c>
      <c r="F348" s="14">
        <v>4</v>
      </c>
      <c r="G348" s="14">
        <v>2640</v>
      </c>
      <c r="H348" s="14">
        <v>23.2</v>
      </c>
      <c r="I348" s="14">
        <v>8110.08</v>
      </c>
      <c r="J348" s="12" t="s">
        <v>161</v>
      </c>
      <c r="K348" s="12" t="s">
        <v>105</v>
      </c>
      <c r="L348" s="23" t="str">
        <f>VLOOKUP(D348,Products!$A:$F,3,FALSE)</f>
        <v>Electronics</v>
      </c>
      <c r="M348" s="23" t="str">
        <f>VLOOKUP(E348,Sales_Reps!$A:$E,3,FALSE)</f>
        <v>South</v>
      </c>
      <c r="N348" s="23" t="str">
        <f t="shared" si="15"/>
        <v>Jun-24</v>
      </c>
      <c r="O348" s="23" t="str">
        <f t="shared" si="16"/>
        <v>Q2 2024</v>
      </c>
      <c r="P348" s="23">
        <f>VLOOKUP(D348,Products!$A:$F,4,FALSE)</f>
        <v>1149</v>
      </c>
      <c r="Q348" s="35">
        <f t="shared" si="17"/>
        <v>0.56477272727272732</v>
      </c>
    </row>
    <row r="349" spans="1:17">
      <c r="A349" s="12" t="s">
        <v>754</v>
      </c>
      <c r="B349" s="13">
        <v>45626</v>
      </c>
      <c r="C349" s="12" t="s">
        <v>755</v>
      </c>
      <c r="D349" s="12" t="s">
        <v>377</v>
      </c>
      <c r="E349" s="12" t="s">
        <v>133</v>
      </c>
      <c r="F349" s="14">
        <v>6</v>
      </c>
      <c r="G349" s="14">
        <v>5410</v>
      </c>
      <c r="H349" s="14">
        <v>29.4</v>
      </c>
      <c r="I349" s="14">
        <v>22916.76</v>
      </c>
      <c r="J349" s="12" t="s">
        <v>104</v>
      </c>
      <c r="K349" s="12" t="s">
        <v>105</v>
      </c>
      <c r="L349" s="23" t="str">
        <f>VLOOKUP(D349,Products!$A:$F,3,FALSE)</f>
        <v>Sports</v>
      </c>
      <c r="M349" s="23" t="str">
        <f>VLOOKUP(E349,Sales_Reps!$A:$E,3,FALSE)</f>
        <v>West</v>
      </c>
      <c r="N349" s="23" t="str">
        <f t="shared" si="15"/>
        <v>Nov-24</v>
      </c>
      <c r="O349" s="23" t="str">
        <f t="shared" si="16"/>
        <v>Q4 2024</v>
      </c>
      <c r="P349" s="23">
        <f>VLOOKUP(D349,Products!$A:$F,4,FALSE)</f>
        <v>2265</v>
      </c>
      <c r="Q349" s="35">
        <f t="shared" si="17"/>
        <v>0.58133086876155271</v>
      </c>
    </row>
    <row r="350" spans="1:17">
      <c r="A350" s="12" t="s">
        <v>756</v>
      </c>
      <c r="B350" s="13">
        <v>45459</v>
      </c>
      <c r="C350" s="12" t="s">
        <v>374</v>
      </c>
      <c r="D350" s="12" t="s">
        <v>204</v>
      </c>
      <c r="E350" s="12" t="s">
        <v>360</v>
      </c>
      <c r="F350" s="14">
        <v>1</v>
      </c>
      <c r="G350" s="14">
        <v>3570</v>
      </c>
      <c r="H350" s="14">
        <v>4.3</v>
      </c>
      <c r="I350" s="14">
        <v>3416.49</v>
      </c>
      <c r="J350" s="12" t="s">
        <v>104</v>
      </c>
      <c r="K350" s="12" t="s">
        <v>116</v>
      </c>
      <c r="L350" s="23" t="str">
        <f>VLOOKUP(D350,Products!$A:$F,3,FALSE)</f>
        <v>Electronics</v>
      </c>
      <c r="M350" s="23" t="str">
        <f>VLOOKUP(E350,Sales_Reps!$A:$E,3,FALSE)</f>
        <v>West</v>
      </c>
      <c r="N350" s="23" t="str">
        <f t="shared" si="15"/>
        <v>Jun-24</v>
      </c>
      <c r="O350" s="23" t="str">
        <f t="shared" si="16"/>
        <v>Q2 2024</v>
      </c>
      <c r="P350" s="23">
        <f>VLOOKUP(D350,Products!$A:$F,4,FALSE)</f>
        <v>1665</v>
      </c>
      <c r="Q350" s="35">
        <f t="shared" si="17"/>
        <v>0.53361344537815125</v>
      </c>
    </row>
    <row r="351" spans="1:17">
      <c r="A351" s="12" t="s">
        <v>757</v>
      </c>
      <c r="B351" s="13">
        <v>45520</v>
      </c>
      <c r="C351" s="12" t="s">
        <v>758</v>
      </c>
      <c r="D351" s="12" t="s">
        <v>127</v>
      </c>
      <c r="E351" s="12" t="s">
        <v>145</v>
      </c>
      <c r="F351" s="14">
        <v>2</v>
      </c>
      <c r="G351" s="14">
        <v>370</v>
      </c>
      <c r="H351" s="14">
        <v>7.2</v>
      </c>
      <c r="I351" s="14">
        <v>686.72</v>
      </c>
      <c r="J351" s="12" t="s">
        <v>104</v>
      </c>
      <c r="K351" s="12" t="s">
        <v>150</v>
      </c>
      <c r="L351" s="23" t="str">
        <f>VLOOKUP(D351,Products!$A:$F,3,FALSE)</f>
        <v>Home</v>
      </c>
      <c r="M351" s="23" t="str">
        <f>VLOOKUP(E351,Sales_Reps!$A:$E,3,FALSE)</f>
        <v>West</v>
      </c>
      <c r="N351" s="23" t="str">
        <f t="shared" si="15"/>
        <v>Aug-24</v>
      </c>
      <c r="O351" s="23" t="str">
        <f t="shared" si="16"/>
        <v>Q3 2024</v>
      </c>
      <c r="P351" s="23">
        <f>VLOOKUP(D351,Products!$A:$F,4,FALSE)</f>
        <v>288</v>
      </c>
      <c r="Q351" s="35">
        <f t="shared" si="17"/>
        <v>0.22162162162162163</v>
      </c>
    </row>
    <row r="352" spans="1:17">
      <c r="A352" s="12" t="s">
        <v>759</v>
      </c>
      <c r="B352" s="13">
        <v>45314</v>
      </c>
      <c r="C352" s="12" t="s">
        <v>614</v>
      </c>
      <c r="D352" s="12" t="s">
        <v>372</v>
      </c>
      <c r="E352" s="12" t="s">
        <v>255</v>
      </c>
      <c r="F352" s="14">
        <v>1</v>
      </c>
      <c r="G352" s="14">
        <v>2510</v>
      </c>
      <c r="H352" s="14">
        <v>2.4</v>
      </c>
      <c r="I352" s="14">
        <v>2449.7600000000002</v>
      </c>
      <c r="J352" s="12" t="s">
        <v>104</v>
      </c>
      <c r="K352" s="12" t="s">
        <v>129</v>
      </c>
      <c r="L352" s="23" t="str">
        <f>VLOOKUP(D352,Products!$A:$F,3,FALSE)</f>
        <v>Apparel</v>
      </c>
      <c r="M352" s="23" t="str">
        <f>VLOOKUP(E352,Sales_Reps!$A:$E,3,FALSE)</f>
        <v>East</v>
      </c>
      <c r="N352" s="23" t="str">
        <f t="shared" si="15"/>
        <v>Jan-24</v>
      </c>
      <c r="O352" s="23" t="str">
        <f t="shared" si="16"/>
        <v>Q1 2024</v>
      </c>
      <c r="P352" s="23">
        <f>VLOOKUP(D352,Products!$A:$F,4,FALSE)</f>
        <v>1075</v>
      </c>
      <c r="Q352" s="35">
        <f t="shared" si="17"/>
        <v>0.57171314741035861</v>
      </c>
    </row>
    <row r="353" spans="1:17">
      <c r="A353" s="12" t="s">
        <v>760</v>
      </c>
      <c r="B353" s="13">
        <v>45480</v>
      </c>
      <c r="C353" s="12" t="s">
        <v>761</v>
      </c>
      <c r="D353" s="12" t="s">
        <v>254</v>
      </c>
      <c r="E353" s="12" t="s">
        <v>302</v>
      </c>
      <c r="F353" s="14">
        <v>8</v>
      </c>
      <c r="G353" s="14">
        <v>3640</v>
      </c>
      <c r="H353" s="14">
        <v>28.7</v>
      </c>
      <c r="I353" s="14">
        <v>20762.560000000001</v>
      </c>
      <c r="J353" s="12" t="s">
        <v>110</v>
      </c>
      <c r="K353" s="12" t="s">
        <v>150</v>
      </c>
      <c r="L353" s="23" t="str">
        <f>VLOOKUP(D353,Products!$A:$F,3,FALSE)</f>
        <v>Apparel</v>
      </c>
      <c r="M353" s="23" t="str">
        <f>VLOOKUP(E353,Sales_Reps!$A:$E,3,FALSE)</f>
        <v>East</v>
      </c>
      <c r="N353" s="23" t="str">
        <f t="shared" si="15"/>
        <v>Jul-24</v>
      </c>
      <c r="O353" s="23" t="str">
        <f t="shared" si="16"/>
        <v>Q3 2024</v>
      </c>
      <c r="P353" s="23">
        <f>VLOOKUP(D353,Products!$A:$F,4,FALSE)</f>
        <v>2611</v>
      </c>
      <c r="Q353" s="35">
        <f t="shared" si="17"/>
        <v>0.28269230769230769</v>
      </c>
    </row>
    <row r="354" spans="1:17">
      <c r="A354" s="12" t="s">
        <v>762</v>
      </c>
      <c r="B354" s="13">
        <v>45520</v>
      </c>
      <c r="C354" s="12" t="s">
        <v>203</v>
      </c>
      <c r="D354" s="12" t="s">
        <v>193</v>
      </c>
      <c r="E354" s="12" t="s">
        <v>246</v>
      </c>
      <c r="F354" s="14">
        <v>5</v>
      </c>
      <c r="G354" s="14">
        <v>1650</v>
      </c>
      <c r="H354" s="14">
        <v>13.4</v>
      </c>
      <c r="I354" s="14">
        <v>7144.5</v>
      </c>
      <c r="J354" s="12" t="s">
        <v>110</v>
      </c>
      <c r="K354" s="12" t="s">
        <v>111</v>
      </c>
      <c r="L354" s="23" t="str">
        <f>VLOOKUP(D354,Products!$A:$F,3,FALSE)</f>
        <v>Beauty</v>
      </c>
      <c r="M354" s="23" t="str">
        <f>VLOOKUP(E354,Sales_Reps!$A:$E,3,FALSE)</f>
        <v>West</v>
      </c>
      <c r="N354" s="23" t="str">
        <f t="shared" si="15"/>
        <v>Aug-24</v>
      </c>
      <c r="O354" s="23" t="str">
        <f t="shared" si="16"/>
        <v>Q3 2024</v>
      </c>
      <c r="P354" s="23">
        <f>VLOOKUP(D354,Products!$A:$F,4,FALSE)</f>
        <v>1222</v>
      </c>
      <c r="Q354" s="35">
        <f t="shared" si="17"/>
        <v>0.2593939393939394</v>
      </c>
    </row>
    <row r="355" spans="1:17">
      <c r="A355" s="12" t="s">
        <v>763</v>
      </c>
      <c r="B355" s="13">
        <v>45360</v>
      </c>
      <c r="C355" s="12" t="s">
        <v>370</v>
      </c>
      <c r="D355" s="12" t="s">
        <v>397</v>
      </c>
      <c r="E355" s="12" t="s">
        <v>133</v>
      </c>
      <c r="F355" s="14">
        <v>9</v>
      </c>
      <c r="G355" s="14">
        <v>960</v>
      </c>
      <c r="H355" s="14">
        <v>28.6</v>
      </c>
      <c r="I355" s="14">
        <v>6168.96</v>
      </c>
      <c r="J355" s="12" t="s">
        <v>110</v>
      </c>
      <c r="K355" s="12" t="s">
        <v>111</v>
      </c>
      <c r="L355" s="23" t="str">
        <f>VLOOKUP(D355,Products!$A:$F,3,FALSE)</f>
        <v>Beauty</v>
      </c>
      <c r="M355" s="23" t="str">
        <f>VLOOKUP(E355,Sales_Reps!$A:$E,3,FALSE)</f>
        <v>West</v>
      </c>
      <c r="N355" s="23" t="str">
        <f t="shared" si="15"/>
        <v>Mar-24</v>
      </c>
      <c r="O355" s="23" t="str">
        <f t="shared" si="16"/>
        <v>Q1 2024</v>
      </c>
      <c r="P355" s="23">
        <f>VLOOKUP(D355,Products!$A:$F,4,FALSE)</f>
        <v>675</v>
      </c>
      <c r="Q355" s="35">
        <f t="shared" si="17"/>
        <v>0.296875</v>
      </c>
    </row>
    <row r="356" spans="1:17">
      <c r="A356" s="12" t="s">
        <v>764</v>
      </c>
      <c r="B356" s="13">
        <v>45486</v>
      </c>
      <c r="C356" s="12" t="s">
        <v>248</v>
      </c>
      <c r="D356" s="12" t="s">
        <v>251</v>
      </c>
      <c r="E356" s="12" t="s">
        <v>175</v>
      </c>
      <c r="F356" s="14">
        <v>4</v>
      </c>
      <c r="G356" s="14">
        <v>3780</v>
      </c>
      <c r="H356" s="14">
        <v>25.3</v>
      </c>
      <c r="I356" s="14">
        <v>11294.64</v>
      </c>
      <c r="J356" s="12" t="s">
        <v>104</v>
      </c>
      <c r="K356" s="12" t="s">
        <v>134</v>
      </c>
      <c r="L356" s="23" t="str">
        <f>VLOOKUP(D356,Products!$A:$F,3,FALSE)</f>
        <v>Grocery</v>
      </c>
      <c r="M356" s="23" t="str">
        <f>VLOOKUP(E356,Sales_Reps!$A:$E,3,FALSE)</f>
        <v>East</v>
      </c>
      <c r="N356" s="23" t="str">
        <f t="shared" si="15"/>
        <v>Jul-24</v>
      </c>
      <c r="O356" s="23" t="str">
        <f t="shared" si="16"/>
        <v>Q3 2024</v>
      </c>
      <c r="P356" s="23">
        <f>VLOOKUP(D356,Products!$A:$F,4,FALSE)</f>
        <v>2436</v>
      </c>
      <c r="Q356" s="35">
        <f t="shared" si="17"/>
        <v>0.35555555555555557</v>
      </c>
    </row>
    <row r="357" spans="1:17">
      <c r="A357" s="12" t="s">
        <v>765</v>
      </c>
      <c r="B357" s="13">
        <v>45544</v>
      </c>
      <c r="C357" s="12" t="s">
        <v>203</v>
      </c>
      <c r="D357" s="12" t="s">
        <v>193</v>
      </c>
      <c r="E357" s="12" t="s">
        <v>115</v>
      </c>
      <c r="F357" s="14">
        <v>4</v>
      </c>
      <c r="G357" s="14">
        <v>1650</v>
      </c>
      <c r="H357" s="14">
        <v>13.7</v>
      </c>
      <c r="I357" s="14">
        <v>5695.8</v>
      </c>
      <c r="J357" s="12" t="s">
        <v>157</v>
      </c>
      <c r="K357" s="12" t="s">
        <v>111</v>
      </c>
      <c r="L357" s="23" t="str">
        <f>VLOOKUP(D357,Products!$A:$F,3,FALSE)</f>
        <v>Beauty</v>
      </c>
      <c r="M357" s="23" t="str">
        <f>VLOOKUP(E357,Sales_Reps!$A:$E,3,FALSE)</f>
        <v>South</v>
      </c>
      <c r="N357" s="23" t="str">
        <f t="shared" si="15"/>
        <v>Sep-24</v>
      </c>
      <c r="O357" s="23" t="str">
        <f t="shared" si="16"/>
        <v>Q3 2024</v>
      </c>
      <c r="P357" s="23">
        <f>VLOOKUP(D357,Products!$A:$F,4,FALSE)</f>
        <v>1222</v>
      </c>
      <c r="Q357" s="35">
        <f t="shared" si="17"/>
        <v>0.2593939393939394</v>
      </c>
    </row>
    <row r="358" spans="1:17">
      <c r="A358" s="12" t="s">
        <v>766</v>
      </c>
      <c r="B358" s="13">
        <v>45580</v>
      </c>
      <c r="C358" s="12" t="s">
        <v>556</v>
      </c>
      <c r="D358" s="12" t="s">
        <v>102</v>
      </c>
      <c r="E358" s="12" t="s">
        <v>342</v>
      </c>
      <c r="F358" s="14">
        <v>6</v>
      </c>
      <c r="G358" s="14">
        <v>3620</v>
      </c>
      <c r="H358" s="14">
        <v>21.3</v>
      </c>
      <c r="I358" s="14">
        <v>17093.64</v>
      </c>
      <c r="J358" s="12" t="s">
        <v>110</v>
      </c>
      <c r="K358" s="12" t="s">
        <v>150</v>
      </c>
      <c r="L358" s="23" t="str">
        <f>VLOOKUP(D358,Products!$A:$F,3,FALSE)</f>
        <v>Apparel</v>
      </c>
      <c r="M358" s="23" t="str">
        <f>VLOOKUP(E358,Sales_Reps!$A:$E,3,FALSE)</f>
        <v>South</v>
      </c>
      <c r="N358" s="23" t="str">
        <f t="shared" si="15"/>
        <v>Oct-24</v>
      </c>
      <c r="O358" s="23" t="str">
        <f t="shared" si="16"/>
        <v>Q4 2024</v>
      </c>
      <c r="P358" s="23">
        <f>VLOOKUP(D358,Products!$A:$F,4,FALSE)</f>
        <v>2509</v>
      </c>
      <c r="Q358" s="35">
        <f t="shared" si="17"/>
        <v>0.3069060773480663</v>
      </c>
    </row>
    <row r="359" spans="1:17">
      <c r="A359" s="12" t="s">
        <v>767</v>
      </c>
      <c r="B359" s="13">
        <v>45312</v>
      </c>
      <c r="C359" s="12" t="s">
        <v>491</v>
      </c>
      <c r="D359" s="12" t="s">
        <v>262</v>
      </c>
      <c r="E359" s="12" t="s">
        <v>187</v>
      </c>
      <c r="F359" s="14">
        <v>10</v>
      </c>
      <c r="G359" s="14">
        <v>2270</v>
      </c>
      <c r="H359" s="14">
        <v>17.7</v>
      </c>
      <c r="I359" s="14">
        <v>18682.099999999999</v>
      </c>
      <c r="J359" s="12" t="s">
        <v>104</v>
      </c>
      <c r="K359" s="12" t="s">
        <v>116</v>
      </c>
      <c r="L359" s="23" t="str">
        <f>VLOOKUP(D359,Products!$A:$F,3,FALSE)</f>
        <v>Grocery</v>
      </c>
      <c r="M359" s="23" t="str">
        <f>VLOOKUP(E359,Sales_Reps!$A:$E,3,FALSE)</f>
        <v>West</v>
      </c>
      <c r="N359" s="23" t="str">
        <f t="shared" si="15"/>
        <v>Jan-24</v>
      </c>
      <c r="O359" s="23" t="str">
        <f t="shared" si="16"/>
        <v>Q1 2024</v>
      </c>
      <c r="P359" s="23">
        <f>VLOOKUP(D359,Products!$A:$F,4,FALSE)</f>
        <v>1412</v>
      </c>
      <c r="Q359" s="35">
        <f t="shared" si="17"/>
        <v>0.37797356828193834</v>
      </c>
    </row>
    <row r="360" spans="1:17">
      <c r="A360" s="12" t="s">
        <v>768</v>
      </c>
      <c r="B360" s="13">
        <v>45447</v>
      </c>
      <c r="C360" s="12" t="s">
        <v>769</v>
      </c>
      <c r="D360" s="12" t="s">
        <v>276</v>
      </c>
      <c r="E360" s="12" t="s">
        <v>269</v>
      </c>
      <c r="F360" s="14">
        <v>9</v>
      </c>
      <c r="G360" s="14">
        <v>1540</v>
      </c>
      <c r="H360" s="14">
        <v>10.7</v>
      </c>
      <c r="I360" s="14">
        <v>12376.98</v>
      </c>
      <c r="J360" s="12" t="s">
        <v>104</v>
      </c>
      <c r="K360" s="12" t="s">
        <v>134</v>
      </c>
      <c r="L360" s="23" t="str">
        <f>VLOOKUP(D360,Products!$A:$F,3,FALSE)</f>
        <v>Beauty</v>
      </c>
      <c r="M360" s="23" t="str">
        <f>VLOOKUP(E360,Sales_Reps!$A:$E,3,FALSE)</f>
        <v>South</v>
      </c>
      <c r="N360" s="23" t="str">
        <f t="shared" si="15"/>
        <v>Jun-24</v>
      </c>
      <c r="O360" s="23" t="str">
        <f t="shared" si="16"/>
        <v>Q2 2024</v>
      </c>
      <c r="P360" s="23">
        <f>VLOOKUP(D360,Products!$A:$F,4,FALSE)</f>
        <v>647</v>
      </c>
      <c r="Q360" s="35">
        <f t="shared" si="17"/>
        <v>0.57987012987012987</v>
      </c>
    </row>
    <row r="361" spans="1:17">
      <c r="A361" s="12" t="s">
        <v>770</v>
      </c>
      <c r="B361" s="13">
        <v>45607</v>
      </c>
      <c r="C361" s="12" t="s">
        <v>225</v>
      </c>
      <c r="D361" s="12" t="s">
        <v>212</v>
      </c>
      <c r="E361" s="12" t="s">
        <v>175</v>
      </c>
      <c r="F361" s="14">
        <v>9</v>
      </c>
      <c r="G361" s="14">
        <v>2860</v>
      </c>
      <c r="H361" s="14">
        <v>12.9</v>
      </c>
      <c r="I361" s="14">
        <v>22419.54</v>
      </c>
      <c r="J361" s="12" t="s">
        <v>104</v>
      </c>
      <c r="K361" s="12" t="s">
        <v>150</v>
      </c>
      <c r="L361" s="23" t="str">
        <f>VLOOKUP(D361,Products!$A:$F,3,FALSE)</f>
        <v>Sports</v>
      </c>
      <c r="M361" s="23" t="str">
        <f>VLOOKUP(E361,Sales_Reps!$A:$E,3,FALSE)</f>
        <v>East</v>
      </c>
      <c r="N361" s="23" t="str">
        <f t="shared" si="15"/>
        <v>Nov-24</v>
      </c>
      <c r="O361" s="23" t="str">
        <f t="shared" si="16"/>
        <v>Q4 2024</v>
      </c>
      <c r="P361" s="23">
        <f>VLOOKUP(D361,Products!$A:$F,4,FALSE)</f>
        <v>2028</v>
      </c>
      <c r="Q361" s="35">
        <f t="shared" si="17"/>
        <v>0.29090909090909089</v>
      </c>
    </row>
    <row r="362" spans="1:17">
      <c r="A362" s="12" t="s">
        <v>771</v>
      </c>
      <c r="B362" s="13">
        <v>45379</v>
      </c>
      <c r="C362" s="12" t="s">
        <v>717</v>
      </c>
      <c r="D362" s="12" t="s">
        <v>355</v>
      </c>
      <c r="E362" s="12" t="s">
        <v>363</v>
      </c>
      <c r="F362" s="14">
        <v>5</v>
      </c>
      <c r="G362" s="14">
        <v>2210</v>
      </c>
      <c r="H362" s="14">
        <v>5.0999999999999996</v>
      </c>
      <c r="I362" s="14">
        <v>10486.45</v>
      </c>
      <c r="J362" s="12" t="s">
        <v>104</v>
      </c>
      <c r="K362" s="12" t="s">
        <v>111</v>
      </c>
      <c r="L362" s="23" t="str">
        <f>VLOOKUP(D362,Products!$A:$F,3,FALSE)</f>
        <v>Grocery</v>
      </c>
      <c r="M362" s="23" t="str">
        <f>VLOOKUP(E362,Sales_Reps!$A:$E,3,FALSE)</f>
        <v>South</v>
      </c>
      <c r="N362" s="23" t="str">
        <f t="shared" si="15"/>
        <v>Mar-24</v>
      </c>
      <c r="O362" s="23" t="str">
        <f t="shared" si="16"/>
        <v>Q1 2024</v>
      </c>
      <c r="P362" s="23">
        <f>VLOOKUP(D362,Products!$A:$F,4,FALSE)</f>
        <v>1010</v>
      </c>
      <c r="Q362" s="35">
        <f t="shared" si="17"/>
        <v>0.54298642533936647</v>
      </c>
    </row>
    <row r="363" spans="1:17">
      <c r="A363" s="12" t="s">
        <v>772</v>
      </c>
      <c r="B363" s="13">
        <v>45591</v>
      </c>
      <c r="C363" s="12" t="s">
        <v>395</v>
      </c>
      <c r="D363" s="12" t="s">
        <v>284</v>
      </c>
      <c r="E363" s="12" t="s">
        <v>246</v>
      </c>
      <c r="F363" s="14">
        <v>1</v>
      </c>
      <c r="G363" s="14">
        <v>1220</v>
      </c>
      <c r="H363" s="14">
        <v>16.100000000000001</v>
      </c>
      <c r="I363" s="14">
        <v>1023.58</v>
      </c>
      <c r="J363" s="12" t="s">
        <v>104</v>
      </c>
      <c r="K363" s="12" t="s">
        <v>111</v>
      </c>
      <c r="L363" s="23" t="str">
        <f>VLOOKUP(D363,Products!$A:$F,3,FALSE)</f>
        <v>Electronics</v>
      </c>
      <c r="M363" s="23" t="str">
        <f>VLOOKUP(E363,Sales_Reps!$A:$E,3,FALSE)</f>
        <v>West</v>
      </c>
      <c r="N363" s="23" t="str">
        <f t="shared" si="15"/>
        <v>Oct-24</v>
      </c>
      <c r="O363" s="23" t="str">
        <f t="shared" si="16"/>
        <v>Q4 2024</v>
      </c>
      <c r="P363" s="23">
        <f>VLOOKUP(D363,Products!$A:$F,4,FALSE)</f>
        <v>517</v>
      </c>
      <c r="Q363" s="35">
        <f t="shared" si="17"/>
        <v>0.57622950819672136</v>
      </c>
    </row>
    <row r="364" spans="1:17">
      <c r="A364" s="12" t="s">
        <v>773</v>
      </c>
      <c r="B364" s="13">
        <v>45561</v>
      </c>
      <c r="C364" s="12" t="s">
        <v>774</v>
      </c>
      <c r="D364" s="12" t="s">
        <v>204</v>
      </c>
      <c r="E364" s="12" t="s">
        <v>120</v>
      </c>
      <c r="F364" s="14">
        <v>2</v>
      </c>
      <c r="G364" s="14">
        <v>3570</v>
      </c>
      <c r="H364" s="14">
        <v>1.1000000000000001</v>
      </c>
      <c r="I364" s="14">
        <v>7061.46</v>
      </c>
      <c r="J364" s="12" t="s">
        <v>104</v>
      </c>
      <c r="K364" s="12" t="s">
        <v>134</v>
      </c>
      <c r="L364" s="23" t="str">
        <f>VLOOKUP(D364,Products!$A:$F,3,FALSE)</f>
        <v>Electronics</v>
      </c>
      <c r="M364" s="23" t="str">
        <f>VLOOKUP(E364,Sales_Reps!$A:$E,3,FALSE)</f>
        <v>North</v>
      </c>
      <c r="N364" s="23" t="str">
        <f t="shared" si="15"/>
        <v>Sep-24</v>
      </c>
      <c r="O364" s="23" t="str">
        <f t="shared" si="16"/>
        <v>Q3 2024</v>
      </c>
      <c r="P364" s="23">
        <f>VLOOKUP(D364,Products!$A:$F,4,FALSE)</f>
        <v>1665</v>
      </c>
      <c r="Q364" s="35">
        <f t="shared" si="17"/>
        <v>0.53361344537815125</v>
      </c>
    </row>
    <row r="365" spans="1:17">
      <c r="A365" s="12" t="s">
        <v>775</v>
      </c>
      <c r="B365" s="13">
        <v>45308</v>
      </c>
      <c r="C365" s="12" t="s">
        <v>776</v>
      </c>
      <c r="D365" s="12" t="s">
        <v>469</v>
      </c>
      <c r="E365" s="12" t="s">
        <v>363</v>
      </c>
      <c r="F365" s="14">
        <v>10</v>
      </c>
      <c r="G365" s="14">
        <v>3450</v>
      </c>
      <c r="H365" s="14">
        <v>12.6</v>
      </c>
      <c r="I365" s="14">
        <v>30153</v>
      </c>
      <c r="J365" s="12" t="s">
        <v>104</v>
      </c>
      <c r="K365" s="12" t="s">
        <v>134</v>
      </c>
      <c r="L365" s="23" t="str">
        <f>VLOOKUP(D365,Products!$A:$F,3,FALSE)</f>
        <v>Apparel</v>
      </c>
      <c r="M365" s="23" t="str">
        <f>VLOOKUP(E365,Sales_Reps!$A:$E,3,FALSE)</f>
        <v>South</v>
      </c>
      <c r="N365" s="23" t="str">
        <f t="shared" si="15"/>
        <v>Jan-24</v>
      </c>
      <c r="O365" s="23" t="str">
        <f t="shared" si="16"/>
        <v>Q1 2024</v>
      </c>
      <c r="P365" s="23">
        <f>VLOOKUP(D365,Products!$A:$F,4,FALSE)</f>
        <v>1748</v>
      </c>
      <c r="Q365" s="35">
        <f t="shared" si="17"/>
        <v>0.49333333333333335</v>
      </c>
    </row>
    <row r="366" spans="1:17">
      <c r="A366" s="12" t="s">
        <v>777</v>
      </c>
      <c r="B366" s="13">
        <v>45563</v>
      </c>
      <c r="C366" s="12" t="s">
        <v>755</v>
      </c>
      <c r="D366" s="12" t="s">
        <v>355</v>
      </c>
      <c r="E366" s="12" t="s">
        <v>175</v>
      </c>
      <c r="F366" s="14">
        <v>4</v>
      </c>
      <c r="G366" s="14">
        <v>2210</v>
      </c>
      <c r="H366" s="14">
        <v>5.4</v>
      </c>
      <c r="I366" s="14">
        <v>8362.64</v>
      </c>
      <c r="J366" s="12" t="s">
        <v>104</v>
      </c>
      <c r="K366" s="12" t="s">
        <v>105</v>
      </c>
      <c r="L366" s="23" t="str">
        <f>VLOOKUP(D366,Products!$A:$F,3,FALSE)</f>
        <v>Grocery</v>
      </c>
      <c r="M366" s="23" t="str">
        <f>VLOOKUP(E366,Sales_Reps!$A:$E,3,FALSE)</f>
        <v>East</v>
      </c>
      <c r="N366" s="23" t="str">
        <f t="shared" si="15"/>
        <v>Sep-24</v>
      </c>
      <c r="O366" s="23" t="str">
        <f t="shared" si="16"/>
        <v>Q3 2024</v>
      </c>
      <c r="P366" s="23">
        <f>VLOOKUP(D366,Products!$A:$F,4,FALSE)</f>
        <v>1010</v>
      </c>
      <c r="Q366" s="35">
        <f t="shared" si="17"/>
        <v>0.54298642533936647</v>
      </c>
    </row>
    <row r="367" spans="1:17">
      <c r="A367" s="12" t="s">
        <v>778</v>
      </c>
      <c r="B367" s="13">
        <v>45476</v>
      </c>
      <c r="C367" s="12" t="s">
        <v>779</v>
      </c>
      <c r="D367" s="12" t="s">
        <v>519</v>
      </c>
      <c r="E367" s="12" t="s">
        <v>115</v>
      </c>
      <c r="F367" s="14">
        <v>6</v>
      </c>
      <c r="G367" s="14">
        <v>1090</v>
      </c>
      <c r="H367" s="14">
        <v>2.9</v>
      </c>
      <c r="I367" s="14">
        <v>6350.34</v>
      </c>
      <c r="J367" s="12" t="s">
        <v>157</v>
      </c>
      <c r="K367" s="12" t="s">
        <v>150</v>
      </c>
      <c r="L367" s="23" t="str">
        <f>VLOOKUP(D367,Products!$A:$F,3,FALSE)</f>
        <v>Home</v>
      </c>
      <c r="M367" s="23" t="str">
        <f>VLOOKUP(E367,Sales_Reps!$A:$E,3,FALSE)</f>
        <v>South</v>
      </c>
      <c r="N367" s="23" t="str">
        <f t="shared" si="15"/>
        <v>Jul-24</v>
      </c>
      <c r="O367" s="23" t="str">
        <f t="shared" si="16"/>
        <v>Q3 2024</v>
      </c>
      <c r="P367" s="23">
        <f>VLOOKUP(D367,Products!$A:$F,4,FALSE)</f>
        <v>464</v>
      </c>
      <c r="Q367" s="35">
        <f t="shared" si="17"/>
        <v>0.57431192660550456</v>
      </c>
    </row>
    <row r="368" spans="1:17">
      <c r="A368" s="12" t="s">
        <v>780</v>
      </c>
      <c r="B368" s="13">
        <v>45364</v>
      </c>
      <c r="C368" s="12" t="s">
        <v>781</v>
      </c>
      <c r="D368" s="12" t="s">
        <v>276</v>
      </c>
      <c r="E368" s="12" t="s">
        <v>255</v>
      </c>
      <c r="F368" s="14">
        <v>8</v>
      </c>
      <c r="G368" s="14">
        <v>1540</v>
      </c>
      <c r="H368" s="14">
        <v>17.899999999999999</v>
      </c>
      <c r="I368" s="14">
        <v>10114.719999999999</v>
      </c>
      <c r="J368" s="12" t="s">
        <v>110</v>
      </c>
      <c r="K368" s="12" t="s">
        <v>111</v>
      </c>
      <c r="L368" s="23" t="str">
        <f>VLOOKUP(D368,Products!$A:$F,3,FALSE)</f>
        <v>Beauty</v>
      </c>
      <c r="M368" s="23" t="str">
        <f>VLOOKUP(E368,Sales_Reps!$A:$E,3,FALSE)</f>
        <v>East</v>
      </c>
      <c r="N368" s="23" t="str">
        <f t="shared" si="15"/>
        <v>Mar-24</v>
      </c>
      <c r="O368" s="23" t="str">
        <f t="shared" si="16"/>
        <v>Q1 2024</v>
      </c>
      <c r="P368" s="23">
        <f>VLOOKUP(D368,Products!$A:$F,4,FALSE)</f>
        <v>647</v>
      </c>
      <c r="Q368" s="35">
        <f t="shared" si="17"/>
        <v>0.57987012987012987</v>
      </c>
    </row>
    <row r="369" spans="1:17">
      <c r="A369" s="12" t="s">
        <v>782</v>
      </c>
      <c r="B369" s="13">
        <v>45371</v>
      </c>
      <c r="C369" s="12" t="s">
        <v>502</v>
      </c>
      <c r="D369" s="12" t="s">
        <v>155</v>
      </c>
      <c r="E369" s="12" t="s">
        <v>145</v>
      </c>
      <c r="F369" s="14">
        <v>9</v>
      </c>
      <c r="G369" s="14">
        <v>2600</v>
      </c>
      <c r="H369" s="14">
        <v>4.0999999999999996</v>
      </c>
      <c r="I369" s="14">
        <v>22440.6</v>
      </c>
      <c r="J369" s="12" t="s">
        <v>104</v>
      </c>
      <c r="K369" s="12" t="s">
        <v>105</v>
      </c>
      <c r="L369" s="23" t="str">
        <f>VLOOKUP(D369,Products!$A:$F,3,FALSE)</f>
        <v>Electronics</v>
      </c>
      <c r="M369" s="23" t="str">
        <f>VLOOKUP(E369,Sales_Reps!$A:$E,3,FALSE)</f>
        <v>West</v>
      </c>
      <c r="N369" s="23" t="str">
        <f t="shared" si="15"/>
        <v>Mar-24</v>
      </c>
      <c r="O369" s="23" t="str">
        <f t="shared" si="16"/>
        <v>Q1 2024</v>
      </c>
      <c r="P369" s="23">
        <f>VLOOKUP(D369,Products!$A:$F,4,FALSE)</f>
        <v>1052</v>
      </c>
      <c r="Q369" s="35">
        <f t="shared" si="17"/>
        <v>0.5953846153846154</v>
      </c>
    </row>
    <row r="370" spans="1:17">
      <c r="A370" s="12" t="s">
        <v>783</v>
      </c>
      <c r="B370" s="13">
        <v>45623</v>
      </c>
      <c r="C370" s="12" t="s">
        <v>697</v>
      </c>
      <c r="D370" s="12" t="s">
        <v>164</v>
      </c>
      <c r="E370" s="12" t="s">
        <v>103</v>
      </c>
      <c r="F370" s="14">
        <v>2</v>
      </c>
      <c r="G370" s="14">
        <v>190</v>
      </c>
      <c r="H370" s="14">
        <v>4.8</v>
      </c>
      <c r="I370" s="14">
        <v>361.76</v>
      </c>
      <c r="J370" s="12" t="s">
        <v>104</v>
      </c>
      <c r="K370" s="12" t="s">
        <v>111</v>
      </c>
      <c r="L370" s="23" t="str">
        <f>VLOOKUP(D370,Products!$A:$F,3,FALSE)</f>
        <v>Sports</v>
      </c>
      <c r="M370" s="23" t="str">
        <f>VLOOKUP(E370,Sales_Reps!$A:$E,3,FALSE)</f>
        <v>North</v>
      </c>
      <c r="N370" s="23" t="str">
        <f t="shared" si="15"/>
        <v>Nov-24</v>
      </c>
      <c r="O370" s="23" t="str">
        <f t="shared" si="16"/>
        <v>Q4 2024</v>
      </c>
      <c r="P370" s="23">
        <f>VLOOKUP(D370,Products!$A:$F,4,FALSE)</f>
        <v>147</v>
      </c>
      <c r="Q370" s="35">
        <f t="shared" si="17"/>
        <v>0.22631578947368422</v>
      </c>
    </row>
    <row r="371" spans="1:17">
      <c r="A371" s="12" t="s">
        <v>784</v>
      </c>
      <c r="B371" s="13">
        <v>45441</v>
      </c>
      <c r="C371" s="12" t="s">
        <v>785</v>
      </c>
      <c r="D371" s="12" t="s">
        <v>184</v>
      </c>
      <c r="E371" s="12" t="s">
        <v>115</v>
      </c>
      <c r="F371" s="14">
        <v>9</v>
      </c>
      <c r="G371" s="14">
        <v>2480</v>
      </c>
      <c r="H371" s="14">
        <v>28.3</v>
      </c>
      <c r="I371" s="14">
        <v>16003.44</v>
      </c>
      <c r="J371" s="12" t="s">
        <v>104</v>
      </c>
      <c r="K371" s="12" t="s">
        <v>105</v>
      </c>
      <c r="L371" s="23" t="str">
        <f>VLOOKUP(D371,Products!$A:$F,3,FALSE)</f>
        <v>Apparel</v>
      </c>
      <c r="M371" s="23" t="str">
        <f>VLOOKUP(E371,Sales_Reps!$A:$E,3,FALSE)</f>
        <v>South</v>
      </c>
      <c r="N371" s="23" t="str">
        <f t="shared" si="15"/>
        <v>May-24</v>
      </c>
      <c r="O371" s="23" t="str">
        <f t="shared" si="16"/>
        <v>Q2 2024</v>
      </c>
      <c r="P371" s="23">
        <f>VLOOKUP(D371,Products!$A:$F,4,FALSE)</f>
        <v>1173</v>
      </c>
      <c r="Q371" s="35">
        <f t="shared" si="17"/>
        <v>0.52701612903225803</v>
      </c>
    </row>
    <row r="372" spans="1:17">
      <c r="A372" s="12" t="s">
        <v>786</v>
      </c>
      <c r="B372" s="13">
        <v>45442</v>
      </c>
      <c r="C372" s="12" t="s">
        <v>787</v>
      </c>
      <c r="D372" s="12" t="s">
        <v>403</v>
      </c>
      <c r="E372" s="12" t="s">
        <v>120</v>
      </c>
      <c r="F372" s="14">
        <v>7</v>
      </c>
      <c r="G372" s="14">
        <v>2290</v>
      </c>
      <c r="H372" s="14">
        <v>25</v>
      </c>
      <c r="I372" s="14">
        <v>12022.5</v>
      </c>
      <c r="J372" s="12" t="s">
        <v>157</v>
      </c>
      <c r="K372" s="12" t="s">
        <v>105</v>
      </c>
      <c r="L372" s="23" t="str">
        <f>VLOOKUP(D372,Products!$A:$F,3,FALSE)</f>
        <v>Beauty</v>
      </c>
      <c r="M372" s="23" t="str">
        <f>VLOOKUP(E372,Sales_Reps!$A:$E,3,FALSE)</f>
        <v>North</v>
      </c>
      <c r="N372" s="23" t="str">
        <f t="shared" si="15"/>
        <v>May-24</v>
      </c>
      <c r="O372" s="23" t="str">
        <f t="shared" si="16"/>
        <v>Q2 2024</v>
      </c>
      <c r="P372" s="23">
        <f>VLOOKUP(D372,Products!$A:$F,4,FALSE)</f>
        <v>1219</v>
      </c>
      <c r="Q372" s="35">
        <f t="shared" si="17"/>
        <v>0.46768558951965067</v>
      </c>
    </row>
    <row r="373" spans="1:17">
      <c r="A373" s="12" t="s">
        <v>788</v>
      </c>
      <c r="B373" s="13">
        <v>45567</v>
      </c>
      <c r="C373" s="12" t="s">
        <v>253</v>
      </c>
      <c r="D373" s="12" t="s">
        <v>276</v>
      </c>
      <c r="E373" s="12" t="s">
        <v>205</v>
      </c>
      <c r="F373" s="14">
        <v>9</v>
      </c>
      <c r="G373" s="14">
        <v>1540</v>
      </c>
      <c r="H373" s="14">
        <v>23.3</v>
      </c>
      <c r="I373" s="14">
        <v>10630.62</v>
      </c>
      <c r="J373" s="12" t="s">
        <v>104</v>
      </c>
      <c r="K373" s="12" t="s">
        <v>150</v>
      </c>
      <c r="L373" s="23" t="str">
        <f>VLOOKUP(D373,Products!$A:$F,3,FALSE)</f>
        <v>Beauty</v>
      </c>
      <c r="M373" s="23" t="str">
        <f>VLOOKUP(E373,Sales_Reps!$A:$E,3,FALSE)</f>
        <v>South</v>
      </c>
      <c r="N373" s="23" t="str">
        <f t="shared" si="15"/>
        <v>Oct-24</v>
      </c>
      <c r="O373" s="23" t="str">
        <f t="shared" si="16"/>
        <v>Q4 2024</v>
      </c>
      <c r="P373" s="23">
        <f>VLOOKUP(D373,Products!$A:$F,4,FALSE)</f>
        <v>647</v>
      </c>
      <c r="Q373" s="35">
        <f t="shared" si="17"/>
        <v>0.57987012987012987</v>
      </c>
    </row>
    <row r="374" spans="1:17">
      <c r="A374" s="12" t="s">
        <v>789</v>
      </c>
      <c r="B374" s="13">
        <v>45653</v>
      </c>
      <c r="C374" s="12" t="s">
        <v>376</v>
      </c>
      <c r="D374" s="12" t="s">
        <v>460</v>
      </c>
      <c r="E374" s="12" t="s">
        <v>128</v>
      </c>
      <c r="F374" s="14">
        <v>2</v>
      </c>
      <c r="G374" s="14">
        <v>5080</v>
      </c>
      <c r="H374" s="14">
        <v>2.5</v>
      </c>
      <c r="I374" s="14">
        <v>9906</v>
      </c>
      <c r="J374" s="12" t="s">
        <v>157</v>
      </c>
      <c r="K374" s="12" t="s">
        <v>116</v>
      </c>
      <c r="L374" s="23" t="str">
        <f>VLOOKUP(D374,Products!$A:$F,3,FALSE)</f>
        <v>Home</v>
      </c>
      <c r="M374" s="23" t="str">
        <f>VLOOKUP(E374,Sales_Reps!$A:$E,3,FALSE)</f>
        <v>West</v>
      </c>
      <c r="N374" s="23" t="str">
        <f t="shared" si="15"/>
        <v>Dec-24</v>
      </c>
      <c r="O374" s="23" t="str">
        <f t="shared" si="16"/>
        <v>Q4 2024</v>
      </c>
      <c r="P374" s="23">
        <f>VLOOKUP(D374,Products!$A:$F,4,FALSE)</f>
        <v>2459</v>
      </c>
      <c r="Q374" s="35">
        <f t="shared" si="17"/>
        <v>0.51594488188976373</v>
      </c>
    </row>
    <row r="375" spans="1:17">
      <c r="A375" s="12" t="s">
        <v>790</v>
      </c>
      <c r="B375" s="13">
        <v>45331</v>
      </c>
      <c r="C375" s="12" t="s">
        <v>510</v>
      </c>
      <c r="D375" s="12" t="s">
        <v>372</v>
      </c>
      <c r="E375" s="12" t="s">
        <v>363</v>
      </c>
      <c r="F375" s="14">
        <v>4</v>
      </c>
      <c r="G375" s="14">
        <v>2510</v>
      </c>
      <c r="H375" s="14">
        <v>23.6</v>
      </c>
      <c r="I375" s="14">
        <v>7670.56</v>
      </c>
      <c r="J375" s="12" t="s">
        <v>104</v>
      </c>
      <c r="K375" s="12" t="s">
        <v>105</v>
      </c>
      <c r="L375" s="23" t="str">
        <f>VLOOKUP(D375,Products!$A:$F,3,FALSE)</f>
        <v>Apparel</v>
      </c>
      <c r="M375" s="23" t="str">
        <f>VLOOKUP(E375,Sales_Reps!$A:$E,3,FALSE)</f>
        <v>South</v>
      </c>
      <c r="N375" s="23" t="str">
        <f t="shared" si="15"/>
        <v>Feb-24</v>
      </c>
      <c r="O375" s="23" t="str">
        <f t="shared" si="16"/>
        <v>Q1 2024</v>
      </c>
      <c r="P375" s="23">
        <f>VLOOKUP(D375,Products!$A:$F,4,FALSE)</f>
        <v>1075</v>
      </c>
      <c r="Q375" s="35">
        <f t="shared" si="17"/>
        <v>0.57171314741035861</v>
      </c>
    </row>
    <row r="376" spans="1:17">
      <c r="A376" s="12" t="s">
        <v>791</v>
      </c>
      <c r="B376" s="13">
        <v>45332</v>
      </c>
      <c r="C376" s="12" t="s">
        <v>376</v>
      </c>
      <c r="D376" s="12" t="s">
        <v>403</v>
      </c>
      <c r="E376" s="12" t="s">
        <v>290</v>
      </c>
      <c r="F376" s="14">
        <v>5</v>
      </c>
      <c r="G376" s="14">
        <v>2290</v>
      </c>
      <c r="H376" s="14">
        <v>17</v>
      </c>
      <c r="I376" s="14">
        <v>9503.5</v>
      </c>
      <c r="J376" s="12" t="s">
        <v>104</v>
      </c>
      <c r="K376" s="12" t="s">
        <v>116</v>
      </c>
      <c r="L376" s="23" t="str">
        <f>VLOOKUP(D376,Products!$A:$F,3,FALSE)</f>
        <v>Beauty</v>
      </c>
      <c r="M376" s="23" t="str">
        <f>VLOOKUP(E376,Sales_Reps!$A:$E,3,FALSE)</f>
        <v>South</v>
      </c>
      <c r="N376" s="23" t="str">
        <f t="shared" si="15"/>
        <v>Feb-24</v>
      </c>
      <c r="O376" s="23" t="str">
        <f t="shared" si="16"/>
        <v>Q1 2024</v>
      </c>
      <c r="P376" s="23">
        <f>VLOOKUP(D376,Products!$A:$F,4,FALSE)</f>
        <v>1219</v>
      </c>
      <c r="Q376" s="35">
        <f t="shared" si="17"/>
        <v>0.46768558951965067</v>
      </c>
    </row>
    <row r="377" spans="1:17">
      <c r="A377" s="12" t="s">
        <v>792</v>
      </c>
      <c r="B377" s="13">
        <v>45340</v>
      </c>
      <c r="C377" s="12" t="s">
        <v>345</v>
      </c>
      <c r="D377" s="12" t="s">
        <v>114</v>
      </c>
      <c r="E377" s="12" t="s">
        <v>120</v>
      </c>
      <c r="F377" s="14">
        <v>8</v>
      </c>
      <c r="G377" s="14">
        <v>470</v>
      </c>
      <c r="H377" s="14">
        <v>9.3000000000000007</v>
      </c>
      <c r="I377" s="14">
        <v>3410.32</v>
      </c>
      <c r="J377" s="12" t="s">
        <v>104</v>
      </c>
      <c r="K377" s="12" t="s">
        <v>111</v>
      </c>
      <c r="L377" s="23" t="str">
        <f>VLOOKUP(D377,Products!$A:$F,3,FALSE)</f>
        <v>Sports</v>
      </c>
      <c r="M377" s="23" t="str">
        <f>VLOOKUP(E377,Sales_Reps!$A:$E,3,FALSE)</f>
        <v>North</v>
      </c>
      <c r="N377" s="23" t="str">
        <f t="shared" si="15"/>
        <v>Feb-24</v>
      </c>
      <c r="O377" s="23" t="str">
        <f t="shared" si="16"/>
        <v>Q1 2024</v>
      </c>
      <c r="P377" s="23">
        <f>VLOOKUP(D377,Products!$A:$F,4,FALSE)</f>
        <v>302</v>
      </c>
      <c r="Q377" s="35">
        <f t="shared" si="17"/>
        <v>0.35744680851063831</v>
      </c>
    </row>
    <row r="378" spans="1:17">
      <c r="A378" s="12" t="s">
        <v>793</v>
      </c>
      <c r="B378" s="13">
        <v>45564</v>
      </c>
      <c r="C378" s="12" t="s">
        <v>337</v>
      </c>
      <c r="D378" s="12" t="s">
        <v>208</v>
      </c>
      <c r="E378" s="12" t="s">
        <v>221</v>
      </c>
      <c r="F378" s="14">
        <v>8</v>
      </c>
      <c r="G378" s="14">
        <v>5100</v>
      </c>
      <c r="H378" s="14">
        <v>4.5999999999999996</v>
      </c>
      <c r="I378" s="14">
        <v>38923.199999999997</v>
      </c>
      <c r="J378" s="12" t="s">
        <v>104</v>
      </c>
      <c r="K378" s="12" t="s">
        <v>150</v>
      </c>
      <c r="L378" s="23" t="str">
        <f>VLOOKUP(D378,Products!$A:$F,3,FALSE)</f>
        <v>Beauty</v>
      </c>
      <c r="M378" s="23" t="str">
        <f>VLOOKUP(E378,Sales_Reps!$A:$E,3,FALSE)</f>
        <v>South</v>
      </c>
      <c r="N378" s="23" t="str">
        <f t="shared" si="15"/>
        <v>Sep-24</v>
      </c>
      <c r="O378" s="23" t="str">
        <f t="shared" si="16"/>
        <v>Q3 2024</v>
      </c>
      <c r="P378" s="23">
        <f>VLOOKUP(D378,Products!$A:$F,4,FALSE)</f>
        <v>2237</v>
      </c>
      <c r="Q378" s="35">
        <f t="shared" si="17"/>
        <v>0.56137254901960787</v>
      </c>
    </row>
    <row r="379" spans="1:17">
      <c r="A379" s="12" t="s">
        <v>794</v>
      </c>
      <c r="B379" s="13">
        <v>45296</v>
      </c>
      <c r="C379" s="12" t="s">
        <v>599</v>
      </c>
      <c r="D379" s="12" t="s">
        <v>381</v>
      </c>
      <c r="E379" s="12" t="s">
        <v>149</v>
      </c>
      <c r="F379" s="14">
        <v>7</v>
      </c>
      <c r="G379" s="14">
        <v>5330</v>
      </c>
      <c r="H379" s="14">
        <v>2.5</v>
      </c>
      <c r="I379" s="14">
        <v>36377.25</v>
      </c>
      <c r="J379" s="12" t="s">
        <v>104</v>
      </c>
      <c r="K379" s="12" t="s">
        <v>111</v>
      </c>
      <c r="L379" s="23" t="str">
        <f>VLOOKUP(D379,Products!$A:$F,3,FALSE)</f>
        <v>Electronics</v>
      </c>
      <c r="M379" s="23" t="str">
        <f>VLOOKUP(E379,Sales_Reps!$A:$E,3,FALSE)</f>
        <v>South</v>
      </c>
      <c r="N379" s="23" t="str">
        <f t="shared" si="15"/>
        <v>Jan-24</v>
      </c>
      <c r="O379" s="23" t="str">
        <f t="shared" si="16"/>
        <v>Q1 2024</v>
      </c>
      <c r="P379" s="23">
        <f>VLOOKUP(D379,Products!$A:$F,4,FALSE)</f>
        <v>2405</v>
      </c>
      <c r="Q379" s="35">
        <f t="shared" si="17"/>
        <v>0.54878048780487809</v>
      </c>
    </row>
    <row r="380" spans="1:17">
      <c r="A380" s="12" t="s">
        <v>795</v>
      </c>
      <c r="B380" s="13">
        <v>45364</v>
      </c>
      <c r="C380" s="12" t="s">
        <v>796</v>
      </c>
      <c r="D380" s="12" t="s">
        <v>312</v>
      </c>
      <c r="E380" s="12" t="s">
        <v>145</v>
      </c>
      <c r="F380" s="14">
        <v>10</v>
      </c>
      <c r="G380" s="14">
        <v>2030</v>
      </c>
      <c r="H380" s="14">
        <v>8.5</v>
      </c>
      <c r="I380" s="14">
        <v>18574.5</v>
      </c>
      <c r="J380" s="12" t="s">
        <v>104</v>
      </c>
      <c r="K380" s="12" t="s">
        <v>134</v>
      </c>
      <c r="L380" s="23" t="str">
        <f>VLOOKUP(D380,Products!$A:$F,3,FALSE)</f>
        <v>Home</v>
      </c>
      <c r="M380" s="23" t="str">
        <f>VLOOKUP(E380,Sales_Reps!$A:$E,3,FALSE)</f>
        <v>West</v>
      </c>
      <c r="N380" s="23" t="str">
        <f t="shared" si="15"/>
        <v>Mar-24</v>
      </c>
      <c r="O380" s="23" t="str">
        <f t="shared" si="16"/>
        <v>Q1 2024</v>
      </c>
      <c r="P380" s="23">
        <f>VLOOKUP(D380,Products!$A:$F,4,FALSE)</f>
        <v>1143</v>
      </c>
      <c r="Q380" s="35">
        <f t="shared" si="17"/>
        <v>0.43694581280788175</v>
      </c>
    </row>
    <row r="381" spans="1:17">
      <c r="A381" s="12" t="s">
        <v>797</v>
      </c>
      <c r="B381" s="13">
        <v>45560</v>
      </c>
      <c r="C381" s="12" t="s">
        <v>798</v>
      </c>
      <c r="D381" s="12" t="s">
        <v>460</v>
      </c>
      <c r="E381" s="12" t="s">
        <v>165</v>
      </c>
      <c r="F381" s="14">
        <v>8</v>
      </c>
      <c r="G381" s="14">
        <v>5080</v>
      </c>
      <c r="H381" s="14">
        <v>9.6</v>
      </c>
      <c r="I381" s="14">
        <v>36738.559999999998</v>
      </c>
      <c r="J381" s="12" t="s">
        <v>157</v>
      </c>
      <c r="K381" s="12" t="s">
        <v>116</v>
      </c>
      <c r="L381" s="23" t="str">
        <f>VLOOKUP(D381,Products!$A:$F,3,FALSE)</f>
        <v>Home</v>
      </c>
      <c r="M381" s="23" t="str">
        <f>VLOOKUP(E381,Sales_Reps!$A:$E,3,FALSE)</f>
        <v>North</v>
      </c>
      <c r="N381" s="23" t="str">
        <f t="shared" si="15"/>
        <v>Sep-24</v>
      </c>
      <c r="O381" s="23" t="str">
        <f t="shared" si="16"/>
        <v>Q3 2024</v>
      </c>
      <c r="P381" s="23">
        <f>VLOOKUP(D381,Products!$A:$F,4,FALSE)</f>
        <v>2459</v>
      </c>
      <c r="Q381" s="35">
        <f t="shared" si="17"/>
        <v>0.51594488188976373</v>
      </c>
    </row>
    <row r="382" spans="1:17">
      <c r="A382" s="12" t="s">
        <v>799</v>
      </c>
      <c r="B382" s="13">
        <v>45378</v>
      </c>
      <c r="C382" s="12" t="s">
        <v>192</v>
      </c>
      <c r="D382" s="12" t="s">
        <v>384</v>
      </c>
      <c r="E382" s="12" t="s">
        <v>115</v>
      </c>
      <c r="F382" s="14">
        <v>1</v>
      </c>
      <c r="G382" s="14">
        <v>2380</v>
      </c>
      <c r="H382" s="14">
        <v>11.6</v>
      </c>
      <c r="I382" s="14">
        <v>2103.92</v>
      </c>
      <c r="J382" s="12" t="s">
        <v>110</v>
      </c>
      <c r="K382" s="12" t="s">
        <v>150</v>
      </c>
      <c r="L382" s="23" t="str">
        <f>VLOOKUP(D382,Products!$A:$F,3,FALSE)</f>
        <v>Grocery</v>
      </c>
      <c r="M382" s="23" t="str">
        <f>VLOOKUP(E382,Sales_Reps!$A:$E,3,FALSE)</f>
        <v>South</v>
      </c>
      <c r="N382" s="23" t="str">
        <f t="shared" si="15"/>
        <v>Mar-24</v>
      </c>
      <c r="O382" s="23" t="str">
        <f t="shared" si="16"/>
        <v>Q1 2024</v>
      </c>
      <c r="P382" s="23">
        <f>VLOOKUP(D382,Products!$A:$F,4,FALSE)</f>
        <v>1182</v>
      </c>
      <c r="Q382" s="35">
        <f t="shared" si="17"/>
        <v>0.50336134453781511</v>
      </c>
    </row>
    <row r="383" spans="1:17">
      <c r="A383" s="12" t="s">
        <v>800</v>
      </c>
      <c r="B383" s="13">
        <v>45590</v>
      </c>
      <c r="C383" s="12" t="s">
        <v>289</v>
      </c>
      <c r="D383" s="12" t="s">
        <v>276</v>
      </c>
      <c r="E383" s="12" t="s">
        <v>360</v>
      </c>
      <c r="F383" s="14">
        <v>8</v>
      </c>
      <c r="G383" s="14">
        <v>1540</v>
      </c>
      <c r="H383" s="14">
        <v>27.8</v>
      </c>
      <c r="I383" s="14">
        <v>8895.0400000000009</v>
      </c>
      <c r="J383" s="12" t="s">
        <v>104</v>
      </c>
      <c r="K383" s="12" t="s">
        <v>111</v>
      </c>
      <c r="L383" s="23" t="str">
        <f>VLOOKUP(D383,Products!$A:$F,3,FALSE)</f>
        <v>Beauty</v>
      </c>
      <c r="M383" s="23" t="str">
        <f>VLOOKUP(E383,Sales_Reps!$A:$E,3,FALSE)</f>
        <v>West</v>
      </c>
      <c r="N383" s="23" t="str">
        <f t="shared" si="15"/>
        <v>Oct-24</v>
      </c>
      <c r="O383" s="23" t="str">
        <f t="shared" si="16"/>
        <v>Q4 2024</v>
      </c>
      <c r="P383" s="23">
        <f>VLOOKUP(D383,Products!$A:$F,4,FALSE)</f>
        <v>647</v>
      </c>
      <c r="Q383" s="35">
        <f t="shared" si="17"/>
        <v>0.57987012987012987</v>
      </c>
    </row>
    <row r="384" spans="1:17">
      <c r="A384" s="12" t="s">
        <v>801</v>
      </c>
      <c r="B384" s="13">
        <v>45591</v>
      </c>
      <c r="C384" s="12" t="s">
        <v>802</v>
      </c>
      <c r="D384" s="12" t="s">
        <v>148</v>
      </c>
      <c r="E384" s="12" t="s">
        <v>133</v>
      </c>
      <c r="F384" s="14">
        <v>1</v>
      </c>
      <c r="G384" s="14">
        <v>2270</v>
      </c>
      <c r="H384" s="14">
        <v>6.5</v>
      </c>
      <c r="I384" s="14">
        <v>2122.4499999999998</v>
      </c>
      <c r="J384" s="12" t="s">
        <v>110</v>
      </c>
      <c r="K384" s="12" t="s">
        <v>803</v>
      </c>
      <c r="L384" s="23" t="str">
        <f>VLOOKUP(D384,Products!$A:$F,3,FALSE)</f>
        <v>Grocery</v>
      </c>
      <c r="M384" s="23" t="str">
        <f>VLOOKUP(E384,Sales_Reps!$A:$E,3,FALSE)</f>
        <v>West</v>
      </c>
      <c r="N384" s="23" t="str">
        <f t="shared" si="15"/>
        <v>Oct-24</v>
      </c>
      <c r="O384" s="23" t="str">
        <f t="shared" si="16"/>
        <v>Q4 2024</v>
      </c>
      <c r="P384" s="23">
        <f>VLOOKUP(D384,Products!$A:$F,4,FALSE)</f>
        <v>1203</v>
      </c>
      <c r="Q384" s="35">
        <f t="shared" si="17"/>
        <v>0.47004405286343615</v>
      </c>
    </row>
    <row r="385" spans="1:17">
      <c r="A385" s="12" t="s">
        <v>804</v>
      </c>
      <c r="B385" s="13">
        <v>45503</v>
      </c>
      <c r="C385" s="12" t="s">
        <v>333</v>
      </c>
      <c r="D385" s="12" t="s">
        <v>184</v>
      </c>
      <c r="E385" s="12" t="s">
        <v>145</v>
      </c>
      <c r="F385" s="14">
        <v>6</v>
      </c>
      <c r="G385" s="14">
        <v>2480</v>
      </c>
      <c r="H385" s="14">
        <v>25.9</v>
      </c>
      <c r="I385" s="14">
        <v>11026.08</v>
      </c>
      <c r="J385" s="12" t="s">
        <v>104</v>
      </c>
      <c r="K385" s="12" t="s">
        <v>105</v>
      </c>
      <c r="L385" s="23" t="str">
        <f>VLOOKUP(D385,Products!$A:$F,3,FALSE)</f>
        <v>Apparel</v>
      </c>
      <c r="M385" s="23" t="str">
        <f>VLOOKUP(E385,Sales_Reps!$A:$E,3,FALSE)</f>
        <v>West</v>
      </c>
      <c r="N385" s="23" t="str">
        <f t="shared" si="15"/>
        <v>Jul-24</v>
      </c>
      <c r="O385" s="23" t="str">
        <f t="shared" si="16"/>
        <v>Q3 2024</v>
      </c>
      <c r="P385" s="23">
        <f>VLOOKUP(D385,Products!$A:$F,4,FALSE)</f>
        <v>1173</v>
      </c>
      <c r="Q385" s="35">
        <f t="shared" si="17"/>
        <v>0.52701612903225803</v>
      </c>
    </row>
    <row r="386" spans="1:17">
      <c r="A386" s="12" t="s">
        <v>805</v>
      </c>
      <c r="B386" s="13">
        <v>45608</v>
      </c>
      <c r="C386" s="12" t="s">
        <v>335</v>
      </c>
      <c r="D386" s="12" t="s">
        <v>676</v>
      </c>
      <c r="E386" s="12" t="s">
        <v>138</v>
      </c>
      <c r="F386" s="14">
        <v>3</v>
      </c>
      <c r="G386" s="14">
        <v>3560</v>
      </c>
      <c r="H386" s="14">
        <v>0.4</v>
      </c>
      <c r="I386" s="14">
        <v>10637.28</v>
      </c>
      <c r="J386" s="12" t="s">
        <v>161</v>
      </c>
      <c r="K386" s="12" t="s">
        <v>111</v>
      </c>
      <c r="L386" s="23" t="str">
        <f>VLOOKUP(D386,Products!$A:$F,3,FALSE)</f>
        <v>Apparel</v>
      </c>
      <c r="M386" s="23" t="str">
        <f>VLOOKUP(E386,Sales_Reps!$A:$E,3,FALSE)</f>
        <v>East</v>
      </c>
      <c r="N386" s="23" t="str">
        <f t="shared" si="15"/>
        <v>Nov-24</v>
      </c>
      <c r="O386" s="23" t="str">
        <f t="shared" si="16"/>
        <v>Q4 2024</v>
      </c>
      <c r="P386" s="23">
        <f>VLOOKUP(D386,Products!$A:$F,4,FALSE)</f>
        <v>2629</v>
      </c>
      <c r="Q386" s="35">
        <f t="shared" si="17"/>
        <v>0.26151685393258428</v>
      </c>
    </row>
    <row r="387" spans="1:17">
      <c r="A387" s="12" t="s">
        <v>806</v>
      </c>
      <c r="B387" s="13">
        <v>45422</v>
      </c>
      <c r="C387" s="12" t="s">
        <v>668</v>
      </c>
      <c r="D387" s="12" t="s">
        <v>296</v>
      </c>
      <c r="E387" s="12" t="s">
        <v>120</v>
      </c>
      <c r="F387" s="14">
        <v>4</v>
      </c>
      <c r="G387" s="14">
        <v>2660</v>
      </c>
      <c r="H387" s="14">
        <v>19.7</v>
      </c>
      <c r="I387" s="14">
        <v>8543.92</v>
      </c>
      <c r="J387" s="12" t="s">
        <v>157</v>
      </c>
      <c r="K387" s="12" t="s">
        <v>150</v>
      </c>
      <c r="L387" s="23" t="str">
        <f>VLOOKUP(D387,Products!$A:$F,3,FALSE)</f>
        <v>Electronics</v>
      </c>
      <c r="M387" s="23" t="str">
        <f>VLOOKUP(E387,Sales_Reps!$A:$E,3,FALSE)</f>
        <v>North</v>
      </c>
      <c r="N387" s="23" t="str">
        <f t="shared" ref="N387:N450" si="18">TEXT(B387, "mmm-yy")</f>
        <v>May-24</v>
      </c>
      <c r="O387" s="23" t="str">
        <f t="shared" ref="O387:O450" si="19">"Q" &amp; INT((MONTH(B387)-1)/3)+1 &amp; " " &amp; YEAR(B387)</f>
        <v>Q2 2024</v>
      </c>
      <c r="P387" s="23">
        <f>VLOOKUP(D387,Products!$A:$F,4,FALSE)</f>
        <v>1259</v>
      </c>
      <c r="Q387" s="35">
        <f t="shared" ref="Q387:Q450" si="20">(G387 - P387) / G387</f>
        <v>0.52669172932330832</v>
      </c>
    </row>
    <row r="388" spans="1:17">
      <c r="A388" s="12" t="s">
        <v>807</v>
      </c>
      <c r="B388" s="13">
        <v>45386</v>
      </c>
      <c r="C388" s="12" t="s">
        <v>189</v>
      </c>
      <c r="D388" s="12" t="s">
        <v>284</v>
      </c>
      <c r="E388" s="12" t="s">
        <v>269</v>
      </c>
      <c r="F388" s="14">
        <v>10</v>
      </c>
      <c r="G388" s="14">
        <v>1220</v>
      </c>
      <c r="H388" s="14">
        <v>10.1</v>
      </c>
      <c r="I388" s="14">
        <v>10967.8</v>
      </c>
      <c r="J388" s="12" t="s">
        <v>157</v>
      </c>
      <c r="K388" s="12" t="s">
        <v>105</v>
      </c>
      <c r="L388" s="23" t="str">
        <f>VLOOKUP(D388,Products!$A:$F,3,FALSE)</f>
        <v>Electronics</v>
      </c>
      <c r="M388" s="23" t="str">
        <f>VLOOKUP(E388,Sales_Reps!$A:$E,3,FALSE)</f>
        <v>South</v>
      </c>
      <c r="N388" s="23" t="str">
        <f t="shared" si="18"/>
        <v>Apr-24</v>
      </c>
      <c r="O388" s="23" t="str">
        <f t="shared" si="19"/>
        <v>Q2 2024</v>
      </c>
      <c r="P388" s="23">
        <f>VLOOKUP(D388,Products!$A:$F,4,FALSE)</f>
        <v>517</v>
      </c>
      <c r="Q388" s="35">
        <f t="shared" si="20"/>
        <v>0.57622950819672136</v>
      </c>
    </row>
    <row r="389" spans="1:17">
      <c r="A389" s="12" t="s">
        <v>808</v>
      </c>
      <c r="B389" s="13">
        <v>45584</v>
      </c>
      <c r="C389" s="12" t="s">
        <v>693</v>
      </c>
      <c r="D389" s="12" t="s">
        <v>155</v>
      </c>
      <c r="E389" s="12" t="s">
        <v>115</v>
      </c>
      <c r="F389" s="14">
        <v>8</v>
      </c>
      <c r="G389" s="14">
        <v>2600</v>
      </c>
      <c r="H389" s="14">
        <v>26.7</v>
      </c>
      <c r="I389" s="14">
        <v>15246.4</v>
      </c>
      <c r="J389" s="12" t="s">
        <v>104</v>
      </c>
      <c r="K389" s="12" t="s">
        <v>105</v>
      </c>
      <c r="L389" s="23" t="str">
        <f>VLOOKUP(D389,Products!$A:$F,3,FALSE)</f>
        <v>Electronics</v>
      </c>
      <c r="M389" s="23" t="str">
        <f>VLOOKUP(E389,Sales_Reps!$A:$E,3,FALSE)</f>
        <v>South</v>
      </c>
      <c r="N389" s="23" t="str">
        <f t="shared" si="18"/>
        <v>Oct-24</v>
      </c>
      <c r="O389" s="23" t="str">
        <f t="shared" si="19"/>
        <v>Q4 2024</v>
      </c>
      <c r="P389" s="23">
        <f>VLOOKUP(D389,Products!$A:$F,4,FALSE)</f>
        <v>1052</v>
      </c>
      <c r="Q389" s="35">
        <f t="shared" si="20"/>
        <v>0.5953846153846154</v>
      </c>
    </row>
    <row r="390" spans="1:17">
      <c r="A390" s="12" t="s">
        <v>809</v>
      </c>
      <c r="B390" s="13">
        <v>45440</v>
      </c>
      <c r="C390" s="12" t="s">
        <v>535</v>
      </c>
      <c r="D390" s="12" t="s">
        <v>469</v>
      </c>
      <c r="E390" s="12" t="s">
        <v>209</v>
      </c>
      <c r="F390" s="14">
        <v>10</v>
      </c>
      <c r="G390" s="14">
        <v>3450</v>
      </c>
      <c r="H390" s="14">
        <v>20.399999999999999</v>
      </c>
      <c r="I390" s="14">
        <v>27462</v>
      </c>
      <c r="J390" s="12" t="s">
        <v>104</v>
      </c>
      <c r="K390" s="12" t="s">
        <v>105</v>
      </c>
      <c r="L390" s="23" t="str">
        <f>VLOOKUP(D390,Products!$A:$F,3,FALSE)</f>
        <v>Apparel</v>
      </c>
      <c r="M390" s="23" t="str">
        <f>VLOOKUP(E390,Sales_Reps!$A:$E,3,FALSE)</f>
        <v>East</v>
      </c>
      <c r="N390" s="23" t="str">
        <f t="shared" si="18"/>
        <v>May-24</v>
      </c>
      <c r="O390" s="23" t="str">
        <f t="shared" si="19"/>
        <v>Q2 2024</v>
      </c>
      <c r="P390" s="23">
        <f>VLOOKUP(D390,Products!$A:$F,4,FALSE)</f>
        <v>1748</v>
      </c>
      <c r="Q390" s="35">
        <f t="shared" si="20"/>
        <v>0.49333333333333335</v>
      </c>
    </row>
    <row r="391" spans="1:17">
      <c r="A391" s="12" t="s">
        <v>810</v>
      </c>
      <c r="B391" s="13">
        <v>45440</v>
      </c>
      <c r="C391" s="12" t="s">
        <v>225</v>
      </c>
      <c r="D391" s="12" t="s">
        <v>532</v>
      </c>
      <c r="E391" s="12" t="s">
        <v>138</v>
      </c>
      <c r="F391" s="14">
        <v>1</v>
      </c>
      <c r="G391" s="14">
        <v>6940</v>
      </c>
      <c r="H391" s="14">
        <v>9.6999999999999993</v>
      </c>
      <c r="I391" s="14">
        <v>6266.82</v>
      </c>
      <c r="J391" s="12" t="s">
        <v>104</v>
      </c>
      <c r="K391" s="12" t="s">
        <v>150</v>
      </c>
      <c r="L391" s="23" t="str">
        <f>VLOOKUP(D391,Products!$A:$F,3,FALSE)</f>
        <v>Sports</v>
      </c>
      <c r="M391" s="23" t="str">
        <f>VLOOKUP(E391,Sales_Reps!$A:$E,3,FALSE)</f>
        <v>East</v>
      </c>
      <c r="N391" s="23" t="str">
        <f t="shared" si="18"/>
        <v>May-24</v>
      </c>
      <c r="O391" s="23" t="str">
        <f t="shared" si="19"/>
        <v>Q2 2024</v>
      </c>
      <c r="P391" s="23">
        <f>VLOOKUP(D391,Products!$A:$F,4,FALSE)</f>
        <v>2827</v>
      </c>
      <c r="Q391" s="35">
        <f t="shared" si="20"/>
        <v>0.5926512968299712</v>
      </c>
    </row>
    <row r="392" spans="1:17">
      <c r="A392" s="12" t="s">
        <v>811</v>
      </c>
      <c r="B392" s="13">
        <v>45358</v>
      </c>
      <c r="C392" s="12" t="s">
        <v>812</v>
      </c>
      <c r="D392" s="12" t="s">
        <v>196</v>
      </c>
      <c r="E392" s="12" t="s">
        <v>120</v>
      </c>
      <c r="F392" s="14">
        <v>10</v>
      </c>
      <c r="G392" s="14">
        <v>3350</v>
      </c>
      <c r="H392" s="14">
        <v>3.2</v>
      </c>
      <c r="I392" s="14">
        <v>32428</v>
      </c>
      <c r="J392" s="12" t="s">
        <v>104</v>
      </c>
      <c r="K392" s="12" t="s">
        <v>111</v>
      </c>
      <c r="L392" s="23" t="str">
        <f>VLOOKUP(D392,Products!$A:$F,3,FALSE)</f>
        <v>Beauty</v>
      </c>
      <c r="M392" s="23" t="str">
        <f>VLOOKUP(E392,Sales_Reps!$A:$E,3,FALSE)</f>
        <v>North</v>
      </c>
      <c r="N392" s="23" t="str">
        <f t="shared" si="18"/>
        <v>Mar-24</v>
      </c>
      <c r="O392" s="23" t="str">
        <f t="shared" si="19"/>
        <v>Q1 2024</v>
      </c>
      <c r="P392" s="23">
        <f>VLOOKUP(D392,Products!$A:$F,4,FALSE)</f>
        <v>1728</v>
      </c>
      <c r="Q392" s="35">
        <f t="shared" si="20"/>
        <v>0.48417910447761192</v>
      </c>
    </row>
    <row r="393" spans="1:17">
      <c r="A393" s="12" t="s">
        <v>813</v>
      </c>
      <c r="B393" s="13">
        <v>45387</v>
      </c>
      <c r="C393" s="12" t="s">
        <v>814</v>
      </c>
      <c r="D393" s="12" t="s">
        <v>276</v>
      </c>
      <c r="E393" s="12" t="s">
        <v>218</v>
      </c>
      <c r="F393" s="14">
        <v>7</v>
      </c>
      <c r="G393" s="14">
        <v>1540</v>
      </c>
      <c r="H393" s="14">
        <v>0.5</v>
      </c>
      <c r="I393" s="14">
        <v>10726.1</v>
      </c>
      <c r="J393" s="12" t="s">
        <v>104</v>
      </c>
      <c r="K393" s="12" t="s">
        <v>116</v>
      </c>
      <c r="L393" s="23" t="str">
        <f>VLOOKUP(D393,Products!$A:$F,3,FALSE)</f>
        <v>Beauty</v>
      </c>
      <c r="M393" s="23" t="str">
        <f>VLOOKUP(E393,Sales_Reps!$A:$E,3,FALSE)</f>
        <v>West</v>
      </c>
      <c r="N393" s="23" t="str">
        <f t="shared" si="18"/>
        <v>Apr-24</v>
      </c>
      <c r="O393" s="23" t="str">
        <f t="shared" si="19"/>
        <v>Q2 2024</v>
      </c>
      <c r="P393" s="23">
        <f>VLOOKUP(D393,Products!$A:$F,4,FALSE)</f>
        <v>647</v>
      </c>
      <c r="Q393" s="35">
        <f t="shared" si="20"/>
        <v>0.57987012987012987</v>
      </c>
    </row>
    <row r="394" spans="1:17">
      <c r="A394" s="12" t="s">
        <v>815</v>
      </c>
      <c r="B394" s="13">
        <v>45655</v>
      </c>
      <c r="C394" s="12" t="s">
        <v>816</v>
      </c>
      <c r="D394" s="12" t="s">
        <v>102</v>
      </c>
      <c r="E394" s="12" t="s">
        <v>218</v>
      </c>
      <c r="F394" s="14">
        <v>10</v>
      </c>
      <c r="G394" s="14">
        <v>3620</v>
      </c>
      <c r="H394" s="14">
        <v>22</v>
      </c>
      <c r="I394" s="14">
        <v>28236</v>
      </c>
      <c r="J394" s="12" t="s">
        <v>104</v>
      </c>
      <c r="K394" s="12" t="s">
        <v>105</v>
      </c>
      <c r="L394" s="23" t="str">
        <f>VLOOKUP(D394,Products!$A:$F,3,FALSE)</f>
        <v>Apparel</v>
      </c>
      <c r="M394" s="23" t="str">
        <f>VLOOKUP(E394,Sales_Reps!$A:$E,3,FALSE)</f>
        <v>West</v>
      </c>
      <c r="N394" s="23" t="str">
        <f t="shared" si="18"/>
        <v>Dec-24</v>
      </c>
      <c r="O394" s="23" t="str">
        <f t="shared" si="19"/>
        <v>Q4 2024</v>
      </c>
      <c r="P394" s="23">
        <f>VLOOKUP(D394,Products!$A:$F,4,FALSE)</f>
        <v>2509</v>
      </c>
      <c r="Q394" s="35">
        <f t="shared" si="20"/>
        <v>0.3069060773480663</v>
      </c>
    </row>
    <row r="395" spans="1:17">
      <c r="A395" s="12" t="s">
        <v>817</v>
      </c>
      <c r="B395" s="13">
        <v>45629</v>
      </c>
      <c r="C395" s="12" t="s">
        <v>250</v>
      </c>
      <c r="D395" s="12" t="s">
        <v>114</v>
      </c>
      <c r="E395" s="12" t="s">
        <v>218</v>
      </c>
      <c r="F395" s="14">
        <v>2</v>
      </c>
      <c r="G395" s="14">
        <v>470</v>
      </c>
      <c r="H395" s="14">
        <v>26.5</v>
      </c>
      <c r="I395" s="14">
        <v>690.9</v>
      </c>
      <c r="J395" s="12" t="s">
        <v>110</v>
      </c>
      <c r="K395" s="12" t="s">
        <v>105</v>
      </c>
      <c r="L395" s="23" t="str">
        <f>VLOOKUP(D395,Products!$A:$F,3,FALSE)</f>
        <v>Sports</v>
      </c>
      <c r="M395" s="23" t="str">
        <f>VLOOKUP(E395,Sales_Reps!$A:$E,3,FALSE)</f>
        <v>West</v>
      </c>
      <c r="N395" s="23" t="str">
        <f t="shared" si="18"/>
        <v>Dec-24</v>
      </c>
      <c r="O395" s="23" t="str">
        <f t="shared" si="19"/>
        <v>Q4 2024</v>
      </c>
      <c r="P395" s="23">
        <f>VLOOKUP(D395,Products!$A:$F,4,FALSE)</f>
        <v>302</v>
      </c>
      <c r="Q395" s="35">
        <f t="shared" si="20"/>
        <v>0.35744680851063831</v>
      </c>
    </row>
    <row r="396" spans="1:17">
      <c r="A396" s="12" t="s">
        <v>818</v>
      </c>
      <c r="B396" s="13">
        <v>45323</v>
      </c>
      <c r="C396" s="12" t="s">
        <v>819</v>
      </c>
      <c r="D396" s="12" t="s">
        <v>119</v>
      </c>
      <c r="E396" s="12" t="s">
        <v>149</v>
      </c>
      <c r="F396" s="14">
        <v>6</v>
      </c>
      <c r="G396" s="14">
        <v>3660</v>
      </c>
      <c r="H396" s="14">
        <v>1.5</v>
      </c>
      <c r="I396" s="14">
        <v>21630.6</v>
      </c>
      <c r="J396" s="12" t="s">
        <v>104</v>
      </c>
      <c r="K396" s="12" t="s">
        <v>111</v>
      </c>
      <c r="L396" s="23" t="str">
        <f>VLOOKUP(D396,Products!$A:$F,3,FALSE)</f>
        <v>Grocery</v>
      </c>
      <c r="M396" s="23" t="str">
        <f>VLOOKUP(E396,Sales_Reps!$A:$E,3,FALSE)</f>
        <v>South</v>
      </c>
      <c r="N396" s="23" t="str">
        <f t="shared" si="18"/>
        <v>Feb-24</v>
      </c>
      <c r="O396" s="23" t="str">
        <f t="shared" si="19"/>
        <v>Q1 2024</v>
      </c>
      <c r="P396" s="23">
        <f>VLOOKUP(D396,Products!$A:$F,4,FALSE)</f>
        <v>2214</v>
      </c>
      <c r="Q396" s="35">
        <f t="shared" si="20"/>
        <v>0.39508196721311473</v>
      </c>
    </row>
    <row r="397" spans="1:17">
      <c r="A397" s="12" t="s">
        <v>820</v>
      </c>
      <c r="B397" s="13">
        <v>45432</v>
      </c>
      <c r="C397" s="12" t="s">
        <v>136</v>
      </c>
      <c r="D397" s="12" t="s">
        <v>532</v>
      </c>
      <c r="E397" s="12" t="s">
        <v>255</v>
      </c>
      <c r="F397" s="14">
        <v>10</v>
      </c>
      <c r="G397" s="14">
        <v>6940</v>
      </c>
      <c r="H397" s="14">
        <v>1.9</v>
      </c>
      <c r="I397" s="14">
        <v>68081.399999999994</v>
      </c>
      <c r="J397" s="12" t="s">
        <v>104</v>
      </c>
      <c r="K397" s="12" t="s">
        <v>134</v>
      </c>
      <c r="L397" s="23" t="str">
        <f>VLOOKUP(D397,Products!$A:$F,3,FALSE)</f>
        <v>Sports</v>
      </c>
      <c r="M397" s="23" t="str">
        <f>VLOOKUP(E397,Sales_Reps!$A:$E,3,FALSE)</f>
        <v>East</v>
      </c>
      <c r="N397" s="23" t="str">
        <f t="shared" si="18"/>
        <v>May-24</v>
      </c>
      <c r="O397" s="23" t="str">
        <f t="shared" si="19"/>
        <v>Q2 2024</v>
      </c>
      <c r="P397" s="23">
        <f>VLOOKUP(D397,Products!$A:$F,4,FALSE)</f>
        <v>2827</v>
      </c>
      <c r="Q397" s="35">
        <f t="shared" si="20"/>
        <v>0.5926512968299712</v>
      </c>
    </row>
    <row r="398" spans="1:17">
      <c r="A398" s="12" t="s">
        <v>821</v>
      </c>
      <c r="B398" s="13">
        <v>45397</v>
      </c>
      <c r="C398" s="12" t="s">
        <v>597</v>
      </c>
      <c r="D398" s="12" t="s">
        <v>403</v>
      </c>
      <c r="E398" s="12" t="s">
        <v>109</v>
      </c>
      <c r="F398" s="14">
        <v>8</v>
      </c>
      <c r="G398" s="14">
        <v>2290</v>
      </c>
      <c r="H398" s="14">
        <v>27.9</v>
      </c>
      <c r="I398" s="14">
        <v>13208.72</v>
      </c>
      <c r="J398" s="12" t="s">
        <v>104</v>
      </c>
      <c r="K398" s="12" t="s">
        <v>105</v>
      </c>
      <c r="L398" s="23" t="str">
        <f>VLOOKUP(D398,Products!$A:$F,3,FALSE)</f>
        <v>Beauty</v>
      </c>
      <c r="M398" s="23" t="str">
        <f>VLOOKUP(E398,Sales_Reps!$A:$E,3,FALSE)</f>
        <v>North</v>
      </c>
      <c r="N398" s="23" t="str">
        <f t="shared" si="18"/>
        <v>Apr-24</v>
      </c>
      <c r="O398" s="23" t="str">
        <f t="shared" si="19"/>
        <v>Q2 2024</v>
      </c>
      <c r="P398" s="23">
        <f>VLOOKUP(D398,Products!$A:$F,4,FALSE)</f>
        <v>1219</v>
      </c>
      <c r="Q398" s="35">
        <f t="shared" si="20"/>
        <v>0.46768558951965067</v>
      </c>
    </row>
    <row r="399" spans="1:17">
      <c r="A399" s="12" t="s">
        <v>822</v>
      </c>
      <c r="B399" s="13">
        <v>45573</v>
      </c>
      <c r="C399" s="12" t="s">
        <v>529</v>
      </c>
      <c r="D399" s="12" t="s">
        <v>123</v>
      </c>
      <c r="E399" s="12" t="s">
        <v>133</v>
      </c>
      <c r="F399" s="14">
        <v>9</v>
      </c>
      <c r="G399" s="14">
        <v>3160</v>
      </c>
      <c r="H399" s="14">
        <v>10.199999999999999</v>
      </c>
      <c r="I399" s="14">
        <v>25539.119999999999</v>
      </c>
      <c r="J399" s="12" t="s">
        <v>104</v>
      </c>
      <c r="K399" s="12" t="s">
        <v>150</v>
      </c>
      <c r="L399" s="23" t="str">
        <f>VLOOKUP(D399,Products!$A:$F,3,FALSE)</f>
        <v>Apparel</v>
      </c>
      <c r="M399" s="23" t="str">
        <f>VLOOKUP(E399,Sales_Reps!$A:$E,3,FALSE)</f>
        <v>West</v>
      </c>
      <c r="N399" s="23" t="str">
        <f t="shared" si="18"/>
        <v>Oct-24</v>
      </c>
      <c r="O399" s="23" t="str">
        <f t="shared" si="19"/>
        <v>Q4 2024</v>
      </c>
      <c r="P399" s="23">
        <f>VLOOKUP(D399,Products!$A:$F,4,FALSE)</f>
        <v>1886</v>
      </c>
      <c r="Q399" s="35">
        <f t="shared" si="20"/>
        <v>0.4031645569620253</v>
      </c>
    </row>
    <row r="400" spans="1:17">
      <c r="A400" s="12" t="s">
        <v>823</v>
      </c>
      <c r="B400" s="13">
        <v>45307</v>
      </c>
      <c r="C400" s="12" t="s">
        <v>824</v>
      </c>
      <c r="D400" s="12" t="s">
        <v>460</v>
      </c>
      <c r="E400" s="12" t="s">
        <v>145</v>
      </c>
      <c r="F400" s="14">
        <v>6</v>
      </c>
      <c r="G400" s="14">
        <v>5080</v>
      </c>
      <c r="H400" s="14">
        <v>25.4</v>
      </c>
      <c r="I400" s="14">
        <v>22738.080000000002</v>
      </c>
      <c r="J400" s="12" t="s">
        <v>104</v>
      </c>
      <c r="K400" s="12" t="s">
        <v>105</v>
      </c>
      <c r="L400" s="23" t="str">
        <f>VLOOKUP(D400,Products!$A:$F,3,FALSE)</f>
        <v>Home</v>
      </c>
      <c r="M400" s="23" t="str">
        <f>VLOOKUP(E400,Sales_Reps!$A:$E,3,FALSE)</f>
        <v>West</v>
      </c>
      <c r="N400" s="23" t="str">
        <f t="shared" si="18"/>
        <v>Jan-24</v>
      </c>
      <c r="O400" s="23" t="str">
        <f t="shared" si="19"/>
        <v>Q1 2024</v>
      </c>
      <c r="P400" s="23">
        <f>VLOOKUP(D400,Products!$A:$F,4,FALSE)</f>
        <v>2459</v>
      </c>
      <c r="Q400" s="35">
        <f t="shared" si="20"/>
        <v>0.51594488188976373</v>
      </c>
    </row>
    <row r="401" spans="1:17">
      <c r="A401" s="12" t="s">
        <v>825</v>
      </c>
      <c r="B401" s="13">
        <v>45620</v>
      </c>
      <c r="C401" s="12" t="s">
        <v>761</v>
      </c>
      <c r="D401" s="12" t="s">
        <v>217</v>
      </c>
      <c r="E401" s="12" t="s">
        <v>342</v>
      </c>
      <c r="F401" s="14">
        <v>6</v>
      </c>
      <c r="G401" s="14">
        <v>2760</v>
      </c>
      <c r="H401" s="14">
        <v>21.3</v>
      </c>
      <c r="I401" s="14">
        <v>13032.72</v>
      </c>
      <c r="J401" s="12" t="s">
        <v>104</v>
      </c>
      <c r="K401" s="12" t="s">
        <v>150</v>
      </c>
      <c r="L401" s="23" t="str">
        <f>VLOOKUP(D401,Products!$A:$F,3,FALSE)</f>
        <v>Grocery</v>
      </c>
      <c r="M401" s="23" t="str">
        <f>VLOOKUP(E401,Sales_Reps!$A:$E,3,FALSE)</f>
        <v>South</v>
      </c>
      <c r="N401" s="23" t="str">
        <f t="shared" si="18"/>
        <v>Nov-24</v>
      </c>
      <c r="O401" s="23" t="str">
        <f t="shared" si="19"/>
        <v>Q4 2024</v>
      </c>
      <c r="P401" s="23">
        <f>VLOOKUP(D401,Products!$A:$F,4,FALSE)</f>
        <v>1435</v>
      </c>
      <c r="Q401" s="35">
        <f t="shared" si="20"/>
        <v>0.48007246376811596</v>
      </c>
    </row>
    <row r="402" spans="1:17">
      <c r="A402" s="12" t="s">
        <v>826</v>
      </c>
      <c r="B402" s="13">
        <v>45462</v>
      </c>
      <c r="C402" s="12" t="s">
        <v>827</v>
      </c>
      <c r="D402" s="12" t="s">
        <v>284</v>
      </c>
      <c r="E402" s="12" t="s">
        <v>342</v>
      </c>
      <c r="F402" s="14">
        <v>5</v>
      </c>
      <c r="G402" s="14">
        <v>1220</v>
      </c>
      <c r="H402" s="14">
        <v>7.6</v>
      </c>
      <c r="I402" s="14">
        <v>5636.4</v>
      </c>
      <c r="J402" s="12" t="s">
        <v>104</v>
      </c>
      <c r="K402" s="12" t="s">
        <v>129</v>
      </c>
      <c r="L402" s="23" t="str">
        <f>VLOOKUP(D402,Products!$A:$F,3,FALSE)</f>
        <v>Electronics</v>
      </c>
      <c r="M402" s="23" t="str">
        <f>VLOOKUP(E402,Sales_Reps!$A:$E,3,FALSE)</f>
        <v>South</v>
      </c>
      <c r="N402" s="23" t="str">
        <f t="shared" si="18"/>
        <v>Jun-24</v>
      </c>
      <c r="O402" s="23" t="str">
        <f t="shared" si="19"/>
        <v>Q2 2024</v>
      </c>
      <c r="P402" s="23">
        <f>VLOOKUP(D402,Products!$A:$F,4,FALSE)</f>
        <v>517</v>
      </c>
      <c r="Q402" s="35">
        <f t="shared" si="20"/>
        <v>0.57622950819672136</v>
      </c>
    </row>
    <row r="403" spans="1:17">
      <c r="A403" s="12" t="s">
        <v>828</v>
      </c>
      <c r="B403" s="13">
        <v>45622</v>
      </c>
      <c r="C403" s="12" t="s">
        <v>318</v>
      </c>
      <c r="D403" s="12" t="s">
        <v>201</v>
      </c>
      <c r="E403" s="12" t="s">
        <v>145</v>
      </c>
      <c r="F403" s="14">
        <v>5</v>
      </c>
      <c r="G403" s="14">
        <v>4880</v>
      </c>
      <c r="H403" s="14">
        <v>8.5</v>
      </c>
      <c r="I403" s="14">
        <v>22326</v>
      </c>
      <c r="J403" s="12" t="s">
        <v>104</v>
      </c>
      <c r="K403" s="12" t="s">
        <v>111</v>
      </c>
      <c r="L403" s="23" t="str">
        <f>VLOOKUP(D403,Products!$A:$F,3,FALSE)</f>
        <v>Beauty</v>
      </c>
      <c r="M403" s="23" t="str">
        <f>VLOOKUP(E403,Sales_Reps!$A:$E,3,FALSE)</f>
        <v>West</v>
      </c>
      <c r="N403" s="23" t="str">
        <f t="shared" si="18"/>
        <v>Nov-24</v>
      </c>
      <c r="O403" s="23" t="str">
        <f t="shared" si="19"/>
        <v>Q4 2024</v>
      </c>
      <c r="P403" s="23">
        <f>VLOOKUP(D403,Products!$A:$F,4,FALSE)</f>
        <v>2768</v>
      </c>
      <c r="Q403" s="35">
        <f t="shared" si="20"/>
        <v>0.43278688524590164</v>
      </c>
    </row>
    <row r="404" spans="1:17">
      <c r="A404" s="12" t="s">
        <v>829</v>
      </c>
      <c r="B404" s="13">
        <v>45596</v>
      </c>
      <c r="C404" s="12" t="s">
        <v>248</v>
      </c>
      <c r="D404" s="12" t="s">
        <v>281</v>
      </c>
      <c r="E404" s="12" t="s">
        <v>302</v>
      </c>
      <c r="F404" s="14">
        <v>7</v>
      </c>
      <c r="G404" s="14">
        <v>4070</v>
      </c>
      <c r="H404" s="14">
        <v>28</v>
      </c>
      <c r="I404" s="14">
        <v>20512.8</v>
      </c>
      <c r="J404" s="12" t="s">
        <v>104</v>
      </c>
      <c r="K404" s="12" t="s">
        <v>134</v>
      </c>
      <c r="L404" s="23" t="str">
        <f>VLOOKUP(D404,Products!$A:$F,3,FALSE)</f>
        <v>Grocery</v>
      </c>
      <c r="M404" s="23" t="str">
        <f>VLOOKUP(E404,Sales_Reps!$A:$E,3,FALSE)</f>
        <v>East</v>
      </c>
      <c r="N404" s="23" t="str">
        <f t="shared" si="18"/>
        <v>Oct-24</v>
      </c>
      <c r="O404" s="23" t="str">
        <f t="shared" si="19"/>
        <v>Q4 2024</v>
      </c>
      <c r="P404" s="23">
        <f>VLOOKUP(D404,Products!$A:$F,4,FALSE)</f>
        <v>2027</v>
      </c>
      <c r="Q404" s="35">
        <f t="shared" si="20"/>
        <v>0.50196560196560192</v>
      </c>
    </row>
    <row r="405" spans="1:17">
      <c r="A405" s="12" t="s">
        <v>830</v>
      </c>
      <c r="B405" s="13">
        <v>45506</v>
      </c>
      <c r="C405" s="12" t="s">
        <v>518</v>
      </c>
      <c r="D405" s="12" t="s">
        <v>425</v>
      </c>
      <c r="E405" s="12" t="s">
        <v>145</v>
      </c>
      <c r="F405" s="14">
        <v>2</v>
      </c>
      <c r="G405" s="14">
        <v>3970</v>
      </c>
      <c r="H405" s="14">
        <v>14</v>
      </c>
      <c r="I405" s="14">
        <v>6828.4</v>
      </c>
      <c r="J405" s="12" t="s">
        <v>104</v>
      </c>
      <c r="K405" s="12" t="s">
        <v>150</v>
      </c>
      <c r="L405" s="23" t="str">
        <f>VLOOKUP(D405,Products!$A:$F,3,FALSE)</f>
        <v>Electronics</v>
      </c>
      <c r="M405" s="23" t="str">
        <f>VLOOKUP(E405,Sales_Reps!$A:$E,3,FALSE)</f>
        <v>West</v>
      </c>
      <c r="N405" s="23" t="str">
        <f t="shared" si="18"/>
        <v>Aug-24</v>
      </c>
      <c r="O405" s="23" t="str">
        <f t="shared" si="19"/>
        <v>Q3 2024</v>
      </c>
      <c r="P405" s="23">
        <f>VLOOKUP(D405,Products!$A:$F,4,FALSE)</f>
        <v>2865</v>
      </c>
      <c r="Q405" s="35">
        <f t="shared" si="20"/>
        <v>0.27833753148614609</v>
      </c>
    </row>
    <row r="406" spans="1:17">
      <c r="A406" s="12" t="s">
        <v>831</v>
      </c>
      <c r="B406" s="13">
        <v>45349</v>
      </c>
      <c r="C406" s="12" t="s">
        <v>283</v>
      </c>
      <c r="D406" s="12" t="s">
        <v>296</v>
      </c>
      <c r="E406" s="12" t="s">
        <v>320</v>
      </c>
      <c r="F406" s="14">
        <v>9</v>
      </c>
      <c r="G406" s="14">
        <v>2660</v>
      </c>
      <c r="H406" s="14">
        <v>10.1</v>
      </c>
      <c r="I406" s="14">
        <v>21522.06</v>
      </c>
      <c r="J406" s="12" t="s">
        <v>104</v>
      </c>
      <c r="K406" s="12" t="s">
        <v>116</v>
      </c>
      <c r="L406" s="23" t="str">
        <f>VLOOKUP(D406,Products!$A:$F,3,FALSE)</f>
        <v>Electronics</v>
      </c>
      <c r="M406" s="23" t="str">
        <f>VLOOKUP(E406,Sales_Reps!$A:$E,3,FALSE)</f>
        <v>East</v>
      </c>
      <c r="N406" s="23" t="str">
        <f t="shared" si="18"/>
        <v>Feb-24</v>
      </c>
      <c r="O406" s="23" t="str">
        <f t="shared" si="19"/>
        <v>Q1 2024</v>
      </c>
      <c r="P406" s="23">
        <f>VLOOKUP(D406,Products!$A:$F,4,FALSE)</f>
        <v>1259</v>
      </c>
      <c r="Q406" s="35">
        <f t="shared" si="20"/>
        <v>0.52669172932330832</v>
      </c>
    </row>
    <row r="407" spans="1:17">
      <c r="A407" s="12" t="s">
        <v>832</v>
      </c>
      <c r="B407" s="13">
        <v>45407</v>
      </c>
      <c r="C407" s="12" t="s">
        <v>833</v>
      </c>
      <c r="D407" s="12" t="s">
        <v>212</v>
      </c>
      <c r="E407" s="12" t="s">
        <v>302</v>
      </c>
      <c r="F407" s="14">
        <v>9</v>
      </c>
      <c r="G407" s="14">
        <v>2860</v>
      </c>
      <c r="H407" s="14">
        <v>10.1</v>
      </c>
      <c r="I407" s="14">
        <v>23140.26</v>
      </c>
      <c r="J407" s="12" t="s">
        <v>161</v>
      </c>
      <c r="K407" s="12" t="s">
        <v>105</v>
      </c>
      <c r="L407" s="23" t="str">
        <f>VLOOKUP(D407,Products!$A:$F,3,FALSE)</f>
        <v>Sports</v>
      </c>
      <c r="M407" s="23" t="str">
        <f>VLOOKUP(E407,Sales_Reps!$A:$E,3,FALSE)</f>
        <v>East</v>
      </c>
      <c r="N407" s="23" t="str">
        <f t="shared" si="18"/>
        <v>Apr-24</v>
      </c>
      <c r="O407" s="23" t="str">
        <f t="shared" si="19"/>
        <v>Q2 2024</v>
      </c>
      <c r="P407" s="23">
        <f>VLOOKUP(D407,Products!$A:$F,4,FALSE)</f>
        <v>2028</v>
      </c>
      <c r="Q407" s="35">
        <f t="shared" si="20"/>
        <v>0.29090909090909089</v>
      </c>
    </row>
    <row r="408" spans="1:17">
      <c r="A408" s="12" t="s">
        <v>834</v>
      </c>
      <c r="B408" s="13">
        <v>45591</v>
      </c>
      <c r="C408" s="12" t="s">
        <v>308</v>
      </c>
      <c r="D408" s="12" t="s">
        <v>284</v>
      </c>
      <c r="E408" s="12" t="s">
        <v>103</v>
      </c>
      <c r="F408" s="14">
        <v>7</v>
      </c>
      <c r="G408" s="14">
        <v>1220</v>
      </c>
      <c r="H408" s="14">
        <v>23.5</v>
      </c>
      <c r="I408" s="14">
        <v>6533.1</v>
      </c>
      <c r="J408" s="12" t="s">
        <v>161</v>
      </c>
      <c r="K408" s="12" t="s">
        <v>116</v>
      </c>
      <c r="L408" s="23" t="str">
        <f>VLOOKUP(D408,Products!$A:$F,3,FALSE)</f>
        <v>Electronics</v>
      </c>
      <c r="M408" s="23" t="str">
        <f>VLOOKUP(E408,Sales_Reps!$A:$E,3,FALSE)</f>
        <v>North</v>
      </c>
      <c r="N408" s="23" t="str">
        <f t="shared" si="18"/>
        <v>Oct-24</v>
      </c>
      <c r="O408" s="23" t="str">
        <f t="shared" si="19"/>
        <v>Q4 2024</v>
      </c>
      <c r="P408" s="23">
        <f>VLOOKUP(D408,Products!$A:$F,4,FALSE)</f>
        <v>517</v>
      </c>
      <c r="Q408" s="35">
        <f t="shared" si="20"/>
        <v>0.57622950819672136</v>
      </c>
    </row>
    <row r="409" spans="1:17">
      <c r="A409" s="12" t="s">
        <v>835</v>
      </c>
      <c r="B409" s="13">
        <v>45584</v>
      </c>
      <c r="C409" s="12" t="s">
        <v>451</v>
      </c>
      <c r="D409" s="12" t="s">
        <v>262</v>
      </c>
      <c r="E409" s="12" t="s">
        <v>218</v>
      </c>
      <c r="F409" s="14">
        <v>1</v>
      </c>
      <c r="G409" s="14">
        <v>2270</v>
      </c>
      <c r="H409" s="14">
        <v>5.8</v>
      </c>
      <c r="I409" s="14">
        <v>2138.34</v>
      </c>
      <c r="J409" s="12" t="s">
        <v>157</v>
      </c>
      <c r="K409" s="12" t="s">
        <v>116</v>
      </c>
      <c r="L409" s="23" t="str">
        <f>VLOOKUP(D409,Products!$A:$F,3,FALSE)</f>
        <v>Grocery</v>
      </c>
      <c r="M409" s="23" t="str">
        <f>VLOOKUP(E409,Sales_Reps!$A:$E,3,FALSE)</f>
        <v>West</v>
      </c>
      <c r="N409" s="23" t="str">
        <f t="shared" si="18"/>
        <v>Oct-24</v>
      </c>
      <c r="O409" s="23" t="str">
        <f t="shared" si="19"/>
        <v>Q4 2024</v>
      </c>
      <c r="P409" s="23">
        <f>VLOOKUP(D409,Products!$A:$F,4,FALSE)</f>
        <v>1412</v>
      </c>
      <c r="Q409" s="35">
        <f t="shared" si="20"/>
        <v>0.37797356828193834</v>
      </c>
    </row>
    <row r="410" spans="1:17">
      <c r="A410" s="12" t="s">
        <v>836</v>
      </c>
      <c r="B410" s="13">
        <v>45581</v>
      </c>
      <c r="C410" s="12" t="s">
        <v>634</v>
      </c>
      <c r="D410" s="12" t="s">
        <v>220</v>
      </c>
      <c r="E410" s="12" t="s">
        <v>314</v>
      </c>
      <c r="F410" s="14">
        <v>2</v>
      </c>
      <c r="G410" s="14">
        <v>660</v>
      </c>
      <c r="H410" s="14">
        <v>2.2999999999999998</v>
      </c>
      <c r="I410" s="14">
        <v>1289.6400000000001</v>
      </c>
      <c r="J410" s="12" t="s">
        <v>104</v>
      </c>
      <c r="K410" s="12" t="s">
        <v>129</v>
      </c>
      <c r="L410" s="23" t="str">
        <f>VLOOKUP(D410,Products!$A:$F,3,FALSE)</f>
        <v>Home</v>
      </c>
      <c r="M410" s="23" t="str">
        <f>VLOOKUP(E410,Sales_Reps!$A:$E,3,FALSE)</f>
        <v>North</v>
      </c>
      <c r="N410" s="23" t="str">
        <f t="shared" si="18"/>
        <v>Oct-24</v>
      </c>
      <c r="O410" s="23" t="str">
        <f t="shared" si="19"/>
        <v>Q4 2024</v>
      </c>
      <c r="P410" s="23">
        <f>VLOOKUP(D410,Products!$A:$F,4,FALSE)</f>
        <v>329</v>
      </c>
      <c r="Q410" s="35">
        <f t="shared" si="20"/>
        <v>0.50151515151515147</v>
      </c>
    </row>
    <row r="411" spans="1:17">
      <c r="A411" s="12" t="s">
        <v>837</v>
      </c>
      <c r="B411" s="13">
        <v>45441</v>
      </c>
      <c r="C411" s="12" t="s">
        <v>362</v>
      </c>
      <c r="D411" s="12" t="s">
        <v>123</v>
      </c>
      <c r="E411" s="12" t="s">
        <v>115</v>
      </c>
      <c r="F411" s="14">
        <v>1</v>
      </c>
      <c r="G411" s="14">
        <v>3160</v>
      </c>
      <c r="H411" s="14">
        <v>5.6</v>
      </c>
      <c r="I411" s="14">
        <v>2983.04</v>
      </c>
      <c r="J411" s="12" t="s">
        <v>104</v>
      </c>
      <c r="K411" s="12" t="s">
        <v>111</v>
      </c>
      <c r="L411" s="23" t="str">
        <f>VLOOKUP(D411,Products!$A:$F,3,FALSE)</f>
        <v>Apparel</v>
      </c>
      <c r="M411" s="23" t="str">
        <f>VLOOKUP(E411,Sales_Reps!$A:$E,3,FALSE)</f>
        <v>South</v>
      </c>
      <c r="N411" s="23" t="str">
        <f t="shared" si="18"/>
        <v>May-24</v>
      </c>
      <c r="O411" s="23" t="str">
        <f t="shared" si="19"/>
        <v>Q2 2024</v>
      </c>
      <c r="P411" s="23">
        <f>VLOOKUP(D411,Products!$A:$F,4,FALSE)</f>
        <v>1886</v>
      </c>
      <c r="Q411" s="35">
        <f t="shared" si="20"/>
        <v>0.4031645569620253</v>
      </c>
    </row>
    <row r="412" spans="1:17">
      <c r="A412" s="12" t="s">
        <v>838</v>
      </c>
      <c r="B412" s="13">
        <v>45408</v>
      </c>
      <c r="C412" s="12" t="s">
        <v>122</v>
      </c>
      <c r="D412" s="12" t="s">
        <v>155</v>
      </c>
      <c r="E412" s="12" t="s">
        <v>269</v>
      </c>
      <c r="F412" s="14">
        <v>1</v>
      </c>
      <c r="G412" s="14">
        <v>2600</v>
      </c>
      <c r="H412" s="14">
        <v>1</v>
      </c>
      <c r="I412" s="14">
        <v>2574</v>
      </c>
      <c r="J412" s="12" t="s">
        <v>104</v>
      </c>
      <c r="K412" s="12" t="s">
        <v>111</v>
      </c>
      <c r="L412" s="23" t="str">
        <f>VLOOKUP(D412,Products!$A:$F,3,FALSE)</f>
        <v>Electronics</v>
      </c>
      <c r="M412" s="23" t="str">
        <f>VLOOKUP(E412,Sales_Reps!$A:$E,3,FALSE)</f>
        <v>South</v>
      </c>
      <c r="N412" s="23" t="str">
        <f t="shared" si="18"/>
        <v>Apr-24</v>
      </c>
      <c r="O412" s="23" t="str">
        <f t="shared" si="19"/>
        <v>Q2 2024</v>
      </c>
      <c r="P412" s="23">
        <f>VLOOKUP(D412,Products!$A:$F,4,FALSE)</f>
        <v>1052</v>
      </c>
      <c r="Q412" s="35">
        <f t="shared" si="20"/>
        <v>0.5953846153846154</v>
      </c>
    </row>
    <row r="413" spans="1:17">
      <c r="A413" s="12" t="s">
        <v>839</v>
      </c>
      <c r="B413" s="13">
        <v>45515</v>
      </c>
      <c r="C413" s="12" t="s">
        <v>840</v>
      </c>
      <c r="D413" s="12" t="s">
        <v>287</v>
      </c>
      <c r="E413" s="12" t="s">
        <v>115</v>
      </c>
      <c r="F413" s="14">
        <v>4</v>
      </c>
      <c r="G413" s="14">
        <v>4610</v>
      </c>
      <c r="H413" s="14">
        <v>18.7</v>
      </c>
      <c r="I413" s="14">
        <v>14991.72</v>
      </c>
      <c r="J413" s="12" t="s">
        <v>104</v>
      </c>
      <c r="K413" s="12" t="s">
        <v>111</v>
      </c>
      <c r="L413" s="23" t="str">
        <f>VLOOKUP(D413,Products!$A:$F,3,FALSE)</f>
        <v>Home</v>
      </c>
      <c r="M413" s="23" t="str">
        <f>VLOOKUP(E413,Sales_Reps!$A:$E,3,FALSE)</f>
        <v>South</v>
      </c>
      <c r="N413" s="23" t="str">
        <f t="shared" si="18"/>
        <v>Aug-24</v>
      </c>
      <c r="O413" s="23" t="str">
        <f t="shared" si="19"/>
        <v>Q3 2024</v>
      </c>
      <c r="P413" s="23">
        <f>VLOOKUP(D413,Products!$A:$F,4,FALSE)</f>
        <v>1850</v>
      </c>
      <c r="Q413" s="35">
        <f t="shared" si="20"/>
        <v>0.59869848156182215</v>
      </c>
    </row>
    <row r="414" spans="1:17">
      <c r="A414" s="12" t="s">
        <v>841</v>
      </c>
      <c r="B414" s="13">
        <v>45412</v>
      </c>
      <c r="C414" s="12" t="s">
        <v>576</v>
      </c>
      <c r="D414" s="12" t="s">
        <v>254</v>
      </c>
      <c r="E414" s="12" t="s">
        <v>320</v>
      </c>
      <c r="F414" s="14">
        <v>3</v>
      </c>
      <c r="G414" s="14">
        <v>3640</v>
      </c>
      <c r="H414" s="14">
        <v>9.6999999999999993</v>
      </c>
      <c r="I414" s="14">
        <v>9860.76</v>
      </c>
      <c r="J414" s="12" t="s">
        <v>157</v>
      </c>
      <c r="K414" s="12" t="s">
        <v>105</v>
      </c>
      <c r="L414" s="23" t="str">
        <f>VLOOKUP(D414,Products!$A:$F,3,FALSE)</f>
        <v>Apparel</v>
      </c>
      <c r="M414" s="23" t="str">
        <f>VLOOKUP(E414,Sales_Reps!$A:$E,3,FALSE)</f>
        <v>East</v>
      </c>
      <c r="N414" s="23" t="str">
        <f t="shared" si="18"/>
        <v>Apr-24</v>
      </c>
      <c r="O414" s="23" t="str">
        <f t="shared" si="19"/>
        <v>Q2 2024</v>
      </c>
      <c r="P414" s="23">
        <f>VLOOKUP(D414,Products!$A:$F,4,FALSE)</f>
        <v>2611</v>
      </c>
      <c r="Q414" s="35">
        <f t="shared" si="20"/>
        <v>0.28269230769230769</v>
      </c>
    </row>
    <row r="415" spans="1:17">
      <c r="A415" s="12" t="s">
        <v>842</v>
      </c>
      <c r="B415" s="13">
        <v>45448</v>
      </c>
      <c r="C415" s="12" t="s">
        <v>563</v>
      </c>
      <c r="D415" s="12" t="s">
        <v>190</v>
      </c>
      <c r="E415" s="12" t="s">
        <v>156</v>
      </c>
      <c r="F415" s="14">
        <v>6</v>
      </c>
      <c r="G415" s="14">
        <v>2720</v>
      </c>
      <c r="H415" s="14">
        <v>13</v>
      </c>
      <c r="I415" s="14">
        <v>14198.4</v>
      </c>
      <c r="J415" s="12" t="s">
        <v>110</v>
      </c>
      <c r="K415" s="12" t="s">
        <v>116</v>
      </c>
      <c r="L415" s="23" t="str">
        <f>VLOOKUP(D415,Products!$A:$F,3,FALSE)</f>
        <v>Apparel</v>
      </c>
      <c r="M415" s="23" t="str">
        <f>VLOOKUP(E415,Sales_Reps!$A:$E,3,FALSE)</f>
        <v>North</v>
      </c>
      <c r="N415" s="23" t="str">
        <f t="shared" si="18"/>
        <v>Jun-24</v>
      </c>
      <c r="O415" s="23" t="str">
        <f t="shared" si="19"/>
        <v>Q2 2024</v>
      </c>
      <c r="P415" s="23">
        <f>VLOOKUP(D415,Products!$A:$F,4,FALSE)</f>
        <v>1962</v>
      </c>
      <c r="Q415" s="35">
        <f t="shared" si="20"/>
        <v>0.2786764705882353</v>
      </c>
    </row>
    <row r="416" spans="1:17">
      <c r="A416" s="12" t="s">
        <v>843</v>
      </c>
      <c r="B416" s="13">
        <v>45644</v>
      </c>
      <c r="C416" s="12" t="s">
        <v>547</v>
      </c>
      <c r="D416" s="12" t="s">
        <v>478</v>
      </c>
      <c r="E416" s="12" t="s">
        <v>124</v>
      </c>
      <c r="F416" s="14">
        <v>5</v>
      </c>
      <c r="G416" s="14">
        <v>3780</v>
      </c>
      <c r="H416" s="14">
        <v>15.2</v>
      </c>
      <c r="I416" s="14">
        <v>16027.2</v>
      </c>
      <c r="J416" s="12" t="s">
        <v>104</v>
      </c>
      <c r="K416" s="12" t="s">
        <v>116</v>
      </c>
      <c r="L416" s="23" t="str">
        <f>VLOOKUP(D416,Products!$A:$F,3,FALSE)</f>
        <v>Sports</v>
      </c>
      <c r="M416" s="23" t="str">
        <f>VLOOKUP(E416,Sales_Reps!$A:$E,3,FALSE)</f>
        <v>North</v>
      </c>
      <c r="N416" s="23" t="str">
        <f t="shared" si="18"/>
        <v>Dec-24</v>
      </c>
      <c r="O416" s="23" t="str">
        <f t="shared" si="19"/>
        <v>Q4 2024</v>
      </c>
      <c r="P416" s="23">
        <f>VLOOKUP(D416,Products!$A:$F,4,FALSE)</f>
        <v>1860</v>
      </c>
      <c r="Q416" s="35">
        <f t="shared" si="20"/>
        <v>0.50793650793650791</v>
      </c>
    </row>
    <row r="417" spans="1:17">
      <c r="A417" s="12" t="s">
        <v>844</v>
      </c>
      <c r="B417" s="13">
        <v>45407</v>
      </c>
      <c r="C417" s="12" t="s">
        <v>845</v>
      </c>
      <c r="D417" s="12" t="s">
        <v>519</v>
      </c>
      <c r="E417" s="12" t="s">
        <v>187</v>
      </c>
      <c r="F417" s="14">
        <v>9</v>
      </c>
      <c r="G417" s="14">
        <v>1090</v>
      </c>
      <c r="H417" s="14">
        <v>28.5</v>
      </c>
      <c r="I417" s="14">
        <v>7014.15</v>
      </c>
      <c r="J417" s="12" t="s">
        <v>104</v>
      </c>
      <c r="K417" s="12" t="s">
        <v>150</v>
      </c>
      <c r="L417" s="23" t="str">
        <f>VLOOKUP(D417,Products!$A:$F,3,FALSE)</f>
        <v>Home</v>
      </c>
      <c r="M417" s="23" t="str">
        <f>VLOOKUP(E417,Sales_Reps!$A:$E,3,FALSE)</f>
        <v>West</v>
      </c>
      <c r="N417" s="23" t="str">
        <f t="shared" si="18"/>
        <v>Apr-24</v>
      </c>
      <c r="O417" s="23" t="str">
        <f t="shared" si="19"/>
        <v>Q2 2024</v>
      </c>
      <c r="P417" s="23">
        <f>VLOOKUP(D417,Products!$A:$F,4,FALSE)</f>
        <v>464</v>
      </c>
      <c r="Q417" s="35">
        <f t="shared" si="20"/>
        <v>0.57431192660550456</v>
      </c>
    </row>
    <row r="418" spans="1:17">
      <c r="A418" s="12" t="s">
        <v>846</v>
      </c>
      <c r="B418" s="13">
        <v>45581</v>
      </c>
      <c r="C418" s="12" t="s">
        <v>602</v>
      </c>
      <c r="D418" s="12" t="s">
        <v>519</v>
      </c>
      <c r="E418" s="12" t="s">
        <v>145</v>
      </c>
      <c r="F418" s="14">
        <v>6</v>
      </c>
      <c r="G418" s="14">
        <v>1090</v>
      </c>
      <c r="H418" s="14">
        <v>28.7</v>
      </c>
      <c r="I418" s="14">
        <v>4663.0200000000004</v>
      </c>
      <c r="J418" s="12" t="s">
        <v>104</v>
      </c>
      <c r="K418" s="12" t="s">
        <v>111</v>
      </c>
      <c r="L418" s="23" t="str">
        <f>VLOOKUP(D418,Products!$A:$F,3,FALSE)</f>
        <v>Home</v>
      </c>
      <c r="M418" s="23" t="str">
        <f>VLOOKUP(E418,Sales_Reps!$A:$E,3,FALSE)</f>
        <v>West</v>
      </c>
      <c r="N418" s="23" t="str">
        <f t="shared" si="18"/>
        <v>Oct-24</v>
      </c>
      <c r="O418" s="23" t="str">
        <f t="shared" si="19"/>
        <v>Q4 2024</v>
      </c>
      <c r="P418" s="23">
        <f>VLOOKUP(D418,Products!$A:$F,4,FALSE)</f>
        <v>464</v>
      </c>
      <c r="Q418" s="35">
        <f t="shared" si="20"/>
        <v>0.57431192660550456</v>
      </c>
    </row>
    <row r="419" spans="1:17">
      <c r="A419" s="12" t="s">
        <v>847</v>
      </c>
      <c r="B419" s="13">
        <v>45366</v>
      </c>
      <c r="C419" s="12" t="s">
        <v>630</v>
      </c>
      <c r="D419" s="12" t="s">
        <v>372</v>
      </c>
      <c r="E419" s="12" t="s">
        <v>187</v>
      </c>
      <c r="F419" s="14">
        <v>5</v>
      </c>
      <c r="G419" s="14">
        <v>2510</v>
      </c>
      <c r="H419" s="14">
        <v>25</v>
      </c>
      <c r="I419" s="14">
        <v>9412.5</v>
      </c>
      <c r="J419" s="12" t="s">
        <v>104</v>
      </c>
      <c r="K419" s="12" t="s">
        <v>129</v>
      </c>
      <c r="L419" s="23" t="str">
        <f>VLOOKUP(D419,Products!$A:$F,3,FALSE)</f>
        <v>Apparel</v>
      </c>
      <c r="M419" s="23" t="str">
        <f>VLOOKUP(E419,Sales_Reps!$A:$E,3,FALSE)</f>
        <v>West</v>
      </c>
      <c r="N419" s="23" t="str">
        <f t="shared" si="18"/>
        <v>Mar-24</v>
      </c>
      <c r="O419" s="23" t="str">
        <f t="shared" si="19"/>
        <v>Q1 2024</v>
      </c>
      <c r="P419" s="23">
        <f>VLOOKUP(D419,Products!$A:$F,4,FALSE)</f>
        <v>1075</v>
      </c>
      <c r="Q419" s="35">
        <f t="shared" si="20"/>
        <v>0.57171314741035861</v>
      </c>
    </row>
    <row r="420" spans="1:17">
      <c r="A420" s="12" t="s">
        <v>848</v>
      </c>
      <c r="B420" s="13">
        <v>45577</v>
      </c>
      <c r="C420" s="12" t="s">
        <v>390</v>
      </c>
      <c r="D420" s="12" t="s">
        <v>425</v>
      </c>
      <c r="E420" s="12" t="s">
        <v>149</v>
      </c>
      <c r="F420" s="14">
        <v>5</v>
      </c>
      <c r="G420" s="14">
        <v>3970</v>
      </c>
      <c r="H420" s="14">
        <v>26</v>
      </c>
      <c r="I420" s="14">
        <v>14689</v>
      </c>
      <c r="J420" s="12" t="s">
        <v>104</v>
      </c>
      <c r="K420" s="12" t="s">
        <v>105</v>
      </c>
      <c r="L420" s="23" t="str">
        <f>VLOOKUP(D420,Products!$A:$F,3,FALSE)</f>
        <v>Electronics</v>
      </c>
      <c r="M420" s="23" t="str">
        <f>VLOOKUP(E420,Sales_Reps!$A:$E,3,FALSE)</f>
        <v>South</v>
      </c>
      <c r="N420" s="23" t="str">
        <f t="shared" si="18"/>
        <v>Oct-24</v>
      </c>
      <c r="O420" s="23" t="str">
        <f t="shared" si="19"/>
        <v>Q4 2024</v>
      </c>
      <c r="P420" s="23">
        <f>VLOOKUP(D420,Products!$A:$F,4,FALSE)</f>
        <v>2865</v>
      </c>
      <c r="Q420" s="35">
        <f t="shared" si="20"/>
        <v>0.27833753148614609</v>
      </c>
    </row>
    <row r="421" spans="1:17">
      <c r="A421" s="12" t="s">
        <v>849</v>
      </c>
      <c r="B421" s="13">
        <v>45333</v>
      </c>
      <c r="C421" s="12" t="s">
        <v>545</v>
      </c>
      <c r="D421" s="12" t="s">
        <v>281</v>
      </c>
      <c r="E421" s="12" t="s">
        <v>232</v>
      </c>
      <c r="F421" s="14">
        <v>9</v>
      </c>
      <c r="G421" s="14">
        <v>4070</v>
      </c>
      <c r="H421" s="14">
        <v>15.7</v>
      </c>
      <c r="I421" s="14">
        <v>30879.09</v>
      </c>
      <c r="J421" s="12" t="s">
        <v>104</v>
      </c>
      <c r="K421" s="12" t="s">
        <v>129</v>
      </c>
      <c r="L421" s="23" t="str">
        <f>VLOOKUP(D421,Products!$A:$F,3,FALSE)</f>
        <v>Grocery</v>
      </c>
      <c r="M421" s="23" t="str">
        <f>VLOOKUP(E421,Sales_Reps!$A:$E,3,FALSE)</f>
        <v>North</v>
      </c>
      <c r="N421" s="23" t="str">
        <f t="shared" si="18"/>
        <v>Feb-24</v>
      </c>
      <c r="O421" s="23" t="str">
        <f t="shared" si="19"/>
        <v>Q1 2024</v>
      </c>
      <c r="P421" s="23">
        <f>VLOOKUP(D421,Products!$A:$F,4,FALSE)</f>
        <v>2027</v>
      </c>
      <c r="Q421" s="35">
        <f t="shared" si="20"/>
        <v>0.50196560196560192</v>
      </c>
    </row>
    <row r="422" spans="1:17">
      <c r="A422" s="12" t="s">
        <v>850</v>
      </c>
      <c r="B422" s="13">
        <v>45418</v>
      </c>
      <c r="C422" s="12" t="s">
        <v>271</v>
      </c>
      <c r="D422" s="12" t="s">
        <v>141</v>
      </c>
      <c r="E422" s="12" t="s">
        <v>156</v>
      </c>
      <c r="F422" s="14">
        <v>6</v>
      </c>
      <c r="G422" s="14">
        <v>5490</v>
      </c>
      <c r="H422" s="14">
        <v>8.5</v>
      </c>
      <c r="I422" s="14">
        <v>30140.1</v>
      </c>
      <c r="J422" s="12" t="s">
        <v>161</v>
      </c>
      <c r="K422" s="12" t="s">
        <v>111</v>
      </c>
      <c r="L422" s="23" t="str">
        <f>VLOOKUP(D422,Products!$A:$F,3,FALSE)</f>
        <v>Home</v>
      </c>
      <c r="M422" s="23" t="str">
        <f>VLOOKUP(E422,Sales_Reps!$A:$E,3,FALSE)</f>
        <v>North</v>
      </c>
      <c r="N422" s="23" t="str">
        <f t="shared" si="18"/>
        <v>May-24</v>
      </c>
      <c r="O422" s="23" t="str">
        <f t="shared" si="19"/>
        <v>Q2 2024</v>
      </c>
      <c r="P422" s="23">
        <f>VLOOKUP(D422,Products!$A:$F,4,FALSE)</f>
        <v>2549</v>
      </c>
      <c r="Q422" s="35">
        <f t="shared" si="20"/>
        <v>0.53570127504553733</v>
      </c>
    </row>
    <row r="423" spans="1:17">
      <c r="A423" s="12" t="s">
        <v>851</v>
      </c>
      <c r="B423" s="13">
        <v>45615</v>
      </c>
      <c r="C423" s="12" t="s">
        <v>852</v>
      </c>
      <c r="D423" s="12" t="s">
        <v>199</v>
      </c>
      <c r="E423" s="12" t="s">
        <v>302</v>
      </c>
      <c r="F423" s="14">
        <v>9</v>
      </c>
      <c r="G423" s="14">
        <v>1010</v>
      </c>
      <c r="H423" s="14">
        <v>3.6</v>
      </c>
      <c r="I423" s="14">
        <v>8762.76</v>
      </c>
      <c r="J423" s="12" t="s">
        <v>104</v>
      </c>
      <c r="K423" s="12" t="s">
        <v>134</v>
      </c>
      <c r="L423" s="23" t="str">
        <f>VLOOKUP(D423,Products!$A:$F,3,FALSE)</f>
        <v>Sports</v>
      </c>
      <c r="M423" s="23" t="str">
        <f>VLOOKUP(E423,Sales_Reps!$A:$E,3,FALSE)</f>
        <v>East</v>
      </c>
      <c r="N423" s="23" t="str">
        <f t="shared" si="18"/>
        <v>Nov-24</v>
      </c>
      <c r="O423" s="23" t="str">
        <f t="shared" si="19"/>
        <v>Q4 2024</v>
      </c>
      <c r="P423" s="23">
        <f>VLOOKUP(D423,Products!$A:$F,4,FALSE)</f>
        <v>516</v>
      </c>
      <c r="Q423" s="35">
        <f t="shared" si="20"/>
        <v>0.4891089108910891</v>
      </c>
    </row>
    <row r="424" spans="1:17">
      <c r="A424" s="12" t="s">
        <v>853</v>
      </c>
      <c r="B424" s="13">
        <v>45631</v>
      </c>
      <c r="C424" s="12" t="s">
        <v>854</v>
      </c>
      <c r="D424" s="12" t="s">
        <v>119</v>
      </c>
      <c r="E424" s="12" t="s">
        <v>124</v>
      </c>
      <c r="F424" s="14">
        <v>6</v>
      </c>
      <c r="G424" s="14">
        <v>3660</v>
      </c>
      <c r="H424" s="14">
        <v>10.8</v>
      </c>
      <c r="I424" s="14">
        <v>19588.32</v>
      </c>
      <c r="J424" s="12" t="s">
        <v>104</v>
      </c>
      <c r="K424" s="12" t="s">
        <v>134</v>
      </c>
      <c r="L424" s="23" t="str">
        <f>VLOOKUP(D424,Products!$A:$F,3,FALSE)</f>
        <v>Grocery</v>
      </c>
      <c r="M424" s="23" t="str">
        <f>VLOOKUP(E424,Sales_Reps!$A:$E,3,FALSE)</f>
        <v>North</v>
      </c>
      <c r="N424" s="23" t="str">
        <f t="shared" si="18"/>
        <v>Dec-24</v>
      </c>
      <c r="O424" s="23" t="str">
        <f t="shared" si="19"/>
        <v>Q4 2024</v>
      </c>
      <c r="P424" s="23">
        <f>VLOOKUP(D424,Products!$A:$F,4,FALSE)</f>
        <v>2214</v>
      </c>
      <c r="Q424" s="35">
        <f t="shared" si="20"/>
        <v>0.39508196721311473</v>
      </c>
    </row>
    <row r="425" spans="1:17">
      <c r="A425" s="12" t="s">
        <v>855</v>
      </c>
      <c r="B425" s="13">
        <v>45524</v>
      </c>
      <c r="C425" s="12" t="s">
        <v>430</v>
      </c>
      <c r="D425" s="12" t="s">
        <v>174</v>
      </c>
      <c r="E425" s="12" t="s">
        <v>363</v>
      </c>
      <c r="F425" s="14">
        <v>6</v>
      </c>
      <c r="G425" s="14">
        <v>3450</v>
      </c>
      <c r="H425" s="14">
        <v>10.7</v>
      </c>
      <c r="I425" s="14">
        <v>18485.099999999999</v>
      </c>
      <c r="J425" s="12" t="s">
        <v>104</v>
      </c>
      <c r="K425" s="12" t="s">
        <v>105</v>
      </c>
      <c r="L425" s="23" t="str">
        <f>VLOOKUP(D425,Products!$A:$F,3,FALSE)</f>
        <v>Beauty</v>
      </c>
      <c r="M425" s="23" t="str">
        <f>VLOOKUP(E425,Sales_Reps!$A:$E,3,FALSE)</f>
        <v>South</v>
      </c>
      <c r="N425" s="23" t="str">
        <f t="shared" si="18"/>
        <v>Aug-24</v>
      </c>
      <c r="O425" s="23" t="str">
        <f t="shared" si="19"/>
        <v>Q3 2024</v>
      </c>
      <c r="P425" s="23">
        <f>VLOOKUP(D425,Products!$A:$F,4,FALSE)</f>
        <v>2420</v>
      </c>
      <c r="Q425" s="35">
        <f t="shared" si="20"/>
        <v>0.29855072463768118</v>
      </c>
    </row>
    <row r="426" spans="1:17">
      <c r="A426" s="12" t="s">
        <v>856</v>
      </c>
      <c r="B426" s="13">
        <v>45379</v>
      </c>
      <c r="C426" s="12" t="s">
        <v>242</v>
      </c>
      <c r="D426" s="12" t="s">
        <v>281</v>
      </c>
      <c r="E426" s="12" t="s">
        <v>290</v>
      </c>
      <c r="F426" s="14">
        <v>10</v>
      </c>
      <c r="G426" s="14">
        <v>4070</v>
      </c>
      <c r="H426" s="14">
        <v>23.4</v>
      </c>
      <c r="I426" s="14">
        <v>31176.2</v>
      </c>
      <c r="J426" s="12" t="s">
        <v>161</v>
      </c>
      <c r="K426" s="12" t="s">
        <v>111</v>
      </c>
      <c r="L426" s="23" t="str">
        <f>VLOOKUP(D426,Products!$A:$F,3,FALSE)</f>
        <v>Grocery</v>
      </c>
      <c r="M426" s="23" t="str">
        <f>VLOOKUP(E426,Sales_Reps!$A:$E,3,FALSE)</f>
        <v>South</v>
      </c>
      <c r="N426" s="23" t="str">
        <f t="shared" si="18"/>
        <v>Mar-24</v>
      </c>
      <c r="O426" s="23" t="str">
        <f t="shared" si="19"/>
        <v>Q1 2024</v>
      </c>
      <c r="P426" s="23">
        <f>VLOOKUP(D426,Products!$A:$F,4,FALSE)</f>
        <v>2027</v>
      </c>
      <c r="Q426" s="35">
        <f t="shared" si="20"/>
        <v>0.50196560196560192</v>
      </c>
    </row>
    <row r="427" spans="1:17">
      <c r="A427" s="12" t="s">
        <v>857</v>
      </c>
      <c r="B427" s="13">
        <v>45454</v>
      </c>
      <c r="C427" s="12" t="s">
        <v>858</v>
      </c>
      <c r="D427" s="12" t="s">
        <v>204</v>
      </c>
      <c r="E427" s="12" t="s">
        <v>128</v>
      </c>
      <c r="F427" s="14">
        <v>9</v>
      </c>
      <c r="G427" s="14">
        <v>3570</v>
      </c>
      <c r="H427" s="14">
        <v>15.2</v>
      </c>
      <c r="I427" s="14">
        <v>27246.240000000002</v>
      </c>
      <c r="J427" s="12" t="s">
        <v>104</v>
      </c>
      <c r="K427" s="12" t="s">
        <v>134</v>
      </c>
      <c r="L427" s="23" t="str">
        <f>VLOOKUP(D427,Products!$A:$F,3,FALSE)</f>
        <v>Electronics</v>
      </c>
      <c r="M427" s="23" t="str">
        <f>VLOOKUP(E427,Sales_Reps!$A:$E,3,FALSE)</f>
        <v>West</v>
      </c>
      <c r="N427" s="23" t="str">
        <f t="shared" si="18"/>
        <v>Jun-24</v>
      </c>
      <c r="O427" s="23" t="str">
        <f t="shared" si="19"/>
        <v>Q2 2024</v>
      </c>
      <c r="P427" s="23">
        <f>VLOOKUP(D427,Products!$A:$F,4,FALSE)</f>
        <v>1665</v>
      </c>
      <c r="Q427" s="35">
        <f t="shared" si="20"/>
        <v>0.53361344537815125</v>
      </c>
    </row>
    <row r="428" spans="1:17">
      <c r="A428" s="12" t="s">
        <v>859</v>
      </c>
      <c r="B428" s="13">
        <v>45562</v>
      </c>
      <c r="C428" s="12" t="s">
        <v>136</v>
      </c>
      <c r="D428" s="12" t="s">
        <v>532</v>
      </c>
      <c r="E428" s="12" t="s">
        <v>109</v>
      </c>
      <c r="F428" s="14">
        <v>10</v>
      </c>
      <c r="G428" s="14">
        <v>6940</v>
      </c>
      <c r="H428" s="14">
        <v>21.8</v>
      </c>
      <c r="I428" s="14">
        <v>54270.8</v>
      </c>
      <c r="J428" s="12" t="s">
        <v>110</v>
      </c>
      <c r="K428" s="12" t="s">
        <v>134</v>
      </c>
      <c r="L428" s="23" t="str">
        <f>VLOOKUP(D428,Products!$A:$F,3,FALSE)</f>
        <v>Sports</v>
      </c>
      <c r="M428" s="23" t="str">
        <f>VLOOKUP(E428,Sales_Reps!$A:$E,3,FALSE)</f>
        <v>North</v>
      </c>
      <c r="N428" s="23" t="str">
        <f t="shared" si="18"/>
        <v>Sep-24</v>
      </c>
      <c r="O428" s="23" t="str">
        <f t="shared" si="19"/>
        <v>Q3 2024</v>
      </c>
      <c r="P428" s="23">
        <f>VLOOKUP(D428,Products!$A:$F,4,FALSE)</f>
        <v>2827</v>
      </c>
      <c r="Q428" s="35">
        <f t="shared" si="20"/>
        <v>0.5926512968299712</v>
      </c>
    </row>
    <row r="429" spans="1:17">
      <c r="A429" s="12" t="s">
        <v>860</v>
      </c>
      <c r="B429" s="13">
        <v>45489</v>
      </c>
      <c r="C429" s="12" t="s">
        <v>333</v>
      </c>
      <c r="D429" s="12" t="s">
        <v>193</v>
      </c>
      <c r="E429" s="12" t="s">
        <v>115</v>
      </c>
      <c r="F429" s="14">
        <v>9</v>
      </c>
      <c r="G429" s="14">
        <v>1650</v>
      </c>
      <c r="H429" s="14">
        <v>24.3</v>
      </c>
      <c r="I429" s="14">
        <v>11241.45</v>
      </c>
      <c r="J429" s="12" t="s">
        <v>104</v>
      </c>
      <c r="K429" s="12" t="s">
        <v>105</v>
      </c>
      <c r="L429" s="23" t="str">
        <f>VLOOKUP(D429,Products!$A:$F,3,FALSE)</f>
        <v>Beauty</v>
      </c>
      <c r="M429" s="23" t="str">
        <f>VLOOKUP(E429,Sales_Reps!$A:$E,3,FALSE)</f>
        <v>South</v>
      </c>
      <c r="N429" s="23" t="str">
        <f t="shared" si="18"/>
        <v>Jul-24</v>
      </c>
      <c r="O429" s="23" t="str">
        <f t="shared" si="19"/>
        <v>Q3 2024</v>
      </c>
      <c r="P429" s="23">
        <f>VLOOKUP(D429,Products!$A:$F,4,FALSE)</f>
        <v>1222</v>
      </c>
      <c r="Q429" s="35">
        <f t="shared" si="20"/>
        <v>0.2593939393939394</v>
      </c>
    </row>
    <row r="430" spans="1:17">
      <c r="A430" s="12" t="s">
        <v>861</v>
      </c>
      <c r="B430" s="13">
        <v>45624</v>
      </c>
      <c r="C430" s="12" t="s">
        <v>584</v>
      </c>
      <c r="D430" s="12" t="s">
        <v>137</v>
      </c>
      <c r="E430" s="12" t="s">
        <v>115</v>
      </c>
      <c r="F430" s="14">
        <v>10</v>
      </c>
      <c r="G430" s="14">
        <v>1430</v>
      </c>
      <c r="H430" s="14">
        <v>25.2</v>
      </c>
      <c r="I430" s="14">
        <v>10696.4</v>
      </c>
      <c r="J430" s="12" t="s">
        <v>104</v>
      </c>
      <c r="K430" s="12" t="s">
        <v>134</v>
      </c>
      <c r="L430" s="23" t="str">
        <f>VLOOKUP(D430,Products!$A:$F,3,FALSE)</f>
        <v>Electronics</v>
      </c>
      <c r="M430" s="23" t="str">
        <f>VLOOKUP(E430,Sales_Reps!$A:$E,3,FALSE)</f>
        <v>South</v>
      </c>
      <c r="N430" s="23" t="str">
        <f t="shared" si="18"/>
        <v>Nov-24</v>
      </c>
      <c r="O430" s="23" t="str">
        <f t="shared" si="19"/>
        <v>Q4 2024</v>
      </c>
      <c r="P430" s="23">
        <f>VLOOKUP(D430,Products!$A:$F,4,FALSE)</f>
        <v>861</v>
      </c>
      <c r="Q430" s="35">
        <f t="shared" si="20"/>
        <v>0.39790209790209791</v>
      </c>
    </row>
    <row r="431" spans="1:17">
      <c r="A431" s="12" t="s">
        <v>862</v>
      </c>
      <c r="B431" s="13">
        <v>45480</v>
      </c>
      <c r="C431" s="12" t="s">
        <v>641</v>
      </c>
      <c r="D431" s="12" t="s">
        <v>368</v>
      </c>
      <c r="E431" s="12" t="s">
        <v>149</v>
      </c>
      <c r="F431" s="14">
        <v>4</v>
      </c>
      <c r="G431" s="14">
        <v>4060</v>
      </c>
      <c r="H431" s="14">
        <v>1.6</v>
      </c>
      <c r="I431" s="14">
        <v>15980.16</v>
      </c>
      <c r="J431" s="12" t="s">
        <v>104</v>
      </c>
      <c r="K431" s="12" t="s">
        <v>105</v>
      </c>
      <c r="L431" s="23" t="str">
        <f>VLOOKUP(D431,Products!$A:$F,3,FALSE)</f>
        <v>Grocery</v>
      </c>
      <c r="M431" s="23" t="str">
        <f>VLOOKUP(E431,Sales_Reps!$A:$E,3,FALSE)</f>
        <v>South</v>
      </c>
      <c r="N431" s="23" t="str">
        <f t="shared" si="18"/>
        <v>Jul-24</v>
      </c>
      <c r="O431" s="23" t="str">
        <f t="shared" si="19"/>
        <v>Q3 2024</v>
      </c>
      <c r="P431" s="23">
        <f>VLOOKUP(D431,Products!$A:$F,4,FALSE)</f>
        <v>2911</v>
      </c>
      <c r="Q431" s="35">
        <f t="shared" si="20"/>
        <v>0.28300492610837441</v>
      </c>
    </row>
    <row r="432" spans="1:17">
      <c r="A432" s="12" t="s">
        <v>863</v>
      </c>
      <c r="B432" s="13">
        <v>45420</v>
      </c>
      <c r="C432" s="12" t="s">
        <v>623</v>
      </c>
      <c r="D432" s="12" t="s">
        <v>127</v>
      </c>
      <c r="E432" s="12" t="s">
        <v>109</v>
      </c>
      <c r="F432" s="14">
        <v>9</v>
      </c>
      <c r="G432" s="14">
        <v>370</v>
      </c>
      <c r="H432" s="14">
        <v>17</v>
      </c>
      <c r="I432" s="14">
        <v>2763.9</v>
      </c>
      <c r="J432" s="12" t="s">
        <v>104</v>
      </c>
      <c r="K432" s="12" t="s">
        <v>129</v>
      </c>
      <c r="L432" s="23" t="str">
        <f>VLOOKUP(D432,Products!$A:$F,3,FALSE)</f>
        <v>Home</v>
      </c>
      <c r="M432" s="23" t="str">
        <f>VLOOKUP(E432,Sales_Reps!$A:$E,3,FALSE)</f>
        <v>North</v>
      </c>
      <c r="N432" s="23" t="str">
        <f t="shared" si="18"/>
        <v>May-24</v>
      </c>
      <c r="O432" s="23" t="str">
        <f t="shared" si="19"/>
        <v>Q2 2024</v>
      </c>
      <c r="P432" s="23">
        <f>VLOOKUP(D432,Products!$A:$F,4,FALSE)</f>
        <v>288</v>
      </c>
      <c r="Q432" s="35">
        <f t="shared" si="20"/>
        <v>0.22162162162162163</v>
      </c>
    </row>
    <row r="433" spans="1:17">
      <c r="A433" s="12" t="s">
        <v>864</v>
      </c>
      <c r="B433" s="13">
        <v>45322</v>
      </c>
      <c r="C433" s="12" t="s">
        <v>720</v>
      </c>
      <c r="D433" s="12" t="s">
        <v>276</v>
      </c>
      <c r="E433" s="12" t="s">
        <v>149</v>
      </c>
      <c r="F433" s="14">
        <v>1</v>
      </c>
      <c r="G433" s="14">
        <v>1540</v>
      </c>
      <c r="H433" s="14">
        <v>24</v>
      </c>
      <c r="I433" s="14">
        <v>1170.4000000000001</v>
      </c>
      <c r="J433" s="12" t="s">
        <v>157</v>
      </c>
      <c r="K433" s="12" t="s">
        <v>105</v>
      </c>
      <c r="L433" s="23" t="str">
        <f>VLOOKUP(D433,Products!$A:$F,3,FALSE)</f>
        <v>Beauty</v>
      </c>
      <c r="M433" s="23" t="str">
        <f>VLOOKUP(E433,Sales_Reps!$A:$E,3,FALSE)</f>
        <v>South</v>
      </c>
      <c r="N433" s="23" t="str">
        <f t="shared" si="18"/>
        <v>Jan-24</v>
      </c>
      <c r="O433" s="23" t="str">
        <f t="shared" si="19"/>
        <v>Q1 2024</v>
      </c>
      <c r="P433" s="23">
        <f>VLOOKUP(D433,Products!$A:$F,4,FALSE)</f>
        <v>647</v>
      </c>
      <c r="Q433" s="35">
        <f t="shared" si="20"/>
        <v>0.57987012987012987</v>
      </c>
    </row>
    <row r="434" spans="1:17">
      <c r="A434" s="12" t="s">
        <v>865</v>
      </c>
      <c r="B434" s="13">
        <v>45382</v>
      </c>
      <c r="C434" s="12" t="s">
        <v>580</v>
      </c>
      <c r="D434" s="12" t="s">
        <v>155</v>
      </c>
      <c r="E434" s="12" t="s">
        <v>128</v>
      </c>
      <c r="F434" s="14">
        <v>9</v>
      </c>
      <c r="G434" s="14">
        <v>2600</v>
      </c>
      <c r="H434" s="14">
        <v>7.7</v>
      </c>
      <c r="I434" s="14">
        <v>21598.2</v>
      </c>
      <c r="J434" s="12" t="s">
        <v>104</v>
      </c>
      <c r="K434" s="12" t="s">
        <v>105</v>
      </c>
      <c r="L434" s="23" t="str">
        <f>VLOOKUP(D434,Products!$A:$F,3,FALSE)</f>
        <v>Electronics</v>
      </c>
      <c r="M434" s="23" t="str">
        <f>VLOOKUP(E434,Sales_Reps!$A:$E,3,FALSE)</f>
        <v>West</v>
      </c>
      <c r="N434" s="23" t="str">
        <f t="shared" si="18"/>
        <v>Mar-24</v>
      </c>
      <c r="O434" s="23" t="str">
        <f t="shared" si="19"/>
        <v>Q1 2024</v>
      </c>
      <c r="P434" s="23">
        <f>VLOOKUP(D434,Products!$A:$F,4,FALSE)</f>
        <v>1052</v>
      </c>
      <c r="Q434" s="35">
        <f t="shared" si="20"/>
        <v>0.5953846153846154</v>
      </c>
    </row>
    <row r="435" spans="1:17">
      <c r="A435" s="12" t="s">
        <v>866</v>
      </c>
      <c r="B435" s="13">
        <v>45497</v>
      </c>
      <c r="C435" s="12" t="s">
        <v>867</v>
      </c>
      <c r="D435" s="12" t="s">
        <v>372</v>
      </c>
      <c r="E435" s="12" t="s">
        <v>205</v>
      </c>
      <c r="F435" s="14">
        <v>8</v>
      </c>
      <c r="G435" s="14">
        <v>2510</v>
      </c>
      <c r="H435" s="14">
        <v>3.7</v>
      </c>
      <c r="I435" s="14">
        <v>19337.04</v>
      </c>
      <c r="J435" s="12" t="s">
        <v>104</v>
      </c>
      <c r="K435" s="12" t="s">
        <v>111</v>
      </c>
      <c r="L435" s="23" t="str">
        <f>VLOOKUP(D435,Products!$A:$F,3,FALSE)</f>
        <v>Apparel</v>
      </c>
      <c r="M435" s="23" t="str">
        <f>VLOOKUP(E435,Sales_Reps!$A:$E,3,FALSE)</f>
        <v>South</v>
      </c>
      <c r="N435" s="23" t="str">
        <f t="shared" si="18"/>
        <v>Jul-24</v>
      </c>
      <c r="O435" s="23" t="str">
        <f t="shared" si="19"/>
        <v>Q3 2024</v>
      </c>
      <c r="P435" s="23">
        <f>VLOOKUP(D435,Products!$A:$F,4,FALSE)</f>
        <v>1075</v>
      </c>
      <c r="Q435" s="35">
        <f t="shared" si="20"/>
        <v>0.57171314741035861</v>
      </c>
    </row>
    <row r="436" spans="1:17">
      <c r="A436" s="12" t="s">
        <v>868</v>
      </c>
      <c r="B436" s="13">
        <v>45510</v>
      </c>
      <c r="C436" s="12" t="s">
        <v>641</v>
      </c>
      <c r="D436" s="12" t="s">
        <v>381</v>
      </c>
      <c r="E436" s="12" t="s">
        <v>165</v>
      </c>
      <c r="F436" s="14">
        <v>6</v>
      </c>
      <c r="G436" s="14">
        <v>5330</v>
      </c>
      <c r="H436" s="14">
        <v>8.4</v>
      </c>
      <c r="I436" s="14">
        <v>29293.68</v>
      </c>
      <c r="J436" s="12" t="s">
        <v>104</v>
      </c>
      <c r="K436" s="12" t="s">
        <v>105</v>
      </c>
      <c r="L436" s="23" t="str">
        <f>VLOOKUP(D436,Products!$A:$F,3,FALSE)</f>
        <v>Electronics</v>
      </c>
      <c r="M436" s="23" t="str">
        <f>VLOOKUP(E436,Sales_Reps!$A:$E,3,FALSE)</f>
        <v>North</v>
      </c>
      <c r="N436" s="23" t="str">
        <f t="shared" si="18"/>
        <v>Aug-24</v>
      </c>
      <c r="O436" s="23" t="str">
        <f t="shared" si="19"/>
        <v>Q3 2024</v>
      </c>
      <c r="P436" s="23">
        <f>VLOOKUP(D436,Products!$A:$F,4,FALSE)</f>
        <v>2405</v>
      </c>
      <c r="Q436" s="35">
        <f t="shared" si="20"/>
        <v>0.54878048780487809</v>
      </c>
    </row>
    <row r="437" spans="1:17">
      <c r="A437" s="12" t="s">
        <v>869</v>
      </c>
      <c r="B437" s="13">
        <v>45522</v>
      </c>
      <c r="C437" s="12" t="s">
        <v>446</v>
      </c>
      <c r="D437" s="12" t="s">
        <v>460</v>
      </c>
      <c r="E437" s="12" t="s">
        <v>115</v>
      </c>
      <c r="F437" s="14">
        <v>5</v>
      </c>
      <c r="G437" s="14">
        <v>5080</v>
      </c>
      <c r="H437" s="14">
        <v>10.3</v>
      </c>
      <c r="I437" s="14">
        <v>22783.8</v>
      </c>
      <c r="J437" s="12" t="s">
        <v>104</v>
      </c>
      <c r="K437" s="12" t="s">
        <v>134</v>
      </c>
      <c r="L437" s="23" t="str">
        <f>VLOOKUP(D437,Products!$A:$F,3,FALSE)</f>
        <v>Home</v>
      </c>
      <c r="M437" s="23" t="str">
        <f>VLOOKUP(E437,Sales_Reps!$A:$E,3,FALSE)</f>
        <v>South</v>
      </c>
      <c r="N437" s="23" t="str">
        <f t="shared" si="18"/>
        <v>Aug-24</v>
      </c>
      <c r="O437" s="23" t="str">
        <f t="shared" si="19"/>
        <v>Q3 2024</v>
      </c>
      <c r="P437" s="23">
        <f>VLOOKUP(D437,Products!$A:$F,4,FALSE)</f>
        <v>2459</v>
      </c>
      <c r="Q437" s="35">
        <f t="shared" si="20"/>
        <v>0.51594488188976373</v>
      </c>
    </row>
    <row r="438" spans="1:17">
      <c r="A438" s="12" t="s">
        <v>870</v>
      </c>
      <c r="B438" s="13">
        <v>45381</v>
      </c>
      <c r="C438" s="12" t="s">
        <v>627</v>
      </c>
      <c r="D438" s="12" t="s">
        <v>281</v>
      </c>
      <c r="E438" s="12" t="s">
        <v>128</v>
      </c>
      <c r="F438" s="14">
        <v>3</v>
      </c>
      <c r="G438" s="14">
        <v>4070</v>
      </c>
      <c r="H438" s="14">
        <v>23.7</v>
      </c>
      <c r="I438" s="14">
        <v>9316.23</v>
      </c>
      <c r="J438" s="12" t="s">
        <v>104</v>
      </c>
      <c r="K438" s="12" t="s">
        <v>134</v>
      </c>
      <c r="L438" s="23" t="str">
        <f>VLOOKUP(D438,Products!$A:$F,3,FALSE)</f>
        <v>Grocery</v>
      </c>
      <c r="M438" s="23" t="str">
        <f>VLOOKUP(E438,Sales_Reps!$A:$E,3,FALSE)</f>
        <v>West</v>
      </c>
      <c r="N438" s="23" t="str">
        <f t="shared" si="18"/>
        <v>Mar-24</v>
      </c>
      <c r="O438" s="23" t="str">
        <f t="shared" si="19"/>
        <v>Q1 2024</v>
      </c>
      <c r="P438" s="23">
        <f>VLOOKUP(D438,Products!$A:$F,4,FALSE)</f>
        <v>2027</v>
      </c>
      <c r="Q438" s="35">
        <f t="shared" si="20"/>
        <v>0.50196560196560192</v>
      </c>
    </row>
    <row r="439" spans="1:17">
      <c r="A439" s="12" t="s">
        <v>871</v>
      </c>
      <c r="B439" s="13">
        <v>45511</v>
      </c>
      <c r="C439" s="12" t="s">
        <v>207</v>
      </c>
      <c r="D439" s="12" t="s">
        <v>309</v>
      </c>
      <c r="E439" s="12" t="s">
        <v>269</v>
      </c>
      <c r="F439" s="14">
        <v>4</v>
      </c>
      <c r="G439" s="14">
        <v>620</v>
      </c>
      <c r="H439" s="14">
        <v>18.8</v>
      </c>
      <c r="I439" s="14">
        <v>2013.76</v>
      </c>
      <c r="J439" s="12" t="s">
        <v>104</v>
      </c>
      <c r="K439" s="12" t="s">
        <v>150</v>
      </c>
      <c r="L439" s="23" t="str">
        <f>VLOOKUP(D439,Products!$A:$F,3,FALSE)</f>
        <v>Apparel</v>
      </c>
      <c r="M439" s="23" t="str">
        <f>VLOOKUP(E439,Sales_Reps!$A:$E,3,FALSE)</f>
        <v>South</v>
      </c>
      <c r="N439" s="23" t="str">
        <f t="shared" si="18"/>
        <v>Aug-24</v>
      </c>
      <c r="O439" s="23" t="str">
        <f t="shared" si="19"/>
        <v>Q3 2024</v>
      </c>
      <c r="P439" s="23">
        <f>VLOOKUP(D439,Products!$A:$F,4,FALSE)</f>
        <v>396</v>
      </c>
      <c r="Q439" s="35">
        <f t="shared" si="20"/>
        <v>0.36129032258064514</v>
      </c>
    </row>
    <row r="440" spans="1:17">
      <c r="A440" s="12" t="s">
        <v>872</v>
      </c>
      <c r="B440" s="13">
        <v>45628</v>
      </c>
      <c r="C440" s="12" t="s">
        <v>873</v>
      </c>
      <c r="D440" s="12" t="s">
        <v>152</v>
      </c>
      <c r="E440" s="12" t="s">
        <v>255</v>
      </c>
      <c r="F440" s="14">
        <v>10</v>
      </c>
      <c r="G440" s="14">
        <v>2640</v>
      </c>
      <c r="H440" s="14">
        <v>12.7</v>
      </c>
      <c r="I440" s="14">
        <v>23047.200000000001</v>
      </c>
      <c r="J440" s="12" t="s">
        <v>104</v>
      </c>
      <c r="K440" s="12" t="s">
        <v>105</v>
      </c>
      <c r="L440" s="23" t="str">
        <f>VLOOKUP(D440,Products!$A:$F,3,FALSE)</f>
        <v>Electronics</v>
      </c>
      <c r="M440" s="23" t="str">
        <f>VLOOKUP(E440,Sales_Reps!$A:$E,3,FALSE)</f>
        <v>East</v>
      </c>
      <c r="N440" s="23" t="str">
        <f t="shared" si="18"/>
        <v>Dec-24</v>
      </c>
      <c r="O440" s="23" t="str">
        <f t="shared" si="19"/>
        <v>Q4 2024</v>
      </c>
      <c r="P440" s="23">
        <f>VLOOKUP(D440,Products!$A:$F,4,FALSE)</f>
        <v>1149</v>
      </c>
      <c r="Q440" s="35">
        <f t="shared" si="20"/>
        <v>0.56477272727272732</v>
      </c>
    </row>
    <row r="441" spans="1:17">
      <c r="A441" s="12" t="s">
        <v>874</v>
      </c>
      <c r="B441" s="13">
        <v>45326</v>
      </c>
      <c r="C441" s="12" t="s">
        <v>486</v>
      </c>
      <c r="D441" s="12" t="s">
        <v>281</v>
      </c>
      <c r="E441" s="12" t="s">
        <v>187</v>
      </c>
      <c r="F441" s="14">
        <v>2</v>
      </c>
      <c r="G441" s="14">
        <v>4070</v>
      </c>
      <c r="H441" s="14">
        <v>29</v>
      </c>
      <c r="I441" s="14">
        <v>5779.4</v>
      </c>
      <c r="J441" s="12" t="s">
        <v>104</v>
      </c>
      <c r="K441" s="12" t="s">
        <v>134</v>
      </c>
      <c r="L441" s="23" t="str">
        <f>VLOOKUP(D441,Products!$A:$F,3,FALSE)</f>
        <v>Grocery</v>
      </c>
      <c r="M441" s="23" t="str">
        <f>VLOOKUP(E441,Sales_Reps!$A:$E,3,FALSE)</f>
        <v>West</v>
      </c>
      <c r="N441" s="23" t="str">
        <f t="shared" si="18"/>
        <v>Feb-24</v>
      </c>
      <c r="O441" s="23" t="str">
        <f t="shared" si="19"/>
        <v>Q1 2024</v>
      </c>
      <c r="P441" s="23">
        <f>VLOOKUP(D441,Products!$A:$F,4,FALSE)</f>
        <v>2027</v>
      </c>
      <c r="Q441" s="35">
        <f t="shared" si="20"/>
        <v>0.50196560196560192</v>
      </c>
    </row>
    <row r="442" spans="1:17">
      <c r="A442" s="12" t="s">
        <v>875</v>
      </c>
      <c r="B442" s="13">
        <v>45561</v>
      </c>
      <c r="C442" s="12" t="s">
        <v>679</v>
      </c>
      <c r="D442" s="12" t="s">
        <v>199</v>
      </c>
      <c r="E442" s="12" t="s">
        <v>103</v>
      </c>
      <c r="F442" s="14">
        <v>8</v>
      </c>
      <c r="G442" s="14">
        <v>1010</v>
      </c>
      <c r="H442" s="14">
        <v>25.4</v>
      </c>
      <c r="I442" s="14">
        <v>6027.68</v>
      </c>
      <c r="J442" s="12" t="s">
        <v>104</v>
      </c>
      <c r="K442" s="12" t="s">
        <v>111</v>
      </c>
      <c r="L442" s="23" t="str">
        <f>VLOOKUP(D442,Products!$A:$F,3,FALSE)</f>
        <v>Sports</v>
      </c>
      <c r="M442" s="23" t="str">
        <f>VLOOKUP(E442,Sales_Reps!$A:$E,3,FALSE)</f>
        <v>North</v>
      </c>
      <c r="N442" s="23" t="str">
        <f t="shared" si="18"/>
        <v>Sep-24</v>
      </c>
      <c r="O442" s="23" t="str">
        <f t="shared" si="19"/>
        <v>Q3 2024</v>
      </c>
      <c r="P442" s="23">
        <f>VLOOKUP(D442,Products!$A:$F,4,FALSE)</f>
        <v>516</v>
      </c>
      <c r="Q442" s="35">
        <f t="shared" si="20"/>
        <v>0.4891089108910891</v>
      </c>
    </row>
    <row r="443" spans="1:17">
      <c r="A443" s="12" t="s">
        <v>876</v>
      </c>
      <c r="B443" s="13">
        <v>45629</v>
      </c>
      <c r="C443" s="12" t="s">
        <v>504</v>
      </c>
      <c r="D443" s="12" t="s">
        <v>160</v>
      </c>
      <c r="E443" s="12" t="s">
        <v>109</v>
      </c>
      <c r="F443" s="14">
        <v>8</v>
      </c>
      <c r="G443" s="14">
        <v>3250</v>
      </c>
      <c r="H443" s="14">
        <v>5.4</v>
      </c>
      <c r="I443" s="14">
        <v>24596</v>
      </c>
      <c r="J443" s="12" t="s">
        <v>104</v>
      </c>
      <c r="K443" s="12" t="s">
        <v>105</v>
      </c>
      <c r="L443" s="23" t="str">
        <f>VLOOKUP(D443,Products!$A:$F,3,FALSE)</f>
        <v>Home</v>
      </c>
      <c r="M443" s="23" t="str">
        <f>VLOOKUP(E443,Sales_Reps!$A:$E,3,FALSE)</f>
        <v>North</v>
      </c>
      <c r="N443" s="23" t="str">
        <f t="shared" si="18"/>
        <v>Dec-24</v>
      </c>
      <c r="O443" s="23" t="str">
        <f t="shared" si="19"/>
        <v>Q4 2024</v>
      </c>
      <c r="P443" s="23">
        <f>VLOOKUP(D443,Products!$A:$F,4,FALSE)</f>
        <v>1556</v>
      </c>
      <c r="Q443" s="35">
        <f t="shared" si="20"/>
        <v>0.52123076923076928</v>
      </c>
    </row>
    <row r="444" spans="1:17">
      <c r="A444" s="12" t="s">
        <v>877</v>
      </c>
      <c r="B444" s="13">
        <v>45460</v>
      </c>
      <c r="C444" s="12" t="s">
        <v>444</v>
      </c>
      <c r="D444" s="12" t="s">
        <v>137</v>
      </c>
      <c r="E444" s="12" t="s">
        <v>221</v>
      </c>
      <c r="F444" s="14">
        <v>7</v>
      </c>
      <c r="G444" s="14">
        <v>1430</v>
      </c>
      <c r="H444" s="14">
        <v>19.3</v>
      </c>
      <c r="I444" s="14">
        <v>8078.07</v>
      </c>
      <c r="J444" s="12" t="s">
        <v>104</v>
      </c>
      <c r="K444" s="12" t="s">
        <v>105</v>
      </c>
      <c r="L444" s="23" t="str">
        <f>VLOOKUP(D444,Products!$A:$F,3,FALSE)</f>
        <v>Electronics</v>
      </c>
      <c r="M444" s="23" t="str">
        <f>VLOOKUP(E444,Sales_Reps!$A:$E,3,FALSE)</f>
        <v>South</v>
      </c>
      <c r="N444" s="23" t="str">
        <f t="shared" si="18"/>
        <v>Jun-24</v>
      </c>
      <c r="O444" s="23" t="str">
        <f t="shared" si="19"/>
        <v>Q2 2024</v>
      </c>
      <c r="P444" s="23">
        <f>VLOOKUP(D444,Products!$A:$F,4,FALSE)</f>
        <v>861</v>
      </c>
      <c r="Q444" s="35">
        <f t="shared" si="20"/>
        <v>0.39790209790209791</v>
      </c>
    </row>
    <row r="445" spans="1:17">
      <c r="A445" s="12" t="s">
        <v>878</v>
      </c>
      <c r="B445" s="13">
        <v>45597</v>
      </c>
      <c r="C445" s="12" t="s">
        <v>393</v>
      </c>
      <c r="D445" s="12" t="s">
        <v>293</v>
      </c>
      <c r="E445" s="12" t="s">
        <v>320</v>
      </c>
      <c r="F445" s="14">
        <v>9</v>
      </c>
      <c r="G445" s="14">
        <v>3020</v>
      </c>
      <c r="H445" s="14">
        <v>15</v>
      </c>
      <c r="I445" s="14">
        <v>23103</v>
      </c>
      <c r="J445" s="12" t="s">
        <v>104</v>
      </c>
      <c r="K445" s="12" t="s">
        <v>134</v>
      </c>
      <c r="L445" s="23" t="str">
        <f>VLOOKUP(D445,Products!$A:$F,3,FALSE)</f>
        <v>Beauty</v>
      </c>
      <c r="M445" s="23" t="str">
        <f>VLOOKUP(E445,Sales_Reps!$A:$E,3,FALSE)</f>
        <v>East</v>
      </c>
      <c r="N445" s="23" t="str">
        <f t="shared" si="18"/>
        <v>Nov-24</v>
      </c>
      <c r="O445" s="23" t="str">
        <f t="shared" si="19"/>
        <v>Q4 2024</v>
      </c>
      <c r="P445" s="23">
        <f>VLOOKUP(D445,Products!$A:$F,4,FALSE)</f>
        <v>1626</v>
      </c>
      <c r="Q445" s="35">
        <f t="shared" si="20"/>
        <v>0.46158940397350995</v>
      </c>
    </row>
    <row r="446" spans="1:17">
      <c r="A446" s="12" t="s">
        <v>879</v>
      </c>
      <c r="B446" s="13">
        <v>45324</v>
      </c>
      <c r="C446" s="12" t="s">
        <v>880</v>
      </c>
      <c r="D446" s="12" t="s">
        <v>296</v>
      </c>
      <c r="E446" s="12" t="s">
        <v>314</v>
      </c>
      <c r="F446" s="14">
        <v>2</v>
      </c>
      <c r="G446" s="14">
        <v>2660</v>
      </c>
      <c r="H446" s="14">
        <v>21.4</v>
      </c>
      <c r="I446" s="14">
        <v>4181.5200000000004</v>
      </c>
      <c r="J446" s="12" t="s">
        <v>104</v>
      </c>
      <c r="K446" s="12" t="s">
        <v>111</v>
      </c>
      <c r="L446" s="23" t="str">
        <f>VLOOKUP(D446,Products!$A:$F,3,FALSE)</f>
        <v>Electronics</v>
      </c>
      <c r="M446" s="23" t="str">
        <f>VLOOKUP(E446,Sales_Reps!$A:$E,3,FALSE)</f>
        <v>North</v>
      </c>
      <c r="N446" s="23" t="str">
        <f t="shared" si="18"/>
        <v>Feb-24</v>
      </c>
      <c r="O446" s="23" t="str">
        <f t="shared" si="19"/>
        <v>Q1 2024</v>
      </c>
      <c r="P446" s="23">
        <f>VLOOKUP(D446,Products!$A:$F,4,FALSE)</f>
        <v>1259</v>
      </c>
      <c r="Q446" s="35">
        <f t="shared" si="20"/>
        <v>0.52669172932330832</v>
      </c>
    </row>
    <row r="447" spans="1:17">
      <c r="A447" s="12" t="s">
        <v>881</v>
      </c>
      <c r="B447" s="13">
        <v>45490</v>
      </c>
      <c r="C447" s="12" t="s">
        <v>198</v>
      </c>
      <c r="D447" s="12" t="s">
        <v>204</v>
      </c>
      <c r="E447" s="12" t="s">
        <v>138</v>
      </c>
      <c r="F447" s="14">
        <v>10</v>
      </c>
      <c r="G447" s="14">
        <v>3570</v>
      </c>
      <c r="H447" s="14">
        <v>20.3</v>
      </c>
      <c r="I447" s="14">
        <v>28452.9</v>
      </c>
      <c r="J447" s="12" t="s">
        <v>104</v>
      </c>
      <c r="K447" s="12" t="s">
        <v>116</v>
      </c>
      <c r="L447" s="23" t="str">
        <f>VLOOKUP(D447,Products!$A:$F,3,FALSE)</f>
        <v>Electronics</v>
      </c>
      <c r="M447" s="23" t="str">
        <f>VLOOKUP(E447,Sales_Reps!$A:$E,3,FALSE)</f>
        <v>East</v>
      </c>
      <c r="N447" s="23" t="str">
        <f t="shared" si="18"/>
        <v>Jul-24</v>
      </c>
      <c r="O447" s="23" t="str">
        <f t="shared" si="19"/>
        <v>Q3 2024</v>
      </c>
      <c r="P447" s="23">
        <f>VLOOKUP(D447,Products!$A:$F,4,FALSE)</f>
        <v>1665</v>
      </c>
      <c r="Q447" s="35">
        <f t="shared" si="20"/>
        <v>0.53361344537815125</v>
      </c>
    </row>
    <row r="448" spans="1:17">
      <c r="A448" s="12" t="s">
        <v>882</v>
      </c>
      <c r="B448" s="13">
        <v>45330</v>
      </c>
      <c r="C448" s="12" t="s">
        <v>214</v>
      </c>
      <c r="D448" s="12" t="s">
        <v>196</v>
      </c>
      <c r="E448" s="12" t="s">
        <v>149</v>
      </c>
      <c r="F448" s="14">
        <v>4</v>
      </c>
      <c r="G448" s="14">
        <v>3350</v>
      </c>
      <c r="H448" s="14">
        <v>28.1</v>
      </c>
      <c r="I448" s="14">
        <v>9634.6</v>
      </c>
      <c r="J448" s="12" t="s">
        <v>104</v>
      </c>
      <c r="K448" s="12" t="s">
        <v>105</v>
      </c>
      <c r="L448" s="23" t="str">
        <f>VLOOKUP(D448,Products!$A:$F,3,FALSE)</f>
        <v>Beauty</v>
      </c>
      <c r="M448" s="23" t="str">
        <f>VLOOKUP(E448,Sales_Reps!$A:$E,3,FALSE)</f>
        <v>South</v>
      </c>
      <c r="N448" s="23" t="str">
        <f t="shared" si="18"/>
        <v>Feb-24</v>
      </c>
      <c r="O448" s="23" t="str">
        <f t="shared" si="19"/>
        <v>Q1 2024</v>
      </c>
      <c r="P448" s="23">
        <f>VLOOKUP(D448,Products!$A:$F,4,FALSE)</f>
        <v>1728</v>
      </c>
      <c r="Q448" s="35">
        <f t="shared" si="20"/>
        <v>0.48417910447761192</v>
      </c>
    </row>
    <row r="449" spans="1:17">
      <c r="A449" s="12" t="s">
        <v>883</v>
      </c>
      <c r="B449" s="13">
        <v>45336</v>
      </c>
      <c r="C449" s="12" t="s">
        <v>118</v>
      </c>
      <c r="D449" s="12" t="s">
        <v>184</v>
      </c>
      <c r="E449" s="12" t="s">
        <v>175</v>
      </c>
      <c r="F449" s="14">
        <v>1</v>
      </c>
      <c r="G449" s="14">
        <v>2480</v>
      </c>
      <c r="H449" s="14">
        <v>13.5</v>
      </c>
      <c r="I449" s="14">
        <v>2145.1999999999998</v>
      </c>
      <c r="J449" s="12" t="s">
        <v>104</v>
      </c>
      <c r="K449" s="12" t="s">
        <v>116</v>
      </c>
      <c r="L449" s="23" t="str">
        <f>VLOOKUP(D449,Products!$A:$F,3,FALSE)</f>
        <v>Apparel</v>
      </c>
      <c r="M449" s="23" t="str">
        <f>VLOOKUP(E449,Sales_Reps!$A:$E,3,FALSE)</f>
        <v>East</v>
      </c>
      <c r="N449" s="23" t="str">
        <f t="shared" si="18"/>
        <v>Feb-24</v>
      </c>
      <c r="O449" s="23" t="str">
        <f t="shared" si="19"/>
        <v>Q1 2024</v>
      </c>
      <c r="P449" s="23">
        <f>VLOOKUP(D449,Products!$A:$F,4,FALSE)</f>
        <v>1173</v>
      </c>
      <c r="Q449" s="35">
        <f t="shared" si="20"/>
        <v>0.52701612903225803</v>
      </c>
    </row>
    <row r="450" spans="1:17">
      <c r="A450" s="12" t="s">
        <v>884</v>
      </c>
      <c r="B450" s="13">
        <v>45649</v>
      </c>
      <c r="C450" s="12" t="s">
        <v>885</v>
      </c>
      <c r="D450" s="12" t="s">
        <v>377</v>
      </c>
      <c r="E450" s="12" t="s">
        <v>205</v>
      </c>
      <c r="F450" s="14">
        <v>10</v>
      </c>
      <c r="G450" s="14">
        <v>5410</v>
      </c>
      <c r="H450" s="14">
        <v>26.1</v>
      </c>
      <c r="I450" s="14">
        <v>39979.9</v>
      </c>
      <c r="J450" s="12" t="s">
        <v>104</v>
      </c>
      <c r="K450" s="12" t="s">
        <v>116</v>
      </c>
      <c r="L450" s="23" t="str">
        <f>VLOOKUP(D450,Products!$A:$F,3,FALSE)</f>
        <v>Sports</v>
      </c>
      <c r="M450" s="23" t="str">
        <f>VLOOKUP(E450,Sales_Reps!$A:$E,3,FALSE)</f>
        <v>South</v>
      </c>
      <c r="N450" s="23" t="str">
        <f t="shared" si="18"/>
        <v>Dec-24</v>
      </c>
      <c r="O450" s="23" t="str">
        <f t="shared" si="19"/>
        <v>Q4 2024</v>
      </c>
      <c r="P450" s="23">
        <f>VLOOKUP(D450,Products!$A:$F,4,FALSE)</f>
        <v>2265</v>
      </c>
      <c r="Q450" s="35">
        <f t="shared" si="20"/>
        <v>0.58133086876155271</v>
      </c>
    </row>
    <row r="451" spans="1:17">
      <c r="A451" s="12" t="s">
        <v>886</v>
      </c>
      <c r="B451" s="13">
        <v>45586</v>
      </c>
      <c r="C451" s="12" t="s">
        <v>887</v>
      </c>
      <c r="D451" s="12" t="s">
        <v>220</v>
      </c>
      <c r="E451" s="12" t="s">
        <v>171</v>
      </c>
      <c r="F451" s="14">
        <v>2</v>
      </c>
      <c r="G451" s="14">
        <v>660</v>
      </c>
      <c r="H451" s="14">
        <v>5</v>
      </c>
      <c r="I451" s="14">
        <v>1254</v>
      </c>
      <c r="J451" s="12" t="s">
        <v>104</v>
      </c>
      <c r="K451" s="12" t="s">
        <v>134</v>
      </c>
      <c r="L451" s="23" t="str">
        <f>VLOOKUP(D451,Products!$A:$F,3,FALSE)</f>
        <v>Home</v>
      </c>
      <c r="M451" s="23" t="str">
        <f>VLOOKUP(E451,Sales_Reps!$A:$E,3,FALSE)</f>
        <v>East</v>
      </c>
      <c r="N451" s="23" t="str">
        <f t="shared" ref="N451:N514" si="21">TEXT(B451, "mmm-yy")</f>
        <v>Oct-24</v>
      </c>
      <c r="O451" s="23" t="str">
        <f t="shared" ref="O451:O514" si="22">"Q" &amp; INT((MONTH(B451)-1)/3)+1 &amp; " " &amp; YEAR(B451)</f>
        <v>Q4 2024</v>
      </c>
      <c r="P451" s="23">
        <f>VLOOKUP(D451,Products!$A:$F,4,FALSE)</f>
        <v>329</v>
      </c>
      <c r="Q451" s="35">
        <f t="shared" ref="Q451:Q514" si="23">(G451 - P451) / G451</f>
        <v>0.50151515151515147</v>
      </c>
    </row>
    <row r="452" spans="1:17">
      <c r="A452" s="12" t="s">
        <v>888</v>
      </c>
      <c r="B452" s="13">
        <v>45647</v>
      </c>
      <c r="C452" s="12" t="s">
        <v>889</v>
      </c>
      <c r="D452" s="12" t="s">
        <v>199</v>
      </c>
      <c r="E452" s="12" t="s">
        <v>103</v>
      </c>
      <c r="F452" s="14">
        <v>10</v>
      </c>
      <c r="G452" s="14">
        <v>1010</v>
      </c>
      <c r="H452" s="14">
        <v>10</v>
      </c>
      <c r="I452" s="14">
        <v>9090</v>
      </c>
      <c r="J452" s="12" t="s">
        <v>104</v>
      </c>
      <c r="K452" s="12" t="s">
        <v>129</v>
      </c>
      <c r="L452" s="23" t="str">
        <f>VLOOKUP(D452,Products!$A:$F,3,FALSE)</f>
        <v>Sports</v>
      </c>
      <c r="M452" s="23" t="str">
        <f>VLOOKUP(E452,Sales_Reps!$A:$E,3,FALSE)</f>
        <v>North</v>
      </c>
      <c r="N452" s="23" t="str">
        <f t="shared" si="21"/>
        <v>Dec-24</v>
      </c>
      <c r="O452" s="23" t="str">
        <f t="shared" si="22"/>
        <v>Q4 2024</v>
      </c>
      <c r="P452" s="23">
        <f>VLOOKUP(D452,Products!$A:$F,4,FALSE)</f>
        <v>516</v>
      </c>
      <c r="Q452" s="35">
        <f t="shared" si="23"/>
        <v>0.4891089108910891</v>
      </c>
    </row>
    <row r="453" spans="1:17">
      <c r="A453" s="12" t="s">
        <v>890</v>
      </c>
      <c r="B453" s="13">
        <v>45496</v>
      </c>
      <c r="C453" s="12" t="s">
        <v>891</v>
      </c>
      <c r="D453" s="12" t="s">
        <v>403</v>
      </c>
      <c r="E453" s="12" t="s">
        <v>232</v>
      </c>
      <c r="F453" s="14">
        <v>3</v>
      </c>
      <c r="G453" s="14">
        <v>2290</v>
      </c>
      <c r="H453" s="14">
        <v>8.9</v>
      </c>
      <c r="I453" s="14">
        <v>6258.57</v>
      </c>
      <c r="J453" s="12" t="s">
        <v>104</v>
      </c>
      <c r="K453" s="12" t="s">
        <v>129</v>
      </c>
      <c r="L453" s="23" t="str">
        <f>VLOOKUP(D453,Products!$A:$F,3,FALSE)</f>
        <v>Beauty</v>
      </c>
      <c r="M453" s="23" t="str">
        <f>VLOOKUP(E453,Sales_Reps!$A:$E,3,FALSE)</f>
        <v>North</v>
      </c>
      <c r="N453" s="23" t="str">
        <f t="shared" si="21"/>
        <v>Jul-24</v>
      </c>
      <c r="O453" s="23" t="str">
        <f t="shared" si="22"/>
        <v>Q3 2024</v>
      </c>
      <c r="P453" s="23">
        <f>VLOOKUP(D453,Products!$A:$F,4,FALSE)</f>
        <v>1219</v>
      </c>
      <c r="Q453" s="35">
        <f t="shared" si="23"/>
        <v>0.46768558951965067</v>
      </c>
    </row>
    <row r="454" spans="1:17">
      <c r="A454" s="12" t="s">
        <v>892</v>
      </c>
      <c r="B454" s="13">
        <v>45369</v>
      </c>
      <c r="C454" s="12" t="s">
        <v>731</v>
      </c>
      <c r="D454" s="12" t="s">
        <v>174</v>
      </c>
      <c r="E454" s="12" t="s">
        <v>232</v>
      </c>
      <c r="F454" s="14">
        <v>9</v>
      </c>
      <c r="G454" s="14">
        <v>3450</v>
      </c>
      <c r="H454" s="14">
        <v>24.3</v>
      </c>
      <c r="I454" s="14">
        <v>23504.85</v>
      </c>
      <c r="J454" s="12" t="s">
        <v>104</v>
      </c>
      <c r="K454" s="12" t="s">
        <v>116</v>
      </c>
      <c r="L454" s="23" t="str">
        <f>VLOOKUP(D454,Products!$A:$F,3,FALSE)</f>
        <v>Beauty</v>
      </c>
      <c r="M454" s="23" t="str">
        <f>VLOOKUP(E454,Sales_Reps!$A:$E,3,FALSE)</f>
        <v>North</v>
      </c>
      <c r="N454" s="23" t="str">
        <f t="shared" si="21"/>
        <v>Mar-24</v>
      </c>
      <c r="O454" s="23" t="str">
        <f t="shared" si="22"/>
        <v>Q1 2024</v>
      </c>
      <c r="P454" s="23">
        <f>VLOOKUP(D454,Products!$A:$F,4,FALSE)</f>
        <v>2420</v>
      </c>
      <c r="Q454" s="35">
        <f t="shared" si="23"/>
        <v>0.29855072463768118</v>
      </c>
    </row>
    <row r="455" spans="1:17">
      <c r="A455" s="12" t="s">
        <v>893</v>
      </c>
      <c r="B455" s="13">
        <v>45389</v>
      </c>
      <c r="C455" s="12" t="s">
        <v>306</v>
      </c>
      <c r="D455" s="12" t="s">
        <v>254</v>
      </c>
      <c r="E455" s="12" t="s">
        <v>165</v>
      </c>
      <c r="F455" s="14">
        <v>10</v>
      </c>
      <c r="G455" s="14">
        <v>3640</v>
      </c>
      <c r="H455" s="14">
        <v>21.4</v>
      </c>
      <c r="I455" s="14">
        <v>28610.400000000001</v>
      </c>
      <c r="J455" s="12" t="s">
        <v>157</v>
      </c>
      <c r="K455" s="12" t="s">
        <v>111</v>
      </c>
      <c r="L455" s="23" t="str">
        <f>VLOOKUP(D455,Products!$A:$F,3,FALSE)</f>
        <v>Apparel</v>
      </c>
      <c r="M455" s="23" t="str">
        <f>VLOOKUP(E455,Sales_Reps!$A:$E,3,FALSE)</f>
        <v>North</v>
      </c>
      <c r="N455" s="23" t="str">
        <f t="shared" si="21"/>
        <v>Apr-24</v>
      </c>
      <c r="O455" s="23" t="str">
        <f t="shared" si="22"/>
        <v>Q2 2024</v>
      </c>
      <c r="P455" s="23">
        <f>VLOOKUP(D455,Products!$A:$F,4,FALSE)</f>
        <v>2611</v>
      </c>
      <c r="Q455" s="35">
        <f t="shared" si="23"/>
        <v>0.28269230769230769</v>
      </c>
    </row>
    <row r="456" spans="1:17">
      <c r="A456" s="12" t="s">
        <v>894</v>
      </c>
      <c r="B456" s="13">
        <v>45336</v>
      </c>
      <c r="C456" s="12" t="s">
        <v>895</v>
      </c>
      <c r="D456" s="12" t="s">
        <v>384</v>
      </c>
      <c r="E456" s="12" t="s">
        <v>205</v>
      </c>
      <c r="F456" s="14">
        <v>5</v>
      </c>
      <c r="G456" s="14">
        <v>2380</v>
      </c>
      <c r="H456" s="14">
        <v>12.2</v>
      </c>
      <c r="I456" s="14">
        <v>10448.200000000001</v>
      </c>
      <c r="J456" s="12" t="s">
        <v>104</v>
      </c>
      <c r="K456" s="12" t="s">
        <v>129</v>
      </c>
      <c r="L456" s="23" t="str">
        <f>VLOOKUP(D456,Products!$A:$F,3,FALSE)</f>
        <v>Grocery</v>
      </c>
      <c r="M456" s="23" t="str">
        <f>VLOOKUP(E456,Sales_Reps!$A:$E,3,FALSE)</f>
        <v>South</v>
      </c>
      <c r="N456" s="23" t="str">
        <f t="shared" si="21"/>
        <v>Feb-24</v>
      </c>
      <c r="O456" s="23" t="str">
        <f t="shared" si="22"/>
        <v>Q1 2024</v>
      </c>
      <c r="P456" s="23">
        <f>VLOOKUP(D456,Products!$A:$F,4,FALSE)</f>
        <v>1182</v>
      </c>
      <c r="Q456" s="35">
        <f t="shared" si="23"/>
        <v>0.50336134453781511</v>
      </c>
    </row>
    <row r="457" spans="1:17">
      <c r="A457" s="12" t="s">
        <v>896</v>
      </c>
      <c r="B457" s="13">
        <v>45505</v>
      </c>
      <c r="C457" s="12" t="s">
        <v>556</v>
      </c>
      <c r="D457" s="12" t="s">
        <v>377</v>
      </c>
      <c r="E457" s="12" t="s">
        <v>255</v>
      </c>
      <c r="F457" s="14">
        <v>10</v>
      </c>
      <c r="G457" s="14">
        <v>5410</v>
      </c>
      <c r="H457" s="14">
        <v>29.8</v>
      </c>
      <c r="I457" s="14">
        <v>37978.199999999997</v>
      </c>
      <c r="J457" s="12" t="s">
        <v>104</v>
      </c>
      <c r="K457" s="12" t="s">
        <v>150</v>
      </c>
      <c r="L457" s="23" t="str">
        <f>VLOOKUP(D457,Products!$A:$F,3,FALSE)</f>
        <v>Sports</v>
      </c>
      <c r="M457" s="23" t="str">
        <f>VLOOKUP(E457,Sales_Reps!$A:$E,3,FALSE)</f>
        <v>East</v>
      </c>
      <c r="N457" s="23" t="str">
        <f t="shared" si="21"/>
        <v>Aug-24</v>
      </c>
      <c r="O457" s="23" t="str">
        <f t="shared" si="22"/>
        <v>Q3 2024</v>
      </c>
      <c r="P457" s="23">
        <f>VLOOKUP(D457,Products!$A:$F,4,FALSE)</f>
        <v>2265</v>
      </c>
      <c r="Q457" s="35">
        <f t="shared" si="23"/>
        <v>0.58133086876155271</v>
      </c>
    </row>
    <row r="458" spans="1:17">
      <c r="A458" s="12" t="s">
        <v>897</v>
      </c>
      <c r="B458" s="13">
        <v>45375</v>
      </c>
      <c r="C458" s="12" t="s">
        <v>889</v>
      </c>
      <c r="D458" s="12" t="s">
        <v>193</v>
      </c>
      <c r="E458" s="12" t="s">
        <v>175</v>
      </c>
      <c r="F458" s="14">
        <v>3</v>
      </c>
      <c r="G458" s="14">
        <v>1650</v>
      </c>
      <c r="H458" s="14">
        <v>9.4</v>
      </c>
      <c r="I458" s="14">
        <v>4484.7</v>
      </c>
      <c r="J458" s="12" t="s">
        <v>157</v>
      </c>
      <c r="K458" s="12" t="s">
        <v>129</v>
      </c>
      <c r="L458" s="23" t="str">
        <f>VLOOKUP(D458,Products!$A:$F,3,FALSE)</f>
        <v>Beauty</v>
      </c>
      <c r="M458" s="23" t="str">
        <f>VLOOKUP(E458,Sales_Reps!$A:$E,3,FALSE)</f>
        <v>East</v>
      </c>
      <c r="N458" s="23" t="str">
        <f t="shared" si="21"/>
        <v>Mar-24</v>
      </c>
      <c r="O458" s="23" t="str">
        <f t="shared" si="22"/>
        <v>Q1 2024</v>
      </c>
      <c r="P458" s="23">
        <f>VLOOKUP(D458,Products!$A:$F,4,FALSE)</f>
        <v>1222</v>
      </c>
      <c r="Q458" s="35">
        <f t="shared" si="23"/>
        <v>0.2593939393939394</v>
      </c>
    </row>
    <row r="459" spans="1:17">
      <c r="A459" s="12" t="s">
        <v>898</v>
      </c>
      <c r="B459" s="13">
        <v>45383</v>
      </c>
      <c r="C459" s="12" t="s">
        <v>899</v>
      </c>
      <c r="D459" s="12" t="s">
        <v>155</v>
      </c>
      <c r="E459" s="12" t="s">
        <v>302</v>
      </c>
      <c r="F459" s="14">
        <v>7</v>
      </c>
      <c r="G459" s="14">
        <v>2600</v>
      </c>
      <c r="H459" s="14">
        <v>19.899999999999999</v>
      </c>
      <c r="I459" s="14">
        <v>14578.2</v>
      </c>
      <c r="J459" s="12" t="s">
        <v>110</v>
      </c>
      <c r="K459" s="12" t="s">
        <v>129</v>
      </c>
      <c r="L459" s="23" t="str">
        <f>VLOOKUP(D459,Products!$A:$F,3,FALSE)</f>
        <v>Electronics</v>
      </c>
      <c r="M459" s="23" t="str">
        <f>VLOOKUP(E459,Sales_Reps!$A:$E,3,FALSE)</f>
        <v>East</v>
      </c>
      <c r="N459" s="23" t="str">
        <f t="shared" si="21"/>
        <v>Apr-24</v>
      </c>
      <c r="O459" s="23" t="str">
        <f t="shared" si="22"/>
        <v>Q2 2024</v>
      </c>
      <c r="P459" s="23">
        <f>VLOOKUP(D459,Products!$A:$F,4,FALSE)</f>
        <v>1052</v>
      </c>
      <c r="Q459" s="35">
        <f t="shared" si="23"/>
        <v>0.5953846153846154</v>
      </c>
    </row>
    <row r="460" spans="1:17">
      <c r="A460" s="12" t="s">
        <v>438</v>
      </c>
      <c r="B460" s="13">
        <v>45474</v>
      </c>
      <c r="C460" s="12" t="s">
        <v>900</v>
      </c>
      <c r="D460" s="12" t="s">
        <v>287</v>
      </c>
      <c r="E460" s="12" t="s">
        <v>314</v>
      </c>
      <c r="F460" s="14">
        <v>4</v>
      </c>
      <c r="G460" s="14">
        <v>4610</v>
      </c>
      <c r="H460" s="14">
        <v>13.2</v>
      </c>
      <c r="I460" s="14">
        <v>16005.92</v>
      </c>
      <c r="J460" s="12" t="s">
        <v>104</v>
      </c>
      <c r="K460" s="12" t="s">
        <v>150</v>
      </c>
      <c r="L460" s="23" t="str">
        <f>VLOOKUP(D460,Products!$A:$F,3,FALSE)</f>
        <v>Home</v>
      </c>
      <c r="M460" s="23" t="str">
        <f>VLOOKUP(E460,Sales_Reps!$A:$E,3,FALSE)</f>
        <v>North</v>
      </c>
      <c r="N460" s="23" t="str">
        <f t="shared" si="21"/>
        <v>Jul-24</v>
      </c>
      <c r="O460" s="23" t="str">
        <f t="shared" si="22"/>
        <v>Q3 2024</v>
      </c>
      <c r="P460" s="23">
        <f>VLOOKUP(D460,Products!$A:$F,4,FALSE)</f>
        <v>1850</v>
      </c>
      <c r="Q460" s="35">
        <f t="shared" si="23"/>
        <v>0.59869848156182215</v>
      </c>
    </row>
    <row r="461" spans="1:17">
      <c r="A461" s="12" t="s">
        <v>901</v>
      </c>
      <c r="B461" s="13">
        <v>45361</v>
      </c>
      <c r="C461" s="12" t="s">
        <v>280</v>
      </c>
      <c r="D461" s="12" t="s">
        <v>287</v>
      </c>
      <c r="E461" s="12" t="s">
        <v>175</v>
      </c>
      <c r="F461" s="14">
        <v>9</v>
      </c>
      <c r="G461" s="14">
        <v>4610</v>
      </c>
      <c r="H461" s="14">
        <v>25.8</v>
      </c>
      <c r="I461" s="14">
        <v>30785.58</v>
      </c>
      <c r="J461" s="12" t="s">
        <v>104</v>
      </c>
      <c r="K461" s="12" t="s">
        <v>150</v>
      </c>
      <c r="L461" s="23" t="str">
        <f>VLOOKUP(D461,Products!$A:$F,3,FALSE)</f>
        <v>Home</v>
      </c>
      <c r="M461" s="23" t="str">
        <f>VLOOKUP(E461,Sales_Reps!$A:$E,3,FALSE)</f>
        <v>East</v>
      </c>
      <c r="N461" s="23" t="str">
        <f t="shared" si="21"/>
        <v>Mar-24</v>
      </c>
      <c r="O461" s="23" t="str">
        <f t="shared" si="22"/>
        <v>Q1 2024</v>
      </c>
      <c r="P461" s="23">
        <f>VLOOKUP(D461,Products!$A:$F,4,FALSE)</f>
        <v>1850</v>
      </c>
      <c r="Q461" s="35">
        <f t="shared" si="23"/>
        <v>0.59869848156182215</v>
      </c>
    </row>
    <row r="462" spans="1:17">
      <c r="A462" s="12" t="s">
        <v>902</v>
      </c>
      <c r="B462" s="13">
        <v>45550</v>
      </c>
      <c r="C462" s="12" t="s">
        <v>903</v>
      </c>
      <c r="D462" s="12" t="s">
        <v>299</v>
      </c>
      <c r="E462" s="12" t="s">
        <v>115</v>
      </c>
      <c r="F462" s="14">
        <v>5</v>
      </c>
      <c r="G462" s="14">
        <v>300</v>
      </c>
      <c r="H462" s="14">
        <v>11.8</v>
      </c>
      <c r="I462" s="14">
        <v>1323</v>
      </c>
      <c r="J462" s="12" t="s">
        <v>104</v>
      </c>
      <c r="K462" s="12" t="s">
        <v>111</v>
      </c>
      <c r="L462" s="23" t="str">
        <f>VLOOKUP(D462,Products!$A:$F,3,FALSE)</f>
        <v>Electronics</v>
      </c>
      <c r="M462" s="23" t="str">
        <f>VLOOKUP(E462,Sales_Reps!$A:$E,3,FALSE)</f>
        <v>South</v>
      </c>
      <c r="N462" s="23" t="str">
        <f t="shared" si="21"/>
        <v>Sep-24</v>
      </c>
      <c r="O462" s="23" t="str">
        <f t="shared" si="22"/>
        <v>Q3 2024</v>
      </c>
      <c r="P462" s="23">
        <f>VLOOKUP(D462,Products!$A:$F,4,FALSE)</f>
        <v>128</v>
      </c>
      <c r="Q462" s="35">
        <f t="shared" si="23"/>
        <v>0.57333333333333336</v>
      </c>
    </row>
    <row r="463" spans="1:17">
      <c r="A463" s="12" t="s">
        <v>904</v>
      </c>
      <c r="B463" s="13">
        <v>45485</v>
      </c>
      <c r="C463" s="12" t="s">
        <v>812</v>
      </c>
      <c r="D463" s="12" t="s">
        <v>469</v>
      </c>
      <c r="E463" s="12" t="s">
        <v>209</v>
      </c>
      <c r="F463" s="14">
        <v>3</v>
      </c>
      <c r="G463" s="14">
        <v>3450</v>
      </c>
      <c r="H463" s="14">
        <v>14.2</v>
      </c>
      <c r="I463" s="14">
        <v>8880.2999999999993</v>
      </c>
      <c r="J463" s="12" t="s">
        <v>104</v>
      </c>
      <c r="K463" s="12" t="s">
        <v>111</v>
      </c>
      <c r="L463" s="23" t="str">
        <f>VLOOKUP(D463,Products!$A:$F,3,FALSE)</f>
        <v>Apparel</v>
      </c>
      <c r="M463" s="23" t="str">
        <f>VLOOKUP(E463,Sales_Reps!$A:$E,3,FALSE)</f>
        <v>East</v>
      </c>
      <c r="N463" s="23" t="str">
        <f t="shared" si="21"/>
        <v>Jul-24</v>
      </c>
      <c r="O463" s="23" t="str">
        <f t="shared" si="22"/>
        <v>Q3 2024</v>
      </c>
      <c r="P463" s="23">
        <f>VLOOKUP(D463,Products!$A:$F,4,FALSE)</f>
        <v>1748</v>
      </c>
      <c r="Q463" s="35">
        <f t="shared" si="23"/>
        <v>0.49333333333333335</v>
      </c>
    </row>
    <row r="464" spans="1:17">
      <c r="A464" s="12" t="s">
        <v>905</v>
      </c>
      <c r="B464" s="13">
        <v>45523</v>
      </c>
      <c r="C464" s="12" t="s">
        <v>606</v>
      </c>
      <c r="D464" s="12" t="s">
        <v>190</v>
      </c>
      <c r="E464" s="12" t="s">
        <v>145</v>
      </c>
      <c r="F464" s="14">
        <v>2</v>
      </c>
      <c r="G464" s="14">
        <v>2720</v>
      </c>
      <c r="H464" s="14">
        <v>14.6</v>
      </c>
      <c r="I464" s="14">
        <v>4645.76</v>
      </c>
      <c r="J464" s="12" t="s">
        <v>157</v>
      </c>
      <c r="K464" s="12" t="s">
        <v>111</v>
      </c>
      <c r="L464" s="23" t="str">
        <f>VLOOKUP(D464,Products!$A:$F,3,FALSE)</f>
        <v>Apparel</v>
      </c>
      <c r="M464" s="23" t="str">
        <f>VLOOKUP(E464,Sales_Reps!$A:$E,3,FALSE)</f>
        <v>West</v>
      </c>
      <c r="N464" s="23" t="str">
        <f t="shared" si="21"/>
        <v>Aug-24</v>
      </c>
      <c r="O464" s="23" t="str">
        <f t="shared" si="22"/>
        <v>Q3 2024</v>
      </c>
      <c r="P464" s="23">
        <f>VLOOKUP(D464,Products!$A:$F,4,FALSE)</f>
        <v>1962</v>
      </c>
      <c r="Q464" s="35">
        <f t="shared" si="23"/>
        <v>0.2786764705882353</v>
      </c>
    </row>
    <row r="465" spans="1:17">
      <c r="A465" s="12" t="s">
        <v>906</v>
      </c>
      <c r="B465" s="13">
        <v>45626</v>
      </c>
      <c r="C465" s="12" t="s">
        <v>686</v>
      </c>
      <c r="D465" s="12" t="s">
        <v>296</v>
      </c>
      <c r="E465" s="12" t="s">
        <v>255</v>
      </c>
      <c r="F465" s="14">
        <v>7</v>
      </c>
      <c r="G465" s="14">
        <v>2660</v>
      </c>
      <c r="H465" s="14">
        <v>27.4</v>
      </c>
      <c r="I465" s="14">
        <v>13518.12</v>
      </c>
      <c r="J465" s="12" t="s">
        <v>157</v>
      </c>
      <c r="K465" s="12" t="s">
        <v>150</v>
      </c>
      <c r="L465" s="23" t="str">
        <f>VLOOKUP(D465,Products!$A:$F,3,FALSE)</f>
        <v>Electronics</v>
      </c>
      <c r="M465" s="23" t="str">
        <f>VLOOKUP(E465,Sales_Reps!$A:$E,3,FALSE)</f>
        <v>East</v>
      </c>
      <c r="N465" s="23" t="str">
        <f t="shared" si="21"/>
        <v>Nov-24</v>
      </c>
      <c r="O465" s="23" t="str">
        <f t="shared" si="22"/>
        <v>Q4 2024</v>
      </c>
      <c r="P465" s="23">
        <f>VLOOKUP(D465,Products!$A:$F,4,FALSE)</f>
        <v>1259</v>
      </c>
      <c r="Q465" s="35">
        <f t="shared" si="23"/>
        <v>0.52669172932330832</v>
      </c>
    </row>
    <row r="466" spans="1:17">
      <c r="A466" s="12" t="s">
        <v>907</v>
      </c>
      <c r="B466" s="13">
        <v>45302</v>
      </c>
      <c r="C466" s="12" t="s">
        <v>632</v>
      </c>
      <c r="D466" s="12" t="s">
        <v>178</v>
      </c>
      <c r="E466" s="12" t="s">
        <v>109</v>
      </c>
      <c r="F466" s="14">
        <v>8</v>
      </c>
      <c r="G466" s="14">
        <v>3450</v>
      </c>
      <c r="H466" s="14">
        <v>20.399999999999999</v>
      </c>
      <c r="I466" s="14">
        <v>21969.599999999999</v>
      </c>
      <c r="J466" s="12" t="s">
        <v>104</v>
      </c>
      <c r="K466" s="12" t="s">
        <v>129</v>
      </c>
      <c r="L466" s="23" t="str">
        <f>VLOOKUP(D466,Products!$A:$F,3,FALSE)</f>
        <v>Sports</v>
      </c>
      <c r="M466" s="23" t="str">
        <f>VLOOKUP(E466,Sales_Reps!$A:$E,3,FALSE)</f>
        <v>North</v>
      </c>
      <c r="N466" s="23" t="str">
        <f t="shared" si="21"/>
        <v>Jan-24</v>
      </c>
      <c r="O466" s="23" t="str">
        <f t="shared" si="22"/>
        <v>Q1 2024</v>
      </c>
      <c r="P466" s="23">
        <f>VLOOKUP(D466,Products!$A:$F,4,FALSE)</f>
        <v>2467</v>
      </c>
      <c r="Q466" s="35">
        <f t="shared" si="23"/>
        <v>0.28492753623188405</v>
      </c>
    </row>
    <row r="467" spans="1:17">
      <c r="A467" s="12" t="s">
        <v>908</v>
      </c>
      <c r="B467" s="13">
        <v>45427</v>
      </c>
      <c r="C467" s="12" t="s">
        <v>499</v>
      </c>
      <c r="D467" s="12" t="s">
        <v>377</v>
      </c>
      <c r="E467" s="12" t="s">
        <v>363</v>
      </c>
      <c r="F467" s="14">
        <v>2</v>
      </c>
      <c r="G467" s="14">
        <v>5410</v>
      </c>
      <c r="H467" s="14">
        <v>7.2</v>
      </c>
      <c r="I467" s="14">
        <v>10040.959999999999</v>
      </c>
      <c r="J467" s="12" t="s">
        <v>104</v>
      </c>
      <c r="K467" s="12" t="s">
        <v>150</v>
      </c>
      <c r="L467" s="23" t="str">
        <f>VLOOKUP(D467,Products!$A:$F,3,FALSE)</f>
        <v>Sports</v>
      </c>
      <c r="M467" s="23" t="str">
        <f>VLOOKUP(E467,Sales_Reps!$A:$E,3,FALSE)</f>
        <v>South</v>
      </c>
      <c r="N467" s="23" t="str">
        <f t="shared" si="21"/>
        <v>May-24</v>
      </c>
      <c r="O467" s="23" t="str">
        <f t="shared" si="22"/>
        <v>Q2 2024</v>
      </c>
      <c r="P467" s="23">
        <f>VLOOKUP(D467,Products!$A:$F,4,FALSE)</f>
        <v>2265</v>
      </c>
      <c r="Q467" s="35">
        <f t="shared" si="23"/>
        <v>0.58133086876155271</v>
      </c>
    </row>
    <row r="468" spans="1:17">
      <c r="A468" s="12" t="s">
        <v>909</v>
      </c>
      <c r="B468" s="13">
        <v>45315</v>
      </c>
      <c r="C468" s="12" t="s">
        <v>606</v>
      </c>
      <c r="D468" s="12" t="s">
        <v>265</v>
      </c>
      <c r="E468" s="12" t="s">
        <v>269</v>
      </c>
      <c r="F468" s="14">
        <v>3</v>
      </c>
      <c r="G468" s="14">
        <v>3870</v>
      </c>
      <c r="H468" s="14">
        <v>4.2</v>
      </c>
      <c r="I468" s="14">
        <v>11122.38</v>
      </c>
      <c r="J468" s="12" t="s">
        <v>104</v>
      </c>
      <c r="K468" s="12" t="s">
        <v>111</v>
      </c>
      <c r="L468" s="23" t="str">
        <f>VLOOKUP(D468,Products!$A:$F,3,FALSE)</f>
        <v>Electronics</v>
      </c>
      <c r="M468" s="23" t="str">
        <f>VLOOKUP(E468,Sales_Reps!$A:$E,3,FALSE)</f>
        <v>South</v>
      </c>
      <c r="N468" s="23" t="str">
        <f t="shared" si="21"/>
        <v>Jan-24</v>
      </c>
      <c r="O468" s="23" t="str">
        <f t="shared" si="22"/>
        <v>Q1 2024</v>
      </c>
      <c r="P468" s="23">
        <f>VLOOKUP(D468,Products!$A:$F,4,FALSE)</f>
        <v>1559</v>
      </c>
      <c r="Q468" s="35">
        <f t="shared" si="23"/>
        <v>0.59715762273901807</v>
      </c>
    </row>
    <row r="469" spans="1:17">
      <c r="A469" s="12" t="s">
        <v>910</v>
      </c>
      <c r="B469" s="13">
        <v>45328</v>
      </c>
      <c r="C469" s="12" t="s">
        <v>333</v>
      </c>
      <c r="D469" s="12" t="s">
        <v>148</v>
      </c>
      <c r="E469" s="12" t="s">
        <v>109</v>
      </c>
      <c r="F469" s="14">
        <v>10</v>
      </c>
      <c r="G469" s="14">
        <v>2270</v>
      </c>
      <c r="H469" s="14">
        <v>17.3</v>
      </c>
      <c r="I469" s="14">
        <v>18772.900000000001</v>
      </c>
      <c r="J469" s="12" t="s">
        <v>104</v>
      </c>
      <c r="K469" s="12" t="s">
        <v>105</v>
      </c>
      <c r="L469" s="23" t="str">
        <f>VLOOKUP(D469,Products!$A:$F,3,FALSE)</f>
        <v>Grocery</v>
      </c>
      <c r="M469" s="23" t="str">
        <f>VLOOKUP(E469,Sales_Reps!$A:$E,3,FALSE)</f>
        <v>North</v>
      </c>
      <c r="N469" s="23" t="str">
        <f t="shared" si="21"/>
        <v>Feb-24</v>
      </c>
      <c r="O469" s="23" t="str">
        <f t="shared" si="22"/>
        <v>Q1 2024</v>
      </c>
      <c r="P469" s="23">
        <f>VLOOKUP(D469,Products!$A:$F,4,FALSE)</f>
        <v>1203</v>
      </c>
      <c r="Q469" s="35">
        <f t="shared" si="23"/>
        <v>0.47004405286343615</v>
      </c>
    </row>
    <row r="470" spans="1:17">
      <c r="A470" s="12" t="s">
        <v>911</v>
      </c>
      <c r="B470" s="13">
        <v>45394</v>
      </c>
      <c r="C470" s="12" t="s">
        <v>912</v>
      </c>
      <c r="D470" s="12" t="s">
        <v>381</v>
      </c>
      <c r="E470" s="12" t="s">
        <v>128</v>
      </c>
      <c r="F470" s="14">
        <v>1</v>
      </c>
      <c r="G470" s="14">
        <v>5330</v>
      </c>
      <c r="H470" s="14">
        <v>24.2</v>
      </c>
      <c r="I470" s="14">
        <v>4040.14</v>
      </c>
      <c r="J470" s="12" t="s">
        <v>104</v>
      </c>
      <c r="K470" s="12" t="s">
        <v>134</v>
      </c>
      <c r="L470" s="23" t="str">
        <f>VLOOKUP(D470,Products!$A:$F,3,FALSE)</f>
        <v>Electronics</v>
      </c>
      <c r="M470" s="23" t="str">
        <f>VLOOKUP(E470,Sales_Reps!$A:$E,3,FALSE)</f>
        <v>West</v>
      </c>
      <c r="N470" s="23" t="str">
        <f t="shared" si="21"/>
        <v>Apr-24</v>
      </c>
      <c r="O470" s="23" t="str">
        <f t="shared" si="22"/>
        <v>Q2 2024</v>
      </c>
      <c r="P470" s="23">
        <f>VLOOKUP(D470,Products!$A:$F,4,FALSE)</f>
        <v>2405</v>
      </c>
      <c r="Q470" s="35">
        <f t="shared" si="23"/>
        <v>0.54878048780487809</v>
      </c>
    </row>
    <row r="471" spans="1:17">
      <c r="A471" s="12" t="s">
        <v>913</v>
      </c>
      <c r="B471" s="13">
        <v>45414</v>
      </c>
      <c r="C471" s="12" t="s">
        <v>136</v>
      </c>
      <c r="D471" s="12" t="s">
        <v>196</v>
      </c>
      <c r="E471" s="12" t="s">
        <v>205</v>
      </c>
      <c r="F471" s="14">
        <v>2</v>
      </c>
      <c r="G471" s="14">
        <v>3350</v>
      </c>
      <c r="H471" s="14">
        <v>23.4</v>
      </c>
      <c r="I471" s="14">
        <v>5132.2</v>
      </c>
      <c r="J471" s="12" t="s">
        <v>104</v>
      </c>
      <c r="K471" s="12" t="s">
        <v>134</v>
      </c>
      <c r="L471" s="23" t="str">
        <f>VLOOKUP(D471,Products!$A:$F,3,FALSE)</f>
        <v>Beauty</v>
      </c>
      <c r="M471" s="23" t="str">
        <f>VLOOKUP(E471,Sales_Reps!$A:$E,3,FALSE)</f>
        <v>South</v>
      </c>
      <c r="N471" s="23" t="str">
        <f t="shared" si="21"/>
        <v>May-24</v>
      </c>
      <c r="O471" s="23" t="str">
        <f t="shared" si="22"/>
        <v>Q2 2024</v>
      </c>
      <c r="P471" s="23">
        <f>VLOOKUP(D471,Products!$A:$F,4,FALSE)</f>
        <v>1728</v>
      </c>
      <c r="Q471" s="35">
        <f t="shared" si="23"/>
        <v>0.48417910447761192</v>
      </c>
    </row>
    <row r="472" spans="1:17">
      <c r="A472" s="12" t="s">
        <v>914</v>
      </c>
      <c r="B472" s="13">
        <v>45393</v>
      </c>
      <c r="C472" s="12" t="s">
        <v>840</v>
      </c>
      <c r="D472" s="12" t="s">
        <v>293</v>
      </c>
      <c r="E472" s="12" t="s">
        <v>120</v>
      </c>
      <c r="F472" s="14">
        <v>7</v>
      </c>
      <c r="G472" s="14">
        <v>3020</v>
      </c>
      <c r="H472" s="14">
        <v>23.7</v>
      </c>
      <c r="I472" s="14">
        <v>16129.82</v>
      </c>
      <c r="J472" s="12" t="s">
        <v>104</v>
      </c>
      <c r="K472" s="12" t="s">
        <v>111</v>
      </c>
      <c r="L472" s="23" t="str">
        <f>VLOOKUP(D472,Products!$A:$F,3,FALSE)</f>
        <v>Beauty</v>
      </c>
      <c r="M472" s="23" t="str">
        <f>VLOOKUP(E472,Sales_Reps!$A:$E,3,FALSE)</f>
        <v>North</v>
      </c>
      <c r="N472" s="23" t="str">
        <f t="shared" si="21"/>
        <v>Apr-24</v>
      </c>
      <c r="O472" s="23" t="str">
        <f t="shared" si="22"/>
        <v>Q2 2024</v>
      </c>
      <c r="P472" s="23">
        <f>VLOOKUP(D472,Products!$A:$F,4,FALSE)</f>
        <v>1626</v>
      </c>
      <c r="Q472" s="35">
        <f t="shared" si="23"/>
        <v>0.46158940397350995</v>
      </c>
    </row>
    <row r="473" spans="1:17">
      <c r="A473" s="12" t="s">
        <v>915</v>
      </c>
      <c r="B473" s="13">
        <v>45535</v>
      </c>
      <c r="C473" s="12" t="s">
        <v>582</v>
      </c>
      <c r="D473" s="12" t="s">
        <v>123</v>
      </c>
      <c r="E473" s="12" t="s">
        <v>209</v>
      </c>
      <c r="F473" s="14">
        <v>7</v>
      </c>
      <c r="G473" s="14">
        <v>3160</v>
      </c>
      <c r="H473" s="14">
        <v>22.8</v>
      </c>
      <c r="I473" s="14">
        <v>17076.64</v>
      </c>
      <c r="J473" s="12" t="s">
        <v>104</v>
      </c>
      <c r="K473" s="12" t="s">
        <v>129</v>
      </c>
      <c r="L473" s="23" t="str">
        <f>VLOOKUP(D473,Products!$A:$F,3,FALSE)</f>
        <v>Apparel</v>
      </c>
      <c r="M473" s="23" t="str">
        <f>VLOOKUP(E473,Sales_Reps!$A:$E,3,FALSE)</f>
        <v>East</v>
      </c>
      <c r="N473" s="23" t="str">
        <f t="shared" si="21"/>
        <v>Aug-24</v>
      </c>
      <c r="O473" s="23" t="str">
        <f t="shared" si="22"/>
        <v>Q3 2024</v>
      </c>
      <c r="P473" s="23">
        <f>VLOOKUP(D473,Products!$A:$F,4,FALSE)</f>
        <v>1886</v>
      </c>
      <c r="Q473" s="35">
        <f t="shared" si="23"/>
        <v>0.4031645569620253</v>
      </c>
    </row>
    <row r="474" spans="1:17">
      <c r="A474" s="12" t="s">
        <v>916</v>
      </c>
      <c r="B474" s="13">
        <v>45541</v>
      </c>
      <c r="C474" s="12" t="s">
        <v>917</v>
      </c>
      <c r="D474" s="12" t="s">
        <v>114</v>
      </c>
      <c r="E474" s="12" t="s">
        <v>209</v>
      </c>
      <c r="F474" s="14">
        <v>2</v>
      </c>
      <c r="G474" s="14">
        <v>470</v>
      </c>
      <c r="H474" s="14">
        <v>28.8</v>
      </c>
      <c r="I474" s="14">
        <v>669.28</v>
      </c>
      <c r="J474" s="12" t="s">
        <v>157</v>
      </c>
      <c r="K474" s="12" t="s">
        <v>134</v>
      </c>
      <c r="L474" s="23" t="str">
        <f>VLOOKUP(D474,Products!$A:$F,3,FALSE)</f>
        <v>Sports</v>
      </c>
      <c r="M474" s="23" t="str">
        <f>VLOOKUP(E474,Sales_Reps!$A:$E,3,FALSE)</f>
        <v>East</v>
      </c>
      <c r="N474" s="23" t="str">
        <f t="shared" si="21"/>
        <v>Sep-24</v>
      </c>
      <c r="O474" s="23" t="str">
        <f t="shared" si="22"/>
        <v>Q3 2024</v>
      </c>
      <c r="P474" s="23">
        <f>VLOOKUP(D474,Products!$A:$F,4,FALSE)</f>
        <v>302</v>
      </c>
      <c r="Q474" s="35">
        <f t="shared" si="23"/>
        <v>0.35744680851063831</v>
      </c>
    </row>
    <row r="475" spans="1:17">
      <c r="A475" s="12" t="s">
        <v>918</v>
      </c>
      <c r="B475" s="13">
        <v>45454</v>
      </c>
      <c r="C475" s="12" t="s">
        <v>919</v>
      </c>
      <c r="D475" s="12" t="s">
        <v>160</v>
      </c>
      <c r="E475" s="12" t="s">
        <v>175</v>
      </c>
      <c r="F475" s="14">
        <v>2</v>
      </c>
      <c r="G475" s="14">
        <v>3250</v>
      </c>
      <c r="H475" s="14">
        <v>24.7</v>
      </c>
      <c r="I475" s="14">
        <v>4894.5</v>
      </c>
      <c r="J475" s="12" t="s">
        <v>104</v>
      </c>
      <c r="K475" s="12" t="s">
        <v>129</v>
      </c>
      <c r="L475" s="23" t="str">
        <f>VLOOKUP(D475,Products!$A:$F,3,FALSE)</f>
        <v>Home</v>
      </c>
      <c r="M475" s="23" t="str">
        <f>VLOOKUP(E475,Sales_Reps!$A:$E,3,FALSE)</f>
        <v>East</v>
      </c>
      <c r="N475" s="23" t="str">
        <f t="shared" si="21"/>
        <v>Jun-24</v>
      </c>
      <c r="O475" s="23" t="str">
        <f t="shared" si="22"/>
        <v>Q2 2024</v>
      </c>
      <c r="P475" s="23">
        <f>VLOOKUP(D475,Products!$A:$F,4,FALSE)</f>
        <v>1556</v>
      </c>
      <c r="Q475" s="35">
        <f t="shared" si="23"/>
        <v>0.52123076923076928</v>
      </c>
    </row>
    <row r="476" spans="1:17">
      <c r="A476" s="12" t="s">
        <v>920</v>
      </c>
      <c r="B476" s="13">
        <v>45631</v>
      </c>
      <c r="C476" s="12" t="s">
        <v>407</v>
      </c>
      <c r="D476" s="12" t="s">
        <v>199</v>
      </c>
      <c r="E476" s="12" t="s">
        <v>171</v>
      </c>
      <c r="F476" s="14">
        <v>2</v>
      </c>
      <c r="G476" s="14">
        <v>1010</v>
      </c>
      <c r="H476" s="14">
        <v>5.2</v>
      </c>
      <c r="I476" s="14">
        <v>1914.96</v>
      </c>
      <c r="J476" s="12" t="s">
        <v>157</v>
      </c>
      <c r="K476" s="12" t="s">
        <v>105</v>
      </c>
      <c r="L476" s="23" t="str">
        <f>VLOOKUP(D476,Products!$A:$F,3,FALSE)</f>
        <v>Sports</v>
      </c>
      <c r="M476" s="23" t="str">
        <f>VLOOKUP(E476,Sales_Reps!$A:$E,3,FALSE)</f>
        <v>East</v>
      </c>
      <c r="N476" s="23" t="str">
        <f t="shared" si="21"/>
        <v>Dec-24</v>
      </c>
      <c r="O476" s="23" t="str">
        <f t="shared" si="22"/>
        <v>Q4 2024</v>
      </c>
      <c r="P476" s="23">
        <f>VLOOKUP(D476,Products!$A:$F,4,FALSE)</f>
        <v>516</v>
      </c>
      <c r="Q476" s="35">
        <f t="shared" si="23"/>
        <v>0.4891089108910891</v>
      </c>
    </row>
    <row r="477" spans="1:17">
      <c r="A477" s="12" t="s">
        <v>921</v>
      </c>
      <c r="B477" s="13">
        <v>45588</v>
      </c>
      <c r="C477" s="12" t="s">
        <v>922</v>
      </c>
      <c r="D477" s="12" t="s">
        <v>299</v>
      </c>
      <c r="E477" s="12" t="s">
        <v>232</v>
      </c>
      <c r="F477" s="14">
        <v>9</v>
      </c>
      <c r="G477" s="14">
        <v>300</v>
      </c>
      <c r="H477" s="14">
        <v>7.9</v>
      </c>
      <c r="I477" s="14">
        <v>2486.6999999999998</v>
      </c>
      <c r="J477" s="12" t="s">
        <v>104</v>
      </c>
      <c r="K477" s="12" t="s">
        <v>129</v>
      </c>
      <c r="L477" s="23" t="str">
        <f>VLOOKUP(D477,Products!$A:$F,3,FALSE)</f>
        <v>Electronics</v>
      </c>
      <c r="M477" s="23" t="str">
        <f>VLOOKUP(E477,Sales_Reps!$A:$E,3,FALSE)</f>
        <v>North</v>
      </c>
      <c r="N477" s="23" t="str">
        <f t="shared" si="21"/>
        <v>Oct-24</v>
      </c>
      <c r="O477" s="23" t="str">
        <f t="shared" si="22"/>
        <v>Q4 2024</v>
      </c>
      <c r="P477" s="23">
        <f>VLOOKUP(D477,Products!$A:$F,4,FALSE)</f>
        <v>128</v>
      </c>
      <c r="Q477" s="35">
        <f t="shared" si="23"/>
        <v>0.57333333333333336</v>
      </c>
    </row>
    <row r="478" spans="1:17">
      <c r="A478" s="12" t="s">
        <v>923</v>
      </c>
      <c r="B478" s="13">
        <v>45469</v>
      </c>
      <c r="C478" s="12" t="s">
        <v>720</v>
      </c>
      <c r="D478" s="12" t="s">
        <v>208</v>
      </c>
      <c r="E478" s="12" t="s">
        <v>120</v>
      </c>
      <c r="F478" s="14">
        <v>10</v>
      </c>
      <c r="G478" s="14">
        <v>5100</v>
      </c>
      <c r="H478" s="14">
        <v>26.3</v>
      </c>
      <c r="I478" s="14">
        <v>37587</v>
      </c>
      <c r="J478" s="12" t="s">
        <v>110</v>
      </c>
      <c r="K478" s="12" t="s">
        <v>105</v>
      </c>
      <c r="L478" s="23" t="str">
        <f>VLOOKUP(D478,Products!$A:$F,3,FALSE)</f>
        <v>Beauty</v>
      </c>
      <c r="M478" s="23" t="str">
        <f>VLOOKUP(E478,Sales_Reps!$A:$E,3,FALSE)</f>
        <v>North</v>
      </c>
      <c r="N478" s="23" t="str">
        <f t="shared" si="21"/>
        <v>Jun-24</v>
      </c>
      <c r="O478" s="23" t="str">
        <f t="shared" si="22"/>
        <v>Q2 2024</v>
      </c>
      <c r="P478" s="23">
        <f>VLOOKUP(D478,Products!$A:$F,4,FALSE)</f>
        <v>2237</v>
      </c>
      <c r="Q478" s="35">
        <f t="shared" si="23"/>
        <v>0.56137254901960787</v>
      </c>
    </row>
    <row r="479" spans="1:17">
      <c r="A479" s="12" t="s">
        <v>924</v>
      </c>
      <c r="B479" s="13">
        <v>45552</v>
      </c>
      <c r="C479" s="12" t="s">
        <v>925</v>
      </c>
      <c r="D479" s="12" t="s">
        <v>196</v>
      </c>
      <c r="E479" s="12" t="s">
        <v>145</v>
      </c>
      <c r="F479" s="14">
        <v>1</v>
      </c>
      <c r="G479" s="14">
        <v>3350</v>
      </c>
      <c r="H479" s="14">
        <v>8.5</v>
      </c>
      <c r="I479" s="14">
        <v>3065.25</v>
      </c>
      <c r="J479" s="12" t="s">
        <v>157</v>
      </c>
      <c r="K479" s="12" t="s">
        <v>150</v>
      </c>
      <c r="L479" s="23" t="str">
        <f>VLOOKUP(D479,Products!$A:$F,3,FALSE)</f>
        <v>Beauty</v>
      </c>
      <c r="M479" s="23" t="str">
        <f>VLOOKUP(E479,Sales_Reps!$A:$E,3,FALSE)</f>
        <v>West</v>
      </c>
      <c r="N479" s="23" t="str">
        <f t="shared" si="21"/>
        <v>Sep-24</v>
      </c>
      <c r="O479" s="23" t="str">
        <f t="shared" si="22"/>
        <v>Q3 2024</v>
      </c>
      <c r="P479" s="23">
        <f>VLOOKUP(D479,Products!$A:$F,4,FALSE)</f>
        <v>1728</v>
      </c>
      <c r="Q479" s="35">
        <f t="shared" si="23"/>
        <v>0.48417910447761192</v>
      </c>
    </row>
    <row r="480" spans="1:17">
      <c r="A480" s="12" t="s">
        <v>926</v>
      </c>
      <c r="B480" s="13">
        <v>45554</v>
      </c>
      <c r="C480" s="12" t="s">
        <v>927</v>
      </c>
      <c r="D480" s="12" t="s">
        <v>160</v>
      </c>
      <c r="E480" s="12" t="s">
        <v>302</v>
      </c>
      <c r="F480" s="14">
        <v>2</v>
      </c>
      <c r="G480" s="14">
        <v>3250</v>
      </c>
      <c r="H480" s="14">
        <v>25.7</v>
      </c>
      <c r="I480" s="14">
        <v>4829.5</v>
      </c>
      <c r="J480" s="12" t="s">
        <v>161</v>
      </c>
      <c r="K480" s="12" t="s">
        <v>116</v>
      </c>
      <c r="L480" s="23" t="str">
        <f>VLOOKUP(D480,Products!$A:$F,3,FALSE)</f>
        <v>Home</v>
      </c>
      <c r="M480" s="23" t="str">
        <f>VLOOKUP(E480,Sales_Reps!$A:$E,3,FALSE)</f>
        <v>East</v>
      </c>
      <c r="N480" s="23" t="str">
        <f t="shared" si="21"/>
        <v>Sep-24</v>
      </c>
      <c r="O480" s="23" t="str">
        <f t="shared" si="22"/>
        <v>Q3 2024</v>
      </c>
      <c r="P480" s="23">
        <f>VLOOKUP(D480,Products!$A:$F,4,FALSE)</f>
        <v>1556</v>
      </c>
      <c r="Q480" s="35">
        <f t="shared" si="23"/>
        <v>0.52123076923076928</v>
      </c>
    </row>
    <row r="481" spans="1:17">
      <c r="A481" s="12" t="s">
        <v>928</v>
      </c>
      <c r="B481" s="13">
        <v>45352</v>
      </c>
      <c r="C481" s="12" t="s">
        <v>163</v>
      </c>
      <c r="D481" s="12" t="s">
        <v>119</v>
      </c>
      <c r="E481" s="12" t="s">
        <v>124</v>
      </c>
      <c r="F481" s="14">
        <v>10</v>
      </c>
      <c r="G481" s="14">
        <v>3660</v>
      </c>
      <c r="H481" s="14">
        <v>12</v>
      </c>
      <c r="I481" s="14">
        <v>32208</v>
      </c>
      <c r="J481" s="12" t="s">
        <v>104</v>
      </c>
      <c r="K481" s="12" t="s">
        <v>105</v>
      </c>
      <c r="L481" s="23" t="str">
        <f>VLOOKUP(D481,Products!$A:$F,3,FALSE)</f>
        <v>Grocery</v>
      </c>
      <c r="M481" s="23" t="str">
        <f>VLOOKUP(E481,Sales_Reps!$A:$E,3,FALSE)</f>
        <v>North</v>
      </c>
      <c r="N481" s="23" t="str">
        <f t="shared" si="21"/>
        <v>Mar-24</v>
      </c>
      <c r="O481" s="23" t="str">
        <f t="shared" si="22"/>
        <v>Q1 2024</v>
      </c>
      <c r="P481" s="23">
        <f>VLOOKUP(D481,Products!$A:$F,4,FALSE)</f>
        <v>2214</v>
      </c>
      <c r="Q481" s="35">
        <f t="shared" si="23"/>
        <v>0.39508196721311473</v>
      </c>
    </row>
    <row r="482" spans="1:17">
      <c r="A482" s="12" t="s">
        <v>929</v>
      </c>
      <c r="B482" s="13">
        <v>45521</v>
      </c>
      <c r="C482" s="12" t="s">
        <v>234</v>
      </c>
      <c r="D482" s="12" t="s">
        <v>168</v>
      </c>
      <c r="E482" s="12" t="s">
        <v>221</v>
      </c>
      <c r="F482" s="14">
        <v>1</v>
      </c>
      <c r="G482" s="14">
        <v>2400</v>
      </c>
      <c r="H482" s="14">
        <v>24.5</v>
      </c>
      <c r="I482" s="14">
        <v>1812</v>
      </c>
      <c r="J482" s="12" t="s">
        <v>104</v>
      </c>
      <c r="K482" s="12" t="s">
        <v>111</v>
      </c>
      <c r="L482" s="23" t="str">
        <f>VLOOKUP(D482,Products!$A:$F,3,FALSE)</f>
        <v>Sports</v>
      </c>
      <c r="M482" s="23" t="str">
        <f>VLOOKUP(E482,Sales_Reps!$A:$E,3,FALSE)</f>
        <v>South</v>
      </c>
      <c r="N482" s="23" t="str">
        <f t="shared" si="21"/>
        <v>Aug-24</v>
      </c>
      <c r="O482" s="23" t="str">
        <f t="shared" si="22"/>
        <v>Q3 2024</v>
      </c>
      <c r="P482" s="23">
        <f>VLOOKUP(D482,Products!$A:$F,4,FALSE)</f>
        <v>974</v>
      </c>
      <c r="Q482" s="35">
        <f t="shared" si="23"/>
        <v>0.59416666666666662</v>
      </c>
    </row>
    <row r="483" spans="1:17">
      <c r="A483" s="12" t="s">
        <v>930</v>
      </c>
      <c r="B483" s="13">
        <v>45496</v>
      </c>
      <c r="C483" s="12" t="s">
        <v>451</v>
      </c>
      <c r="D483" s="12" t="s">
        <v>519</v>
      </c>
      <c r="E483" s="12" t="s">
        <v>149</v>
      </c>
      <c r="F483" s="14">
        <v>1</v>
      </c>
      <c r="G483" s="14">
        <v>1090</v>
      </c>
      <c r="H483" s="14">
        <v>18.399999999999999</v>
      </c>
      <c r="I483" s="14">
        <v>889.44</v>
      </c>
      <c r="J483" s="12" t="s">
        <v>104</v>
      </c>
      <c r="K483" s="12" t="s">
        <v>116</v>
      </c>
      <c r="L483" s="23" t="str">
        <f>VLOOKUP(D483,Products!$A:$F,3,FALSE)</f>
        <v>Home</v>
      </c>
      <c r="M483" s="23" t="str">
        <f>VLOOKUP(E483,Sales_Reps!$A:$E,3,FALSE)</f>
        <v>South</v>
      </c>
      <c r="N483" s="23" t="str">
        <f t="shared" si="21"/>
        <v>Jul-24</v>
      </c>
      <c r="O483" s="23" t="str">
        <f t="shared" si="22"/>
        <v>Q3 2024</v>
      </c>
      <c r="P483" s="23">
        <f>VLOOKUP(D483,Products!$A:$F,4,FALSE)</f>
        <v>464</v>
      </c>
      <c r="Q483" s="35">
        <f t="shared" si="23"/>
        <v>0.57431192660550456</v>
      </c>
    </row>
    <row r="484" spans="1:17">
      <c r="A484" s="12" t="s">
        <v>931</v>
      </c>
      <c r="B484" s="13">
        <v>45404</v>
      </c>
      <c r="C484" s="12" t="s">
        <v>812</v>
      </c>
      <c r="D484" s="12" t="s">
        <v>478</v>
      </c>
      <c r="E484" s="12" t="s">
        <v>205</v>
      </c>
      <c r="F484" s="14">
        <v>6</v>
      </c>
      <c r="G484" s="14">
        <v>3780</v>
      </c>
      <c r="H484" s="14">
        <v>15.9</v>
      </c>
      <c r="I484" s="14">
        <v>19073.88</v>
      </c>
      <c r="J484" s="12" t="s">
        <v>104</v>
      </c>
      <c r="K484" s="12" t="s">
        <v>111</v>
      </c>
      <c r="L484" s="23" t="str">
        <f>VLOOKUP(D484,Products!$A:$F,3,FALSE)</f>
        <v>Sports</v>
      </c>
      <c r="M484" s="23" t="str">
        <f>VLOOKUP(E484,Sales_Reps!$A:$E,3,FALSE)</f>
        <v>South</v>
      </c>
      <c r="N484" s="23" t="str">
        <f t="shared" si="21"/>
        <v>Apr-24</v>
      </c>
      <c r="O484" s="23" t="str">
        <f t="shared" si="22"/>
        <v>Q2 2024</v>
      </c>
      <c r="P484" s="23">
        <f>VLOOKUP(D484,Products!$A:$F,4,FALSE)</f>
        <v>1860</v>
      </c>
      <c r="Q484" s="35">
        <f t="shared" si="23"/>
        <v>0.50793650793650791</v>
      </c>
    </row>
    <row r="485" spans="1:17">
      <c r="A485" s="12" t="s">
        <v>932</v>
      </c>
      <c r="B485" s="13">
        <v>45330</v>
      </c>
      <c r="C485" s="12" t="s">
        <v>496</v>
      </c>
      <c r="D485" s="12" t="s">
        <v>196</v>
      </c>
      <c r="E485" s="12" t="s">
        <v>138</v>
      </c>
      <c r="F485" s="14">
        <v>3</v>
      </c>
      <c r="G485" s="14">
        <v>3350</v>
      </c>
      <c r="H485" s="14">
        <v>18.8</v>
      </c>
      <c r="I485" s="14">
        <v>8160.6</v>
      </c>
      <c r="J485" s="12" t="s">
        <v>161</v>
      </c>
      <c r="K485" s="12" t="s">
        <v>105</v>
      </c>
      <c r="L485" s="23" t="str">
        <f>VLOOKUP(D485,Products!$A:$F,3,FALSE)</f>
        <v>Beauty</v>
      </c>
      <c r="M485" s="23" t="str">
        <f>VLOOKUP(E485,Sales_Reps!$A:$E,3,FALSE)</f>
        <v>East</v>
      </c>
      <c r="N485" s="23" t="str">
        <f t="shared" si="21"/>
        <v>Feb-24</v>
      </c>
      <c r="O485" s="23" t="str">
        <f t="shared" si="22"/>
        <v>Q1 2024</v>
      </c>
      <c r="P485" s="23">
        <f>VLOOKUP(D485,Products!$A:$F,4,FALSE)</f>
        <v>1728</v>
      </c>
      <c r="Q485" s="35">
        <f t="shared" si="23"/>
        <v>0.48417910447761192</v>
      </c>
    </row>
    <row r="486" spans="1:17">
      <c r="A486" s="12" t="s">
        <v>933</v>
      </c>
      <c r="B486" s="13">
        <v>45323</v>
      </c>
      <c r="C486" s="12" t="s">
        <v>136</v>
      </c>
      <c r="D486" s="12" t="s">
        <v>181</v>
      </c>
      <c r="E486" s="12" t="s">
        <v>187</v>
      </c>
      <c r="F486" s="14">
        <v>3</v>
      </c>
      <c r="G486" s="14">
        <v>1080</v>
      </c>
      <c r="H486" s="14">
        <v>3.4</v>
      </c>
      <c r="I486" s="14">
        <v>3129.84</v>
      </c>
      <c r="J486" s="12" t="s">
        <v>104</v>
      </c>
      <c r="K486" s="12" t="s">
        <v>134</v>
      </c>
      <c r="L486" s="23" t="str">
        <f>VLOOKUP(D486,Products!$A:$F,3,FALSE)</f>
        <v>Home</v>
      </c>
      <c r="M486" s="23" t="str">
        <f>VLOOKUP(E486,Sales_Reps!$A:$E,3,FALSE)</f>
        <v>West</v>
      </c>
      <c r="N486" s="23" t="str">
        <f t="shared" si="21"/>
        <v>Feb-24</v>
      </c>
      <c r="O486" s="23" t="str">
        <f t="shared" si="22"/>
        <v>Q1 2024</v>
      </c>
      <c r="P486" s="23">
        <f>VLOOKUP(D486,Products!$A:$F,4,FALSE)</f>
        <v>519</v>
      </c>
      <c r="Q486" s="35">
        <f t="shared" si="23"/>
        <v>0.51944444444444449</v>
      </c>
    </row>
    <row r="487" spans="1:17">
      <c r="A487" s="12" t="s">
        <v>934</v>
      </c>
      <c r="B487" s="13">
        <v>45519</v>
      </c>
      <c r="C487" s="12" t="s">
        <v>335</v>
      </c>
      <c r="D487" s="12" t="s">
        <v>281</v>
      </c>
      <c r="E487" s="12" t="s">
        <v>302</v>
      </c>
      <c r="F487" s="14">
        <v>6</v>
      </c>
      <c r="G487" s="14">
        <v>4070</v>
      </c>
      <c r="H487" s="14">
        <v>27.7</v>
      </c>
      <c r="I487" s="14">
        <v>17655.66</v>
      </c>
      <c r="J487" s="12" t="s">
        <v>110</v>
      </c>
      <c r="K487" s="12" t="s">
        <v>111</v>
      </c>
      <c r="L487" s="23" t="str">
        <f>VLOOKUP(D487,Products!$A:$F,3,FALSE)</f>
        <v>Grocery</v>
      </c>
      <c r="M487" s="23" t="str">
        <f>VLOOKUP(E487,Sales_Reps!$A:$E,3,FALSE)</f>
        <v>East</v>
      </c>
      <c r="N487" s="23" t="str">
        <f t="shared" si="21"/>
        <v>Aug-24</v>
      </c>
      <c r="O487" s="23" t="str">
        <f t="shared" si="22"/>
        <v>Q3 2024</v>
      </c>
      <c r="P487" s="23">
        <f>VLOOKUP(D487,Products!$A:$F,4,FALSE)</f>
        <v>2027</v>
      </c>
      <c r="Q487" s="35">
        <f t="shared" si="23"/>
        <v>0.50196560196560192</v>
      </c>
    </row>
    <row r="488" spans="1:17">
      <c r="A488" s="12" t="s">
        <v>935</v>
      </c>
      <c r="B488" s="13">
        <v>45514</v>
      </c>
      <c r="C488" s="12" t="s">
        <v>812</v>
      </c>
      <c r="D488" s="12" t="s">
        <v>276</v>
      </c>
      <c r="E488" s="12" t="s">
        <v>218</v>
      </c>
      <c r="F488" s="14">
        <v>5</v>
      </c>
      <c r="G488" s="14">
        <v>1540</v>
      </c>
      <c r="H488" s="14">
        <v>24.9</v>
      </c>
      <c r="I488" s="14">
        <v>5782.7</v>
      </c>
      <c r="J488" s="12" t="s">
        <v>104</v>
      </c>
      <c r="K488" s="12" t="s">
        <v>111</v>
      </c>
      <c r="L488" s="23" t="str">
        <f>VLOOKUP(D488,Products!$A:$F,3,FALSE)</f>
        <v>Beauty</v>
      </c>
      <c r="M488" s="23" t="str">
        <f>VLOOKUP(E488,Sales_Reps!$A:$E,3,FALSE)</f>
        <v>West</v>
      </c>
      <c r="N488" s="23" t="str">
        <f t="shared" si="21"/>
        <v>Aug-24</v>
      </c>
      <c r="O488" s="23" t="str">
        <f t="shared" si="22"/>
        <v>Q3 2024</v>
      </c>
      <c r="P488" s="23">
        <f>VLOOKUP(D488,Products!$A:$F,4,FALSE)</f>
        <v>647</v>
      </c>
      <c r="Q488" s="35">
        <f t="shared" si="23"/>
        <v>0.57987012987012987</v>
      </c>
    </row>
    <row r="489" spans="1:17">
      <c r="A489" s="12" t="s">
        <v>936</v>
      </c>
      <c r="B489" s="13">
        <v>45497</v>
      </c>
      <c r="C489" s="12" t="s">
        <v>411</v>
      </c>
      <c r="D489" s="12" t="s">
        <v>217</v>
      </c>
      <c r="E489" s="12" t="s">
        <v>145</v>
      </c>
      <c r="F489" s="14">
        <v>6</v>
      </c>
      <c r="G489" s="14">
        <v>2760</v>
      </c>
      <c r="H489" s="14">
        <v>29.9</v>
      </c>
      <c r="I489" s="14">
        <v>11608.56</v>
      </c>
      <c r="J489" s="12" t="s">
        <v>104</v>
      </c>
      <c r="K489" s="12" t="s">
        <v>134</v>
      </c>
      <c r="L489" s="23" t="str">
        <f>VLOOKUP(D489,Products!$A:$F,3,FALSE)</f>
        <v>Grocery</v>
      </c>
      <c r="M489" s="23" t="str">
        <f>VLOOKUP(E489,Sales_Reps!$A:$E,3,FALSE)</f>
        <v>West</v>
      </c>
      <c r="N489" s="23" t="str">
        <f t="shared" si="21"/>
        <v>Jul-24</v>
      </c>
      <c r="O489" s="23" t="str">
        <f t="shared" si="22"/>
        <v>Q3 2024</v>
      </c>
      <c r="P489" s="23">
        <f>VLOOKUP(D489,Products!$A:$F,4,FALSE)</f>
        <v>1435</v>
      </c>
      <c r="Q489" s="35">
        <f t="shared" si="23"/>
        <v>0.48007246376811596</v>
      </c>
    </row>
    <row r="490" spans="1:17">
      <c r="A490" s="12" t="s">
        <v>937</v>
      </c>
      <c r="B490" s="13">
        <v>45639</v>
      </c>
      <c r="C490" s="12" t="s">
        <v>938</v>
      </c>
      <c r="D490" s="12" t="s">
        <v>425</v>
      </c>
      <c r="E490" s="12" t="s">
        <v>302</v>
      </c>
      <c r="F490" s="14">
        <v>8</v>
      </c>
      <c r="G490" s="14">
        <v>3970</v>
      </c>
      <c r="H490" s="14">
        <v>23.7</v>
      </c>
      <c r="I490" s="14">
        <v>24232.880000000001</v>
      </c>
      <c r="J490" s="12" t="s">
        <v>104</v>
      </c>
      <c r="K490" s="12" t="s">
        <v>134</v>
      </c>
      <c r="L490" s="23" t="str">
        <f>VLOOKUP(D490,Products!$A:$F,3,FALSE)</f>
        <v>Electronics</v>
      </c>
      <c r="M490" s="23" t="str">
        <f>VLOOKUP(E490,Sales_Reps!$A:$E,3,FALSE)</f>
        <v>East</v>
      </c>
      <c r="N490" s="23" t="str">
        <f t="shared" si="21"/>
        <v>Dec-24</v>
      </c>
      <c r="O490" s="23" t="str">
        <f t="shared" si="22"/>
        <v>Q4 2024</v>
      </c>
      <c r="P490" s="23">
        <f>VLOOKUP(D490,Products!$A:$F,4,FALSE)</f>
        <v>2865</v>
      </c>
      <c r="Q490" s="35">
        <f t="shared" si="23"/>
        <v>0.27833753148614609</v>
      </c>
    </row>
    <row r="491" spans="1:17">
      <c r="A491" s="12" t="s">
        <v>939</v>
      </c>
      <c r="B491" s="13">
        <v>45562</v>
      </c>
      <c r="C491" s="12" t="s">
        <v>919</v>
      </c>
      <c r="D491" s="12" t="s">
        <v>469</v>
      </c>
      <c r="E491" s="12" t="s">
        <v>175</v>
      </c>
      <c r="F491" s="14">
        <v>1</v>
      </c>
      <c r="G491" s="14">
        <v>3450</v>
      </c>
      <c r="H491" s="14">
        <v>7.4</v>
      </c>
      <c r="I491" s="14">
        <v>3194.7</v>
      </c>
      <c r="J491" s="12" t="s">
        <v>104</v>
      </c>
      <c r="K491" s="12" t="s">
        <v>129</v>
      </c>
      <c r="L491" s="23" t="str">
        <f>VLOOKUP(D491,Products!$A:$F,3,FALSE)</f>
        <v>Apparel</v>
      </c>
      <c r="M491" s="23" t="str">
        <f>VLOOKUP(E491,Sales_Reps!$A:$E,3,FALSE)</f>
        <v>East</v>
      </c>
      <c r="N491" s="23" t="str">
        <f t="shared" si="21"/>
        <v>Sep-24</v>
      </c>
      <c r="O491" s="23" t="str">
        <f t="shared" si="22"/>
        <v>Q3 2024</v>
      </c>
      <c r="P491" s="23">
        <f>VLOOKUP(D491,Products!$A:$F,4,FALSE)</f>
        <v>1748</v>
      </c>
      <c r="Q491" s="35">
        <f t="shared" si="23"/>
        <v>0.49333333333333335</v>
      </c>
    </row>
    <row r="492" spans="1:17">
      <c r="A492" s="12" t="s">
        <v>940</v>
      </c>
      <c r="B492" s="13">
        <v>45308</v>
      </c>
      <c r="C492" s="12" t="s">
        <v>521</v>
      </c>
      <c r="D492" s="12" t="s">
        <v>676</v>
      </c>
      <c r="E492" s="12" t="s">
        <v>109</v>
      </c>
      <c r="F492" s="14">
        <v>3</v>
      </c>
      <c r="G492" s="14">
        <v>3560</v>
      </c>
      <c r="H492" s="14">
        <v>15.2</v>
      </c>
      <c r="I492" s="14">
        <v>9056.64</v>
      </c>
      <c r="J492" s="12" t="s">
        <v>104</v>
      </c>
      <c r="K492" s="12" t="s">
        <v>134</v>
      </c>
      <c r="L492" s="23" t="str">
        <f>VLOOKUP(D492,Products!$A:$F,3,FALSE)</f>
        <v>Apparel</v>
      </c>
      <c r="M492" s="23" t="str">
        <f>VLOOKUP(E492,Sales_Reps!$A:$E,3,FALSE)</f>
        <v>North</v>
      </c>
      <c r="N492" s="23" t="str">
        <f t="shared" si="21"/>
        <v>Jan-24</v>
      </c>
      <c r="O492" s="23" t="str">
        <f t="shared" si="22"/>
        <v>Q1 2024</v>
      </c>
      <c r="P492" s="23">
        <f>VLOOKUP(D492,Products!$A:$F,4,FALSE)</f>
        <v>2629</v>
      </c>
      <c r="Q492" s="35">
        <f t="shared" si="23"/>
        <v>0.26151685393258428</v>
      </c>
    </row>
    <row r="493" spans="1:17">
      <c r="A493" s="12" t="s">
        <v>941</v>
      </c>
      <c r="B493" s="13">
        <v>45428</v>
      </c>
      <c r="C493" s="12" t="s">
        <v>504</v>
      </c>
      <c r="D493" s="12" t="s">
        <v>204</v>
      </c>
      <c r="E493" s="12" t="s">
        <v>187</v>
      </c>
      <c r="F493" s="14">
        <v>4</v>
      </c>
      <c r="G493" s="14">
        <v>3570</v>
      </c>
      <c r="H493" s="14">
        <v>18.899999999999999</v>
      </c>
      <c r="I493" s="14">
        <v>11581.08</v>
      </c>
      <c r="J493" s="12" t="s">
        <v>104</v>
      </c>
      <c r="K493" s="12" t="s">
        <v>105</v>
      </c>
      <c r="L493" s="23" t="str">
        <f>VLOOKUP(D493,Products!$A:$F,3,FALSE)</f>
        <v>Electronics</v>
      </c>
      <c r="M493" s="23" t="str">
        <f>VLOOKUP(E493,Sales_Reps!$A:$E,3,FALSE)</f>
        <v>West</v>
      </c>
      <c r="N493" s="23" t="str">
        <f t="shared" si="21"/>
        <v>May-24</v>
      </c>
      <c r="O493" s="23" t="str">
        <f t="shared" si="22"/>
        <v>Q2 2024</v>
      </c>
      <c r="P493" s="23">
        <f>VLOOKUP(D493,Products!$A:$F,4,FALSE)</f>
        <v>1665</v>
      </c>
      <c r="Q493" s="35">
        <f t="shared" si="23"/>
        <v>0.53361344537815125</v>
      </c>
    </row>
    <row r="494" spans="1:17">
      <c r="A494" s="12" t="s">
        <v>942</v>
      </c>
      <c r="B494" s="13">
        <v>45472</v>
      </c>
      <c r="C494" s="12" t="s">
        <v>524</v>
      </c>
      <c r="D494" s="12" t="s">
        <v>132</v>
      </c>
      <c r="E494" s="12" t="s">
        <v>128</v>
      </c>
      <c r="F494" s="14">
        <v>9</v>
      </c>
      <c r="G494" s="14">
        <v>960</v>
      </c>
      <c r="H494" s="14">
        <v>14</v>
      </c>
      <c r="I494" s="14">
        <v>7430.4</v>
      </c>
      <c r="J494" s="12" t="s">
        <v>161</v>
      </c>
      <c r="K494" s="12" t="s">
        <v>105</v>
      </c>
      <c r="L494" s="23" t="str">
        <f>VLOOKUP(D494,Products!$A:$F,3,FALSE)</f>
        <v>Sports</v>
      </c>
      <c r="M494" s="23" t="str">
        <f>VLOOKUP(E494,Sales_Reps!$A:$E,3,FALSE)</f>
        <v>West</v>
      </c>
      <c r="N494" s="23" t="str">
        <f t="shared" si="21"/>
        <v>Jun-24</v>
      </c>
      <c r="O494" s="23" t="str">
        <f t="shared" si="22"/>
        <v>Q2 2024</v>
      </c>
      <c r="P494" s="23">
        <f>VLOOKUP(D494,Products!$A:$F,4,FALSE)</f>
        <v>705</v>
      </c>
      <c r="Q494" s="35">
        <f t="shared" si="23"/>
        <v>0.265625</v>
      </c>
    </row>
    <row r="495" spans="1:17">
      <c r="A495" s="12" t="s">
        <v>943</v>
      </c>
      <c r="B495" s="13">
        <v>45406</v>
      </c>
      <c r="C495" s="12" t="s">
        <v>720</v>
      </c>
      <c r="D495" s="12" t="s">
        <v>174</v>
      </c>
      <c r="E495" s="12" t="s">
        <v>363</v>
      </c>
      <c r="F495" s="14">
        <v>9</v>
      </c>
      <c r="G495" s="14">
        <v>3450</v>
      </c>
      <c r="H495" s="14">
        <v>6</v>
      </c>
      <c r="I495" s="14">
        <v>29187</v>
      </c>
      <c r="J495" s="12" t="s">
        <v>157</v>
      </c>
      <c r="K495" s="12" t="s">
        <v>105</v>
      </c>
      <c r="L495" s="23" t="str">
        <f>VLOOKUP(D495,Products!$A:$F,3,FALSE)</f>
        <v>Beauty</v>
      </c>
      <c r="M495" s="23" t="str">
        <f>VLOOKUP(E495,Sales_Reps!$A:$E,3,FALSE)</f>
        <v>South</v>
      </c>
      <c r="N495" s="23" t="str">
        <f t="shared" si="21"/>
        <v>Apr-24</v>
      </c>
      <c r="O495" s="23" t="str">
        <f t="shared" si="22"/>
        <v>Q2 2024</v>
      </c>
      <c r="P495" s="23">
        <f>VLOOKUP(D495,Products!$A:$F,4,FALSE)</f>
        <v>2420</v>
      </c>
      <c r="Q495" s="35">
        <f t="shared" si="23"/>
        <v>0.29855072463768118</v>
      </c>
    </row>
    <row r="496" spans="1:17">
      <c r="A496" s="12" t="s">
        <v>944</v>
      </c>
      <c r="B496" s="13">
        <v>45457</v>
      </c>
      <c r="C496" s="12" t="s">
        <v>420</v>
      </c>
      <c r="D496" s="12" t="s">
        <v>196</v>
      </c>
      <c r="E496" s="12" t="s">
        <v>342</v>
      </c>
      <c r="F496" s="14">
        <v>7</v>
      </c>
      <c r="G496" s="14">
        <v>3350</v>
      </c>
      <c r="H496" s="14">
        <v>14</v>
      </c>
      <c r="I496" s="14">
        <v>20167</v>
      </c>
      <c r="J496" s="12" t="s">
        <v>157</v>
      </c>
      <c r="K496" s="12" t="s">
        <v>134</v>
      </c>
      <c r="L496" s="23" t="str">
        <f>VLOOKUP(D496,Products!$A:$F,3,FALSE)</f>
        <v>Beauty</v>
      </c>
      <c r="M496" s="23" t="str">
        <f>VLOOKUP(E496,Sales_Reps!$A:$E,3,FALSE)</f>
        <v>South</v>
      </c>
      <c r="N496" s="23" t="str">
        <f t="shared" si="21"/>
        <v>Jun-24</v>
      </c>
      <c r="O496" s="23" t="str">
        <f t="shared" si="22"/>
        <v>Q2 2024</v>
      </c>
      <c r="P496" s="23">
        <f>VLOOKUP(D496,Products!$A:$F,4,FALSE)</f>
        <v>1728</v>
      </c>
      <c r="Q496" s="35">
        <f t="shared" si="23"/>
        <v>0.48417910447761192</v>
      </c>
    </row>
    <row r="497" spans="1:17">
      <c r="A497" s="12" t="s">
        <v>945</v>
      </c>
      <c r="B497" s="13">
        <v>45298</v>
      </c>
      <c r="C497" s="12" t="s">
        <v>308</v>
      </c>
      <c r="D497" s="12" t="s">
        <v>397</v>
      </c>
      <c r="E497" s="12" t="s">
        <v>156</v>
      </c>
      <c r="F497" s="14">
        <v>6</v>
      </c>
      <c r="G497" s="14">
        <v>960</v>
      </c>
      <c r="H497" s="14">
        <v>10.1</v>
      </c>
      <c r="I497" s="14">
        <v>5178.24</v>
      </c>
      <c r="J497" s="12" t="s">
        <v>104</v>
      </c>
      <c r="K497" s="12" t="s">
        <v>116</v>
      </c>
      <c r="L497" s="23" t="str">
        <f>VLOOKUP(D497,Products!$A:$F,3,FALSE)</f>
        <v>Beauty</v>
      </c>
      <c r="M497" s="23" t="str">
        <f>VLOOKUP(E497,Sales_Reps!$A:$E,3,FALSE)</f>
        <v>North</v>
      </c>
      <c r="N497" s="23" t="str">
        <f t="shared" si="21"/>
        <v>Jan-24</v>
      </c>
      <c r="O497" s="23" t="str">
        <f t="shared" si="22"/>
        <v>Q1 2024</v>
      </c>
      <c r="P497" s="23">
        <f>VLOOKUP(D497,Products!$A:$F,4,FALSE)</f>
        <v>675</v>
      </c>
      <c r="Q497" s="35">
        <f t="shared" si="23"/>
        <v>0.296875</v>
      </c>
    </row>
    <row r="498" spans="1:17">
      <c r="A498" s="12" t="s">
        <v>946</v>
      </c>
      <c r="B498" s="13">
        <v>45337</v>
      </c>
      <c r="C498" s="12" t="s">
        <v>154</v>
      </c>
      <c r="D498" s="12" t="s">
        <v>299</v>
      </c>
      <c r="E498" s="12" t="s">
        <v>363</v>
      </c>
      <c r="F498" s="14">
        <v>7</v>
      </c>
      <c r="G498" s="14">
        <v>300</v>
      </c>
      <c r="H498" s="14">
        <v>21.9</v>
      </c>
      <c r="I498" s="14">
        <v>1640.1</v>
      </c>
      <c r="J498" s="12" t="s">
        <v>104</v>
      </c>
      <c r="K498" s="12" t="s">
        <v>116</v>
      </c>
      <c r="L498" s="23" t="str">
        <f>VLOOKUP(D498,Products!$A:$F,3,FALSE)</f>
        <v>Electronics</v>
      </c>
      <c r="M498" s="23" t="str">
        <f>VLOOKUP(E498,Sales_Reps!$A:$E,3,FALSE)</f>
        <v>South</v>
      </c>
      <c r="N498" s="23" t="str">
        <f t="shared" si="21"/>
        <v>Feb-24</v>
      </c>
      <c r="O498" s="23" t="str">
        <f t="shared" si="22"/>
        <v>Q1 2024</v>
      </c>
      <c r="P498" s="23">
        <f>VLOOKUP(D498,Products!$A:$F,4,FALSE)</f>
        <v>128</v>
      </c>
      <c r="Q498" s="35">
        <f t="shared" si="23"/>
        <v>0.57333333333333336</v>
      </c>
    </row>
    <row r="499" spans="1:17">
      <c r="A499" s="12" t="s">
        <v>947</v>
      </c>
      <c r="B499" s="13">
        <v>45389</v>
      </c>
      <c r="C499" s="12" t="s">
        <v>556</v>
      </c>
      <c r="D499" s="12" t="s">
        <v>384</v>
      </c>
      <c r="E499" s="12" t="s">
        <v>138</v>
      </c>
      <c r="F499" s="14">
        <v>2</v>
      </c>
      <c r="G499" s="14">
        <v>2380</v>
      </c>
      <c r="H499" s="14">
        <v>6.8</v>
      </c>
      <c r="I499" s="14">
        <v>4436.32</v>
      </c>
      <c r="J499" s="12" t="s">
        <v>104</v>
      </c>
      <c r="K499" s="12" t="s">
        <v>150</v>
      </c>
      <c r="L499" s="23" t="str">
        <f>VLOOKUP(D499,Products!$A:$F,3,FALSE)</f>
        <v>Grocery</v>
      </c>
      <c r="M499" s="23" t="str">
        <f>VLOOKUP(E499,Sales_Reps!$A:$E,3,FALSE)</f>
        <v>East</v>
      </c>
      <c r="N499" s="23" t="str">
        <f t="shared" si="21"/>
        <v>Apr-24</v>
      </c>
      <c r="O499" s="23" t="str">
        <f t="shared" si="22"/>
        <v>Q2 2024</v>
      </c>
      <c r="P499" s="23">
        <f>VLOOKUP(D499,Products!$A:$F,4,FALSE)</f>
        <v>1182</v>
      </c>
      <c r="Q499" s="35">
        <f t="shared" si="23"/>
        <v>0.50336134453781511</v>
      </c>
    </row>
    <row r="500" spans="1:17">
      <c r="A500" s="12" t="s">
        <v>948</v>
      </c>
      <c r="B500" s="13">
        <v>45298</v>
      </c>
      <c r="C500" s="12" t="s">
        <v>776</v>
      </c>
      <c r="D500" s="12" t="s">
        <v>132</v>
      </c>
      <c r="E500" s="12" t="s">
        <v>133</v>
      </c>
      <c r="F500" s="14">
        <v>5</v>
      </c>
      <c r="G500" s="14">
        <v>960</v>
      </c>
      <c r="H500" s="14">
        <v>15</v>
      </c>
      <c r="I500" s="14">
        <v>4080</v>
      </c>
      <c r="J500" s="12" t="s">
        <v>157</v>
      </c>
      <c r="K500" s="12" t="s">
        <v>134</v>
      </c>
      <c r="L500" s="23" t="str">
        <f>VLOOKUP(D500,Products!$A:$F,3,FALSE)</f>
        <v>Sports</v>
      </c>
      <c r="M500" s="23" t="str">
        <f>VLOOKUP(E500,Sales_Reps!$A:$E,3,FALSE)</f>
        <v>West</v>
      </c>
      <c r="N500" s="23" t="str">
        <f t="shared" si="21"/>
        <v>Jan-24</v>
      </c>
      <c r="O500" s="23" t="str">
        <f t="shared" si="22"/>
        <v>Q1 2024</v>
      </c>
      <c r="P500" s="23">
        <f>VLOOKUP(D500,Products!$A:$F,4,FALSE)</f>
        <v>705</v>
      </c>
      <c r="Q500" s="35">
        <f t="shared" si="23"/>
        <v>0.265625</v>
      </c>
    </row>
    <row r="501" spans="1:17">
      <c r="A501" s="12" t="s">
        <v>949</v>
      </c>
      <c r="B501" s="13">
        <v>45577</v>
      </c>
      <c r="C501" s="12" t="s">
        <v>289</v>
      </c>
      <c r="D501" s="12" t="s">
        <v>478</v>
      </c>
      <c r="E501" s="12" t="s">
        <v>342</v>
      </c>
      <c r="F501" s="14">
        <v>10</v>
      </c>
      <c r="G501" s="14">
        <v>3780</v>
      </c>
      <c r="H501" s="14">
        <v>24.1</v>
      </c>
      <c r="I501" s="14">
        <v>28690.2</v>
      </c>
      <c r="J501" s="12" t="s">
        <v>161</v>
      </c>
      <c r="K501" s="12" t="s">
        <v>111</v>
      </c>
      <c r="L501" s="23" t="str">
        <f>VLOOKUP(D501,Products!$A:$F,3,FALSE)</f>
        <v>Sports</v>
      </c>
      <c r="M501" s="23" t="str">
        <f>VLOOKUP(E501,Sales_Reps!$A:$E,3,FALSE)</f>
        <v>South</v>
      </c>
      <c r="N501" s="23" t="str">
        <f t="shared" si="21"/>
        <v>Oct-24</v>
      </c>
      <c r="O501" s="23" t="str">
        <f t="shared" si="22"/>
        <v>Q4 2024</v>
      </c>
      <c r="P501" s="23">
        <f>VLOOKUP(D501,Products!$A:$F,4,FALSE)</f>
        <v>1860</v>
      </c>
      <c r="Q501" s="35">
        <f t="shared" si="23"/>
        <v>0.50793650793650791</v>
      </c>
    </row>
    <row r="502" spans="1:17">
      <c r="A502" s="12" t="s">
        <v>950</v>
      </c>
      <c r="B502" s="13">
        <v>45355</v>
      </c>
      <c r="C502" s="12" t="s">
        <v>234</v>
      </c>
      <c r="D502" s="12" t="s">
        <v>276</v>
      </c>
      <c r="E502" s="12" t="s">
        <v>209</v>
      </c>
      <c r="F502" s="14">
        <v>4</v>
      </c>
      <c r="G502" s="14">
        <v>1540</v>
      </c>
      <c r="H502" s="14">
        <v>14.2</v>
      </c>
      <c r="I502" s="14">
        <v>5285.28</v>
      </c>
      <c r="J502" s="12" t="s">
        <v>157</v>
      </c>
      <c r="K502" s="12" t="s">
        <v>111</v>
      </c>
      <c r="L502" s="23" t="str">
        <f>VLOOKUP(D502,Products!$A:$F,3,FALSE)</f>
        <v>Beauty</v>
      </c>
      <c r="M502" s="23" t="str">
        <f>VLOOKUP(E502,Sales_Reps!$A:$E,3,FALSE)</f>
        <v>East</v>
      </c>
      <c r="N502" s="23" t="str">
        <f t="shared" si="21"/>
        <v>Mar-24</v>
      </c>
      <c r="O502" s="23" t="str">
        <f t="shared" si="22"/>
        <v>Q1 2024</v>
      </c>
      <c r="P502" s="23">
        <f>VLOOKUP(D502,Products!$A:$F,4,FALSE)</f>
        <v>647</v>
      </c>
      <c r="Q502" s="35">
        <f t="shared" si="23"/>
        <v>0.57987012987012987</v>
      </c>
    </row>
    <row r="503" spans="1:17">
      <c r="A503" s="12" t="s">
        <v>951</v>
      </c>
      <c r="B503" s="13">
        <v>45463</v>
      </c>
      <c r="C503" s="12" t="s">
        <v>852</v>
      </c>
      <c r="D503" s="12" t="s">
        <v>372</v>
      </c>
      <c r="E503" s="12" t="s">
        <v>109</v>
      </c>
      <c r="F503" s="14">
        <v>10</v>
      </c>
      <c r="G503" s="14">
        <v>2510</v>
      </c>
      <c r="H503" s="14">
        <v>20.8</v>
      </c>
      <c r="I503" s="14">
        <v>19879.2</v>
      </c>
      <c r="J503" s="12" t="s">
        <v>104</v>
      </c>
      <c r="K503" s="12" t="s">
        <v>134</v>
      </c>
      <c r="L503" s="23" t="str">
        <f>VLOOKUP(D503,Products!$A:$F,3,FALSE)</f>
        <v>Apparel</v>
      </c>
      <c r="M503" s="23" t="str">
        <f>VLOOKUP(E503,Sales_Reps!$A:$E,3,FALSE)</f>
        <v>North</v>
      </c>
      <c r="N503" s="23" t="str">
        <f t="shared" si="21"/>
        <v>Jun-24</v>
      </c>
      <c r="O503" s="23" t="str">
        <f t="shared" si="22"/>
        <v>Q2 2024</v>
      </c>
      <c r="P503" s="23">
        <f>VLOOKUP(D503,Products!$A:$F,4,FALSE)</f>
        <v>1075</v>
      </c>
      <c r="Q503" s="35">
        <f t="shared" si="23"/>
        <v>0.57171314741035861</v>
      </c>
    </row>
    <row r="504" spans="1:17">
      <c r="A504" s="12" t="s">
        <v>952</v>
      </c>
      <c r="B504" s="13">
        <v>45374</v>
      </c>
      <c r="C504" s="12" t="s">
        <v>405</v>
      </c>
      <c r="D504" s="12" t="s">
        <v>368</v>
      </c>
      <c r="E504" s="12" t="s">
        <v>115</v>
      </c>
      <c r="F504" s="14">
        <v>9</v>
      </c>
      <c r="G504" s="14">
        <v>4060</v>
      </c>
      <c r="H504" s="14">
        <v>27.1</v>
      </c>
      <c r="I504" s="14">
        <v>26637.66</v>
      </c>
      <c r="J504" s="12" t="s">
        <v>104</v>
      </c>
      <c r="K504" s="12" t="s">
        <v>150</v>
      </c>
      <c r="L504" s="23" t="str">
        <f>VLOOKUP(D504,Products!$A:$F,3,FALSE)</f>
        <v>Grocery</v>
      </c>
      <c r="M504" s="23" t="str">
        <f>VLOOKUP(E504,Sales_Reps!$A:$E,3,FALSE)</f>
        <v>South</v>
      </c>
      <c r="N504" s="23" t="str">
        <f t="shared" si="21"/>
        <v>Mar-24</v>
      </c>
      <c r="O504" s="23" t="str">
        <f t="shared" si="22"/>
        <v>Q1 2024</v>
      </c>
      <c r="P504" s="23">
        <f>VLOOKUP(D504,Products!$A:$F,4,FALSE)</f>
        <v>2911</v>
      </c>
      <c r="Q504" s="35">
        <f t="shared" si="23"/>
        <v>0.28300492610837441</v>
      </c>
    </row>
    <row r="505" spans="1:17">
      <c r="A505" s="12" t="s">
        <v>953</v>
      </c>
      <c r="B505" s="13">
        <v>45638</v>
      </c>
      <c r="C505" s="12" t="s">
        <v>376</v>
      </c>
      <c r="D505" s="12" t="s">
        <v>168</v>
      </c>
      <c r="E505" s="12" t="s">
        <v>128</v>
      </c>
      <c r="F505" s="14">
        <v>4</v>
      </c>
      <c r="G505" s="14">
        <v>2400</v>
      </c>
      <c r="H505" s="14">
        <v>19.100000000000001</v>
      </c>
      <c r="I505" s="14">
        <v>7766.4</v>
      </c>
      <c r="J505" s="12" t="s">
        <v>104</v>
      </c>
      <c r="K505" s="12" t="s">
        <v>116</v>
      </c>
      <c r="L505" s="23" t="str">
        <f>VLOOKUP(D505,Products!$A:$F,3,FALSE)</f>
        <v>Sports</v>
      </c>
      <c r="M505" s="23" t="str">
        <f>VLOOKUP(E505,Sales_Reps!$A:$E,3,FALSE)</f>
        <v>West</v>
      </c>
      <c r="N505" s="23" t="str">
        <f t="shared" si="21"/>
        <v>Dec-24</v>
      </c>
      <c r="O505" s="23" t="str">
        <f t="shared" si="22"/>
        <v>Q4 2024</v>
      </c>
      <c r="P505" s="23">
        <f>VLOOKUP(D505,Products!$A:$F,4,FALSE)</f>
        <v>974</v>
      </c>
      <c r="Q505" s="35">
        <f t="shared" si="23"/>
        <v>0.59416666666666662</v>
      </c>
    </row>
    <row r="506" spans="1:17">
      <c r="A506" s="12" t="s">
        <v>954</v>
      </c>
      <c r="B506" s="13">
        <v>45525</v>
      </c>
      <c r="C506" s="12" t="s">
        <v>118</v>
      </c>
      <c r="D506" s="12" t="s">
        <v>201</v>
      </c>
      <c r="E506" s="12" t="s">
        <v>302</v>
      </c>
      <c r="F506" s="14">
        <v>8</v>
      </c>
      <c r="G506" s="14">
        <v>4880</v>
      </c>
      <c r="H506" s="14">
        <v>9.1999999999999993</v>
      </c>
      <c r="I506" s="14">
        <v>35448.32</v>
      </c>
      <c r="J506" s="12" t="s">
        <v>157</v>
      </c>
      <c r="K506" s="12" t="s">
        <v>116</v>
      </c>
      <c r="L506" s="23" t="str">
        <f>VLOOKUP(D506,Products!$A:$F,3,FALSE)</f>
        <v>Beauty</v>
      </c>
      <c r="M506" s="23" t="str">
        <f>VLOOKUP(E506,Sales_Reps!$A:$E,3,FALSE)</f>
        <v>East</v>
      </c>
      <c r="N506" s="23" t="str">
        <f t="shared" si="21"/>
        <v>Aug-24</v>
      </c>
      <c r="O506" s="23" t="str">
        <f t="shared" si="22"/>
        <v>Q3 2024</v>
      </c>
      <c r="P506" s="23">
        <f>VLOOKUP(D506,Products!$A:$F,4,FALSE)</f>
        <v>2768</v>
      </c>
      <c r="Q506" s="35">
        <f t="shared" si="23"/>
        <v>0.43278688524590164</v>
      </c>
    </row>
    <row r="507" spans="1:17">
      <c r="A507" s="12" t="s">
        <v>955</v>
      </c>
      <c r="B507" s="13">
        <v>45586</v>
      </c>
      <c r="C507" s="12" t="s">
        <v>630</v>
      </c>
      <c r="D507" s="12" t="s">
        <v>208</v>
      </c>
      <c r="E507" s="12" t="s">
        <v>138</v>
      </c>
      <c r="F507" s="14">
        <v>9</v>
      </c>
      <c r="G507" s="14">
        <v>5100</v>
      </c>
      <c r="H507" s="14">
        <v>11.1</v>
      </c>
      <c r="I507" s="14">
        <v>40805.1</v>
      </c>
      <c r="J507" s="12" t="s">
        <v>157</v>
      </c>
      <c r="K507" s="12" t="s">
        <v>129</v>
      </c>
      <c r="L507" s="23" t="str">
        <f>VLOOKUP(D507,Products!$A:$F,3,FALSE)</f>
        <v>Beauty</v>
      </c>
      <c r="M507" s="23" t="str">
        <f>VLOOKUP(E507,Sales_Reps!$A:$E,3,FALSE)</f>
        <v>East</v>
      </c>
      <c r="N507" s="23" t="str">
        <f t="shared" si="21"/>
        <v>Oct-24</v>
      </c>
      <c r="O507" s="23" t="str">
        <f t="shared" si="22"/>
        <v>Q4 2024</v>
      </c>
      <c r="P507" s="23">
        <f>VLOOKUP(D507,Products!$A:$F,4,FALSE)</f>
        <v>2237</v>
      </c>
      <c r="Q507" s="35">
        <f t="shared" si="23"/>
        <v>0.56137254901960787</v>
      </c>
    </row>
    <row r="508" spans="1:17">
      <c r="A508" s="12" t="s">
        <v>956</v>
      </c>
      <c r="B508" s="13">
        <v>45637</v>
      </c>
      <c r="C508" s="12" t="s">
        <v>374</v>
      </c>
      <c r="D508" s="12" t="s">
        <v>299</v>
      </c>
      <c r="E508" s="12" t="s">
        <v>145</v>
      </c>
      <c r="F508" s="14">
        <v>4</v>
      </c>
      <c r="G508" s="14">
        <v>300</v>
      </c>
      <c r="H508" s="14">
        <v>16.7</v>
      </c>
      <c r="I508" s="14">
        <v>999.6</v>
      </c>
      <c r="J508" s="12" t="s">
        <v>104</v>
      </c>
      <c r="K508" s="12" t="s">
        <v>116</v>
      </c>
      <c r="L508" s="23" t="str">
        <f>VLOOKUP(D508,Products!$A:$F,3,FALSE)</f>
        <v>Electronics</v>
      </c>
      <c r="M508" s="23" t="str">
        <f>VLOOKUP(E508,Sales_Reps!$A:$E,3,FALSE)</f>
        <v>West</v>
      </c>
      <c r="N508" s="23" t="str">
        <f t="shared" si="21"/>
        <v>Dec-24</v>
      </c>
      <c r="O508" s="23" t="str">
        <f t="shared" si="22"/>
        <v>Q4 2024</v>
      </c>
      <c r="P508" s="23">
        <f>VLOOKUP(D508,Products!$A:$F,4,FALSE)</f>
        <v>128</v>
      </c>
      <c r="Q508" s="35">
        <f t="shared" si="23"/>
        <v>0.57333333333333336</v>
      </c>
    </row>
    <row r="509" spans="1:17">
      <c r="A509" s="12" t="s">
        <v>957</v>
      </c>
      <c r="B509" s="13">
        <v>45443</v>
      </c>
      <c r="C509" s="12" t="s">
        <v>602</v>
      </c>
      <c r="D509" s="12" t="s">
        <v>184</v>
      </c>
      <c r="E509" s="12" t="s">
        <v>115</v>
      </c>
      <c r="F509" s="14">
        <v>6</v>
      </c>
      <c r="G509" s="14">
        <v>2480</v>
      </c>
      <c r="H509" s="14">
        <v>3.3</v>
      </c>
      <c r="I509" s="14">
        <v>14388.96</v>
      </c>
      <c r="J509" s="12" t="s">
        <v>104</v>
      </c>
      <c r="K509" s="12" t="s">
        <v>111</v>
      </c>
      <c r="L509" s="23" t="str">
        <f>VLOOKUP(D509,Products!$A:$F,3,FALSE)</f>
        <v>Apparel</v>
      </c>
      <c r="M509" s="23" t="str">
        <f>VLOOKUP(E509,Sales_Reps!$A:$E,3,FALSE)</f>
        <v>South</v>
      </c>
      <c r="N509" s="23" t="str">
        <f t="shared" si="21"/>
        <v>May-24</v>
      </c>
      <c r="O509" s="23" t="str">
        <f t="shared" si="22"/>
        <v>Q2 2024</v>
      </c>
      <c r="P509" s="23">
        <f>VLOOKUP(D509,Products!$A:$F,4,FALSE)</f>
        <v>1173</v>
      </c>
      <c r="Q509" s="35">
        <f t="shared" si="23"/>
        <v>0.52701612903225803</v>
      </c>
    </row>
    <row r="510" spans="1:17">
      <c r="A510" s="12" t="s">
        <v>958</v>
      </c>
      <c r="B510" s="13">
        <v>45569</v>
      </c>
      <c r="C510" s="12" t="s">
        <v>122</v>
      </c>
      <c r="D510" s="12" t="s">
        <v>193</v>
      </c>
      <c r="E510" s="12" t="s">
        <v>171</v>
      </c>
      <c r="F510" s="14">
        <v>10</v>
      </c>
      <c r="G510" s="14">
        <v>1650</v>
      </c>
      <c r="H510" s="14">
        <v>22.9</v>
      </c>
      <c r="I510" s="14">
        <v>12721.5</v>
      </c>
      <c r="J510" s="12" t="s">
        <v>161</v>
      </c>
      <c r="K510" s="12" t="s">
        <v>111</v>
      </c>
      <c r="L510" s="23" t="str">
        <f>VLOOKUP(D510,Products!$A:$F,3,FALSE)</f>
        <v>Beauty</v>
      </c>
      <c r="M510" s="23" t="str">
        <f>VLOOKUP(E510,Sales_Reps!$A:$E,3,FALSE)</f>
        <v>East</v>
      </c>
      <c r="N510" s="23" t="str">
        <f t="shared" si="21"/>
        <v>Oct-24</v>
      </c>
      <c r="O510" s="23" t="str">
        <f t="shared" si="22"/>
        <v>Q4 2024</v>
      </c>
      <c r="P510" s="23">
        <f>VLOOKUP(D510,Products!$A:$F,4,FALSE)</f>
        <v>1222</v>
      </c>
      <c r="Q510" s="35">
        <f t="shared" si="23"/>
        <v>0.2593939393939394</v>
      </c>
    </row>
    <row r="511" spans="1:17">
      <c r="A511" s="12" t="s">
        <v>959</v>
      </c>
      <c r="B511" s="13">
        <v>45319</v>
      </c>
      <c r="C511" s="12" t="s">
        <v>960</v>
      </c>
      <c r="D511" s="12" t="s">
        <v>355</v>
      </c>
      <c r="E511" s="12" t="s">
        <v>342</v>
      </c>
      <c r="F511" s="14">
        <v>3</v>
      </c>
      <c r="G511" s="14">
        <v>2210</v>
      </c>
      <c r="H511" s="14">
        <v>11.1</v>
      </c>
      <c r="I511" s="14">
        <v>5894.07</v>
      </c>
      <c r="J511" s="12" t="s">
        <v>104</v>
      </c>
      <c r="K511" s="12" t="s">
        <v>150</v>
      </c>
      <c r="L511" s="23" t="str">
        <f>VLOOKUP(D511,Products!$A:$F,3,FALSE)</f>
        <v>Grocery</v>
      </c>
      <c r="M511" s="23" t="str">
        <f>VLOOKUP(E511,Sales_Reps!$A:$E,3,FALSE)</f>
        <v>South</v>
      </c>
      <c r="N511" s="23" t="str">
        <f t="shared" si="21"/>
        <v>Jan-24</v>
      </c>
      <c r="O511" s="23" t="str">
        <f t="shared" si="22"/>
        <v>Q1 2024</v>
      </c>
      <c r="P511" s="23">
        <f>VLOOKUP(D511,Products!$A:$F,4,FALSE)</f>
        <v>1010</v>
      </c>
      <c r="Q511" s="35">
        <f t="shared" si="23"/>
        <v>0.54298642533936647</v>
      </c>
    </row>
    <row r="512" spans="1:17">
      <c r="A512" s="12" t="s">
        <v>961</v>
      </c>
      <c r="B512" s="13">
        <v>45406</v>
      </c>
      <c r="C512" s="12" t="s">
        <v>962</v>
      </c>
      <c r="D512" s="12" t="s">
        <v>184</v>
      </c>
      <c r="E512" s="12" t="s">
        <v>109</v>
      </c>
      <c r="F512" s="14">
        <v>10</v>
      </c>
      <c r="G512" s="14">
        <v>2480</v>
      </c>
      <c r="H512" s="14">
        <v>13</v>
      </c>
      <c r="I512" s="14">
        <v>21576</v>
      </c>
      <c r="J512" s="12" t="s">
        <v>110</v>
      </c>
      <c r="K512" s="12" t="s">
        <v>105</v>
      </c>
      <c r="L512" s="23" t="str">
        <f>VLOOKUP(D512,Products!$A:$F,3,FALSE)</f>
        <v>Apparel</v>
      </c>
      <c r="M512" s="23" t="str">
        <f>VLOOKUP(E512,Sales_Reps!$A:$E,3,FALSE)</f>
        <v>North</v>
      </c>
      <c r="N512" s="23" t="str">
        <f t="shared" si="21"/>
        <v>Apr-24</v>
      </c>
      <c r="O512" s="23" t="str">
        <f t="shared" si="22"/>
        <v>Q2 2024</v>
      </c>
      <c r="P512" s="23">
        <f>VLOOKUP(D512,Products!$A:$F,4,FALSE)</f>
        <v>1173</v>
      </c>
      <c r="Q512" s="35">
        <f t="shared" si="23"/>
        <v>0.52701612903225803</v>
      </c>
    </row>
    <row r="513" spans="1:17">
      <c r="A513" s="12" t="s">
        <v>963</v>
      </c>
      <c r="B513" s="13">
        <v>45629</v>
      </c>
      <c r="C513" s="12" t="s">
        <v>118</v>
      </c>
      <c r="D513" s="12" t="s">
        <v>381</v>
      </c>
      <c r="E513" s="12" t="s">
        <v>171</v>
      </c>
      <c r="F513" s="14">
        <v>10</v>
      </c>
      <c r="G513" s="14">
        <v>5330</v>
      </c>
      <c r="H513" s="14">
        <v>0.7</v>
      </c>
      <c r="I513" s="14">
        <v>52926.9</v>
      </c>
      <c r="J513" s="12" t="s">
        <v>104</v>
      </c>
      <c r="K513" s="12" t="s">
        <v>116</v>
      </c>
      <c r="L513" s="23" t="str">
        <f>VLOOKUP(D513,Products!$A:$F,3,FALSE)</f>
        <v>Electronics</v>
      </c>
      <c r="M513" s="23" t="str">
        <f>VLOOKUP(E513,Sales_Reps!$A:$E,3,FALSE)</f>
        <v>East</v>
      </c>
      <c r="N513" s="23" t="str">
        <f t="shared" si="21"/>
        <v>Dec-24</v>
      </c>
      <c r="O513" s="23" t="str">
        <f t="shared" si="22"/>
        <v>Q4 2024</v>
      </c>
      <c r="P513" s="23">
        <f>VLOOKUP(D513,Products!$A:$F,4,FALSE)</f>
        <v>2405</v>
      </c>
      <c r="Q513" s="35">
        <f t="shared" si="23"/>
        <v>0.54878048780487809</v>
      </c>
    </row>
    <row r="514" spans="1:17">
      <c r="A514" s="12" t="s">
        <v>964</v>
      </c>
      <c r="B514" s="13">
        <v>45612</v>
      </c>
      <c r="C514" s="12" t="s">
        <v>965</v>
      </c>
      <c r="D514" s="12" t="s">
        <v>281</v>
      </c>
      <c r="E514" s="12" t="s">
        <v>342</v>
      </c>
      <c r="F514" s="14">
        <v>9</v>
      </c>
      <c r="G514" s="14">
        <v>4070</v>
      </c>
      <c r="H514" s="14">
        <v>15.6</v>
      </c>
      <c r="I514" s="14">
        <v>30915.72</v>
      </c>
      <c r="J514" s="12" t="s">
        <v>104</v>
      </c>
      <c r="K514" s="12" t="s">
        <v>105</v>
      </c>
      <c r="L514" s="23" t="str">
        <f>VLOOKUP(D514,Products!$A:$F,3,FALSE)</f>
        <v>Grocery</v>
      </c>
      <c r="M514" s="23" t="str">
        <f>VLOOKUP(E514,Sales_Reps!$A:$E,3,FALSE)</f>
        <v>South</v>
      </c>
      <c r="N514" s="23" t="str">
        <f t="shared" si="21"/>
        <v>Nov-24</v>
      </c>
      <c r="O514" s="23" t="str">
        <f t="shared" si="22"/>
        <v>Q4 2024</v>
      </c>
      <c r="P514" s="23">
        <f>VLOOKUP(D514,Products!$A:$F,4,FALSE)</f>
        <v>2027</v>
      </c>
      <c r="Q514" s="35">
        <f t="shared" si="23"/>
        <v>0.50196560196560192</v>
      </c>
    </row>
    <row r="515" spans="1:17">
      <c r="A515" s="12" t="s">
        <v>966</v>
      </c>
      <c r="B515" s="13">
        <v>45613</v>
      </c>
      <c r="C515" s="12" t="s">
        <v>840</v>
      </c>
      <c r="D515" s="12" t="s">
        <v>190</v>
      </c>
      <c r="E515" s="12" t="s">
        <v>232</v>
      </c>
      <c r="F515" s="14">
        <v>5</v>
      </c>
      <c r="G515" s="14">
        <v>2720</v>
      </c>
      <c r="H515" s="14">
        <v>10.3</v>
      </c>
      <c r="I515" s="14">
        <v>12199.2</v>
      </c>
      <c r="J515" s="12" t="s">
        <v>157</v>
      </c>
      <c r="K515" s="12" t="s">
        <v>111</v>
      </c>
      <c r="L515" s="23" t="str">
        <f>VLOOKUP(D515,Products!$A:$F,3,FALSE)</f>
        <v>Apparel</v>
      </c>
      <c r="M515" s="23" t="str">
        <f>VLOOKUP(E515,Sales_Reps!$A:$E,3,FALSE)</f>
        <v>North</v>
      </c>
      <c r="N515" s="23" t="str">
        <f t="shared" ref="N515:N578" si="24">TEXT(B515, "mmm-yy")</f>
        <v>Nov-24</v>
      </c>
      <c r="O515" s="23" t="str">
        <f t="shared" ref="O515:O578" si="25">"Q" &amp; INT((MONTH(B515)-1)/3)+1 &amp; " " &amp; YEAR(B515)</f>
        <v>Q4 2024</v>
      </c>
      <c r="P515" s="23">
        <f>VLOOKUP(D515,Products!$A:$F,4,FALSE)</f>
        <v>1962</v>
      </c>
      <c r="Q515" s="35">
        <f t="shared" ref="Q515:Q578" si="26">(G515 - P515) / G515</f>
        <v>0.2786764705882353</v>
      </c>
    </row>
    <row r="516" spans="1:17">
      <c r="A516" s="12" t="s">
        <v>967</v>
      </c>
      <c r="B516" s="13">
        <v>45484</v>
      </c>
      <c r="C516" s="12" t="s">
        <v>774</v>
      </c>
      <c r="D516" s="12" t="s">
        <v>212</v>
      </c>
      <c r="E516" s="12" t="s">
        <v>246</v>
      </c>
      <c r="F516" s="14">
        <v>6</v>
      </c>
      <c r="G516" s="14">
        <v>2860</v>
      </c>
      <c r="H516" s="14">
        <v>28.9</v>
      </c>
      <c r="I516" s="14">
        <v>12200.76</v>
      </c>
      <c r="J516" s="12" t="s">
        <v>104</v>
      </c>
      <c r="K516" s="12" t="s">
        <v>134</v>
      </c>
      <c r="L516" s="23" t="str">
        <f>VLOOKUP(D516,Products!$A:$F,3,FALSE)</f>
        <v>Sports</v>
      </c>
      <c r="M516" s="23" t="str">
        <f>VLOOKUP(E516,Sales_Reps!$A:$E,3,FALSE)</f>
        <v>West</v>
      </c>
      <c r="N516" s="23" t="str">
        <f t="shared" si="24"/>
        <v>Jul-24</v>
      </c>
      <c r="O516" s="23" t="str">
        <f t="shared" si="25"/>
        <v>Q3 2024</v>
      </c>
      <c r="P516" s="23">
        <f>VLOOKUP(D516,Products!$A:$F,4,FALSE)</f>
        <v>2028</v>
      </c>
      <c r="Q516" s="35">
        <f t="shared" si="26"/>
        <v>0.29090909090909089</v>
      </c>
    </row>
    <row r="517" spans="1:17">
      <c r="A517" s="12" t="s">
        <v>968</v>
      </c>
      <c r="B517" s="13">
        <v>45656</v>
      </c>
      <c r="C517" s="12" t="s">
        <v>969</v>
      </c>
      <c r="D517" s="12" t="s">
        <v>102</v>
      </c>
      <c r="E517" s="12" t="s">
        <v>342</v>
      </c>
      <c r="F517" s="14">
        <v>5</v>
      </c>
      <c r="G517" s="14">
        <v>3620</v>
      </c>
      <c r="H517" s="14">
        <v>18.2</v>
      </c>
      <c r="I517" s="14">
        <v>14805.8</v>
      </c>
      <c r="J517" s="12" t="s">
        <v>104</v>
      </c>
      <c r="K517" s="12" t="s">
        <v>150</v>
      </c>
      <c r="L517" s="23" t="str">
        <f>VLOOKUP(D517,Products!$A:$F,3,FALSE)</f>
        <v>Apparel</v>
      </c>
      <c r="M517" s="23" t="str">
        <f>VLOOKUP(E517,Sales_Reps!$A:$E,3,FALSE)</f>
        <v>South</v>
      </c>
      <c r="N517" s="23" t="str">
        <f t="shared" si="24"/>
        <v>Dec-24</v>
      </c>
      <c r="O517" s="23" t="str">
        <f t="shared" si="25"/>
        <v>Q4 2024</v>
      </c>
      <c r="P517" s="23">
        <f>VLOOKUP(D517,Products!$A:$F,4,FALSE)</f>
        <v>2509</v>
      </c>
      <c r="Q517" s="35">
        <f t="shared" si="26"/>
        <v>0.3069060773480663</v>
      </c>
    </row>
    <row r="518" spans="1:17">
      <c r="A518" s="12" t="s">
        <v>970</v>
      </c>
      <c r="B518" s="13">
        <v>45432</v>
      </c>
      <c r="C518" s="12" t="s">
        <v>170</v>
      </c>
      <c r="D518" s="12" t="s">
        <v>193</v>
      </c>
      <c r="E518" s="12" t="s">
        <v>320</v>
      </c>
      <c r="F518" s="14">
        <v>3</v>
      </c>
      <c r="G518" s="14">
        <v>1650</v>
      </c>
      <c r="H518" s="14">
        <v>10.7</v>
      </c>
      <c r="I518" s="14">
        <v>4420.3500000000004</v>
      </c>
      <c r="J518" s="12" t="s">
        <v>104</v>
      </c>
      <c r="K518" s="12" t="s">
        <v>134</v>
      </c>
      <c r="L518" s="23" t="str">
        <f>VLOOKUP(D518,Products!$A:$F,3,FALSE)</f>
        <v>Beauty</v>
      </c>
      <c r="M518" s="23" t="str">
        <f>VLOOKUP(E518,Sales_Reps!$A:$E,3,FALSE)</f>
        <v>East</v>
      </c>
      <c r="N518" s="23" t="str">
        <f t="shared" si="24"/>
        <v>May-24</v>
      </c>
      <c r="O518" s="23" t="str">
        <f t="shared" si="25"/>
        <v>Q2 2024</v>
      </c>
      <c r="P518" s="23">
        <f>VLOOKUP(D518,Products!$A:$F,4,FALSE)</f>
        <v>1222</v>
      </c>
      <c r="Q518" s="35">
        <f t="shared" si="26"/>
        <v>0.2593939393939394</v>
      </c>
    </row>
    <row r="519" spans="1:17">
      <c r="A519" s="12" t="s">
        <v>971</v>
      </c>
      <c r="B519" s="13">
        <v>45495</v>
      </c>
      <c r="C519" s="12" t="s">
        <v>561</v>
      </c>
      <c r="D519" s="12" t="s">
        <v>164</v>
      </c>
      <c r="E519" s="12" t="s">
        <v>246</v>
      </c>
      <c r="F519" s="14">
        <v>8</v>
      </c>
      <c r="G519" s="14">
        <v>190</v>
      </c>
      <c r="H519" s="14">
        <v>18</v>
      </c>
      <c r="I519" s="14">
        <v>1246.4000000000001</v>
      </c>
      <c r="J519" s="12" t="s">
        <v>110</v>
      </c>
      <c r="K519" s="12" t="s">
        <v>150</v>
      </c>
      <c r="L519" s="23" t="str">
        <f>VLOOKUP(D519,Products!$A:$F,3,FALSE)</f>
        <v>Sports</v>
      </c>
      <c r="M519" s="23" t="str">
        <f>VLOOKUP(E519,Sales_Reps!$A:$E,3,FALSE)</f>
        <v>West</v>
      </c>
      <c r="N519" s="23" t="str">
        <f t="shared" si="24"/>
        <v>Jul-24</v>
      </c>
      <c r="O519" s="23" t="str">
        <f t="shared" si="25"/>
        <v>Q3 2024</v>
      </c>
      <c r="P519" s="23">
        <f>VLOOKUP(D519,Products!$A:$F,4,FALSE)</f>
        <v>147</v>
      </c>
      <c r="Q519" s="35">
        <f t="shared" si="26"/>
        <v>0.22631578947368422</v>
      </c>
    </row>
    <row r="520" spans="1:17">
      <c r="A520" s="12" t="s">
        <v>972</v>
      </c>
      <c r="B520" s="13">
        <v>45443</v>
      </c>
      <c r="C520" s="12" t="s">
        <v>973</v>
      </c>
      <c r="D520" s="12" t="s">
        <v>403</v>
      </c>
      <c r="E520" s="12" t="s">
        <v>246</v>
      </c>
      <c r="F520" s="14">
        <v>7</v>
      </c>
      <c r="G520" s="14">
        <v>2290</v>
      </c>
      <c r="H520" s="14">
        <v>12.5</v>
      </c>
      <c r="I520" s="14">
        <v>14026.25</v>
      </c>
      <c r="J520" s="12" t="s">
        <v>104</v>
      </c>
      <c r="K520" s="12" t="s">
        <v>129</v>
      </c>
      <c r="L520" s="23" t="str">
        <f>VLOOKUP(D520,Products!$A:$F,3,FALSE)</f>
        <v>Beauty</v>
      </c>
      <c r="M520" s="23" t="str">
        <f>VLOOKUP(E520,Sales_Reps!$A:$E,3,FALSE)</f>
        <v>West</v>
      </c>
      <c r="N520" s="23" t="str">
        <f t="shared" si="24"/>
        <v>May-24</v>
      </c>
      <c r="O520" s="23" t="str">
        <f t="shared" si="25"/>
        <v>Q2 2024</v>
      </c>
      <c r="P520" s="23">
        <f>VLOOKUP(D520,Products!$A:$F,4,FALSE)</f>
        <v>1219</v>
      </c>
      <c r="Q520" s="35">
        <f t="shared" si="26"/>
        <v>0.46768558951965067</v>
      </c>
    </row>
    <row r="521" spans="1:17">
      <c r="A521" s="12" t="s">
        <v>974</v>
      </c>
      <c r="B521" s="13">
        <v>45638</v>
      </c>
      <c r="C521" s="12" t="s">
        <v>203</v>
      </c>
      <c r="D521" s="12" t="s">
        <v>381</v>
      </c>
      <c r="E521" s="12" t="s">
        <v>255</v>
      </c>
      <c r="F521" s="14">
        <v>2</v>
      </c>
      <c r="G521" s="14">
        <v>5330</v>
      </c>
      <c r="H521" s="14">
        <v>26.5</v>
      </c>
      <c r="I521" s="14">
        <v>7835.1</v>
      </c>
      <c r="J521" s="12" t="s">
        <v>104</v>
      </c>
      <c r="K521" s="12" t="s">
        <v>111</v>
      </c>
      <c r="L521" s="23" t="str">
        <f>VLOOKUP(D521,Products!$A:$F,3,FALSE)</f>
        <v>Electronics</v>
      </c>
      <c r="M521" s="23" t="str">
        <f>VLOOKUP(E521,Sales_Reps!$A:$E,3,FALSE)</f>
        <v>East</v>
      </c>
      <c r="N521" s="23" t="str">
        <f t="shared" si="24"/>
        <v>Dec-24</v>
      </c>
      <c r="O521" s="23" t="str">
        <f t="shared" si="25"/>
        <v>Q4 2024</v>
      </c>
      <c r="P521" s="23">
        <f>VLOOKUP(D521,Products!$A:$F,4,FALSE)</f>
        <v>2405</v>
      </c>
      <c r="Q521" s="35">
        <f t="shared" si="26"/>
        <v>0.54878048780487809</v>
      </c>
    </row>
    <row r="522" spans="1:17">
      <c r="A522" s="12" t="s">
        <v>975</v>
      </c>
      <c r="B522" s="13">
        <v>45476</v>
      </c>
      <c r="C522" s="12" t="s">
        <v>976</v>
      </c>
      <c r="D522" s="12" t="s">
        <v>381</v>
      </c>
      <c r="E522" s="12" t="s">
        <v>205</v>
      </c>
      <c r="F522" s="14">
        <v>4</v>
      </c>
      <c r="G522" s="14">
        <v>5330</v>
      </c>
      <c r="H522" s="14">
        <v>25.6</v>
      </c>
      <c r="I522" s="14">
        <v>15862.08</v>
      </c>
      <c r="J522" s="12" t="s">
        <v>104</v>
      </c>
      <c r="K522" s="12" t="s">
        <v>129</v>
      </c>
      <c r="L522" s="23" t="str">
        <f>VLOOKUP(D522,Products!$A:$F,3,FALSE)</f>
        <v>Electronics</v>
      </c>
      <c r="M522" s="23" t="str">
        <f>VLOOKUP(E522,Sales_Reps!$A:$E,3,FALSE)</f>
        <v>South</v>
      </c>
      <c r="N522" s="23" t="str">
        <f t="shared" si="24"/>
        <v>Jul-24</v>
      </c>
      <c r="O522" s="23" t="str">
        <f t="shared" si="25"/>
        <v>Q3 2024</v>
      </c>
      <c r="P522" s="23">
        <f>VLOOKUP(D522,Products!$A:$F,4,FALSE)</f>
        <v>2405</v>
      </c>
      <c r="Q522" s="35">
        <f t="shared" si="26"/>
        <v>0.54878048780487809</v>
      </c>
    </row>
    <row r="523" spans="1:17">
      <c r="A523" s="12" t="s">
        <v>977</v>
      </c>
      <c r="B523" s="13">
        <v>45566</v>
      </c>
      <c r="C523" s="12" t="s">
        <v>306</v>
      </c>
      <c r="D523" s="12" t="s">
        <v>460</v>
      </c>
      <c r="E523" s="12" t="s">
        <v>120</v>
      </c>
      <c r="F523" s="14">
        <v>4</v>
      </c>
      <c r="G523" s="14">
        <v>5080</v>
      </c>
      <c r="H523" s="14">
        <v>28.6</v>
      </c>
      <c r="I523" s="14">
        <v>14508.48</v>
      </c>
      <c r="J523" s="12" t="s">
        <v>104</v>
      </c>
      <c r="K523" s="12" t="s">
        <v>111</v>
      </c>
      <c r="L523" s="23" t="str">
        <f>VLOOKUP(D523,Products!$A:$F,3,FALSE)</f>
        <v>Home</v>
      </c>
      <c r="M523" s="23" t="str">
        <f>VLOOKUP(E523,Sales_Reps!$A:$E,3,FALSE)</f>
        <v>North</v>
      </c>
      <c r="N523" s="23" t="str">
        <f t="shared" si="24"/>
        <v>Oct-24</v>
      </c>
      <c r="O523" s="23" t="str">
        <f t="shared" si="25"/>
        <v>Q4 2024</v>
      </c>
      <c r="P523" s="23">
        <f>VLOOKUP(D523,Products!$A:$F,4,FALSE)</f>
        <v>2459</v>
      </c>
      <c r="Q523" s="35">
        <f t="shared" si="26"/>
        <v>0.51594488188976373</v>
      </c>
    </row>
    <row r="524" spans="1:17">
      <c r="A524" s="12" t="s">
        <v>978</v>
      </c>
      <c r="B524" s="13">
        <v>45392</v>
      </c>
      <c r="C524" s="12" t="s">
        <v>496</v>
      </c>
      <c r="D524" s="12" t="s">
        <v>127</v>
      </c>
      <c r="E524" s="12" t="s">
        <v>314</v>
      </c>
      <c r="F524" s="14">
        <v>4</v>
      </c>
      <c r="G524" s="14">
        <v>370</v>
      </c>
      <c r="H524" s="14">
        <v>12.6</v>
      </c>
      <c r="I524" s="14">
        <v>1293.52</v>
      </c>
      <c r="J524" s="12" t="s">
        <v>110</v>
      </c>
      <c r="K524" s="12" t="s">
        <v>105</v>
      </c>
      <c r="L524" s="23" t="str">
        <f>VLOOKUP(D524,Products!$A:$F,3,FALSE)</f>
        <v>Home</v>
      </c>
      <c r="M524" s="23" t="str">
        <f>VLOOKUP(E524,Sales_Reps!$A:$E,3,FALSE)</f>
        <v>North</v>
      </c>
      <c r="N524" s="23" t="str">
        <f t="shared" si="24"/>
        <v>Apr-24</v>
      </c>
      <c r="O524" s="23" t="str">
        <f t="shared" si="25"/>
        <v>Q2 2024</v>
      </c>
      <c r="P524" s="23">
        <f>VLOOKUP(D524,Products!$A:$F,4,FALSE)</f>
        <v>288</v>
      </c>
      <c r="Q524" s="35">
        <f t="shared" si="26"/>
        <v>0.22162162162162163</v>
      </c>
    </row>
    <row r="525" spans="1:17">
      <c r="A525" s="12" t="s">
        <v>979</v>
      </c>
      <c r="B525" s="13">
        <v>45561</v>
      </c>
      <c r="C525" s="12" t="s">
        <v>980</v>
      </c>
      <c r="D525" s="12" t="s">
        <v>114</v>
      </c>
      <c r="E525" s="12" t="s">
        <v>269</v>
      </c>
      <c r="F525" s="14">
        <v>9</v>
      </c>
      <c r="G525" s="14">
        <v>470</v>
      </c>
      <c r="H525" s="14">
        <v>3.6</v>
      </c>
      <c r="I525" s="14">
        <v>4077.72</v>
      </c>
      <c r="J525" s="12" t="s">
        <v>104</v>
      </c>
      <c r="K525" s="12" t="s">
        <v>111</v>
      </c>
      <c r="L525" s="23" t="str">
        <f>VLOOKUP(D525,Products!$A:$F,3,FALSE)</f>
        <v>Sports</v>
      </c>
      <c r="M525" s="23" t="str">
        <f>VLOOKUP(E525,Sales_Reps!$A:$E,3,FALSE)</f>
        <v>South</v>
      </c>
      <c r="N525" s="23" t="str">
        <f t="shared" si="24"/>
        <v>Sep-24</v>
      </c>
      <c r="O525" s="23" t="str">
        <f t="shared" si="25"/>
        <v>Q3 2024</v>
      </c>
      <c r="P525" s="23">
        <f>VLOOKUP(D525,Products!$A:$F,4,FALSE)</f>
        <v>302</v>
      </c>
      <c r="Q525" s="35">
        <f t="shared" si="26"/>
        <v>0.35744680851063831</v>
      </c>
    </row>
    <row r="526" spans="1:17">
      <c r="A526" s="12" t="s">
        <v>981</v>
      </c>
      <c r="B526" s="13">
        <v>45634</v>
      </c>
      <c r="C526" s="12" t="s">
        <v>660</v>
      </c>
      <c r="D526" s="12" t="s">
        <v>377</v>
      </c>
      <c r="E526" s="12" t="s">
        <v>360</v>
      </c>
      <c r="F526" s="14">
        <v>4</v>
      </c>
      <c r="G526" s="14">
        <v>5410</v>
      </c>
      <c r="H526" s="14">
        <v>11.3</v>
      </c>
      <c r="I526" s="14">
        <v>19194.68</v>
      </c>
      <c r="J526" s="12" t="s">
        <v>161</v>
      </c>
      <c r="K526" s="12" t="s">
        <v>129</v>
      </c>
      <c r="L526" s="23" t="str">
        <f>VLOOKUP(D526,Products!$A:$F,3,FALSE)</f>
        <v>Sports</v>
      </c>
      <c r="M526" s="23" t="str">
        <f>VLOOKUP(E526,Sales_Reps!$A:$E,3,FALSE)</f>
        <v>West</v>
      </c>
      <c r="N526" s="23" t="str">
        <f t="shared" si="24"/>
        <v>Dec-24</v>
      </c>
      <c r="O526" s="23" t="str">
        <f t="shared" si="25"/>
        <v>Q4 2024</v>
      </c>
      <c r="P526" s="23">
        <f>VLOOKUP(D526,Products!$A:$F,4,FALSE)</f>
        <v>2265</v>
      </c>
      <c r="Q526" s="35">
        <f t="shared" si="26"/>
        <v>0.58133086876155271</v>
      </c>
    </row>
    <row r="527" spans="1:17">
      <c r="A527" s="12" t="s">
        <v>982</v>
      </c>
      <c r="B527" s="13">
        <v>45311</v>
      </c>
      <c r="C527" s="12" t="s">
        <v>983</v>
      </c>
      <c r="D527" s="12" t="s">
        <v>102</v>
      </c>
      <c r="E527" s="12" t="s">
        <v>103</v>
      </c>
      <c r="F527" s="14">
        <v>10</v>
      </c>
      <c r="G527" s="14">
        <v>3620</v>
      </c>
      <c r="H527" s="14">
        <v>2.5</v>
      </c>
      <c r="I527" s="14">
        <v>35295</v>
      </c>
      <c r="J527" s="12" t="s">
        <v>104</v>
      </c>
      <c r="K527" s="12" t="s">
        <v>150</v>
      </c>
      <c r="L527" s="23" t="str">
        <f>VLOOKUP(D527,Products!$A:$F,3,FALSE)</f>
        <v>Apparel</v>
      </c>
      <c r="M527" s="23" t="str">
        <f>VLOOKUP(E527,Sales_Reps!$A:$E,3,FALSE)</f>
        <v>North</v>
      </c>
      <c r="N527" s="23" t="str">
        <f t="shared" si="24"/>
        <v>Jan-24</v>
      </c>
      <c r="O527" s="23" t="str">
        <f t="shared" si="25"/>
        <v>Q1 2024</v>
      </c>
      <c r="P527" s="23">
        <f>VLOOKUP(D527,Products!$A:$F,4,FALSE)</f>
        <v>2509</v>
      </c>
      <c r="Q527" s="35">
        <f t="shared" si="26"/>
        <v>0.3069060773480663</v>
      </c>
    </row>
    <row r="528" spans="1:17">
      <c r="A528" s="12" t="s">
        <v>984</v>
      </c>
      <c r="B528" s="13">
        <v>45380</v>
      </c>
      <c r="C528" s="12" t="s">
        <v>985</v>
      </c>
      <c r="D528" s="12" t="s">
        <v>217</v>
      </c>
      <c r="E528" s="12" t="s">
        <v>187</v>
      </c>
      <c r="F528" s="14">
        <v>1</v>
      </c>
      <c r="G528" s="14">
        <v>2760</v>
      </c>
      <c r="H528" s="14">
        <v>22.2</v>
      </c>
      <c r="I528" s="14">
        <v>2147.2800000000002</v>
      </c>
      <c r="J528" s="12" t="s">
        <v>104</v>
      </c>
      <c r="K528" s="12" t="s">
        <v>116</v>
      </c>
      <c r="L528" s="23" t="str">
        <f>VLOOKUP(D528,Products!$A:$F,3,FALSE)</f>
        <v>Grocery</v>
      </c>
      <c r="M528" s="23" t="str">
        <f>VLOOKUP(E528,Sales_Reps!$A:$E,3,FALSE)</f>
        <v>West</v>
      </c>
      <c r="N528" s="23" t="str">
        <f t="shared" si="24"/>
        <v>Mar-24</v>
      </c>
      <c r="O528" s="23" t="str">
        <f t="shared" si="25"/>
        <v>Q1 2024</v>
      </c>
      <c r="P528" s="23">
        <f>VLOOKUP(D528,Products!$A:$F,4,FALSE)</f>
        <v>1435</v>
      </c>
      <c r="Q528" s="35">
        <f t="shared" si="26"/>
        <v>0.48007246376811596</v>
      </c>
    </row>
    <row r="529" spans="1:17">
      <c r="A529" s="12" t="s">
        <v>986</v>
      </c>
      <c r="B529" s="13">
        <v>45549</v>
      </c>
      <c r="C529" s="12" t="s">
        <v>987</v>
      </c>
      <c r="D529" s="12" t="s">
        <v>174</v>
      </c>
      <c r="E529" s="12" t="s">
        <v>232</v>
      </c>
      <c r="F529" s="14">
        <v>7</v>
      </c>
      <c r="G529" s="14">
        <v>3450</v>
      </c>
      <c r="H529" s="14">
        <v>8.6</v>
      </c>
      <c r="I529" s="14">
        <v>22073.1</v>
      </c>
      <c r="J529" s="12" t="s">
        <v>104</v>
      </c>
      <c r="K529" s="12" t="s">
        <v>129</v>
      </c>
      <c r="L529" s="23" t="str">
        <f>VLOOKUP(D529,Products!$A:$F,3,FALSE)</f>
        <v>Beauty</v>
      </c>
      <c r="M529" s="23" t="str">
        <f>VLOOKUP(E529,Sales_Reps!$A:$E,3,FALSE)</f>
        <v>North</v>
      </c>
      <c r="N529" s="23" t="str">
        <f t="shared" si="24"/>
        <v>Sep-24</v>
      </c>
      <c r="O529" s="23" t="str">
        <f t="shared" si="25"/>
        <v>Q3 2024</v>
      </c>
      <c r="P529" s="23">
        <f>VLOOKUP(D529,Products!$A:$F,4,FALSE)</f>
        <v>2420</v>
      </c>
      <c r="Q529" s="35">
        <f t="shared" si="26"/>
        <v>0.29855072463768118</v>
      </c>
    </row>
    <row r="530" spans="1:17">
      <c r="A530" s="12" t="s">
        <v>988</v>
      </c>
      <c r="B530" s="13">
        <v>45418</v>
      </c>
      <c r="C530" s="12" t="s">
        <v>563</v>
      </c>
      <c r="D530" s="12" t="s">
        <v>119</v>
      </c>
      <c r="E530" s="12" t="s">
        <v>145</v>
      </c>
      <c r="F530" s="14">
        <v>6</v>
      </c>
      <c r="G530" s="14">
        <v>3660</v>
      </c>
      <c r="H530" s="14">
        <v>10.6</v>
      </c>
      <c r="I530" s="14">
        <v>19632.240000000002</v>
      </c>
      <c r="J530" s="12" t="s">
        <v>104</v>
      </c>
      <c r="K530" s="12" t="s">
        <v>116</v>
      </c>
      <c r="L530" s="23" t="str">
        <f>VLOOKUP(D530,Products!$A:$F,3,FALSE)</f>
        <v>Grocery</v>
      </c>
      <c r="M530" s="23" t="str">
        <f>VLOOKUP(E530,Sales_Reps!$A:$E,3,FALSE)</f>
        <v>West</v>
      </c>
      <c r="N530" s="23" t="str">
        <f t="shared" si="24"/>
        <v>May-24</v>
      </c>
      <c r="O530" s="23" t="str">
        <f t="shared" si="25"/>
        <v>Q2 2024</v>
      </c>
      <c r="P530" s="23">
        <f>VLOOKUP(D530,Products!$A:$F,4,FALSE)</f>
        <v>2214</v>
      </c>
      <c r="Q530" s="35">
        <f t="shared" si="26"/>
        <v>0.39508196721311473</v>
      </c>
    </row>
    <row r="531" spans="1:17">
      <c r="A531" s="12" t="s">
        <v>989</v>
      </c>
      <c r="B531" s="13">
        <v>45532</v>
      </c>
      <c r="C531" s="12" t="s">
        <v>541</v>
      </c>
      <c r="D531" s="12" t="s">
        <v>204</v>
      </c>
      <c r="E531" s="12" t="s">
        <v>145</v>
      </c>
      <c r="F531" s="14">
        <v>10</v>
      </c>
      <c r="G531" s="14">
        <v>3570</v>
      </c>
      <c r="H531" s="14">
        <v>1.2</v>
      </c>
      <c r="I531" s="14">
        <v>35271.599999999999</v>
      </c>
      <c r="J531" s="12" t="s">
        <v>104</v>
      </c>
      <c r="K531" s="12" t="s">
        <v>129</v>
      </c>
      <c r="L531" s="23" t="str">
        <f>VLOOKUP(D531,Products!$A:$F,3,FALSE)</f>
        <v>Electronics</v>
      </c>
      <c r="M531" s="23" t="str">
        <f>VLOOKUP(E531,Sales_Reps!$A:$E,3,FALSE)</f>
        <v>West</v>
      </c>
      <c r="N531" s="23" t="str">
        <f t="shared" si="24"/>
        <v>Aug-24</v>
      </c>
      <c r="O531" s="23" t="str">
        <f t="shared" si="25"/>
        <v>Q3 2024</v>
      </c>
      <c r="P531" s="23">
        <f>VLOOKUP(D531,Products!$A:$F,4,FALSE)</f>
        <v>1665</v>
      </c>
      <c r="Q531" s="35">
        <f t="shared" si="26"/>
        <v>0.53361344537815125</v>
      </c>
    </row>
    <row r="532" spans="1:17">
      <c r="A532" s="12" t="s">
        <v>990</v>
      </c>
      <c r="B532" s="13">
        <v>45542</v>
      </c>
      <c r="C532" s="12" t="s">
        <v>437</v>
      </c>
      <c r="D532" s="12" t="s">
        <v>519</v>
      </c>
      <c r="E532" s="12" t="s">
        <v>221</v>
      </c>
      <c r="F532" s="14">
        <v>8</v>
      </c>
      <c r="G532" s="14">
        <v>1090</v>
      </c>
      <c r="H532" s="14">
        <v>13.2</v>
      </c>
      <c r="I532" s="14">
        <v>7568.96</v>
      </c>
      <c r="J532" s="12" t="s">
        <v>161</v>
      </c>
      <c r="K532" s="12" t="s">
        <v>116</v>
      </c>
      <c r="L532" s="23" t="str">
        <f>VLOOKUP(D532,Products!$A:$F,3,FALSE)</f>
        <v>Home</v>
      </c>
      <c r="M532" s="23" t="str">
        <f>VLOOKUP(E532,Sales_Reps!$A:$E,3,FALSE)</f>
        <v>South</v>
      </c>
      <c r="N532" s="23" t="str">
        <f t="shared" si="24"/>
        <v>Sep-24</v>
      </c>
      <c r="O532" s="23" t="str">
        <f t="shared" si="25"/>
        <v>Q3 2024</v>
      </c>
      <c r="P532" s="23">
        <f>VLOOKUP(D532,Products!$A:$F,4,FALSE)</f>
        <v>464</v>
      </c>
      <c r="Q532" s="35">
        <f t="shared" si="26"/>
        <v>0.57431192660550456</v>
      </c>
    </row>
    <row r="533" spans="1:17">
      <c r="A533" s="12" t="s">
        <v>991</v>
      </c>
      <c r="B533" s="13">
        <v>45320</v>
      </c>
      <c r="C533" s="12" t="s">
        <v>474</v>
      </c>
      <c r="D533" s="12" t="s">
        <v>102</v>
      </c>
      <c r="E533" s="12" t="s">
        <v>320</v>
      </c>
      <c r="F533" s="14">
        <v>8</v>
      </c>
      <c r="G533" s="14">
        <v>3620</v>
      </c>
      <c r="H533" s="14">
        <v>29</v>
      </c>
      <c r="I533" s="14">
        <v>20561.599999999999</v>
      </c>
      <c r="J533" s="12" t="s">
        <v>104</v>
      </c>
      <c r="K533" s="12" t="s">
        <v>105</v>
      </c>
      <c r="L533" s="23" t="str">
        <f>VLOOKUP(D533,Products!$A:$F,3,FALSE)</f>
        <v>Apparel</v>
      </c>
      <c r="M533" s="23" t="str">
        <f>VLOOKUP(E533,Sales_Reps!$A:$E,3,FALSE)</f>
        <v>East</v>
      </c>
      <c r="N533" s="23" t="str">
        <f t="shared" si="24"/>
        <v>Jan-24</v>
      </c>
      <c r="O533" s="23" t="str">
        <f t="shared" si="25"/>
        <v>Q1 2024</v>
      </c>
      <c r="P533" s="23">
        <f>VLOOKUP(D533,Products!$A:$F,4,FALSE)</f>
        <v>2509</v>
      </c>
      <c r="Q533" s="35">
        <f t="shared" si="26"/>
        <v>0.3069060773480663</v>
      </c>
    </row>
    <row r="534" spans="1:17">
      <c r="A534" s="12" t="s">
        <v>992</v>
      </c>
      <c r="B534" s="13">
        <v>45548</v>
      </c>
      <c r="C534" s="12" t="s">
        <v>308</v>
      </c>
      <c r="D534" s="12" t="s">
        <v>201</v>
      </c>
      <c r="E534" s="12" t="s">
        <v>149</v>
      </c>
      <c r="F534" s="14">
        <v>7</v>
      </c>
      <c r="G534" s="14">
        <v>4880</v>
      </c>
      <c r="H534" s="14">
        <v>25.6</v>
      </c>
      <c r="I534" s="14">
        <v>25415.040000000001</v>
      </c>
      <c r="J534" s="12" t="s">
        <v>161</v>
      </c>
      <c r="K534" s="12" t="s">
        <v>116</v>
      </c>
      <c r="L534" s="23" t="str">
        <f>VLOOKUP(D534,Products!$A:$F,3,FALSE)</f>
        <v>Beauty</v>
      </c>
      <c r="M534" s="23" t="str">
        <f>VLOOKUP(E534,Sales_Reps!$A:$E,3,FALSE)</f>
        <v>South</v>
      </c>
      <c r="N534" s="23" t="str">
        <f t="shared" si="24"/>
        <v>Sep-24</v>
      </c>
      <c r="O534" s="23" t="str">
        <f t="shared" si="25"/>
        <v>Q3 2024</v>
      </c>
      <c r="P534" s="23">
        <f>VLOOKUP(D534,Products!$A:$F,4,FALSE)</f>
        <v>2768</v>
      </c>
      <c r="Q534" s="35">
        <f t="shared" si="26"/>
        <v>0.43278688524590164</v>
      </c>
    </row>
    <row r="535" spans="1:17">
      <c r="A535" s="12" t="s">
        <v>993</v>
      </c>
      <c r="B535" s="13">
        <v>45434</v>
      </c>
      <c r="C535" s="12" t="s">
        <v>994</v>
      </c>
      <c r="D535" s="12" t="s">
        <v>114</v>
      </c>
      <c r="E535" s="12" t="s">
        <v>145</v>
      </c>
      <c r="F535" s="14">
        <v>2</v>
      </c>
      <c r="G535" s="14">
        <v>470</v>
      </c>
      <c r="H535" s="14">
        <v>9.6999999999999993</v>
      </c>
      <c r="I535" s="14">
        <v>848.82</v>
      </c>
      <c r="J535" s="12" t="s">
        <v>104</v>
      </c>
      <c r="K535" s="12" t="s">
        <v>105</v>
      </c>
      <c r="L535" s="23" t="str">
        <f>VLOOKUP(D535,Products!$A:$F,3,FALSE)</f>
        <v>Sports</v>
      </c>
      <c r="M535" s="23" t="str">
        <f>VLOOKUP(E535,Sales_Reps!$A:$E,3,FALSE)</f>
        <v>West</v>
      </c>
      <c r="N535" s="23" t="str">
        <f t="shared" si="24"/>
        <v>May-24</v>
      </c>
      <c r="O535" s="23" t="str">
        <f t="shared" si="25"/>
        <v>Q2 2024</v>
      </c>
      <c r="P535" s="23">
        <f>VLOOKUP(D535,Products!$A:$F,4,FALSE)</f>
        <v>302</v>
      </c>
      <c r="Q535" s="35">
        <f t="shared" si="26"/>
        <v>0.35744680851063831</v>
      </c>
    </row>
    <row r="536" spans="1:17">
      <c r="A536" s="12" t="s">
        <v>995</v>
      </c>
      <c r="B536" s="13">
        <v>45539</v>
      </c>
      <c r="C536" s="12" t="s">
        <v>852</v>
      </c>
      <c r="D536" s="12" t="s">
        <v>403</v>
      </c>
      <c r="E536" s="12" t="s">
        <v>302</v>
      </c>
      <c r="F536" s="14">
        <v>6</v>
      </c>
      <c r="G536" s="14">
        <v>2290</v>
      </c>
      <c r="H536" s="14">
        <v>8.9</v>
      </c>
      <c r="I536" s="14">
        <v>12517.14</v>
      </c>
      <c r="J536" s="12" t="s">
        <v>104</v>
      </c>
      <c r="K536" s="12" t="s">
        <v>134</v>
      </c>
      <c r="L536" s="23" t="str">
        <f>VLOOKUP(D536,Products!$A:$F,3,FALSE)</f>
        <v>Beauty</v>
      </c>
      <c r="M536" s="23" t="str">
        <f>VLOOKUP(E536,Sales_Reps!$A:$E,3,FALSE)</f>
        <v>East</v>
      </c>
      <c r="N536" s="23" t="str">
        <f t="shared" si="24"/>
        <v>Sep-24</v>
      </c>
      <c r="O536" s="23" t="str">
        <f t="shared" si="25"/>
        <v>Q3 2024</v>
      </c>
      <c r="P536" s="23">
        <f>VLOOKUP(D536,Products!$A:$F,4,FALSE)</f>
        <v>1219</v>
      </c>
      <c r="Q536" s="35">
        <f t="shared" si="26"/>
        <v>0.46768558951965067</v>
      </c>
    </row>
    <row r="537" spans="1:17">
      <c r="A537" s="12" t="s">
        <v>996</v>
      </c>
      <c r="B537" s="13">
        <v>45468</v>
      </c>
      <c r="C537" s="12" t="s">
        <v>477</v>
      </c>
      <c r="D537" s="12" t="s">
        <v>384</v>
      </c>
      <c r="E537" s="12" t="s">
        <v>149</v>
      </c>
      <c r="F537" s="14">
        <v>3</v>
      </c>
      <c r="G537" s="14">
        <v>2380</v>
      </c>
      <c r="H537" s="14">
        <v>2.7</v>
      </c>
      <c r="I537" s="14">
        <v>6947.22</v>
      </c>
      <c r="J537" s="12" t="s">
        <v>110</v>
      </c>
      <c r="K537" s="12" t="s">
        <v>105</v>
      </c>
      <c r="L537" s="23" t="str">
        <f>VLOOKUP(D537,Products!$A:$F,3,FALSE)</f>
        <v>Grocery</v>
      </c>
      <c r="M537" s="23" t="str">
        <f>VLOOKUP(E537,Sales_Reps!$A:$E,3,FALSE)</f>
        <v>South</v>
      </c>
      <c r="N537" s="23" t="str">
        <f t="shared" si="24"/>
        <v>Jun-24</v>
      </c>
      <c r="O537" s="23" t="str">
        <f t="shared" si="25"/>
        <v>Q2 2024</v>
      </c>
      <c r="P537" s="23">
        <f>VLOOKUP(D537,Products!$A:$F,4,FALSE)</f>
        <v>1182</v>
      </c>
      <c r="Q537" s="35">
        <f t="shared" si="26"/>
        <v>0.50336134453781511</v>
      </c>
    </row>
    <row r="538" spans="1:17">
      <c r="A538" s="12" t="s">
        <v>997</v>
      </c>
      <c r="B538" s="13">
        <v>45485</v>
      </c>
      <c r="C538" s="12" t="s">
        <v>746</v>
      </c>
      <c r="D538" s="12" t="s">
        <v>384</v>
      </c>
      <c r="E538" s="12" t="s">
        <v>124</v>
      </c>
      <c r="F538" s="14">
        <v>9</v>
      </c>
      <c r="G538" s="14">
        <v>2380</v>
      </c>
      <c r="H538" s="14">
        <v>20.100000000000001</v>
      </c>
      <c r="I538" s="14">
        <v>17114.580000000002</v>
      </c>
      <c r="J538" s="12" t="s">
        <v>104</v>
      </c>
      <c r="K538" s="12" t="s">
        <v>129</v>
      </c>
      <c r="L538" s="23" t="str">
        <f>VLOOKUP(D538,Products!$A:$F,3,FALSE)</f>
        <v>Grocery</v>
      </c>
      <c r="M538" s="23" t="str">
        <f>VLOOKUP(E538,Sales_Reps!$A:$E,3,FALSE)</f>
        <v>North</v>
      </c>
      <c r="N538" s="23" t="str">
        <f t="shared" si="24"/>
        <v>Jul-24</v>
      </c>
      <c r="O538" s="23" t="str">
        <f t="shared" si="25"/>
        <v>Q3 2024</v>
      </c>
      <c r="P538" s="23">
        <f>VLOOKUP(D538,Products!$A:$F,4,FALSE)</f>
        <v>1182</v>
      </c>
      <c r="Q538" s="35">
        <f t="shared" si="26"/>
        <v>0.50336134453781511</v>
      </c>
    </row>
    <row r="539" spans="1:17">
      <c r="A539" s="12" t="s">
        <v>998</v>
      </c>
      <c r="B539" s="13">
        <v>45303</v>
      </c>
      <c r="C539" s="12" t="s">
        <v>584</v>
      </c>
      <c r="D539" s="12" t="s">
        <v>377</v>
      </c>
      <c r="E539" s="12" t="s">
        <v>115</v>
      </c>
      <c r="F539" s="14">
        <v>8</v>
      </c>
      <c r="G539" s="14">
        <v>5410</v>
      </c>
      <c r="H539" s="14">
        <v>11.2</v>
      </c>
      <c r="I539" s="14">
        <v>38432.639999999999</v>
      </c>
      <c r="J539" s="12" t="s">
        <v>104</v>
      </c>
      <c r="K539" s="12" t="s">
        <v>134</v>
      </c>
      <c r="L539" s="23" t="str">
        <f>VLOOKUP(D539,Products!$A:$F,3,FALSE)</f>
        <v>Sports</v>
      </c>
      <c r="M539" s="23" t="str">
        <f>VLOOKUP(E539,Sales_Reps!$A:$E,3,FALSE)</f>
        <v>South</v>
      </c>
      <c r="N539" s="23" t="str">
        <f t="shared" si="24"/>
        <v>Jan-24</v>
      </c>
      <c r="O539" s="23" t="str">
        <f t="shared" si="25"/>
        <v>Q1 2024</v>
      </c>
      <c r="P539" s="23">
        <f>VLOOKUP(D539,Products!$A:$F,4,FALSE)</f>
        <v>2265</v>
      </c>
      <c r="Q539" s="35">
        <f t="shared" si="26"/>
        <v>0.58133086876155271</v>
      </c>
    </row>
    <row r="540" spans="1:17">
      <c r="A540" s="12" t="s">
        <v>999</v>
      </c>
      <c r="B540" s="13">
        <v>45605</v>
      </c>
      <c r="C540" s="12" t="s">
        <v>1000</v>
      </c>
      <c r="D540" s="12" t="s">
        <v>137</v>
      </c>
      <c r="E540" s="12" t="s">
        <v>124</v>
      </c>
      <c r="F540" s="14">
        <v>1</v>
      </c>
      <c r="G540" s="14">
        <v>1430</v>
      </c>
      <c r="H540" s="14">
        <v>19.600000000000001</v>
      </c>
      <c r="I540" s="14">
        <v>1149.72</v>
      </c>
      <c r="J540" s="12" t="s">
        <v>104</v>
      </c>
      <c r="K540" s="12" t="s">
        <v>134</v>
      </c>
      <c r="L540" s="23" t="str">
        <f>VLOOKUP(D540,Products!$A:$F,3,FALSE)</f>
        <v>Electronics</v>
      </c>
      <c r="M540" s="23" t="str">
        <f>VLOOKUP(E540,Sales_Reps!$A:$E,3,FALSE)</f>
        <v>North</v>
      </c>
      <c r="N540" s="23" t="str">
        <f t="shared" si="24"/>
        <v>Nov-24</v>
      </c>
      <c r="O540" s="23" t="str">
        <f t="shared" si="25"/>
        <v>Q4 2024</v>
      </c>
      <c r="P540" s="23">
        <f>VLOOKUP(D540,Products!$A:$F,4,FALSE)</f>
        <v>861</v>
      </c>
      <c r="Q540" s="35">
        <f t="shared" si="26"/>
        <v>0.39790209790209791</v>
      </c>
    </row>
    <row r="541" spans="1:17">
      <c r="A541" s="12" t="s">
        <v>1001</v>
      </c>
      <c r="B541" s="13">
        <v>45421</v>
      </c>
      <c r="C541" s="12" t="s">
        <v>887</v>
      </c>
      <c r="D541" s="12" t="s">
        <v>168</v>
      </c>
      <c r="E541" s="12" t="s">
        <v>360</v>
      </c>
      <c r="F541" s="14">
        <v>9</v>
      </c>
      <c r="G541" s="14">
        <v>2400</v>
      </c>
      <c r="H541" s="14">
        <v>5</v>
      </c>
      <c r="I541" s="14">
        <v>20520</v>
      </c>
      <c r="J541" s="12" t="s">
        <v>104</v>
      </c>
      <c r="K541" s="12" t="s">
        <v>134</v>
      </c>
      <c r="L541" s="23" t="str">
        <f>VLOOKUP(D541,Products!$A:$F,3,FALSE)</f>
        <v>Sports</v>
      </c>
      <c r="M541" s="23" t="str">
        <f>VLOOKUP(E541,Sales_Reps!$A:$E,3,FALSE)</f>
        <v>West</v>
      </c>
      <c r="N541" s="23" t="str">
        <f t="shared" si="24"/>
        <v>May-24</v>
      </c>
      <c r="O541" s="23" t="str">
        <f t="shared" si="25"/>
        <v>Q2 2024</v>
      </c>
      <c r="P541" s="23">
        <f>VLOOKUP(D541,Products!$A:$F,4,FALSE)</f>
        <v>974</v>
      </c>
      <c r="Q541" s="35">
        <f t="shared" si="26"/>
        <v>0.59416666666666662</v>
      </c>
    </row>
    <row r="542" spans="1:17">
      <c r="A542" s="12" t="s">
        <v>1002</v>
      </c>
      <c r="B542" s="13">
        <v>45493</v>
      </c>
      <c r="C542" s="12" t="s">
        <v>1003</v>
      </c>
      <c r="D542" s="12" t="s">
        <v>251</v>
      </c>
      <c r="E542" s="12" t="s">
        <v>232</v>
      </c>
      <c r="F542" s="14">
        <v>1</v>
      </c>
      <c r="G542" s="14">
        <v>3780</v>
      </c>
      <c r="H542" s="14">
        <v>4.7</v>
      </c>
      <c r="I542" s="14">
        <v>3602.34</v>
      </c>
      <c r="J542" s="12" t="s">
        <v>104</v>
      </c>
      <c r="K542" s="12" t="s">
        <v>111</v>
      </c>
      <c r="L542" s="23" t="str">
        <f>VLOOKUP(D542,Products!$A:$F,3,FALSE)</f>
        <v>Grocery</v>
      </c>
      <c r="M542" s="23" t="str">
        <f>VLOOKUP(E542,Sales_Reps!$A:$E,3,FALSE)</f>
        <v>North</v>
      </c>
      <c r="N542" s="23" t="str">
        <f t="shared" si="24"/>
        <v>Jul-24</v>
      </c>
      <c r="O542" s="23" t="str">
        <f t="shared" si="25"/>
        <v>Q3 2024</v>
      </c>
      <c r="P542" s="23">
        <f>VLOOKUP(D542,Products!$A:$F,4,FALSE)</f>
        <v>2436</v>
      </c>
      <c r="Q542" s="35">
        <f t="shared" si="26"/>
        <v>0.35555555555555557</v>
      </c>
    </row>
    <row r="543" spans="1:17">
      <c r="A543" s="12" t="s">
        <v>1004</v>
      </c>
      <c r="B543" s="13">
        <v>45592</v>
      </c>
      <c r="C543" s="12" t="s">
        <v>895</v>
      </c>
      <c r="D543" s="12" t="s">
        <v>309</v>
      </c>
      <c r="E543" s="12" t="s">
        <v>138</v>
      </c>
      <c r="F543" s="14">
        <v>2</v>
      </c>
      <c r="G543" s="14">
        <v>620</v>
      </c>
      <c r="H543" s="14">
        <v>8</v>
      </c>
      <c r="I543" s="14">
        <v>1140.8</v>
      </c>
      <c r="J543" s="12" t="s">
        <v>104</v>
      </c>
      <c r="K543" s="12" t="s">
        <v>129</v>
      </c>
      <c r="L543" s="23" t="str">
        <f>VLOOKUP(D543,Products!$A:$F,3,FALSE)</f>
        <v>Apparel</v>
      </c>
      <c r="M543" s="23" t="str">
        <f>VLOOKUP(E543,Sales_Reps!$A:$E,3,FALSE)</f>
        <v>East</v>
      </c>
      <c r="N543" s="23" t="str">
        <f t="shared" si="24"/>
        <v>Oct-24</v>
      </c>
      <c r="O543" s="23" t="str">
        <f t="shared" si="25"/>
        <v>Q4 2024</v>
      </c>
      <c r="P543" s="23">
        <f>VLOOKUP(D543,Products!$A:$F,4,FALSE)</f>
        <v>396</v>
      </c>
      <c r="Q543" s="35">
        <f t="shared" si="26"/>
        <v>0.36129032258064514</v>
      </c>
    </row>
    <row r="544" spans="1:17">
      <c r="A544" s="12" t="s">
        <v>1005</v>
      </c>
      <c r="B544" s="13">
        <v>45379</v>
      </c>
      <c r="C544" s="12" t="s">
        <v>655</v>
      </c>
      <c r="D544" s="12" t="s">
        <v>164</v>
      </c>
      <c r="E544" s="12" t="s">
        <v>103</v>
      </c>
      <c r="F544" s="14">
        <v>3</v>
      </c>
      <c r="G544" s="14">
        <v>190</v>
      </c>
      <c r="H544" s="14">
        <v>17.899999999999999</v>
      </c>
      <c r="I544" s="14">
        <v>467.97</v>
      </c>
      <c r="J544" s="12" t="s">
        <v>110</v>
      </c>
      <c r="K544" s="12" t="s">
        <v>116</v>
      </c>
      <c r="L544" s="23" t="str">
        <f>VLOOKUP(D544,Products!$A:$F,3,FALSE)</f>
        <v>Sports</v>
      </c>
      <c r="M544" s="23" t="str">
        <f>VLOOKUP(E544,Sales_Reps!$A:$E,3,FALSE)</f>
        <v>North</v>
      </c>
      <c r="N544" s="23" t="str">
        <f t="shared" si="24"/>
        <v>Mar-24</v>
      </c>
      <c r="O544" s="23" t="str">
        <f t="shared" si="25"/>
        <v>Q1 2024</v>
      </c>
      <c r="P544" s="23">
        <f>VLOOKUP(D544,Products!$A:$F,4,FALSE)</f>
        <v>147</v>
      </c>
      <c r="Q544" s="35">
        <f t="shared" si="26"/>
        <v>0.22631578947368422</v>
      </c>
    </row>
    <row r="545" spans="1:17">
      <c r="A545" s="12" t="s">
        <v>1006</v>
      </c>
      <c r="B545" s="13">
        <v>45332</v>
      </c>
      <c r="C545" s="12" t="s">
        <v>1007</v>
      </c>
      <c r="D545" s="12" t="s">
        <v>102</v>
      </c>
      <c r="E545" s="12" t="s">
        <v>138</v>
      </c>
      <c r="F545" s="14">
        <v>2</v>
      </c>
      <c r="G545" s="14">
        <v>3620</v>
      </c>
      <c r="H545" s="14">
        <v>15.5</v>
      </c>
      <c r="I545" s="14">
        <v>6117.8</v>
      </c>
      <c r="J545" s="12" t="s">
        <v>104</v>
      </c>
      <c r="K545" s="12" t="s">
        <v>134</v>
      </c>
      <c r="L545" s="23" t="str">
        <f>VLOOKUP(D545,Products!$A:$F,3,FALSE)</f>
        <v>Apparel</v>
      </c>
      <c r="M545" s="23" t="str">
        <f>VLOOKUP(E545,Sales_Reps!$A:$E,3,FALSE)</f>
        <v>East</v>
      </c>
      <c r="N545" s="23" t="str">
        <f t="shared" si="24"/>
        <v>Feb-24</v>
      </c>
      <c r="O545" s="23" t="str">
        <f t="shared" si="25"/>
        <v>Q1 2024</v>
      </c>
      <c r="P545" s="23">
        <f>VLOOKUP(D545,Products!$A:$F,4,FALSE)</f>
        <v>2509</v>
      </c>
      <c r="Q545" s="35">
        <f t="shared" si="26"/>
        <v>0.3069060773480663</v>
      </c>
    </row>
    <row r="546" spans="1:17">
      <c r="A546" s="12" t="s">
        <v>1008</v>
      </c>
      <c r="B546" s="13">
        <v>45610</v>
      </c>
      <c r="C546" s="12" t="s">
        <v>207</v>
      </c>
      <c r="D546" s="12" t="s">
        <v>212</v>
      </c>
      <c r="E546" s="12" t="s">
        <v>320</v>
      </c>
      <c r="F546" s="14">
        <v>5</v>
      </c>
      <c r="G546" s="14">
        <v>2860</v>
      </c>
      <c r="H546" s="14">
        <v>26.8</v>
      </c>
      <c r="I546" s="14">
        <v>10467.6</v>
      </c>
      <c r="J546" s="12" t="s">
        <v>104</v>
      </c>
      <c r="K546" s="12" t="s">
        <v>150</v>
      </c>
      <c r="L546" s="23" t="str">
        <f>VLOOKUP(D546,Products!$A:$F,3,FALSE)</f>
        <v>Sports</v>
      </c>
      <c r="M546" s="23" t="str">
        <f>VLOOKUP(E546,Sales_Reps!$A:$E,3,FALSE)</f>
        <v>East</v>
      </c>
      <c r="N546" s="23" t="str">
        <f t="shared" si="24"/>
        <v>Nov-24</v>
      </c>
      <c r="O546" s="23" t="str">
        <f t="shared" si="25"/>
        <v>Q4 2024</v>
      </c>
      <c r="P546" s="23">
        <f>VLOOKUP(D546,Products!$A:$F,4,FALSE)</f>
        <v>2028</v>
      </c>
      <c r="Q546" s="35">
        <f t="shared" si="26"/>
        <v>0.29090909090909089</v>
      </c>
    </row>
    <row r="547" spans="1:17">
      <c r="A547" s="12" t="s">
        <v>1009</v>
      </c>
      <c r="B547" s="13">
        <v>45638</v>
      </c>
      <c r="C547" s="12" t="s">
        <v>927</v>
      </c>
      <c r="D547" s="12" t="s">
        <v>168</v>
      </c>
      <c r="E547" s="12" t="s">
        <v>171</v>
      </c>
      <c r="F547" s="14">
        <v>6</v>
      </c>
      <c r="G547" s="14">
        <v>2400</v>
      </c>
      <c r="H547" s="14">
        <v>19.2</v>
      </c>
      <c r="I547" s="14">
        <v>11635.2</v>
      </c>
      <c r="J547" s="12" t="s">
        <v>157</v>
      </c>
      <c r="K547" s="12" t="s">
        <v>116</v>
      </c>
      <c r="L547" s="23" t="str">
        <f>VLOOKUP(D547,Products!$A:$F,3,FALSE)</f>
        <v>Sports</v>
      </c>
      <c r="M547" s="23" t="str">
        <f>VLOOKUP(E547,Sales_Reps!$A:$E,3,FALSE)</f>
        <v>East</v>
      </c>
      <c r="N547" s="23" t="str">
        <f t="shared" si="24"/>
        <v>Dec-24</v>
      </c>
      <c r="O547" s="23" t="str">
        <f t="shared" si="25"/>
        <v>Q4 2024</v>
      </c>
      <c r="P547" s="23">
        <f>VLOOKUP(D547,Products!$A:$F,4,FALSE)</f>
        <v>974</v>
      </c>
      <c r="Q547" s="35">
        <f t="shared" si="26"/>
        <v>0.59416666666666662</v>
      </c>
    </row>
    <row r="548" spans="1:17">
      <c r="A548" s="12" t="s">
        <v>1010</v>
      </c>
      <c r="B548" s="13">
        <v>45546</v>
      </c>
      <c r="C548" s="12" t="s">
        <v>627</v>
      </c>
      <c r="D548" s="12" t="s">
        <v>460</v>
      </c>
      <c r="E548" s="12" t="s">
        <v>221</v>
      </c>
      <c r="F548" s="14">
        <v>7</v>
      </c>
      <c r="G548" s="14">
        <v>5080</v>
      </c>
      <c r="H548" s="14">
        <v>16.600000000000001</v>
      </c>
      <c r="I548" s="14">
        <v>29657.040000000001</v>
      </c>
      <c r="J548" s="12" t="s">
        <v>110</v>
      </c>
      <c r="K548" s="12" t="s">
        <v>134</v>
      </c>
      <c r="L548" s="23" t="str">
        <f>VLOOKUP(D548,Products!$A:$F,3,FALSE)</f>
        <v>Home</v>
      </c>
      <c r="M548" s="23" t="str">
        <f>VLOOKUP(E548,Sales_Reps!$A:$E,3,FALSE)</f>
        <v>South</v>
      </c>
      <c r="N548" s="23" t="str">
        <f t="shared" si="24"/>
        <v>Sep-24</v>
      </c>
      <c r="O548" s="23" t="str">
        <f t="shared" si="25"/>
        <v>Q3 2024</v>
      </c>
      <c r="P548" s="23">
        <f>VLOOKUP(D548,Products!$A:$F,4,FALSE)</f>
        <v>2459</v>
      </c>
      <c r="Q548" s="35">
        <f t="shared" si="26"/>
        <v>0.51594488188976373</v>
      </c>
    </row>
    <row r="549" spans="1:17">
      <c r="A549" s="12" t="s">
        <v>1011</v>
      </c>
      <c r="B549" s="13">
        <v>45436</v>
      </c>
      <c r="C549" s="12" t="s">
        <v>173</v>
      </c>
      <c r="D549" s="12" t="s">
        <v>460</v>
      </c>
      <c r="E549" s="12" t="s">
        <v>205</v>
      </c>
      <c r="F549" s="14">
        <v>10</v>
      </c>
      <c r="G549" s="14">
        <v>5080</v>
      </c>
      <c r="H549" s="14">
        <v>24.6</v>
      </c>
      <c r="I549" s="14">
        <v>38303.199999999997</v>
      </c>
      <c r="J549" s="12" t="s">
        <v>104</v>
      </c>
      <c r="K549" s="12" t="s">
        <v>150</v>
      </c>
      <c r="L549" s="23" t="str">
        <f>VLOOKUP(D549,Products!$A:$F,3,FALSE)</f>
        <v>Home</v>
      </c>
      <c r="M549" s="23" t="str">
        <f>VLOOKUP(E549,Sales_Reps!$A:$E,3,FALSE)</f>
        <v>South</v>
      </c>
      <c r="N549" s="23" t="str">
        <f t="shared" si="24"/>
        <v>May-24</v>
      </c>
      <c r="O549" s="23" t="str">
        <f t="shared" si="25"/>
        <v>Q2 2024</v>
      </c>
      <c r="P549" s="23">
        <f>VLOOKUP(D549,Products!$A:$F,4,FALSE)</f>
        <v>2459</v>
      </c>
      <c r="Q549" s="35">
        <f t="shared" si="26"/>
        <v>0.51594488188976373</v>
      </c>
    </row>
    <row r="550" spans="1:17">
      <c r="A550" s="12" t="s">
        <v>1012</v>
      </c>
      <c r="B550" s="13">
        <v>45532</v>
      </c>
      <c r="C550" s="12" t="s">
        <v>976</v>
      </c>
      <c r="D550" s="12" t="s">
        <v>132</v>
      </c>
      <c r="E550" s="12" t="s">
        <v>124</v>
      </c>
      <c r="F550" s="14">
        <v>7</v>
      </c>
      <c r="G550" s="14">
        <v>960</v>
      </c>
      <c r="H550" s="14">
        <v>16.600000000000001</v>
      </c>
      <c r="I550" s="14">
        <v>5604.48</v>
      </c>
      <c r="J550" s="12" t="s">
        <v>104</v>
      </c>
      <c r="K550" s="12" t="s">
        <v>129</v>
      </c>
      <c r="L550" s="23" t="str">
        <f>VLOOKUP(D550,Products!$A:$F,3,FALSE)</f>
        <v>Sports</v>
      </c>
      <c r="M550" s="23" t="str">
        <f>VLOOKUP(E550,Sales_Reps!$A:$E,3,FALSE)</f>
        <v>North</v>
      </c>
      <c r="N550" s="23" t="str">
        <f t="shared" si="24"/>
        <v>Aug-24</v>
      </c>
      <c r="O550" s="23" t="str">
        <f t="shared" si="25"/>
        <v>Q3 2024</v>
      </c>
      <c r="P550" s="23">
        <f>VLOOKUP(D550,Products!$A:$F,4,FALSE)</f>
        <v>705</v>
      </c>
      <c r="Q550" s="35">
        <f t="shared" si="26"/>
        <v>0.265625</v>
      </c>
    </row>
    <row r="551" spans="1:17">
      <c r="A551" s="12" t="s">
        <v>1013</v>
      </c>
      <c r="B551" s="13">
        <v>45568</v>
      </c>
      <c r="C551" s="12" t="s">
        <v>283</v>
      </c>
      <c r="D551" s="12" t="s">
        <v>119</v>
      </c>
      <c r="E551" s="12" t="s">
        <v>145</v>
      </c>
      <c r="F551" s="14">
        <v>3</v>
      </c>
      <c r="G551" s="14">
        <v>3660</v>
      </c>
      <c r="H551" s="14">
        <v>3.2</v>
      </c>
      <c r="I551" s="14">
        <v>10628.64</v>
      </c>
      <c r="J551" s="12" t="s">
        <v>110</v>
      </c>
      <c r="K551" s="12" t="s">
        <v>116</v>
      </c>
      <c r="L551" s="23" t="str">
        <f>VLOOKUP(D551,Products!$A:$F,3,FALSE)</f>
        <v>Grocery</v>
      </c>
      <c r="M551" s="23" t="str">
        <f>VLOOKUP(E551,Sales_Reps!$A:$E,3,FALSE)</f>
        <v>West</v>
      </c>
      <c r="N551" s="23" t="str">
        <f t="shared" si="24"/>
        <v>Oct-24</v>
      </c>
      <c r="O551" s="23" t="str">
        <f t="shared" si="25"/>
        <v>Q4 2024</v>
      </c>
      <c r="P551" s="23">
        <f>VLOOKUP(D551,Products!$A:$F,4,FALSE)</f>
        <v>2214</v>
      </c>
      <c r="Q551" s="35">
        <f t="shared" si="26"/>
        <v>0.39508196721311473</v>
      </c>
    </row>
    <row r="552" spans="1:17">
      <c r="A552" s="12" t="s">
        <v>1014</v>
      </c>
      <c r="B552" s="13">
        <v>45572</v>
      </c>
      <c r="C552" s="12" t="s">
        <v>214</v>
      </c>
      <c r="D552" s="12" t="s">
        <v>152</v>
      </c>
      <c r="E552" s="12" t="s">
        <v>221</v>
      </c>
      <c r="F552" s="14">
        <v>6</v>
      </c>
      <c r="G552" s="14">
        <v>2640</v>
      </c>
      <c r="H552" s="14">
        <v>26.3</v>
      </c>
      <c r="I552" s="14">
        <v>11674.08</v>
      </c>
      <c r="J552" s="12" t="s">
        <v>104</v>
      </c>
      <c r="K552" s="12" t="s">
        <v>105</v>
      </c>
      <c r="L552" s="23" t="str">
        <f>VLOOKUP(D552,Products!$A:$F,3,FALSE)</f>
        <v>Electronics</v>
      </c>
      <c r="M552" s="23" t="str">
        <f>VLOOKUP(E552,Sales_Reps!$A:$E,3,FALSE)</f>
        <v>South</v>
      </c>
      <c r="N552" s="23" t="str">
        <f t="shared" si="24"/>
        <v>Oct-24</v>
      </c>
      <c r="O552" s="23" t="str">
        <f t="shared" si="25"/>
        <v>Q4 2024</v>
      </c>
      <c r="P552" s="23">
        <f>VLOOKUP(D552,Products!$A:$F,4,FALSE)</f>
        <v>1149</v>
      </c>
      <c r="Q552" s="35">
        <f t="shared" si="26"/>
        <v>0.56477272727272732</v>
      </c>
    </row>
    <row r="553" spans="1:17">
      <c r="A553" s="12" t="s">
        <v>1015</v>
      </c>
      <c r="B553" s="13">
        <v>45562</v>
      </c>
      <c r="C553" s="12" t="s">
        <v>442</v>
      </c>
      <c r="D553" s="12" t="s">
        <v>284</v>
      </c>
      <c r="E553" s="12" t="s">
        <v>221</v>
      </c>
      <c r="F553" s="14">
        <v>6</v>
      </c>
      <c r="G553" s="14">
        <v>1220</v>
      </c>
      <c r="H553" s="14">
        <v>22.3</v>
      </c>
      <c r="I553" s="14">
        <v>5687.64</v>
      </c>
      <c r="J553" s="12" t="s">
        <v>157</v>
      </c>
      <c r="K553" s="12" t="s">
        <v>111</v>
      </c>
      <c r="L553" s="23" t="str">
        <f>VLOOKUP(D553,Products!$A:$F,3,FALSE)</f>
        <v>Electronics</v>
      </c>
      <c r="M553" s="23" t="str">
        <f>VLOOKUP(E553,Sales_Reps!$A:$E,3,FALSE)</f>
        <v>South</v>
      </c>
      <c r="N553" s="23" t="str">
        <f t="shared" si="24"/>
        <v>Sep-24</v>
      </c>
      <c r="O553" s="23" t="str">
        <f t="shared" si="25"/>
        <v>Q3 2024</v>
      </c>
      <c r="P553" s="23">
        <f>VLOOKUP(D553,Products!$A:$F,4,FALSE)</f>
        <v>517</v>
      </c>
      <c r="Q553" s="35">
        <f t="shared" si="26"/>
        <v>0.57622950819672136</v>
      </c>
    </row>
    <row r="554" spans="1:17">
      <c r="A554" s="12" t="s">
        <v>1016</v>
      </c>
      <c r="B554" s="13">
        <v>45345</v>
      </c>
      <c r="C554" s="12" t="s">
        <v>1017</v>
      </c>
      <c r="D554" s="12" t="s">
        <v>299</v>
      </c>
      <c r="E554" s="12" t="s">
        <v>269</v>
      </c>
      <c r="F554" s="14">
        <v>1</v>
      </c>
      <c r="G554" s="14">
        <v>300</v>
      </c>
      <c r="H554" s="14">
        <v>0.7</v>
      </c>
      <c r="I554" s="14">
        <v>297.89999999999998</v>
      </c>
      <c r="J554" s="12" t="s">
        <v>104</v>
      </c>
      <c r="K554" s="12" t="s">
        <v>134</v>
      </c>
      <c r="L554" s="23" t="str">
        <f>VLOOKUP(D554,Products!$A:$F,3,FALSE)</f>
        <v>Electronics</v>
      </c>
      <c r="M554" s="23" t="str">
        <f>VLOOKUP(E554,Sales_Reps!$A:$E,3,FALSE)</f>
        <v>South</v>
      </c>
      <c r="N554" s="23" t="str">
        <f t="shared" si="24"/>
        <v>Feb-24</v>
      </c>
      <c r="O554" s="23" t="str">
        <f t="shared" si="25"/>
        <v>Q1 2024</v>
      </c>
      <c r="P554" s="23">
        <f>VLOOKUP(D554,Products!$A:$F,4,FALSE)</f>
        <v>128</v>
      </c>
      <c r="Q554" s="35">
        <f t="shared" si="26"/>
        <v>0.57333333333333336</v>
      </c>
    </row>
    <row r="555" spans="1:17">
      <c r="A555" s="12" t="s">
        <v>1018</v>
      </c>
      <c r="B555" s="13">
        <v>45370</v>
      </c>
      <c r="C555" s="12" t="s">
        <v>714</v>
      </c>
      <c r="D555" s="12" t="s">
        <v>199</v>
      </c>
      <c r="E555" s="12" t="s">
        <v>209</v>
      </c>
      <c r="F555" s="14">
        <v>2</v>
      </c>
      <c r="G555" s="14">
        <v>1010</v>
      </c>
      <c r="H555" s="14">
        <v>28</v>
      </c>
      <c r="I555" s="14">
        <v>1454.4</v>
      </c>
      <c r="J555" s="12" t="s">
        <v>104</v>
      </c>
      <c r="K555" s="12" t="s">
        <v>150</v>
      </c>
      <c r="L555" s="23" t="str">
        <f>VLOOKUP(D555,Products!$A:$F,3,FALSE)</f>
        <v>Sports</v>
      </c>
      <c r="M555" s="23" t="str">
        <f>VLOOKUP(E555,Sales_Reps!$A:$E,3,FALSE)</f>
        <v>East</v>
      </c>
      <c r="N555" s="23" t="str">
        <f t="shared" si="24"/>
        <v>Mar-24</v>
      </c>
      <c r="O555" s="23" t="str">
        <f t="shared" si="25"/>
        <v>Q1 2024</v>
      </c>
      <c r="P555" s="23">
        <f>VLOOKUP(D555,Products!$A:$F,4,FALSE)</f>
        <v>516</v>
      </c>
      <c r="Q555" s="35">
        <f t="shared" si="26"/>
        <v>0.4891089108910891</v>
      </c>
    </row>
    <row r="556" spans="1:17">
      <c r="A556" s="12" t="s">
        <v>1019</v>
      </c>
      <c r="B556" s="13">
        <v>45407</v>
      </c>
      <c r="C556" s="12" t="s">
        <v>1020</v>
      </c>
      <c r="D556" s="12" t="s">
        <v>155</v>
      </c>
      <c r="E556" s="12" t="s">
        <v>290</v>
      </c>
      <c r="F556" s="14">
        <v>5</v>
      </c>
      <c r="G556" s="14">
        <v>2600</v>
      </c>
      <c r="H556" s="14">
        <v>0.8</v>
      </c>
      <c r="I556" s="14">
        <v>12896</v>
      </c>
      <c r="J556" s="12" t="s">
        <v>157</v>
      </c>
      <c r="K556" s="12" t="s">
        <v>116</v>
      </c>
      <c r="L556" s="23" t="str">
        <f>VLOOKUP(D556,Products!$A:$F,3,FALSE)</f>
        <v>Electronics</v>
      </c>
      <c r="M556" s="23" t="str">
        <f>VLOOKUP(E556,Sales_Reps!$A:$E,3,FALSE)</f>
        <v>South</v>
      </c>
      <c r="N556" s="23" t="str">
        <f t="shared" si="24"/>
        <v>Apr-24</v>
      </c>
      <c r="O556" s="23" t="str">
        <f t="shared" si="25"/>
        <v>Q2 2024</v>
      </c>
      <c r="P556" s="23">
        <f>VLOOKUP(D556,Products!$A:$F,4,FALSE)</f>
        <v>1052</v>
      </c>
      <c r="Q556" s="35">
        <f t="shared" si="26"/>
        <v>0.5953846153846154</v>
      </c>
    </row>
    <row r="557" spans="1:17">
      <c r="A557" s="12" t="s">
        <v>1021</v>
      </c>
      <c r="B557" s="13">
        <v>45337</v>
      </c>
      <c r="C557" s="12" t="s">
        <v>572</v>
      </c>
      <c r="D557" s="12" t="s">
        <v>532</v>
      </c>
      <c r="E557" s="12" t="s">
        <v>218</v>
      </c>
      <c r="F557" s="14">
        <v>3</v>
      </c>
      <c r="G557" s="14">
        <v>6940</v>
      </c>
      <c r="H557" s="14">
        <v>10.7</v>
      </c>
      <c r="I557" s="14">
        <v>18592.259999999998</v>
      </c>
      <c r="J557" s="12" t="s">
        <v>157</v>
      </c>
      <c r="K557" s="12" t="s">
        <v>129</v>
      </c>
      <c r="L557" s="23" t="str">
        <f>VLOOKUP(D557,Products!$A:$F,3,FALSE)</f>
        <v>Sports</v>
      </c>
      <c r="M557" s="23" t="str">
        <f>VLOOKUP(E557,Sales_Reps!$A:$E,3,FALSE)</f>
        <v>West</v>
      </c>
      <c r="N557" s="23" t="str">
        <f t="shared" si="24"/>
        <v>Feb-24</v>
      </c>
      <c r="O557" s="23" t="str">
        <f t="shared" si="25"/>
        <v>Q1 2024</v>
      </c>
      <c r="P557" s="23">
        <f>VLOOKUP(D557,Products!$A:$F,4,FALSE)</f>
        <v>2827</v>
      </c>
      <c r="Q557" s="35">
        <f t="shared" si="26"/>
        <v>0.5926512968299712</v>
      </c>
    </row>
    <row r="558" spans="1:17">
      <c r="A558" s="12" t="s">
        <v>1022</v>
      </c>
      <c r="B558" s="13">
        <v>45571</v>
      </c>
      <c r="C558" s="12" t="s">
        <v>1023</v>
      </c>
      <c r="D558" s="12" t="s">
        <v>127</v>
      </c>
      <c r="E558" s="12" t="s">
        <v>290</v>
      </c>
      <c r="F558" s="14">
        <v>1</v>
      </c>
      <c r="G558" s="14">
        <v>370</v>
      </c>
      <c r="H558" s="14">
        <v>10.3</v>
      </c>
      <c r="I558" s="14">
        <v>331.89</v>
      </c>
      <c r="J558" s="12" t="s">
        <v>161</v>
      </c>
      <c r="K558" s="12" t="s">
        <v>134</v>
      </c>
      <c r="L558" s="23" t="str">
        <f>VLOOKUP(D558,Products!$A:$F,3,FALSE)</f>
        <v>Home</v>
      </c>
      <c r="M558" s="23" t="str">
        <f>VLOOKUP(E558,Sales_Reps!$A:$E,3,FALSE)</f>
        <v>South</v>
      </c>
      <c r="N558" s="23" t="str">
        <f t="shared" si="24"/>
        <v>Oct-24</v>
      </c>
      <c r="O558" s="23" t="str">
        <f t="shared" si="25"/>
        <v>Q4 2024</v>
      </c>
      <c r="P558" s="23">
        <f>VLOOKUP(D558,Products!$A:$F,4,FALSE)</f>
        <v>288</v>
      </c>
      <c r="Q558" s="35">
        <f t="shared" si="26"/>
        <v>0.22162162162162163</v>
      </c>
    </row>
    <row r="559" spans="1:17">
      <c r="A559" s="12" t="s">
        <v>1024</v>
      </c>
      <c r="B559" s="13">
        <v>45357</v>
      </c>
      <c r="C559" s="12" t="s">
        <v>614</v>
      </c>
      <c r="D559" s="12" t="s">
        <v>251</v>
      </c>
      <c r="E559" s="12" t="s">
        <v>246</v>
      </c>
      <c r="F559" s="14">
        <v>2</v>
      </c>
      <c r="G559" s="14">
        <v>3780</v>
      </c>
      <c r="H559" s="14">
        <v>29.4</v>
      </c>
      <c r="I559" s="14">
        <v>5337.36</v>
      </c>
      <c r="J559" s="12" t="s">
        <v>104</v>
      </c>
      <c r="K559" s="12" t="s">
        <v>129</v>
      </c>
      <c r="L559" s="23" t="str">
        <f>VLOOKUP(D559,Products!$A:$F,3,FALSE)</f>
        <v>Grocery</v>
      </c>
      <c r="M559" s="23" t="str">
        <f>VLOOKUP(E559,Sales_Reps!$A:$E,3,FALSE)</f>
        <v>West</v>
      </c>
      <c r="N559" s="23" t="str">
        <f t="shared" si="24"/>
        <v>Mar-24</v>
      </c>
      <c r="O559" s="23" t="str">
        <f t="shared" si="25"/>
        <v>Q1 2024</v>
      </c>
      <c r="P559" s="23">
        <f>VLOOKUP(D559,Products!$A:$F,4,FALSE)</f>
        <v>2436</v>
      </c>
      <c r="Q559" s="35">
        <f t="shared" si="26"/>
        <v>0.35555555555555557</v>
      </c>
    </row>
    <row r="560" spans="1:17">
      <c r="A560" s="12" t="s">
        <v>1025</v>
      </c>
      <c r="B560" s="13">
        <v>45432</v>
      </c>
      <c r="C560" s="12" t="s">
        <v>496</v>
      </c>
      <c r="D560" s="12" t="s">
        <v>144</v>
      </c>
      <c r="E560" s="12" t="s">
        <v>302</v>
      </c>
      <c r="F560" s="14">
        <v>5</v>
      </c>
      <c r="G560" s="14">
        <v>970</v>
      </c>
      <c r="H560" s="14">
        <v>14.6</v>
      </c>
      <c r="I560" s="14">
        <v>4141.8999999999996</v>
      </c>
      <c r="J560" s="12" t="s">
        <v>104</v>
      </c>
      <c r="K560" s="12" t="s">
        <v>105</v>
      </c>
      <c r="L560" s="23" t="str">
        <f>VLOOKUP(D560,Products!$A:$F,3,FALSE)</f>
        <v>Grocery</v>
      </c>
      <c r="M560" s="23" t="str">
        <f>VLOOKUP(E560,Sales_Reps!$A:$E,3,FALSE)</f>
        <v>East</v>
      </c>
      <c r="N560" s="23" t="str">
        <f t="shared" si="24"/>
        <v>May-24</v>
      </c>
      <c r="O560" s="23" t="str">
        <f t="shared" si="25"/>
        <v>Q2 2024</v>
      </c>
      <c r="P560" s="23">
        <f>VLOOKUP(D560,Products!$A:$F,4,FALSE)</f>
        <v>434</v>
      </c>
      <c r="Q560" s="35">
        <f t="shared" si="26"/>
        <v>0.5525773195876289</v>
      </c>
    </row>
    <row r="561" spans="1:17">
      <c r="A561" s="12" t="s">
        <v>1026</v>
      </c>
      <c r="B561" s="13">
        <v>45604</v>
      </c>
      <c r="C561" s="12" t="s">
        <v>802</v>
      </c>
      <c r="D561" s="12" t="s">
        <v>262</v>
      </c>
      <c r="E561" s="12" t="s">
        <v>314</v>
      </c>
      <c r="F561" s="14">
        <v>3</v>
      </c>
      <c r="G561" s="14">
        <v>2270</v>
      </c>
      <c r="H561" s="14">
        <v>6.5</v>
      </c>
      <c r="I561" s="14">
        <v>6367.35</v>
      </c>
      <c r="J561" s="12" t="s">
        <v>104</v>
      </c>
      <c r="K561" s="12" t="s">
        <v>105</v>
      </c>
      <c r="L561" s="23" t="str">
        <f>VLOOKUP(D561,Products!$A:$F,3,FALSE)</f>
        <v>Grocery</v>
      </c>
      <c r="M561" s="23" t="str">
        <f>VLOOKUP(E561,Sales_Reps!$A:$E,3,FALSE)</f>
        <v>North</v>
      </c>
      <c r="N561" s="23" t="str">
        <f t="shared" si="24"/>
        <v>Nov-24</v>
      </c>
      <c r="O561" s="23" t="str">
        <f t="shared" si="25"/>
        <v>Q4 2024</v>
      </c>
      <c r="P561" s="23">
        <f>VLOOKUP(D561,Products!$A:$F,4,FALSE)</f>
        <v>1412</v>
      </c>
      <c r="Q561" s="35">
        <f t="shared" si="26"/>
        <v>0.37797356828193834</v>
      </c>
    </row>
    <row r="562" spans="1:17">
      <c r="A562" s="12" t="s">
        <v>1027</v>
      </c>
      <c r="B562" s="13">
        <v>45467</v>
      </c>
      <c r="C562" s="12" t="s">
        <v>717</v>
      </c>
      <c r="D562" s="12" t="s">
        <v>276</v>
      </c>
      <c r="E562" s="12" t="s">
        <v>246</v>
      </c>
      <c r="F562" s="14">
        <v>10</v>
      </c>
      <c r="G562" s="14">
        <v>1540</v>
      </c>
      <c r="H562" s="14">
        <v>16.5</v>
      </c>
      <c r="I562" s="14">
        <v>12859</v>
      </c>
      <c r="J562" s="12" t="s">
        <v>104</v>
      </c>
      <c r="K562" s="12" t="s">
        <v>111</v>
      </c>
      <c r="L562" s="23" t="str">
        <f>VLOOKUP(D562,Products!$A:$F,3,FALSE)</f>
        <v>Beauty</v>
      </c>
      <c r="M562" s="23" t="str">
        <f>VLOOKUP(E562,Sales_Reps!$A:$E,3,FALSE)</f>
        <v>West</v>
      </c>
      <c r="N562" s="23" t="str">
        <f t="shared" si="24"/>
        <v>Jun-24</v>
      </c>
      <c r="O562" s="23" t="str">
        <f t="shared" si="25"/>
        <v>Q2 2024</v>
      </c>
      <c r="P562" s="23">
        <f>VLOOKUP(D562,Products!$A:$F,4,FALSE)</f>
        <v>647</v>
      </c>
      <c r="Q562" s="35">
        <f t="shared" si="26"/>
        <v>0.57987012987012987</v>
      </c>
    </row>
    <row r="563" spans="1:17">
      <c r="A563" s="12" t="s">
        <v>1028</v>
      </c>
      <c r="B563" s="13">
        <v>45649</v>
      </c>
      <c r="C563" s="12" t="s">
        <v>122</v>
      </c>
      <c r="D563" s="12" t="s">
        <v>217</v>
      </c>
      <c r="E563" s="12" t="s">
        <v>255</v>
      </c>
      <c r="F563" s="14">
        <v>4</v>
      </c>
      <c r="G563" s="14">
        <v>2760</v>
      </c>
      <c r="H563" s="14">
        <v>19.8</v>
      </c>
      <c r="I563" s="14">
        <v>8854.08</v>
      </c>
      <c r="J563" s="12" t="s">
        <v>104</v>
      </c>
      <c r="K563" s="12" t="s">
        <v>111</v>
      </c>
      <c r="L563" s="23" t="str">
        <f>VLOOKUP(D563,Products!$A:$F,3,FALSE)</f>
        <v>Grocery</v>
      </c>
      <c r="M563" s="23" t="str">
        <f>VLOOKUP(E563,Sales_Reps!$A:$E,3,FALSE)</f>
        <v>East</v>
      </c>
      <c r="N563" s="23" t="str">
        <f t="shared" si="24"/>
        <v>Dec-24</v>
      </c>
      <c r="O563" s="23" t="str">
        <f t="shared" si="25"/>
        <v>Q4 2024</v>
      </c>
      <c r="P563" s="23">
        <f>VLOOKUP(D563,Products!$A:$F,4,FALSE)</f>
        <v>1435</v>
      </c>
      <c r="Q563" s="35">
        <f t="shared" si="26"/>
        <v>0.48007246376811596</v>
      </c>
    </row>
    <row r="564" spans="1:17">
      <c r="A564" s="12" t="s">
        <v>1029</v>
      </c>
      <c r="B564" s="13">
        <v>45332</v>
      </c>
      <c r="C564" s="12" t="s">
        <v>402</v>
      </c>
      <c r="D564" s="12" t="s">
        <v>148</v>
      </c>
      <c r="E564" s="12" t="s">
        <v>187</v>
      </c>
      <c r="F564" s="14">
        <v>3</v>
      </c>
      <c r="G564" s="14">
        <v>2270</v>
      </c>
      <c r="H564" s="14">
        <v>29.5</v>
      </c>
      <c r="I564" s="14">
        <v>4801.05</v>
      </c>
      <c r="J564" s="12" t="s">
        <v>161</v>
      </c>
      <c r="K564" s="12" t="s">
        <v>134</v>
      </c>
      <c r="L564" s="23" t="str">
        <f>VLOOKUP(D564,Products!$A:$F,3,FALSE)</f>
        <v>Grocery</v>
      </c>
      <c r="M564" s="23" t="str">
        <f>VLOOKUP(E564,Sales_Reps!$A:$E,3,FALSE)</f>
        <v>West</v>
      </c>
      <c r="N564" s="23" t="str">
        <f t="shared" si="24"/>
        <v>Feb-24</v>
      </c>
      <c r="O564" s="23" t="str">
        <f t="shared" si="25"/>
        <v>Q1 2024</v>
      </c>
      <c r="P564" s="23">
        <f>VLOOKUP(D564,Products!$A:$F,4,FALSE)</f>
        <v>1203</v>
      </c>
      <c r="Q564" s="35">
        <f t="shared" si="26"/>
        <v>0.47004405286343615</v>
      </c>
    </row>
    <row r="565" spans="1:17">
      <c r="A565" s="12" t="s">
        <v>1030</v>
      </c>
      <c r="B565" s="13">
        <v>45418</v>
      </c>
      <c r="C565" s="12" t="s">
        <v>584</v>
      </c>
      <c r="D565" s="12" t="s">
        <v>293</v>
      </c>
      <c r="E565" s="12" t="s">
        <v>205</v>
      </c>
      <c r="F565" s="14">
        <v>8</v>
      </c>
      <c r="G565" s="14">
        <v>3020</v>
      </c>
      <c r="H565" s="14">
        <v>1.2</v>
      </c>
      <c r="I565" s="14">
        <v>23870.080000000002</v>
      </c>
      <c r="J565" s="12" t="s">
        <v>104</v>
      </c>
      <c r="K565" s="12" t="s">
        <v>134</v>
      </c>
      <c r="L565" s="23" t="str">
        <f>VLOOKUP(D565,Products!$A:$F,3,FALSE)</f>
        <v>Beauty</v>
      </c>
      <c r="M565" s="23" t="str">
        <f>VLOOKUP(E565,Sales_Reps!$A:$E,3,FALSE)</f>
        <v>South</v>
      </c>
      <c r="N565" s="23" t="str">
        <f t="shared" si="24"/>
        <v>May-24</v>
      </c>
      <c r="O565" s="23" t="str">
        <f t="shared" si="25"/>
        <v>Q2 2024</v>
      </c>
      <c r="P565" s="23">
        <f>VLOOKUP(D565,Products!$A:$F,4,FALSE)</f>
        <v>1626</v>
      </c>
      <c r="Q565" s="35">
        <f t="shared" si="26"/>
        <v>0.46158940397350995</v>
      </c>
    </row>
    <row r="566" spans="1:17">
      <c r="A566" s="12" t="s">
        <v>1031</v>
      </c>
      <c r="B566" s="13">
        <v>45490</v>
      </c>
      <c r="C566" s="12" t="s">
        <v>576</v>
      </c>
      <c r="D566" s="12" t="s">
        <v>384</v>
      </c>
      <c r="E566" s="12" t="s">
        <v>320</v>
      </c>
      <c r="F566" s="14">
        <v>6</v>
      </c>
      <c r="G566" s="14">
        <v>2380</v>
      </c>
      <c r="H566" s="14">
        <v>20.399999999999999</v>
      </c>
      <c r="I566" s="14">
        <v>11366.88</v>
      </c>
      <c r="J566" s="12" t="s">
        <v>104</v>
      </c>
      <c r="K566" s="12" t="s">
        <v>105</v>
      </c>
      <c r="L566" s="23" t="str">
        <f>VLOOKUP(D566,Products!$A:$F,3,FALSE)</f>
        <v>Grocery</v>
      </c>
      <c r="M566" s="23" t="str">
        <f>VLOOKUP(E566,Sales_Reps!$A:$E,3,FALSE)</f>
        <v>East</v>
      </c>
      <c r="N566" s="23" t="str">
        <f t="shared" si="24"/>
        <v>Jul-24</v>
      </c>
      <c r="O566" s="23" t="str">
        <f t="shared" si="25"/>
        <v>Q3 2024</v>
      </c>
      <c r="P566" s="23">
        <f>VLOOKUP(D566,Products!$A:$F,4,FALSE)</f>
        <v>1182</v>
      </c>
      <c r="Q566" s="35">
        <f t="shared" si="26"/>
        <v>0.50336134453781511</v>
      </c>
    </row>
    <row r="567" spans="1:17">
      <c r="A567" s="12" t="s">
        <v>1032</v>
      </c>
      <c r="B567" s="13">
        <v>45470</v>
      </c>
      <c r="C567" s="12" t="s">
        <v>1033</v>
      </c>
      <c r="D567" s="12" t="s">
        <v>532</v>
      </c>
      <c r="E567" s="12" t="s">
        <v>145</v>
      </c>
      <c r="F567" s="14">
        <v>1</v>
      </c>
      <c r="G567" s="14">
        <v>6940</v>
      </c>
      <c r="H567" s="14">
        <v>15</v>
      </c>
      <c r="I567" s="14">
        <v>5899</v>
      </c>
      <c r="J567" s="12" t="s">
        <v>157</v>
      </c>
      <c r="K567" s="12" t="s">
        <v>134</v>
      </c>
      <c r="L567" s="23" t="str">
        <f>VLOOKUP(D567,Products!$A:$F,3,FALSE)</f>
        <v>Sports</v>
      </c>
      <c r="M567" s="23" t="str">
        <f>VLOOKUP(E567,Sales_Reps!$A:$E,3,FALSE)</f>
        <v>West</v>
      </c>
      <c r="N567" s="23" t="str">
        <f t="shared" si="24"/>
        <v>Jun-24</v>
      </c>
      <c r="O567" s="23" t="str">
        <f t="shared" si="25"/>
        <v>Q2 2024</v>
      </c>
      <c r="P567" s="23">
        <f>VLOOKUP(D567,Products!$A:$F,4,FALSE)</f>
        <v>2827</v>
      </c>
      <c r="Q567" s="35">
        <f t="shared" si="26"/>
        <v>0.5926512968299712</v>
      </c>
    </row>
    <row r="568" spans="1:17">
      <c r="A568" s="12" t="s">
        <v>1034</v>
      </c>
      <c r="B568" s="13">
        <v>45654</v>
      </c>
      <c r="C568" s="12" t="s">
        <v>308</v>
      </c>
      <c r="D568" s="12" t="s">
        <v>296</v>
      </c>
      <c r="E568" s="12" t="s">
        <v>149</v>
      </c>
      <c r="F568" s="14">
        <v>1</v>
      </c>
      <c r="G568" s="14">
        <v>2660</v>
      </c>
      <c r="H568" s="14">
        <v>11.6</v>
      </c>
      <c r="I568" s="14">
        <v>2351.44</v>
      </c>
      <c r="J568" s="12" t="s">
        <v>104</v>
      </c>
      <c r="K568" s="12" t="s">
        <v>116</v>
      </c>
      <c r="L568" s="23" t="str">
        <f>VLOOKUP(D568,Products!$A:$F,3,FALSE)</f>
        <v>Electronics</v>
      </c>
      <c r="M568" s="23" t="str">
        <f>VLOOKUP(E568,Sales_Reps!$A:$E,3,FALSE)</f>
        <v>South</v>
      </c>
      <c r="N568" s="23" t="str">
        <f t="shared" si="24"/>
        <v>Dec-24</v>
      </c>
      <c r="O568" s="23" t="str">
        <f t="shared" si="25"/>
        <v>Q4 2024</v>
      </c>
      <c r="P568" s="23">
        <f>VLOOKUP(D568,Products!$A:$F,4,FALSE)</f>
        <v>1259</v>
      </c>
      <c r="Q568" s="35">
        <f t="shared" si="26"/>
        <v>0.52669172932330832</v>
      </c>
    </row>
    <row r="569" spans="1:17">
      <c r="A569" s="12" t="s">
        <v>1035</v>
      </c>
      <c r="B569" s="13">
        <v>45548</v>
      </c>
      <c r="C569" s="12" t="s">
        <v>787</v>
      </c>
      <c r="D569" s="12" t="s">
        <v>144</v>
      </c>
      <c r="E569" s="12" t="s">
        <v>269</v>
      </c>
      <c r="F569" s="14">
        <v>4</v>
      </c>
      <c r="G569" s="14">
        <v>970</v>
      </c>
      <c r="H569" s="14">
        <v>11.6</v>
      </c>
      <c r="I569" s="14">
        <v>3429.92</v>
      </c>
      <c r="J569" s="12" t="s">
        <v>104</v>
      </c>
      <c r="K569" s="12" t="s">
        <v>105</v>
      </c>
      <c r="L569" s="23" t="str">
        <f>VLOOKUP(D569,Products!$A:$F,3,FALSE)</f>
        <v>Grocery</v>
      </c>
      <c r="M569" s="23" t="str">
        <f>VLOOKUP(E569,Sales_Reps!$A:$E,3,FALSE)</f>
        <v>South</v>
      </c>
      <c r="N569" s="23" t="str">
        <f t="shared" si="24"/>
        <v>Sep-24</v>
      </c>
      <c r="O569" s="23" t="str">
        <f t="shared" si="25"/>
        <v>Q3 2024</v>
      </c>
      <c r="P569" s="23">
        <f>VLOOKUP(D569,Products!$A:$F,4,FALSE)</f>
        <v>434</v>
      </c>
      <c r="Q569" s="35">
        <f t="shared" si="26"/>
        <v>0.5525773195876289</v>
      </c>
    </row>
    <row r="570" spans="1:17">
      <c r="A570" s="12" t="s">
        <v>1036</v>
      </c>
      <c r="B570" s="13">
        <v>45632</v>
      </c>
      <c r="C570" s="12" t="s">
        <v>619</v>
      </c>
      <c r="D570" s="12" t="s">
        <v>262</v>
      </c>
      <c r="E570" s="12" t="s">
        <v>314</v>
      </c>
      <c r="F570" s="14">
        <v>7</v>
      </c>
      <c r="G570" s="14">
        <v>2270</v>
      </c>
      <c r="H570" s="14">
        <v>27.9</v>
      </c>
      <c r="I570" s="14">
        <v>11456.69</v>
      </c>
      <c r="J570" s="12" t="s">
        <v>104</v>
      </c>
      <c r="K570" s="12" t="s">
        <v>111</v>
      </c>
      <c r="L570" s="23" t="str">
        <f>VLOOKUP(D570,Products!$A:$F,3,FALSE)</f>
        <v>Grocery</v>
      </c>
      <c r="M570" s="23" t="str">
        <f>VLOOKUP(E570,Sales_Reps!$A:$E,3,FALSE)</f>
        <v>North</v>
      </c>
      <c r="N570" s="23" t="str">
        <f t="shared" si="24"/>
        <v>Dec-24</v>
      </c>
      <c r="O570" s="23" t="str">
        <f t="shared" si="25"/>
        <v>Q4 2024</v>
      </c>
      <c r="P570" s="23">
        <f>VLOOKUP(D570,Products!$A:$F,4,FALSE)</f>
        <v>1412</v>
      </c>
      <c r="Q570" s="35">
        <f t="shared" si="26"/>
        <v>0.37797356828193834</v>
      </c>
    </row>
    <row r="571" spans="1:17">
      <c r="A571" s="12" t="s">
        <v>1037</v>
      </c>
      <c r="B571" s="13">
        <v>45304</v>
      </c>
      <c r="C571" s="12" t="s">
        <v>280</v>
      </c>
      <c r="D571" s="12" t="s">
        <v>199</v>
      </c>
      <c r="E571" s="12" t="s">
        <v>363</v>
      </c>
      <c r="F571" s="14">
        <v>8</v>
      </c>
      <c r="G571" s="14">
        <v>1010</v>
      </c>
      <c r="H571" s="14">
        <v>13.7</v>
      </c>
      <c r="I571" s="14">
        <v>6973.04</v>
      </c>
      <c r="J571" s="12" t="s">
        <v>157</v>
      </c>
      <c r="K571" s="12" t="s">
        <v>150</v>
      </c>
      <c r="L571" s="23" t="str">
        <f>VLOOKUP(D571,Products!$A:$F,3,FALSE)</f>
        <v>Sports</v>
      </c>
      <c r="M571" s="23" t="str">
        <f>VLOOKUP(E571,Sales_Reps!$A:$E,3,FALSE)</f>
        <v>South</v>
      </c>
      <c r="N571" s="23" t="str">
        <f t="shared" si="24"/>
        <v>Jan-24</v>
      </c>
      <c r="O571" s="23" t="str">
        <f t="shared" si="25"/>
        <v>Q1 2024</v>
      </c>
      <c r="P571" s="23">
        <f>VLOOKUP(D571,Products!$A:$F,4,FALSE)</f>
        <v>516</v>
      </c>
      <c r="Q571" s="35">
        <f t="shared" si="26"/>
        <v>0.4891089108910891</v>
      </c>
    </row>
    <row r="572" spans="1:17">
      <c r="A572" s="12" t="s">
        <v>1038</v>
      </c>
      <c r="B572" s="13">
        <v>45330</v>
      </c>
      <c r="C572" s="12" t="s">
        <v>477</v>
      </c>
      <c r="D572" s="12" t="s">
        <v>384</v>
      </c>
      <c r="E572" s="12" t="s">
        <v>232</v>
      </c>
      <c r="F572" s="14">
        <v>8</v>
      </c>
      <c r="G572" s="14">
        <v>2380</v>
      </c>
      <c r="H572" s="14">
        <v>15.3</v>
      </c>
      <c r="I572" s="14">
        <v>16126.88</v>
      </c>
      <c r="J572" s="12" t="s">
        <v>157</v>
      </c>
      <c r="K572" s="12" t="s">
        <v>105</v>
      </c>
      <c r="L572" s="23" t="str">
        <f>VLOOKUP(D572,Products!$A:$F,3,FALSE)</f>
        <v>Grocery</v>
      </c>
      <c r="M572" s="23" t="str">
        <f>VLOOKUP(E572,Sales_Reps!$A:$E,3,FALSE)</f>
        <v>North</v>
      </c>
      <c r="N572" s="23" t="str">
        <f t="shared" si="24"/>
        <v>Feb-24</v>
      </c>
      <c r="O572" s="23" t="str">
        <f t="shared" si="25"/>
        <v>Q1 2024</v>
      </c>
      <c r="P572" s="23">
        <f>VLOOKUP(D572,Products!$A:$F,4,FALSE)</f>
        <v>1182</v>
      </c>
      <c r="Q572" s="35">
        <f t="shared" si="26"/>
        <v>0.50336134453781511</v>
      </c>
    </row>
    <row r="573" spans="1:17">
      <c r="A573" s="12" t="s">
        <v>1039</v>
      </c>
      <c r="B573" s="13">
        <v>45633</v>
      </c>
      <c r="C573" s="12" t="s">
        <v>1000</v>
      </c>
      <c r="D573" s="12" t="s">
        <v>114</v>
      </c>
      <c r="E573" s="12" t="s">
        <v>320</v>
      </c>
      <c r="F573" s="14">
        <v>10</v>
      </c>
      <c r="G573" s="14">
        <v>470</v>
      </c>
      <c r="H573" s="14">
        <v>2.1</v>
      </c>
      <c r="I573" s="14">
        <v>4601.3</v>
      </c>
      <c r="J573" s="12" t="s">
        <v>104</v>
      </c>
      <c r="K573" s="12" t="s">
        <v>134</v>
      </c>
      <c r="L573" s="23" t="str">
        <f>VLOOKUP(D573,Products!$A:$F,3,FALSE)</f>
        <v>Sports</v>
      </c>
      <c r="M573" s="23" t="str">
        <f>VLOOKUP(E573,Sales_Reps!$A:$E,3,FALSE)</f>
        <v>East</v>
      </c>
      <c r="N573" s="23" t="str">
        <f t="shared" si="24"/>
        <v>Dec-24</v>
      </c>
      <c r="O573" s="23" t="str">
        <f t="shared" si="25"/>
        <v>Q4 2024</v>
      </c>
      <c r="P573" s="23">
        <f>VLOOKUP(D573,Products!$A:$F,4,FALSE)</f>
        <v>302</v>
      </c>
      <c r="Q573" s="35">
        <f t="shared" si="26"/>
        <v>0.35744680851063831</v>
      </c>
    </row>
    <row r="574" spans="1:17">
      <c r="A574" s="12" t="s">
        <v>1040</v>
      </c>
      <c r="B574" s="13">
        <v>45480</v>
      </c>
      <c r="C574" s="12" t="s">
        <v>468</v>
      </c>
      <c r="D574" s="12" t="s">
        <v>208</v>
      </c>
      <c r="E574" s="12" t="s">
        <v>128</v>
      </c>
      <c r="F574" s="14">
        <v>5</v>
      </c>
      <c r="G574" s="14">
        <v>5100</v>
      </c>
      <c r="H574" s="14">
        <v>9.6999999999999993</v>
      </c>
      <c r="I574" s="14">
        <v>23026.5</v>
      </c>
      <c r="J574" s="12" t="s">
        <v>104</v>
      </c>
      <c r="K574" s="12" t="s">
        <v>116</v>
      </c>
      <c r="L574" s="23" t="str">
        <f>VLOOKUP(D574,Products!$A:$F,3,FALSE)</f>
        <v>Beauty</v>
      </c>
      <c r="M574" s="23" t="str">
        <f>VLOOKUP(E574,Sales_Reps!$A:$E,3,FALSE)</f>
        <v>West</v>
      </c>
      <c r="N574" s="23" t="str">
        <f t="shared" si="24"/>
        <v>Jul-24</v>
      </c>
      <c r="O574" s="23" t="str">
        <f t="shared" si="25"/>
        <v>Q3 2024</v>
      </c>
      <c r="P574" s="23">
        <f>VLOOKUP(D574,Products!$A:$F,4,FALSE)</f>
        <v>2237</v>
      </c>
      <c r="Q574" s="35">
        <f t="shared" si="26"/>
        <v>0.56137254901960787</v>
      </c>
    </row>
    <row r="575" spans="1:17">
      <c r="A575" s="12" t="s">
        <v>1041</v>
      </c>
      <c r="B575" s="13">
        <v>45402</v>
      </c>
      <c r="C575" s="12" t="s">
        <v>183</v>
      </c>
      <c r="D575" s="12" t="s">
        <v>397</v>
      </c>
      <c r="E575" s="12" t="s">
        <v>218</v>
      </c>
      <c r="F575" s="14">
        <v>9</v>
      </c>
      <c r="G575" s="14">
        <v>960</v>
      </c>
      <c r="H575" s="14">
        <v>17.7</v>
      </c>
      <c r="I575" s="14">
        <v>7110.72</v>
      </c>
      <c r="J575" s="12" t="s">
        <v>104</v>
      </c>
      <c r="K575" s="12" t="s">
        <v>150</v>
      </c>
      <c r="L575" s="23" t="str">
        <f>VLOOKUP(D575,Products!$A:$F,3,FALSE)</f>
        <v>Beauty</v>
      </c>
      <c r="M575" s="23" t="str">
        <f>VLOOKUP(E575,Sales_Reps!$A:$E,3,FALSE)</f>
        <v>West</v>
      </c>
      <c r="N575" s="23" t="str">
        <f t="shared" si="24"/>
        <v>Apr-24</v>
      </c>
      <c r="O575" s="23" t="str">
        <f t="shared" si="25"/>
        <v>Q2 2024</v>
      </c>
      <c r="P575" s="23">
        <f>VLOOKUP(D575,Products!$A:$F,4,FALSE)</f>
        <v>675</v>
      </c>
      <c r="Q575" s="35">
        <f t="shared" si="26"/>
        <v>0.296875</v>
      </c>
    </row>
    <row r="576" spans="1:17">
      <c r="A576" s="12" t="s">
        <v>1042</v>
      </c>
      <c r="B576" s="13">
        <v>45478</v>
      </c>
      <c r="C576" s="12" t="s">
        <v>223</v>
      </c>
      <c r="D576" s="12" t="s">
        <v>281</v>
      </c>
      <c r="E576" s="12" t="s">
        <v>103</v>
      </c>
      <c r="F576" s="14">
        <v>2</v>
      </c>
      <c r="G576" s="14">
        <v>4070</v>
      </c>
      <c r="H576" s="14">
        <v>2.1</v>
      </c>
      <c r="I576" s="14">
        <v>7969.06</v>
      </c>
      <c r="J576" s="12" t="s">
        <v>104</v>
      </c>
      <c r="K576" s="12" t="s">
        <v>150</v>
      </c>
      <c r="L576" s="23" t="str">
        <f>VLOOKUP(D576,Products!$A:$F,3,FALSE)</f>
        <v>Grocery</v>
      </c>
      <c r="M576" s="23" t="str">
        <f>VLOOKUP(E576,Sales_Reps!$A:$E,3,FALSE)</f>
        <v>North</v>
      </c>
      <c r="N576" s="23" t="str">
        <f t="shared" si="24"/>
        <v>Jul-24</v>
      </c>
      <c r="O576" s="23" t="str">
        <f t="shared" si="25"/>
        <v>Q3 2024</v>
      </c>
      <c r="P576" s="23">
        <f>VLOOKUP(D576,Products!$A:$F,4,FALSE)</f>
        <v>2027</v>
      </c>
      <c r="Q576" s="35">
        <f t="shared" si="26"/>
        <v>0.50196560196560192</v>
      </c>
    </row>
    <row r="577" spans="1:17">
      <c r="A577" s="12" t="s">
        <v>1043</v>
      </c>
      <c r="B577" s="13">
        <v>45358</v>
      </c>
      <c r="C577" s="12" t="s">
        <v>1044</v>
      </c>
      <c r="D577" s="12" t="s">
        <v>243</v>
      </c>
      <c r="E577" s="12" t="s">
        <v>175</v>
      </c>
      <c r="F577" s="14">
        <v>5</v>
      </c>
      <c r="G577" s="14">
        <v>3730</v>
      </c>
      <c r="H577" s="14">
        <v>16.5</v>
      </c>
      <c r="I577" s="14">
        <v>15572.75</v>
      </c>
      <c r="J577" s="12" t="s">
        <v>104</v>
      </c>
      <c r="K577" s="12" t="s">
        <v>129</v>
      </c>
      <c r="L577" s="23" t="str">
        <f>VLOOKUP(D577,Products!$A:$F,3,FALSE)</f>
        <v>Home</v>
      </c>
      <c r="M577" s="23" t="str">
        <f>VLOOKUP(E577,Sales_Reps!$A:$E,3,FALSE)</f>
        <v>East</v>
      </c>
      <c r="N577" s="23" t="str">
        <f t="shared" si="24"/>
        <v>Mar-24</v>
      </c>
      <c r="O577" s="23" t="str">
        <f t="shared" si="25"/>
        <v>Q1 2024</v>
      </c>
      <c r="P577" s="23">
        <f>VLOOKUP(D577,Products!$A:$F,4,FALSE)</f>
        <v>2135</v>
      </c>
      <c r="Q577" s="35">
        <f t="shared" si="26"/>
        <v>0.42761394101876676</v>
      </c>
    </row>
    <row r="578" spans="1:17">
      <c r="A578" s="12" t="s">
        <v>1045</v>
      </c>
      <c r="B578" s="13">
        <v>45589</v>
      </c>
      <c r="C578" s="12" t="s">
        <v>118</v>
      </c>
      <c r="D578" s="12" t="s">
        <v>212</v>
      </c>
      <c r="E578" s="12" t="s">
        <v>302</v>
      </c>
      <c r="F578" s="14">
        <v>1</v>
      </c>
      <c r="G578" s="14">
        <v>2860</v>
      </c>
      <c r="H578" s="14">
        <v>10.4</v>
      </c>
      <c r="I578" s="14">
        <v>2562.56</v>
      </c>
      <c r="J578" s="12" t="s">
        <v>157</v>
      </c>
      <c r="K578" s="12" t="s">
        <v>116</v>
      </c>
      <c r="L578" s="23" t="str">
        <f>VLOOKUP(D578,Products!$A:$F,3,FALSE)</f>
        <v>Sports</v>
      </c>
      <c r="M578" s="23" t="str">
        <f>VLOOKUP(E578,Sales_Reps!$A:$E,3,FALSE)</f>
        <v>East</v>
      </c>
      <c r="N578" s="23" t="str">
        <f t="shared" si="24"/>
        <v>Oct-24</v>
      </c>
      <c r="O578" s="23" t="str">
        <f t="shared" si="25"/>
        <v>Q4 2024</v>
      </c>
      <c r="P578" s="23">
        <f>VLOOKUP(D578,Products!$A:$F,4,FALSE)</f>
        <v>2028</v>
      </c>
      <c r="Q578" s="35">
        <f t="shared" si="26"/>
        <v>0.29090909090909089</v>
      </c>
    </row>
    <row r="579" spans="1:17">
      <c r="A579" s="12" t="s">
        <v>1046</v>
      </c>
      <c r="B579" s="13">
        <v>45507</v>
      </c>
      <c r="C579" s="12" t="s">
        <v>819</v>
      </c>
      <c r="D579" s="12" t="s">
        <v>201</v>
      </c>
      <c r="E579" s="12" t="s">
        <v>320</v>
      </c>
      <c r="F579" s="14">
        <v>4</v>
      </c>
      <c r="G579" s="14">
        <v>4880</v>
      </c>
      <c r="H579" s="14">
        <v>27.5</v>
      </c>
      <c r="I579" s="14">
        <v>14152</v>
      </c>
      <c r="J579" s="12" t="s">
        <v>110</v>
      </c>
      <c r="K579" s="12" t="s">
        <v>111</v>
      </c>
      <c r="L579" s="23" t="str">
        <f>VLOOKUP(D579,Products!$A:$F,3,FALSE)</f>
        <v>Beauty</v>
      </c>
      <c r="M579" s="23" t="str">
        <f>VLOOKUP(E579,Sales_Reps!$A:$E,3,FALSE)</f>
        <v>East</v>
      </c>
      <c r="N579" s="23" t="str">
        <f t="shared" ref="N579:N642" si="27">TEXT(B579, "mmm-yy")</f>
        <v>Aug-24</v>
      </c>
      <c r="O579" s="23" t="str">
        <f t="shared" ref="O579:O642" si="28">"Q" &amp; INT((MONTH(B579)-1)/3)+1 &amp; " " &amp; YEAR(B579)</f>
        <v>Q3 2024</v>
      </c>
      <c r="P579" s="23">
        <f>VLOOKUP(D579,Products!$A:$F,4,FALSE)</f>
        <v>2768</v>
      </c>
      <c r="Q579" s="35">
        <f t="shared" ref="Q579:Q642" si="29">(G579 - P579) / G579</f>
        <v>0.43278688524590164</v>
      </c>
    </row>
    <row r="580" spans="1:17">
      <c r="A580" s="12" t="s">
        <v>1047</v>
      </c>
      <c r="B580" s="13">
        <v>45470</v>
      </c>
      <c r="C580" s="12" t="s">
        <v>840</v>
      </c>
      <c r="D580" s="12" t="s">
        <v>262</v>
      </c>
      <c r="E580" s="12" t="s">
        <v>302</v>
      </c>
      <c r="F580" s="14">
        <v>3</v>
      </c>
      <c r="G580" s="14">
        <v>2270</v>
      </c>
      <c r="H580" s="14">
        <v>6.7</v>
      </c>
      <c r="I580" s="14">
        <v>6353.73</v>
      </c>
      <c r="J580" s="12" t="s">
        <v>104</v>
      </c>
      <c r="K580" s="12" t="s">
        <v>111</v>
      </c>
      <c r="L580" s="23" t="str">
        <f>VLOOKUP(D580,Products!$A:$F,3,FALSE)</f>
        <v>Grocery</v>
      </c>
      <c r="M580" s="23" t="str">
        <f>VLOOKUP(E580,Sales_Reps!$A:$E,3,FALSE)</f>
        <v>East</v>
      </c>
      <c r="N580" s="23" t="str">
        <f t="shared" si="27"/>
        <v>Jun-24</v>
      </c>
      <c r="O580" s="23" t="str">
        <f t="shared" si="28"/>
        <v>Q2 2024</v>
      </c>
      <c r="P580" s="23">
        <f>VLOOKUP(D580,Products!$A:$F,4,FALSE)</f>
        <v>1412</v>
      </c>
      <c r="Q580" s="35">
        <f t="shared" si="29"/>
        <v>0.37797356828193834</v>
      </c>
    </row>
    <row r="581" spans="1:17">
      <c r="A581" s="12" t="s">
        <v>1048</v>
      </c>
      <c r="B581" s="13">
        <v>45589</v>
      </c>
      <c r="C581" s="12" t="s">
        <v>574</v>
      </c>
      <c r="D581" s="12" t="s">
        <v>368</v>
      </c>
      <c r="E581" s="12" t="s">
        <v>103</v>
      </c>
      <c r="F581" s="14">
        <v>10</v>
      </c>
      <c r="G581" s="14">
        <v>4060</v>
      </c>
      <c r="H581" s="14">
        <v>3.6</v>
      </c>
      <c r="I581" s="14">
        <v>39138.400000000001</v>
      </c>
      <c r="J581" s="12" t="s">
        <v>110</v>
      </c>
      <c r="K581" s="12" t="s">
        <v>129</v>
      </c>
      <c r="L581" s="23" t="str">
        <f>VLOOKUP(D581,Products!$A:$F,3,FALSE)</f>
        <v>Grocery</v>
      </c>
      <c r="M581" s="23" t="str">
        <f>VLOOKUP(E581,Sales_Reps!$A:$E,3,FALSE)</f>
        <v>North</v>
      </c>
      <c r="N581" s="23" t="str">
        <f t="shared" si="27"/>
        <v>Oct-24</v>
      </c>
      <c r="O581" s="23" t="str">
        <f t="shared" si="28"/>
        <v>Q4 2024</v>
      </c>
      <c r="P581" s="23">
        <f>VLOOKUP(D581,Products!$A:$F,4,FALSE)</f>
        <v>2911</v>
      </c>
      <c r="Q581" s="35">
        <f t="shared" si="29"/>
        <v>0.28300492610837441</v>
      </c>
    </row>
    <row r="582" spans="1:17">
      <c r="A582" s="12" t="s">
        <v>1049</v>
      </c>
      <c r="B582" s="13">
        <v>45433</v>
      </c>
      <c r="C582" s="12" t="s">
        <v>632</v>
      </c>
      <c r="D582" s="12" t="s">
        <v>152</v>
      </c>
      <c r="E582" s="12" t="s">
        <v>156</v>
      </c>
      <c r="F582" s="14">
        <v>8</v>
      </c>
      <c r="G582" s="14">
        <v>2640</v>
      </c>
      <c r="H582" s="14">
        <v>28.8</v>
      </c>
      <c r="I582" s="14">
        <v>15037.44</v>
      </c>
      <c r="J582" s="12" t="s">
        <v>104</v>
      </c>
      <c r="K582" s="12" t="s">
        <v>129</v>
      </c>
      <c r="L582" s="23" t="str">
        <f>VLOOKUP(D582,Products!$A:$F,3,FALSE)</f>
        <v>Electronics</v>
      </c>
      <c r="M582" s="23" t="str">
        <f>VLOOKUP(E582,Sales_Reps!$A:$E,3,FALSE)</f>
        <v>North</v>
      </c>
      <c r="N582" s="23" t="str">
        <f t="shared" si="27"/>
        <v>May-24</v>
      </c>
      <c r="O582" s="23" t="str">
        <f t="shared" si="28"/>
        <v>Q2 2024</v>
      </c>
      <c r="P582" s="23">
        <f>VLOOKUP(D582,Products!$A:$F,4,FALSE)</f>
        <v>1149</v>
      </c>
      <c r="Q582" s="35">
        <f t="shared" si="29"/>
        <v>0.56477272727272732</v>
      </c>
    </row>
    <row r="583" spans="1:17">
      <c r="A583" s="12" t="s">
        <v>1050</v>
      </c>
      <c r="B583" s="13">
        <v>45477</v>
      </c>
      <c r="C583" s="12" t="s">
        <v>507</v>
      </c>
      <c r="D583" s="12" t="s">
        <v>243</v>
      </c>
      <c r="E583" s="12" t="s">
        <v>342</v>
      </c>
      <c r="F583" s="14">
        <v>6</v>
      </c>
      <c r="G583" s="14">
        <v>3730</v>
      </c>
      <c r="H583" s="14">
        <v>21.9</v>
      </c>
      <c r="I583" s="14">
        <v>17478.78</v>
      </c>
      <c r="J583" s="12" t="s">
        <v>104</v>
      </c>
      <c r="K583" s="12" t="s">
        <v>116</v>
      </c>
      <c r="L583" s="23" t="str">
        <f>VLOOKUP(D583,Products!$A:$F,3,FALSE)</f>
        <v>Home</v>
      </c>
      <c r="M583" s="23" t="str">
        <f>VLOOKUP(E583,Sales_Reps!$A:$E,3,FALSE)</f>
        <v>South</v>
      </c>
      <c r="N583" s="23" t="str">
        <f t="shared" si="27"/>
        <v>Jul-24</v>
      </c>
      <c r="O583" s="23" t="str">
        <f t="shared" si="28"/>
        <v>Q3 2024</v>
      </c>
      <c r="P583" s="23">
        <f>VLOOKUP(D583,Products!$A:$F,4,FALSE)</f>
        <v>2135</v>
      </c>
      <c r="Q583" s="35">
        <f t="shared" si="29"/>
        <v>0.42761394101876676</v>
      </c>
    </row>
    <row r="584" spans="1:17">
      <c r="A584" s="12" t="s">
        <v>1051</v>
      </c>
      <c r="B584" s="13">
        <v>45443</v>
      </c>
      <c r="C584" s="12" t="s">
        <v>507</v>
      </c>
      <c r="D584" s="12" t="s">
        <v>381</v>
      </c>
      <c r="E584" s="12" t="s">
        <v>120</v>
      </c>
      <c r="F584" s="14">
        <v>9</v>
      </c>
      <c r="G584" s="14">
        <v>5330</v>
      </c>
      <c r="H584" s="14">
        <v>29.4</v>
      </c>
      <c r="I584" s="14">
        <v>33866.82</v>
      </c>
      <c r="J584" s="12" t="s">
        <v>157</v>
      </c>
      <c r="K584" s="12" t="s">
        <v>116</v>
      </c>
      <c r="L584" s="23" t="str">
        <f>VLOOKUP(D584,Products!$A:$F,3,FALSE)</f>
        <v>Electronics</v>
      </c>
      <c r="M584" s="23" t="str">
        <f>VLOOKUP(E584,Sales_Reps!$A:$E,3,FALSE)</f>
        <v>North</v>
      </c>
      <c r="N584" s="23" t="str">
        <f t="shared" si="27"/>
        <v>May-24</v>
      </c>
      <c r="O584" s="23" t="str">
        <f t="shared" si="28"/>
        <v>Q2 2024</v>
      </c>
      <c r="P584" s="23">
        <f>VLOOKUP(D584,Products!$A:$F,4,FALSE)</f>
        <v>2405</v>
      </c>
      <c r="Q584" s="35">
        <f t="shared" si="29"/>
        <v>0.54878048780487809</v>
      </c>
    </row>
    <row r="585" spans="1:17">
      <c r="A585" s="12" t="s">
        <v>1052</v>
      </c>
      <c r="B585" s="13">
        <v>45322</v>
      </c>
      <c r="C585" s="12" t="s">
        <v>1053</v>
      </c>
      <c r="D585" s="12" t="s">
        <v>469</v>
      </c>
      <c r="E585" s="12" t="s">
        <v>360</v>
      </c>
      <c r="F585" s="14">
        <v>1</v>
      </c>
      <c r="G585" s="14">
        <v>3450</v>
      </c>
      <c r="H585" s="14">
        <v>23.3</v>
      </c>
      <c r="I585" s="14">
        <v>2646.15</v>
      </c>
      <c r="J585" s="12" t="s">
        <v>104</v>
      </c>
      <c r="K585" s="12" t="s">
        <v>129</v>
      </c>
      <c r="L585" s="23" t="str">
        <f>VLOOKUP(D585,Products!$A:$F,3,FALSE)</f>
        <v>Apparel</v>
      </c>
      <c r="M585" s="23" t="str">
        <f>VLOOKUP(E585,Sales_Reps!$A:$E,3,FALSE)</f>
        <v>West</v>
      </c>
      <c r="N585" s="23" t="str">
        <f t="shared" si="27"/>
        <v>Jan-24</v>
      </c>
      <c r="O585" s="23" t="str">
        <f t="shared" si="28"/>
        <v>Q1 2024</v>
      </c>
      <c r="P585" s="23">
        <f>VLOOKUP(D585,Products!$A:$F,4,FALSE)</f>
        <v>1748</v>
      </c>
      <c r="Q585" s="35">
        <f t="shared" si="29"/>
        <v>0.49333333333333335</v>
      </c>
    </row>
    <row r="586" spans="1:17">
      <c r="A586" s="12" t="s">
        <v>1054</v>
      </c>
      <c r="B586" s="13">
        <v>45544</v>
      </c>
      <c r="C586" s="12" t="s">
        <v>1055</v>
      </c>
      <c r="D586" s="12" t="s">
        <v>258</v>
      </c>
      <c r="E586" s="12" t="s">
        <v>255</v>
      </c>
      <c r="F586" s="14">
        <v>3</v>
      </c>
      <c r="G586" s="14">
        <v>6080</v>
      </c>
      <c r="H586" s="14">
        <v>14.5</v>
      </c>
      <c r="I586" s="14">
        <v>15595.2</v>
      </c>
      <c r="J586" s="12" t="s">
        <v>104</v>
      </c>
      <c r="K586" s="12" t="s">
        <v>134</v>
      </c>
      <c r="L586" s="23" t="str">
        <f>VLOOKUP(D586,Products!$A:$F,3,FALSE)</f>
        <v>Beauty</v>
      </c>
      <c r="M586" s="23" t="str">
        <f>VLOOKUP(E586,Sales_Reps!$A:$E,3,FALSE)</f>
        <v>East</v>
      </c>
      <c r="N586" s="23" t="str">
        <f t="shared" si="27"/>
        <v>Sep-24</v>
      </c>
      <c r="O586" s="23" t="str">
        <f t="shared" si="28"/>
        <v>Q3 2024</v>
      </c>
      <c r="P586" s="23">
        <f>VLOOKUP(D586,Products!$A:$F,4,FALSE)</f>
        <v>2617</v>
      </c>
      <c r="Q586" s="35">
        <f t="shared" si="29"/>
        <v>0.56957236842105263</v>
      </c>
    </row>
    <row r="587" spans="1:17">
      <c r="A587" s="12" t="s">
        <v>1056</v>
      </c>
      <c r="B587" s="13">
        <v>45609</v>
      </c>
      <c r="C587" s="12" t="s">
        <v>327</v>
      </c>
      <c r="D587" s="12" t="s">
        <v>243</v>
      </c>
      <c r="E587" s="12" t="s">
        <v>314</v>
      </c>
      <c r="F587" s="14">
        <v>4</v>
      </c>
      <c r="G587" s="14">
        <v>3730</v>
      </c>
      <c r="H587" s="14">
        <v>3.4</v>
      </c>
      <c r="I587" s="14">
        <v>14412.72</v>
      </c>
      <c r="J587" s="12" t="s">
        <v>157</v>
      </c>
      <c r="K587" s="12" t="s">
        <v>134</v>
      </c>
      <c r="L587" s="23" t="str">
        <f>VLOOKUP(D587,Products!$A:$F,3,FALSE)</f>
        <v>Home</v>
      </c>
      <c r="M587" s="23" t="str">
        <f>VLOOKUP(E587,Sales_Reps!$A:$E,3,FALSE)</f>
        <v>North</v>
      </c>
      <c r="N587" s="23" t="str">
        <f t="shared" si="27"/>
        <v>Nov-24</v>
      </c>
      <c r="O587" s="23" t="str">
        <f t="shared" si="28"/>
        <v>Q4 2024</v>
      </c>
      <c r="P587" s="23">
        <f>VLOOKUP(D587,Products!$A:$F,4,FALSE)</f>
        <v>2135</v>
      </c>
      <c r="Q587" s="35">
        <f t="shared" si="29"/>
        <v>0.42761394101876676</v>
      </c>
    </row>
    <row r="588" spans="1:17">
      <c r="A588" s="12" t="s">
        <v>1057</v>
      </c>
      <c r="B588" s="13">
        <v>45491</v>
      </c>
      <c r="C588" s="12" t="s">
        <v>318</v>
      </c>
      <c r="D588" s="12" t="s">
        <v>296</v>
      </c>
      <c r="E588" s="12" t="s">
        <v>302</v>
      </c>
      <c r="F588" s="14">
        <v>10</v>
      </c>
      <c r="G588" s="14">
        <v>2660</v>
      </c>
      <c r="H588" s="14">
        <v>2.1</v>
      </c>
      <c r="I588" s="14">
        <v>26041.4</v>
      </c>
      <c r="J588" s="12" t="s">
        <v>104</v>
      </c>
      <c r="K588" s="12" t="s">
        <v>111</v>
      </c>
      <c r="L588" s="23" t="str">
        <f>VLOOKUP(D588,Products!$A:$F,3,FALSE)</f>
        <v>Electronics</v>
      </c>
      <c r="M588" s="23" t="str">
        <f>VLOOKUP(E588,Sales_Reps!$A:$E,3,FALSE)</f>
        <v>East</v>
      </c>
      <c r="N588" s="23" t="str">
        <f t="shared" si="27"/>
        <v>Jul-24</v>
      </c>
      <c r="O588" s="23" t="str">
        <f t="shared" si="28"/>
        <v>Q3 2024</v>
      </c>
      <c r="P588" s="23">
        <f>VLOOKUP(D588,Products!$A:$F,4,FALSE)</f>
        <v>1259</v>
      </c>
      <c r="Q588" s="35">
        <f t="shared" si="29"/>
        <v>0.52669172932330832</v>
      </c>
    </row>
    <row r="589" spans="1:17">
      <c r="A589" s="12" t="s">
        <v>1058</v>
      </c>
      <c r="B589" s="13">
        <v>45373</v>
      </c>
      <c r="C589" s="12" t="s">
        <v>192</v>
      </c>
      <c r="D589" s="12" t="s">
        <v>355</v>
      </c>
      <c r="E589" s="12" t="s">
        <v>175</v>
      </c>
      <c r="F589" s="14">
        <v>7</v>
      </c>
      <c r="G589" s="14">
        <v>2210</v>
      </c>
      <c r="H589" s="14">
        <v>17.100000000000001</v>
      </c>
      <c r="I589" s="14">
        <v>12824.63</v>
      </c>
      <c r="J589" s="12" t="s">
        <v>104</v>
      </c>
      <c r="K589" s="12" t="s">
        <v>150</v>
      </c>
      <c r="L589" s="23" t="str">
        <f>VLOOKUP(D589,Products!$A:$F,3,FALSE)</f>
        <v>Grocery</v>
      </c>
      <c r="M589" s="23" t="str">
        <f>VLOOKUP(E589,Sales_Reps!$A:$E,3,FALSE)</f>
        <v>East</v>
      </c>
      <c r="N589" s="23" t="str">
        <f t="shared" si="27"/>
        <v>Mar-24</v>
      </c>
      <c r="O589" s="23" t="str">
        <f t="shared" si="28"/>
        <v>Q1 2024</v>
      </c>
      <c r="P589" s="23">
        <f>VLOOKUP(D589,Products!$A:$F,4,FALSE)</f>
        <v>1010</v>
      </c>
      <c r="Q589" s="35">
        <f t="shared" si="29"/>
        <v>0.54298642533936647</v>
      </c>
    </row>
    <row r="590" spans="1:17">
      <c r="A590" s="12" t="s">
        <v>1059</v>
      </c>
      <c r="B590" s="13">
        <v>45607</v>
      </c>
      <c r="C590" s="12" t="s">
        <v>211</v>
      </c>
      <c r="D590" s="12" t="s">
        <v>478</v>
      </c>
      <c r="E590" s="12" t="s">
        <v>269</v>
      </c>
      <c r="F590" s="14">
        <v>6</v>
      </c>
      <c r="G590" s="14">
        <v>3780</v>
      </c>
      <c r="H590" s="14">
        <v>12.7</v>
      </c>
      <c r="I590" s="14">
        <v>19799.64</v>
      </c>
      <c r="J590" s="12" t="s">
        <v>104</v>
      </c>
      <c r="K590" s="12" t="s">
        <v>105</v>
      </c>
      <c r="L590" s="23" t="str">
        <f>VLOOKUP(D590,Products!$A:$F,3,FALSE)</f>
        <v>Sports</v>
      </c>
      <c r="M590" s="23" t="str">
        <f>VLOOKUP(E590,Sales_Reps!$A:$E,3,FALSE)</f>
        <v>South</v>
      </c>
      <c r="N590" s="23" t="str">
        <f t="shared" si="27"/>
        <v>Nov-24</v>
      </c>
      <c r="O590" s="23" t="str">
        <f t="shared" si="28"/>
        <v>Q4 2024</v>
      </c>
      <c r="P590" s="23">
        <f>VLOOKUP(D590,Products!$A:$F,4,FALSE)</f>
        <v>1860</v>
      </c>
      <c r="Q590" s="35">
        <f t="shared" si="29"/>
        <v>0.50793650793650791</v>
      </c>
    </row>
    <row r="591" spans="1:17">
      <c r="A591" s="12" t="s">
        <v>1060</v>
      </c>
      <c r="B591" s="13">
        <v>45412</v>
      </c>
      <c r="C591" s="12" t="s">
        <v>980</v>
      </c>
      <c r="D591" s="12" t="s">
        <v>141</v>
      </c>
      <c r="E591" s="12" t="s">
        <v>246</v>
      </c>
      <c r="F591" s="14">
        <v>4</v>
      </c>
      <c r="G591" s="14">
        <v>5490</v>
      </c>
      <c r="H591" s="14">
        <v>26.9</v>
      </c>
      <c r="I591" s="14">
        <v>16052.76</v>
      </c>
      <c r="J591" s="12" t="s">
        <v>104</v>
      </c>
      <c r="K591" s="12" t="s">
        <v>111</v>
      </c>
      <c r="L591" s="23" t="str">
        <f>VLOOKUP(D591,Products!$A:$F,3,FALSE)</f>
        <v>Home</v>
      </c>
      <c r="M591" s="23" t="str">
        <f>VLOOKUP(E591,Sales_Reps!$A:$E,3,FALSE)</f>
        <v>West</v>
      </c>
      <c r="N591" s="23" t="str">
        <f t="shared" si="27"/>
        <v>Apr-24</v>
      </c>
      <c r="O591" s="23" t="str">
        <f t="shared" si="28"/>
        <v>Q2 2024</v>
      </c>
      <c r="P591" s="23">
        <f>VLOOKUP(D591,Products!$A:$F,4,FALSE)</f>
        <v>2549</v>
      </c>
      <c r="Q591" s="35">
        <f t="shared" si="29"/>
        <v>0.53570127504553733</v>
      </c>
    </row>
    <row r="592" spans="1:17">
      <c r="A592" s="12" t="s">
        <v>1061</v>
      </c>
      <c r="B592" s="13">
        <v>45351</v>
      </c>
      <c r="C592" s="12" t="s">
        <v>819</v>
      </c>
      <c r="D592" s="12" t="s">
        <v>296</v>
      </c>
      <c r="E592" s="12" t="s">
        <v>269</v>
      </c>
      <c r="F592" s="14">
        <v>9</v>
      </c>
      <c r="G592" s="14">
        <v>2660</v>
      </c>
      <c r="H592" s="14">
        <v>21.9</v>
      </c>
      <c r="I592" s="14">
        <v>18697.14</v>
      </c>
      <c r="J592" s="12" t="s">
        <v>104</v>
      </c>
      <c r="K592" s="12" t="s">
        <v>111</v>
      </c>
      <c r="L592" s="23" t="str">
        <f>VLOOKUP(D592,Products!$A:$F,3,FALSE)</f>
        <v>Electronics</v>
      </c>
      <c r="M592" s="23" t="str">
        <f>VLOOKUP(E592,Sales_Reps!$A:$E,3,FALSE)</f>
        <v>South</v>
      </c>
      <c r="N592" s="23" t="str">
        <f t="shared" si="27"/>
        <v>Feb-24</v>
      </c>
      <c r="O592" s="23" t="str">
        <f t="shared" si="28"/>
        <v>Q1 2024</v>
      </c>
      <c r="P592" s="23">
        <f>VLOOKUP(D592,Products!$A:$F,4,FALSE)</f>
        <v>1259</v>
      </c>
      <c r="Q592" s="35">
        <f t="shared" si="29"/>
        <v>0.52669172932330832</v>
      </c>
    </row>
    <row r="593" spans="1:17">
      <c r="A593" s="12" t="s">
        <v>1062</v>
      </c>
      <c r="B593" s="13">
        <v>45572</v>
      </c>
      <c r="C593" s="12" t="s">
        <v>420</v>
      </c>
      <c r="D593" s="12" t="s">
        <v>532</v>
      </c>
      <c r="E593" s="12" t="s">
        <v>145</v>
      </c>
      <c r="F593" s="14">
        <v>9</v>
      </c>
      <c r="G593" s="14">
        <v>6940</v>
      </c>
      <c r="H593" s="14">
        <v>8</v>
      </c>
      <c r="I593" s="14">
        <v>57463.199999999997</v>
      </c>
      <c r="J593" s="12" t="s">
        <v>104</v>
      </c>
      <c r="K593" s="12" t="s">
        <v>134</v>
      </c>
      <c r="L593" s="23" t="str">
        <f>VLOOKUP(D593,Products!$A:$F,3,FALSE)</f>
        <v>Sports</v>
      </c>
      <c r="M593" s="23" t="str">
        <f>VLOOKUP(E593,Sales_Reps!$A:$E,3,FALSE)</f>
        <v>West</v>
      </c>
      <c r="N593" s="23" t="str">
        <f t="shared" si="27"/>
        <v>Oct-24</v>
      </c>
      <c r="O593" s="23" t="str">
        <f t="shared" si="28"/>
        <v>Q4 2024</v>
      </c>
      <c r="P593" s="23">
        <f>VLOOKUP(D593,Products!$A:$F,4,FALSE)</f>
        <v>2827</v>
      </c>
      <c r="Q593" s="35">
        <f t="shared" si="29"/>
        <v>0.5926512968299712</v>
      </c>
    </row>
    <row r="594" spans="1:17">
      <c r="A594" s="12" t="s">
        <v>750</v>
      </c>
      <c r="B594" s="13">
        <v>45402</v>
      </c>
      <c r="C594" s="12" t="s">
        <v>214</v>
      </c>
      <c r="D594" s="12" t="s">
        <v>265</v>
      </c>
      <c r="E594" s="12" t="s">
        <v>120</v>
      </c>
      <c r="F594" s="14">
        <v>1</v>
      </c>
      <c r="G594" s="14">
        <v>3870</v>
      </c>
      <c r="H594" s="14">
        <v>22.6</v>
      </c>
      <c r="I594" s="14">
        <v>2995.38</v>
      </c>
      <c r="J594" s="12" t="s">
        <v>104</v>
      </c>
      <c r="K594" s="12" t="s">
        <v>105</v>
      </c>
      <c r="L594" s="23" t="str">
        <f>VLOOKUP(D594,Products!$A:$F,3,FALSE)</f>
        <v>Electronics</v>
      </c>
      <c r="M594" s="23" t="str">
        <f>VLOOKUP(E594,Sales_Reps!$A:$E,3,FALSE)</f>
        <v>North</v>
      </c>
      <c r="N594" s="23" t="str">
        <f t="shared" si="27"/>
        <v>Apr-24</v>
      </c>
      <c r="O594" s="23" t="str">
        <f t="shared" si="28"/>
        <v>Q2 2024</v>
      </c>
      <c r="P594" s="23">
        <f>VLOOKUP(D594,Products!$A:$F,4,FALSE)</f>
        <v>1559</v>
      </c>
      <c r="Q594" s="35">
        <f t="shared" si="29"/>
        <v>0.59715762273901807</v>
      </c>
    </row>
    <row r="595" spans="1:17">
      <c r="A595" s="12" t="s">
        <v>1063</v>
      </c>
      <c r="B595" s="13">
        <v>45503</v>
      </c>
      <c r="C595" s="12" t="s">
        <v>1064</v>
      </c>
      <c r="D595" s="12" t="s">
        <v>519</v>
      </c>
      <c r="E595" s="12" t="s">
        <v>124</v>
      </c>
      <c r="F595" s="14">
        <v>3</v>
      </c>
      <c r="G595" s="14">
        <v>1090</v>
      </c>
      <c r="H595" s="14">
        <v>28.1</v>
      </c>
      <c r="I595" s="14">
        <v>2351.13</v>
      </c>
      <c r="J595" s="12" t="s">
        <v>104</v>
      </c>
      <c r="K595" s="12" t="s">
        <v>150</v>
      </c>
      <c r="L595" s="23" t="str">
        <f>VLOOKUP(D595,Products!$A:$F,3,FALSE)</f>
        <v>Home</v>
      </c>
      <c r="M595" s="23" t="str">
        <f>VLOOKUP(E595,Sales_Reps!$A:$E,3,FALSE)</f>
        <v>North</v>
      </c>
      <c r="N595" s="23" t="str">
        <f t="shared" si="27"/>
        <v>Jul-24</v>
      </c>
      <c r="O595" s="23" t="str">
        <f t="shared" si="28"/>
        <v>Q3 2024</v>
      </c>
      <c r="P595" s="23">
        <f>VLOOKUP(D595,Products!$A:$F,4,FALSE)</f>
        <v>464</v>
      </c>
      <c r="Q595" s="35">
        <f t="shared" si="29"/>
        <v>0.57431192660550456</v>
      </c>
    </row>
    <row r="596" spans="1:17">
      <c r="A596" s="12" t="s">
        <v>1065</v>
      </c>
      <c r="B596" s="13">
        <v>45524</v>
      </c>
      <c r="C596" s="12" t="s">
        <v>482</v>
      </c>
      <c r="D596" s="12" t="s">
        <v>155</v>
      </c>
      <c r="E596" s="12" t="s">
        <v>232</v>
      </c>
      <c r="F596" s="14">
        <v>2</v>
      </c>
      <c r="G596" s="14">
        <v>2600</v>
      </c>
      <c r="H596" s="14">
        <v>5.6</v>
      </c>
      <c r="I596" s="14">
        <v>4908.8</v>
      </c>
      <c r="J596" s="12" t="s">
        <v>104</v>
      </c>
      <c r="K596" s="12" t="s">
        <v>129</v>
      </c>
      <c r="L596" s="23" t="str">
        <f>VLOOKUP(D596,Products!$A:$F,3,FALSE)</f>
        <v>Electronics</v>
      </c>
      <c r="M596" s="23" t="str">
        <f>VLOOKUP(E596,Sales_Reps!$A:$E,3,FALSE)</f>
        <v>North</v>
      </c>
      <c r="N596" s="23" t="str">
        <f t="shared" si="27"/>
        <v>Aug-24</v>
      </c>
      <c r="O596" s="23" t="str">
        <f t="shared" si="28"/>
        <v>Q3 2024</v>
      </c>
      <c r="P596" s="23">
        <f>VLOOKUP(D596,Products!$A:$F,4,FALSE)</f>
        <v>1052</v>
      </c>
      <c r="Q596" s="35">
        <f t="shared" si="29"/>
        <v>0.5953846153846154</v>
      </c>
    </row>
    <row r="597" spans="1:17">
      <c r="A597" s="12" t="s">
        <v>1066</v>
      </c>
      <c r="B597" s="13">
        <v>45425</v>
      </c>
      <c r="C597" s="12" t="s">
        <v>873</v>
      </c>
      <c r="D597" s="12" t="s">
        <v>132</v>
      </c>
      <c r="E597" s="12" t="s">
        <v>209</v>
      </c>
      <c r="F597" s="14">
        <v>4</v>
      </c>
      <c r="G597" s="14">
        <v>960</v>
      </c>
      <c r="H597" s="14">
        <v>21.7</v>
      </c>
      <c r="I597" s="14">
        <v>3006.72</v>
      </c>
      <c r="J597" s="12" t="s">
        <v>104</v>
      </c>
      <c r="K597" s="12" t="s">
        <v>105</v>
      </c>
      <c r="L597" s="23" t="str">
        <f>VLOOKUP(D597,Products!$A:$F,3,FALSE)</f>
        <v>Sports</v>
      </c>
      <c r="M597" s="23" t="str">
        <f>VLOOKUP(E597,Sales_Reps!$A:$E,3,FALSE)</f>
        <v>East</v>
      </c>
      <c r="N597" s="23" t="str">
        <f t="shared" si="27"/>
        <v>May-24</v>
      </c>
      <c r="O597" s="23" t="str">
        <f t="shared" si="28"/>
        <v>Q2 2024</v>
      </c>
      <c r="P597" s="23">
        <f>VLOOKUP(D597,Products!$A:$F,4,FALSE)</f>
        <v>705</v>
      </c>
      <c r="Q597" s="35">
        <f t="shared" si="29"/>
        <v>0.265625</v>
      </c>
    </row>
    <row r="598" spans="1:17">
      <c r="A598" s="12" t="s">
        <v>1067</v>
      </c>
      <c r="B598" s="13">
        <v>45533</v>
      </c>
      <c r="C598" s="12" t="s">
        <v>1068</v>
      </c>
      <c r="D598" s="12" t="s">
        <v>127</v>
      </c>
      <c r="E598" s="12" t="s">
        <v>218</v>
      </c>
      <c r="F598" s="14">
        <v>6</v>
      </c>
      <c r="G598" s="14">
        <v>370</v>
      </c>
      <c r="H598" s="14">
        <v>22.5</v>
      </c>
      <c r="I598" s="14">
        <v>1720.5</v>
      </c>
      <c r="J598" s="12" t="s">
        <v>104</v>
      </c>
      <c r="K598" s="12" t="s">
        <v>129</v>
      </c>
      <c r="L598" s="23" t="str">
        <f>VLOOKUP(D598,Products!$A:$F,3,FALSE)</f>
        <v>Home</v>
      </c>
      <c r="M598" s="23" t="str">
        <f>VLOOKUP(E598,Sales_Reps!$A:$E,3,FALSE)</f>
        <v>West</v>
      </c>
      <c r="N598" s="23" t="str">
        <f t="shared" si="27"/>
        <v>Aug-24</v>
      </c>
      <c r="O598" s="23" t="str">
        <f t="shared" si="28"/>
        <v>Q3 2024</v>
      </c>
      <c r="P598" s="23">
        <f>VLOOKUP(D598,Products!$A:$F,4,FALSE)</f>
        <v>288</v>
      </c>
      <c r="Q598" s="35">
        <f t="shared" si="29"/>
        <v>0.22162162162162163</v>
      </c>
    </row>
    <row r="599" spans="1:17">
      <c r="A599" s="12" t="s">
        <v>1069</v>
      </c>
      <c r="B599" s="13">
        <v>45649</v>
      </c>
      <c r="C599" s="12" t="s">
        <v>267</v>
      </c>
      <c r="D599" s="12" t="s">
        <v>460</v>
      </c>
      <c r="E599" s="12" t="s">
        <v>120</v>
      </c>
      <c r="F599" s="14">
        <v>5</v>
      </c>
      <c r="G599" s="14">
        <v>5080</v>
      </c>
      <c r="H599" s="14">
        <v>23.8</v>
      </c>
      <c r="I599" s="14">
        <v>19354.8</v>
      </c>
      <c r="J599" s="12" t="s">
        <v>104</v>
      </c>
      <c r="K599" s="12" t="s">
        <v>134</v>
      </c>
      <c r="L599" s="23" t="str">
        <f>VLOOKUP(D599,Products!$A:$F,3,FALSE)</f>
        <v>Home</v>
      </c>
      <c r="M599" s="23" t="str">
        <f>VLOOKUP(E599,Sales_Reps!$A:$E,3,FALSE)</f>
        <v>North</v>
      </c>
      <c r="N599" s="23" t="str">
        <f t="shared" si="27"/>
        <v>Dec-24</v>
      </c>
      <c r="O599" s="23" t="str">
        <f t="shared" si="28"/>
        <v>Q4 2024</v>
      </c>
      <c r="P599" s="23">
        <f>VLOOKUP(D599,Products!$A:$F,4,FALSE)</f>
        <v>2459</v>
      </c>
      <c r="Q599" s="35">
        <f t="shared" si="29"/>
        <v>0.51594488188976373</v>
      </c>
    </row>
    <row r="600" spans="1:17">
      <c r="A600" s="12" t="s">
        <v>1070</v>
      </c>
      <c r="B600" s="13">
        <v>45375</v>
      </c>
      <c r="C600" s="12" t="s">
        <v>576</v>
      </c>
      <c r="D600" s="12" t="s">
        <v>276</v>
      </c>
      <c r="E600" s="12" t="s">
        <v>165</v>
      </c>
      <c r="F600" s="14">
        <v>5</v>
      </c>
      <c r="G600" s="14">
        <v>1540</v>
      </c>
      <c r="H600" s="14">
        <v>6.1</v>
      </c>
      <c r="I600" s="14">
        <v>7230.3</v>
      </c>
      <c r="J600" s="12" t="s">
        <v>104</v>
      </c>
      <c r="K600" s="12" t="s">
        <v>105</v>
      </c>
      <c r="L600" s="23" t="str">
        <f>VLOOKUP(D600,Products!$A:$F,3,FALSE)</f>
        <v>Beauty</v>
      </c>
      <c r="M600" s="23" t="str">
        <f>VLOOKUP(E600,Sales_Reps!$A:$E,3,FALSE)</f>
        <v>North</v>
      </c>
      <c r="N600" s="23" t="str">
        <f t="shared" si="27"/>
        <v>Mar-24</v>
      </c>
      <c r="O600" s="23" t="str">
        <f t="shared" si="28"/>
        <v>Q1 2024</v>
      </c>
      <c r="P600" s="23">
        <f>VLOOKUP(D600,Products!$A:$F,4,FALSE)</f>
        <v>647</v>
      </c>
      <c r="Q600" s="35">
        <f t="shared" si="29"/>
        <v>0.57987012987012987</v>
      </c>
    </row>
    <row r="601" spans="1:17">
      <c r="A601" s="12" t="s">
        <v>1071</v>
      </c>
      <c r="B601" s="13">
        <v>45342</v>
      </c>
      <c r="C601" s="12" t="s">
        <v>1072</v>
      </c>
      <c r="D601" s="12" t="s">
        <v>148</v>
      </c>
      <c r="E601" s="12" t="s">
        <v>205</v>
      </c>
      <c r="F601" s="14">
        <v>7</v>
      </c>
      <c r="G601" s="14">
        <v>2270</v>
      </c>
      <c r="H601" s="14">
        <v>0.4</v>
      </c>
      <c r="I601" s="14">
        <v>15826.44</v>
      </c>
      <c r="J601" s="12" t="s">
        <v>104</v>
      </c>
      <c r="K601" s="12" t="s">
        <v>129</v>
      </c>
      <c r="L601" s="23" t="str">
        <f>VLOOKUP(D601,Products!$A:$F,3,FALSE)</f>
        <v>Grocery</v>
      </c>
      <c r="M601" s="23" t="str">
        <f>VLOOKUP(E601,Sales_Reps!$A:$E,3,FALSE)</f>
        <v>South</v>
      </c>
      <c r="N601" s="23" t="str">
        <f t="shared" si="27"/>
        <v>Feb-24</v>
      </c>
      <c r="O601" s="23" t="str">
        <f t="shared" si="28"/>
        <v>Q1 2024</v>
      </c>
      <c r="P601" s="23">
        <f>VLOOKUP(D601,Products!$A:$F,4,FALSE)</f>
        <v>1203</v>
      </c>
      <c r="Q601" s="35">
        <f t="shared" si="29"/>
        <v>0.47004405286343615</v>
      </c>
    </row>
    <row r="602" spans="1:17">
      <c r="A602" s="12" t="s">
        <v>1073</v>
      </c>
      <c r="B602" s="13">
        <v>45441</v>
      </c>
      <c r="C602" s="12" t="s">
        <v>845</v>
      </c>
      <c r="D602" s="12" t="s">
        <v>132</v>
      </c>
      <c r="E602" s="12" t="s">
        <v>205</v>
      </c>
      <c r="F602" s="14">
        <v>2</v>
      </c>
      <c r="G602" s="14">
        <v>960</v>
      </c>
      <c r="H602" s="14">
        <v>3.7</v>
      </c>
      <c r="I602" s="14">
        <v>1848.96</v>
      </c>
      <c r="J602" s="12" t="s">
        <v>104</v>
      </c>
      <c r="K602" s="12" t="s">
        <v>150</v>
      </c>
      <c r="L602" s="23" t="str">
        <f>VLOOKUP(D602,Products!$A:$F,3,FALSE)</f>
        <v>Sports</v>
      </c>
      <c r="M602" s="23" t="str">
        <f>VLOOKUP(E602,Sales_Reps!$A:$E,3,FALSE)</f>
        <v>South</v>
      </c>
      <c r="N602" s="23" t="str">
        <f t="shared" si="27"/>
        <v>May-24</v>
      </c>
      <c r="O602" s="23" t="str">
        <f t="shared" si="28"/>
        <v>Q2 2024</v>
      </c>
      <c r="P602" s="23">
        <f>VLOOKUP(D602,Products!$A:$F,4,FALSE)</f>
        <v>705</v>
      </c>
      <c r="Q602" s="35">
        <f t="shared" si="29"/>
        <v>0.265625</v>
      </c>
    </row>
    <row r="603" spans="1:17">
      <c r="A603" s="12" t="s">
        <v>1074</v>
      </c>
      <c r="B603" s="13">
        <v>45410</v>
      </c>
      <c r="C603" s="12" t="s">
        <v>424</v>
      </c>
      <c r="D603" s="12" t="s">
        <v>137</v>
      </c>
      <c r="E603" s="12" t="s">
        <v>360</v>
      </c>
      <c r="F603" s="14">
        <v>6</v>
      </c>
      <c r="G603" s="14">
        <v>1430</v>
      </c>
      <c r="H603" s="14">
        <v>2</v>
      </c>
      <c r="I603" s="14">
        <v>8408.4</v>
      </c>
      <c r="J603" s="12" t="s">
        <v>110</v>
      </c>
      <c r="K603" s="12" t="s">
        <v>105</v>
      </c>
      <c r="L603" s="23" t="str">
        <f>VLOOKUP(D603,Products!$A:$F,3,FALSE)</f>
        <v>Electronics</v>
      </c>
      <c r="M603" s="23" t="str">
        <f>VLOOKUP(E603,Sales_Reps!$A:$E,3,FALSE)</f>
        <v>West</v>
      </c>
      <c r="N603" s="23" t="str">
        <f t="shared" si="27"/>
        <v>Apr-24</v>
      </c>
      <c r="O603" s="23" t="str">
        <f t="shared" si="28"/>
        <v>Q2 2024</v>
      </c>
      <c r="P603" s="23">
        <f>VLOOKUP(D603,Products!$A:$F,4,FALSE)</f>
        <v>861</v>
      </c>
      <c r="Q603" s="35">
        <f t="shared" si="29"/>
        <v>0.39790209790209791</v>
      </c>
    </row>
    <row r="604" spans="1:17">
      <c r="A604" s="12" t="s">
        <v>1075</v>
      </c>
      <c r="B604" s="13">
        <v>45588</v>
      </c>
      <c r="C604" s="12" t="s">
        <v>316</v>
      </c>
      <c r="D604" s="12" t="s">
        <v>174</v>
      </c>
      <c r="E604" s="12" t="s">
        <v>120</v>
      </c>
      <c r="F604" s="14">
        <v>10</v>
      </c>
      <c r="G604" s="14">
        <v>3450</v>
      </c>
      <c r="H604" s="14">
        <v>19.100000000000001</v>
      </c>
      <c r="I604" s="14">
        <v>27910.5</v>
      </c>
      <c r="J604" s="12" t="s">
        <v>104</v>
      </c>
      <c r="K604" s="12" t="s">
        <v>150</v>
      </c>
      <c r="L604" s="23" t="str">
        <f>VLOOKUP(D604,Products!$A:$F,3,FALSE)</f>
        <v>Beauty</v>
      </c>
      <c r="M604" s="23" t="str">
        <f>VLOOKUP(E604,Sales_Reps!$A:$E,3,FALSE)</f>
        <v>North</v>
      </c>
      <c r="N604" s="23" t="str">
        <f t="shared" si="27"/>
        <v>Oct-24</v>
      </c>
      <c r="O604" s="23" t="str">
        <f t="shared" si="28"/>
        <v>Q4 2024</v>
      </c>
      <c r="P604" s="23">
        <f>VLOOKUP(D604,Products!$A:$F,4,FALSE)</f>
        <v>2420</v>
      </c>
      <c r="Q604" s="35">
        <f t="shared" si="29"/>
        <v>0.29855072463768118</v>
      </c>
    </row>
    <row r="605" spans="1:17">
      <c r="A605" s="12" t="s">
        <v>1076</v>
      </c>
      <c r="B605" s="13">
        <v>45412</v>
      </c>
      <c r="C605" s="12" t="s">
        <v>457</v>
      </c>
      <c r="D605" s="12" t="s">
        <v>284</v>
      </c>
      <c r="E605" s="12" t="s">
        <v>218</v>
      </c>
      <c r="F605" s="14">
        <v>8</v>
      </c>
      <c r="G605" s="14">
        <v>1220</v>
      </c>
      <c r="H605" s="14">
        <v>16.899999999999999</v>
      </c>
      <c r="I605" s="14">
        <v>8110.56</v>
      </c>
      <c r="J605" s="12" t="s">
        <v>104</v>
      </c>
      <c r="K605" s="12" t="s">
        <v>105</v>
      </c>
      <c r="L605" s="23" t="str">
        <f>VLOOKUP(D605,Products!$A:$F,3,FALSE)</f>
        <v>Electronics</v>
      </c>
      <c r="M605" s="23" t="str">
        <f>VLOOKUP(E605,Sales_Reps!$A:$E,3,FALSE)</f>
        <v>West</v>
      </c>
      <c r="N605" s="23" t="str">
        <f t="shared" si="27"/>
        <v>Apr-24</v>
      </c>
      <c r="O605" s="23" t="str">
        <f t="shared" si="28"/>
        <v>Q2 2024</v>
      </c>
      <c r="P605" s="23">
        <f>VLOOKUP(D605,Products!$A:$F,4,FALSE)</f>
        <v>517</v>
      </c>
      <c r="Q605" s="35">
        <f t="shared" si="29"/>
        <v>0.57622950819672136</v>
      </c>
    </row>
    <row r="606" spans="1:17">
      <c r="A606" s="12" t="s">
        <v>1077</v>
      </c>
      <c r="B606" s="13">
        <v>45439</v>
      </c>
      <c r="C606" s="12" t="s">
        <v>985</v>
      </c>
      <c r="D606" s="12" t="s">
        <v>217</v>
      </c>
      <c r="E606" s="12" t="s">
        <v>209</v>
      </c>
      <c r="F606" s="14">
        <v>9</v>
      </c>
      <c r="G606" s="14">
        <v>2760</v>
      </c>
      <c r="H606" s="14">
        <v>16.899999999999999</v>
      </c>
      <c r="I606" s="14">
        <v>20642.04</v>
      </c>
      <c r="J606" s="12" t="s">
        <v>104</v>
      </c>
      <c r="K606" s="12" t="s">
        <v>116</v>
      </c>
      <c r="L606" s="23" t="str">
        <f>VLOOKUP(D606,Products!$A:$F,3,FALSE)</f>
        <v>Grocery</v>
      </c>
      <c r="M606" s="23" t="str">
        <f>VLOOKUP(E606,Sales_Reps!$A:$E,3,FALSE)</f>
        <v>East</v>
      </c>
      <c r="N606" s="23" t="str">
        <f t="shared" si="27"/>
        <v>May-24</v>
      </c>
      <c r="O606" s="23" t="str">
        <f t="shared" si="28"/>
        <v>Q2 2024</v>
      </c>
      <c r="P606" s="23">
        <f>VLOOKUP(D606,Products!$A:$F,4,FALSE)</f>
        <v>1435</v>
      </c>
      <c r="Q606" s="35">
        <f t="shared" si="29"/>
        <v>0.48007246376811596</v>
      </c>
    </row>
    <row r="607" spans="1:17">
      <c r="A607" s="12" t="s">
        <v>1078</v>
      </c>
      <c r="B607" s="13">
        <v>45593</v>
      </c>
      <c r="C607" s="12" t="s">
        <v>1079</v>
      </c>
      <c r="D607" s="12" t="s">
        <v>196</v>
      </c>
      <c r="E607" s="12" t="s">
        <v>255</v>
      </c>
      <c r="F607" s="14">
        <v>6</v>
      </c>
      <c r="G607" s="14">
        <v>3350</v>
      </c>
      <c r="H607" s="14">
        <v>11.8</v>
      </c>
      <c r="I607" s="14">
        <v>17728.2</v>
      </c>
      <c r="J607" s="12" t="s">
        <v>110</v>
      </c>
      <c r="K607" s="12" t="s">
        <v>129</v>
      </c>
      <c r="L607" s="23" t="str">
        <f>VLOOKUP(D607,Products!$A:$F,3,FALSE)</f>
        <v>Beauty</v>
      </c>
      <c r="M607" s="23" t="str">
        <f>VLOOKUP(E607,Sales_Reps!$A:$E,3,FALSE)</f>
        <v>East</v>
      </c>
      <c r="N607" s="23" t="str">
        <f t="shared" si="27"/>
        <v>Oct-24</v>
      </c>
      <c r="O607" s="23" t="str">
        <f t="shared" si="28"/>
        <v>Q4 2024</v>
      </c>
      <c r="P607" s="23">
        <f>VLOOKUP(D607,Products!$A:$F,4,FALSE)</f>
        <v>1728</v>
      </c>
      <c r="Q607" s="35">
        <f t="shared" si="29"/>
        <v>0.48417910447761192</v>
      </c>
    </row>
    <row r="608" spans="1:17">
      <c r="A608" s="12" t="s">
        <v>1080</v>
      </c>
      <c r="B608" s="13">
        <v>45570</v>
      </c>
      <c r="C608" s="12" t="s">
        <v>267</v>
      </c>
      <c r="D608" s="12" t="s">
        <v>208</v>
      </c>
      <c r="E608" s="12" t="s">
        <v>269</v>
      </c>
      <c r="F608" s="14">
        <v>6</v>
      </c>
      <c r="G608" s="14">
        <v>5100</v>
      </c>
      <c r="H608" s="14">
        <v>13.2</v>
      </c>
      <c r="I608" s="14">
        <v>26560.799999999999</v>
      </c>
      <c r="J608" s="12" t="s">
        <v>104</v>
      </c>
      <c r="K608" s="12" t="s">
        <v>134</v>
      </c>
      <c r="L608" s="23" t="str">
        <f>VLOOKUP(D608,Products!$A:$F,3,FALSE)</f>
        <v>Beauty</v>
      </c>
      <c r="M608" s="23" t="str">
        <f>VLOOKUP(E608,Sales_Reps!$A:$E,3,FALSE)</f>
        <v>South</v>
      </c>
      <c r="N608" s="23" t="str">
        <f t="shared" si="27"/>
        <v>Oct-24</v>
      </c>
      <c r="O608" s="23" t="str">
        <f t="shared" si="28"/>
        <v>Q4 2024</v>
      </c>
      <c r="P608" s="23">
        <f>VLOOKUP(D608,Products!$A:$F,4,FALSE)</f>
        <v>2237</v>
      </c>
      <c r="Q608" s="35">
        <f t="shared" si="29"/>
        <v>0.56137254901960787</v>
      </c>
    </row>
    <row r="609" spans="1:17">
      <c r="A609" s="12" t="s">
        <v>1081</v>
      </c>
      <c r="B609" s="13">
        <v>45474</v>
      </c>
      <c r="C609" s="12" t="s">
        <v>1082</v>
      </c>
      <c r="D609" s="12" t="s">
        <v>152</v>
      </c>
      <c r="E609" s="12" t="s">
        <v>360</v>
      </c>
      <c r="F609" s="14">
        <v>6</v>
      </c>
      <c r="G609" s="14">
        <v>2640</v>
      </c>
      <c r="H609" s="14">
        <v>26.2</v>
      </c>
      <c r="I609" s="14">
        <v>11689.92</v>
      </c>
      <c r="J609" s="12" t="s">
        <v>104</v>
      </c>
      <c r="K609" s="12" t="s">
        <v>111</v>
      </c>
      <c r="L609" s="23" t="str">
        <f>VLOOKUP(D609,Products!$A:$F,3,FALSE)</f>
        <v>Electronics</v>
      </c>
      <c r="M609" s="23" t="str">
        <f>VLOOKUP(E609,Sales_Reps!$A:$E,3,FALSE)</f>
        <v>West</v>
      </c>
      <c r="N609" s="23" t="str">
        <f t="shared" si="27"/>
        <v>Jul-24</v>
      </c>
      <c r="O609" s="23" t="str">
        <f t="shared" si="28"/>
        <v>Q3 2024</v>
      </c>
      <c r="P609" s="23">
        <f>VLOOKUP(D609,Products!$A:$F,4,FALSE)</f>
        <v>1149</v>
      </c>
      <c r="Q609" s="35">
        <f t="shared" si="29"/>
        <v>0.56477272727272732</v>
      </c>
    </row>
    <row r="610" spans="1:17">
      <c r="A610" s="12" t="s">
        <v>1083</v>
      </c>
      <c r="B610" s="13">
        <v>45524</v>
      </c>
      <c r="C610" s="12" t="s">
        <v>614</v>
      </c>
      <c r="D610" s="12" t="s">
        <v>119</v>
      </c>
      <c r="E610" s="12" t="s">
        <v>363</v>
      </c>
      <c r="F610" s="14">
        <v>1</v>
      </c>
      <c r="G610" s="14">
        <v>3660</v>
      </c>
      <c r="H610" s="14">
        <v>19.7</v>
      </c>
      <c r="I610" s="14">
        <v>2938.98</v>
      </c>
      <c r="J610" s="12" t="s">
        <v>104</v>
      </c>
      <c r="K610" s="12" t="s">
        <v>129</v>
      </c>
      <c r="L610" s="23" t="str">
        <f>VLOOKUP(D610,Products!$A:$F,3,FALSE)</f>
        <v>Grocery</v>
      </c>
      <c r="M610" s="23" t="str">
        <f>VLOOKUP(E610,Sales_Reps!$A:$E,3,FALSE)</f>
        <v>South</v>
      </c>
      <c r="N610" s="23" t="str">
        <f t="shared" si="27"/>
        <v>Aug-24</v>
      </c>
      <c r="O610" s="23" t="str">
        <f t="shared" si="28"/>
        <v>Q3 2024</v>
      </c>
      <c r="P610" s="23">
        <f>VLOOKUP(D610,Products!$A:$F,4,FALSE)</f>
        <v>2214</v>
      </c>
      <c r="Q610" s="35">
        <f t="shared" si="29"/>
        <v>0.39508196721311473</v>
      </c>
    </row>
    <row r="611" spans="1:17">
      <c r="A611" s="12" t="s">
        <v>1084</v>
      </c>
      <c r="B611" s="13">
        <v>45468</v>
      </c>
      <c r="C611" s="12" t="s">
        <v>630</v>
      </c>
      <c r="D611" s="12" t="s">
        <v>127</v>
      </c>
      <c r="E611" s="12" t="s">
        <v>360</v>
      </c>
      <c r="F611" s="14">
        <v>5</v>
      </c>
      <c r="G611" s="14">
        <v>370</v>
      </c>
      <c r="H611" s="14">
        <v>21.7</v>
      </c>
      <c r="I611" s="14">
        <v>1448.55</v>
      </c>
      <c r="J611" s="12" t="s">
        <v>104</v>
      </c>
      <c r="K611" s="12" t="s">
        <v>129</v>
      </c>
      <c r="L611" s="23" t="str">
        <f>VLOOKUP(D611,Products!$A:$F,3,FALSE)</f>
        <v>Home</v>
      </c>
      <c r="M611" s="23" t="str">
        <f>VLOOKUP(E611,Sales_Reps!$A:$E,3,FALSE)</f>
        <v>West</v>
      </c>
      <c r="N611" s="23" t="str">
        <f t="shared" si="27"/>
        <v>Jun-24</v>
      </c>
      <c r="O611" s="23" t="str">
        <f t="shared" si="28"/>
        <v>Q2 2024</v>
      </c>
      <c r="P611" s="23">
        <f>VLOOKUP(D611,Products!$A:$F,4,FALSE)</f>
        <v>288</v>
      </c>
      <c r="Q611" s="35">
        <f t="shared" si="29"/>
        <v>0.22162162162162163</v>
      </c>
    </row>
    <row r="612" spans="1:17">
      <c r="A612" s="12" t="s">
        <v>1085</v>
      </c>
      <c r="B612" s="13">
        <v>45336</v>
      </c>
      <c r="C612" s="12" t="s">
        <v>411</v>
      </c>
      <c r="D612" s="12" t="s">
        <v>309</v>
      </c>
      <c r="E612" s="12" t="s">
        <v>128</v>
      </c>
      <c r="F612" s="14">
        <v>5</v>
      </c>
      <c r="G612" s="14">
        <v>620</v>
      </c>
      <c r="H612" s="14">
        <v>10.199999999999999</v>
      </c>
      <c r="I612" s="14">
        <v>2783.8</v>
      </c>
      <c r="J612" s="12" t="s">
        <v>104</v>
      </c>
      <c r="K612" s="12" t="s">
        <v>134</v>
      </c>
      <c r="L612" s="23" t="str">
        <f>VLOOKUP(D612,Products!$A:$F,3,FALSE)</f>
        <v>Apparel</v>
      </c>
      <c r="M612" s="23" t="str">
        <f>VLOOKUP(E612,Sales_Reps!$A:$E,3,FALSE)</f>
        <v>West</v>
      </c>
      <c r="N612" s="23" t="str">
        <f t="shared" si="27"/>
        <v>Feb-24</v>
      </c>
      <c r="O612" s="23" t="str">
        <f t="shared" si="28"/>
        <v>Q1 2024</v>
      </c>
      <c r="P612" s="23">
        <f>VLOOKUP(D612,Products!$A:$F,4,FALSE)</f>
        <v>396</v>
      </c>
      <c r="Q612" s="35">
        <f t="shared" si="29"/>
        <v>0.36129032258064514</v>
      </c>
    </row>
    <row r="613" spans="1:17">
      <c r="A613" s="12" t="s">
        <v>1086</v>
      </c>
      <c r="B613" s="13">
        <v>45392</v>
      </c>
      <c r="C613" s="12" t="s">
        <v>714</v>
      </c>
      <c r="D613" s="12" t="s">
        <v>114</v>
      </c>
      <c r="E613" s="12" t="s">
        <v>320</v>
      </c>
      <c r="F613" s="14">
        <v>8</v>
      </c>
      <c r="G613" s="14">
        <v>470</v>
      </c>
      <c r="H613" s="14">
        <v>2.4</v>
      </c>
      <c r="I613" s="14">
        <v>3669.76</v>
      </c>
      <c r="J613" s="12" t="s">
        <v>104</v>
      </c>
      <c r="K613" s="12" t="s">
        <v>150</v>
      </c>
      <c r="L613" s="23" t="str">
        <f>VLOOKUP(D613,Products!$A:$F,3,FALSE)</f>
        <v>Sports</v>
      </c>
      <c r="M613" s="23" t="str">
        <f>VLOOKUP(E613,Sales_Reps!$A:$E,3,FALSE)</f>
        <v>East</v>
      </c>
      <c r="N613" s="23" t="str">
        <f t="shared" si="27"/>
        <v>Apr-24</v>
      </c>
      <c r="O613" s="23" t="str">
        <f t="shared" si="28"/>
        <v>Q2 2024</v>
      </c>
      <c r="P613" s="23">
        <f>VLOOKUP(D613,Products!$A:$F,4,FALSE)</f>
        <v>302</v>
      </c>
      <c r="Q613" s="35">
        <f t="shared" si="29"/>
        <v>0.35744680851063831</v>
      </c>
    </row>
    <row r="614" spans="1:17">
      <c r="A614" s="12" t="s">
        <v>1087</v>
      </c>
      <c r="B614" s="13">
        <v>45610</v>
      </c>
      <c r="C614" s="12" t="s">
        <v>643</v>
      </c>
      <c r="D614" s="12" t="s">
        <v>403</v>
      </c>
      <c r="E614" s="12" t="s">
        <v>109</v>
      </c>
      <c r="F614" s="14">
        <v>3</v>
      </c>
      <c r="G614" s="14">
        <v>2290</v>
      </c>
      <c r="H614" s="14">
        <v>20.8</v>
      </c>
      <c r="I614" s="14">
        <v>5441.04</v>
      </c>
      <c r="J614" s="12" t="s">
        <v>104</v>
      </c>
      <c r="K614" s="12" t="s">
        <v>116</v>
      </c>
      <c r="L614" s="23" t="str">
        <f>VLOOKUP(D614,Products!$A:$F,3,FALSE)</f>
        <v>Beauty</v>
      </c>
      <c r="M614" s="23" t="str">
        <f>VLOOKUP(E614,Sales_Reps!$A:$E,3,FALSE)</f>
        <v>North</v>
      </c>
      <c r="N614" s="23" t="str">
        <f t="shared" si="27"/>
        <v>Nov-24</v>
      </c>
      <c r="O614" s="23" t="str">
        <f t="shared" si="28"/>
        <v>Q4 2024</v>
      </c>
      <c r="P614" s="23">
        <f>VLOOKUP(D614,Products!$A:$F,4,FALSE)</f>
        <v>1219</v>
      </c>
      <c r="Q614" s="35">
        <f t="shared" si="29"/>
        <v>0.46768558951965067</v>
      </c>
    </row>
    <row r="615" spans="1:17">
      <c r="A615" s="12" t="s">
        <v>1088</v>
      </c>
      <c r="B615" s="13">
        <v>45297</v>
      </c>
      <c r="C615" s="12" t="s">
        <v>1089</v>
      </c>
      <c r="D615" s="12" t="s">
        <v>132</v>
      </c>
      <c r="E615" s="12" t="s">
        <v>133</v>
      </c>
      <c r="F615" s="14">
        <v>4</v>
      </c>
      <c r="G615" s="14">
        <v>960</v>
      </c>
      <c r="H615" s="14">
        <v>28.8</v>
      </c>
      <c r="I615" s="14">
        <v>2734.08</v>
      </c>
      <c r="J615" s="12" t="s">
        <v>110</v>
      </c>
      <c r="K615" s="12" t="s">
        <v>129</v>
      </c>
      <c r="L615" s="23" t="str">
        <f>VLOOKUP(D615,Products!$A:$F,3,FALSE)</f>
        <v>Sports</v>
      </c>
      <c r="M615" s="23" t="str">
        <f>VLOOKUP(E615,Sales_Reps!$A:$E,3,FALSE)</f>
        <v>West</v>
      </c>
      <c r="N615" s="23" t="str">
        <f t="shared" si="27"/>
        <v>Jan-24</v>
      </c>
      <c r="O615" s="23" t="str">
        <f t="shared" si="28"/>
        <v>Q1 2024</v>
      </c>
      <c r="P615" s="23">
        <f>VLOOKUP(D615,Products!$A:$F,4,FALSE)</f>
        <v>705</v>
      </c>
      <c r="Q615" s="35">
        <f t="shared" si="29"/>
        <v>0.265625</v>
      </c>
    </row>
    <row r="616" spans="1:17">
      <c r="A616" s="12" t="s">
        <v>1090</v>
      </c>
      <c r="B616" s="13">
        <v>45558</v>
      </c>
      <c r="C616" s="12" t="s">
        <v>459</v>
      </c>
      <c r="D616" s="12" t="s">
        <v>119</v>
      </c>
      <c r="E616" s="12" t="s">
        <v>149</v>
      </c>
      <c r="F616" s="14">
        <v>5</v>
      </c>
      <c r="G616" s="14">
        <v>3660</v>
      </c>
      <c r="H616" s="14">
        <v>11.9</v>
      </c>
      <c r="I616" s="14">
        <v>16122.3</v>
      </c>
      <c r="J616" s="12" t="s">
        <v>110</v>
      </c>
      <c r="K616" s="12" t="s">
        <v>105</v>
      </c>
      <c r="L616" s="23" t="str">
        <f>VLOOKUP(D616,Products!$A:$F,3,FALSE)</f>
        <v>Grocery</v>
      </c>
      <c r="M616" s="23" t="str">
        <f>VLOOKUP(E616,Sales_Reps!$A:$E,3,FALSE)</f>
        <v>South</v>
      </c>
      <c r="N616" s="23" t="str">
        <f t="shared" si="27"/>
        <v>Sep-24</v>
      </c>
      <c r="O616" s="23" t="str">
        <f t="shared" si="28"/>
        <v>Q3 2024</v>
      </c>
      <c r="P616" s="23">
        <f>VLOOKUP(D616,Products!$A:$F,4,FALSE)</f>
        <v>2214</v>
      </c>
      <c r="Q616" s="35">
        <f t="shared" si="29"/>
        <v>0.39508196721311473</v>
      </c>
    </row>
    <row r="617" spans="1:17">
      <c r="A617" s="12" t="s">
        <v>1091</v>
      </c>
      <c r="B617" s="13">
        <v>45487</v>
      </c>
      <c r="C617" s="12" t="s">
        <v>350</v>
      </c>
      <c r="D617" s="12" t="s">
        <v>204</v>
      </c>
      <c r="E617" s="12" t="s">
        <v>138</v>
      </c>
      <c r="F617" s="14">
        <v>5</v>
      </c>
      <c r="G617" s="14">
        <v>3570</v>
      </c>
      <c r="H617" s="14">
        <v>12.4</v>
      </c>
      <c r="I617" s="14">
        <v>15636.6</v>
      </c>
      <c r="J617" s="12" t="s">
        <v>104</v>
      </c>
      <c r="K617" s="12" t="s">
        <v>150</v>
      </c>
      <c r="L617" s="23" t="str">
        <f>VLOOKUP(D617,Products!$A:$F,3,FALSE)</f>
        <v>Electronics</v>
      </c>
      <c r="M617" s="23" t="str">
        <f>VLOOKUP(E617,Sales_Reps!$A:$E,3,FALSE)</f>
        <v>East</v>
      </c>
      <c r="N617" s="23" t="str">
        <f t="shared" si="27"/>
        <v>Jul-24</v>
      </c>
      <c r="O617" s="23" t="str">
        <f t="shared" si="28"/>
        <v>Q3 2024</v>
      </c>
      <c r="P617" s="23">
        <f>VLOOKUP(D617,Products!$A:$F,4,FALSE)</f>
        <v>1665</v>
      </c>
      <c r="Q617" s="35">
        <f t="shared" si="29"/>
        <v>0.53361344537815125</v>
      </c>
    </row>
    <row r="618" spans="1:17">
      <c r="A618" s="12" t="s">
        <v>1092</v>
      </c>
      <c r="B618" s="13">
        <v>45307</v>
      </c>
      <c r="C618" s="12" t="s">
        <v>126</v>
      </c>
      <c r="D618" s="12" t="s">
        <v>312</v>
      </c>
      <c r="E618" s="12" t="s">
        <v>255</v>
      </c>
      <c r="F618" s="14">
        <v>9</v>
      </c>
      <c r="G618" s="14">
        <v>2030</v>
      </c>
      <c r="H618" s="14">
        <v>23.4</v>
      </c>
      <c r="I618" s="14">
        <v>13994.82</v>
      </c>
      <c r="J618" s="12" t="s">
        <v>104</v>
      </c>
      <c r="K618" s="12" t="s">
        <v>129</v>
      </c>
      <c r="L618" s="23" t="str">
        <f>VLOOKUP(D618,Products!$A:$F,3,FALSE)</f>
        <v>Home</v>
      </c>
      <c r="M618" s="23" t="str">
        <f>VLOOKUP(E618,Sales_Reps!$A:$E,3,FALSE)</f>
        <v>East</v>
      </c>
      <c r="N618" s="23" t="str">
        <f t="shared" si="27"/>
        <v>Jan-24</v>
      </c>
      <c r="O618" s="23" t="str">
        <f t="shared" si="28"/>
        <v>Q1 2024</v>
      </c>
      <c r="P618" s="23">
        <f>VLOOKUP(D618,Products!$A:$F,4,FALSE)</f>
        <v>1143</v>
      </c>
      <c r="Q618" s="35">
        <f t="shared" si="29"/>
        <v>0.43694581280788175</v>
      </c>
    </row>
    <row r="619" spans="1:17">
      <c r="A619" s="12" t="s">
        <v>1093</v>
      </c>
      <c r="B619" s="13">
        <v>45328</v>
      </c>
      <c r="C619" s="12" t="s">
        <v>211</v>
      </c>
      <c r="D619" s="12" t="s">
        <v>190</v>
      </c>
      <c r="E619" s="12" t="s">
        <v>133</v>
      </c>
      <c r="F619" s="14">
        <v>7</v>
      </c>
      <c r="G619" s="14">
        <v>2720</v>
      </c>
      <c r="H619" s="14">
        <v>11.2</v>
      </c>
      <c r="I619" s="14">
        <v>16907.52</v>
      </c>
      <c r="J619" s="12" t="s">
        <v>161</v>
      </c>
      <c r="K619" s="12" t="s">
        <v>105</v>
      </c>
      <c r="L619" s="23" t="str">
        <f>VLOOKUP(D619,Products!$A:$F,3,FALSE)</f>
        <v>Apparel</v>
      </c>
      <c r="M619" s="23" t="str">
        <f>VLOOKUP(E619,Sales_Reps!$A:$E,3,FALSE)</f>
        <v>West</v>
      </c>
      <c r="N619" s="23" t="str">
        <f t="shared" si="27"/>
        <v>Feb-24</v>
      </c>
      <c r="O619" s="23" t="str">
        <f t="shared" si="28"/>
        <v>Q1 2024</v>
      </c>
      <c r="P619" s="23">
        <f>VLOOKUP(D619,Products!$A:$F,4,FALSE)</f>
        <v>1962</v>
      </c>
      <c r="Q619" s="35">
        <f t="shared" si="29"/>
        <v>0.2786764705882353</v>
      </c>
    </row>
    <row r="620" spans="1:17">
      <c r="A620" s="12" t="s">
        <v>1094</v>
      </c>
      <c r="B620" s="13">
        <v>45627</v>
      </c>
      <c r="C620" s="12" t="s">
        <v>746</v>
      </c>
      <c r="D620" s="12" t="s">
        <v>204</v>
      </c>
      <c r="E620" s="12" t="s">
        <v>124</v>
      </c>
      <c r="F620" s="14">
        <v>2</v>
      </c>
      <c r="G620" s="14">
        <v>3570</v>
      </c>
      <c r="H620" s="14">
        <v>6.1</v>
      </c>
      <c r="I620" s="14">
        <v>6704.46</v>
      </c>
      <c r="J620" s="12" t="s">
        <v>157</v>
      </c>
      <c r="K620" s="12" t="s">
        <v>129</v>
      </c>
      <c r="L620" s="23" t="str">
        <f>VLOOKUP(D620,Products!$A:$F,3,FALSE)</f>
        <v>Electronics</v>
      </c>
      <c r="M620" s="23" t="str">
        <f>VLOOKUP(E620,Sales_Reps!$A:$E,3,FALSE)</f>
        <v>North</v>
      </c>
      <c r="N620" s="23" t="str">
        <f t="shared" si="27"/>
        <v>Dec-24</v>
      </c>
      <c r="O620" s="23" t="str">
        <f t="shared" si="28"/>
        <v>Q4 2024</v>
      </c>
      <c r="P620" s="23">
        <f>VLOOKUP(D620,Products!$A:$F,4,FALSE)</f>
        <v>1665</v>
      </c>
      <c r="Q620" s="35">
        <f t="shared" si="29"/>
        <v>0.53361344537815125</v>
      </c>
    </row>
    <row r="621" spans="1:17">
      <c r="A621" s="12" t="s">
        <v>1095</v>
      </c>
      <c r="B621" s="13">
        <v>45574</v>
      </c>
      <c r="C621" s="12" t="s">
        <v>833</v>
      </c>
      <c r="D621" s="12" t="s">
        <v>168</v>
      </c>
      <c r="E621" s="12" t="s">
        <v>232</v>
      </c>
      <c r="F621" s="14">
        <v>5</v>
      </c>
      <c r="G621" s="14">
        <v>2400</v>
      </c>
      <c r="H621" s="14">
        <v>16.100000000000001</v>
      </c>
      <c r="I621" s="14">
        <v>10068</v>
      </c>
      <c r="J621" s="12" t="s">
        <v>104</v>
      </c>
      <c r="K621" s="12" t="s">
        <v>105</v>
      </c>
      <c r="L621" s="23" t="str">
        <f>VLOOKUP(D621,Products!$A:$F,3,FALSE)</f>
        <v>Sports</v>
      </c>
      <c r="M621" s="23" t="str">
        <f>VLOOKUP(E621,Sales_Reps!$A:$E,3,FALSE)</f>
        <v>North</v>
      </c>
      <c r="N621" s="23" t="str">
        <f t="shared" si="27"/>
        <v>Oct-24</v>
      </c>
      <c r="O621" s="23" t="str">
        <f t="shared" si="28"/>
        <v>Q4 2024</v>
      </c>
      <c r="P621" s="23">
        <f>VLOOKUP(D621,Products!$A:$F,4,FALSE)</f>
        <v>974</v>
      </c>
      <c r="Q621" s="35">
        <f t="shared" si="29"/>
        <v>0.59416666666666662</v>
      </c>
    </row>
    <row r="622" spans="1:17">
      <c r="A622" s="12" t="s">
        <v>1096</v>
      </c>
      <c r="B622" s="13">
        <v>45592</v>
      </c>
      <c r="C622" s="12" t="s">
        <v>1089</v>
      </c>
      <c r="D622" s="12" t="s">
        <v>148</v>
      </c>
      <c r="E622" s="12" t="s">
        <v>314</v>
      </c>
      <c r="F622" s="14">
        <v>4</v>
      </c>
      <c r="G622" s="14">
        <v>2270</v>
      </c>
      <c r="H622" s="14">
        <v>27.5</v>
      </c>
      <c r="I622" s="14">
        <v>6583</v>
      </c>
      <c r="J622" s="12" t="s">
        <v>110</v>
      </c>
      <c r="K622" s="12" t="s">
        <v>129</v>
      </c>
      <c r="L622" s="23" t="str">
        <f>VLOOKUP(D622,Products!$A:$F,3,FALSE)</f>
        <v>Grocery</v>
      </c>
      <c r="M622" s="23" t="str">
        <f>VLOOKUP(E622,Sales_Reps!$A:$E,3,FALSE)</f>
        <v>North</v>
      </c>
      <c r="N622" s="23" t="str">
        <f t="shared" si="27"/>
        <v>Oct-24</v>
      </c>
      <c r="O622" s="23" t="str">
        <f t="shared" si="28"/>
        <v>Q4 2024</v>
      </c>
      <c r="P622" s="23">
        <f>VLOOKUP(D622,Products!$A:$F,4,FALSE)</f>
        <v>1203</v>
      </c>
      <c r="Q622" s="35">
        <f t="shared" si="29"/>
        <v>0.47004405286343615</v>
      </c>
    </row>
    <row r="623" spans="1:17">
      <c r="A623" s="12" t="s">
        <v>1097</v>
      </c>
      <c r="B623" s="13">
        <v>45509</v>
      </c>
      <c r="C623" s="12" t="s">
        <v>118</v>
      </c>
      <c r="D623" s="12" t="s">
        <v>144</v>
      </c>
      <c r="E623" s="12" t="s">
        <v>342</v>
      </c>
      <c r="F623" s="14">
        <v>1</v>
      </c>
      <c r="G623" s="14">
        <v>970</v>
      </c>
      <c r="H623" s="14">
        <v>12.7</v>
      </c>
      <c r="I623" s="14">
        <v>846.81</v>
      </c>
      <c r="J623" s="12" t="s">
        <v>104</v>
      </c>
      <c r="K623" s="12" t="s">
        <v>116</v>
      </c>
      <c r="L623" s="23" t="str">
        <f>VLOOKUP(D623,Products!$A:$F,3,FALSE)</f>
        <v>Grocery</v>
      </c>
      <c r="M623" s="23" t="str">
        <f>VLOOKUP(E623,Sales_Reps!$A:$E,3,FALSE)</f>
        <v>South</v>
      </c>
      <c r="N623" s="23" t="str">
        <f t="shared" si="27"/>
        <v>Aug-24</v>
      </c>
      <c r="O623" s="23" t="str">
        <f t="shared" si="28"/>
        <v>Q3 2024</v>
      </c>
      <c r="P623" s="23">
        <f>VLOOKUP(D623,Products!$A:$F,4,FALSE)</f>
        <v>434</v>
      </c>
      <c r="Q623" s="35">
        <f t="shared" si="29"/>
        <v>0.5525773195876289</v>
      </c>
    </row>
    <row r="624" spans="1:17">
      <c r="A624" s="12" t="s">
        <v>1098</v>
      </c>
      <c r="B624" s="13">
        <v>45307</v>
      </c>
      <c r="C624" s="12" t="s">
        <v>486</v>
      </c>
      <c r="D624" s="12" t="s">
        <v>532</v>
      </c>
      <c r="E624" s="12" t="s">
        <v>320</v>
      </c>
      <c r="F624" s="14">
        <v>5</v>
      </c>
      <c r="G624" s="14">
        <v>6940</v>
      </c>
      <c r="H624" s="14">
        <v>16.2</v>
      </c>
      <c r="I624" s="14">
        <v>29078.6</v>
      </c>
      <c r="J624" s="12" t="s">
        <v>104</v>
      </c>
      <c r="K624" s="12" t="s">
        <v>134</v>
      </c>
      <c r="L624" s="23" t="str">
        <f>VLOOKUP(D624,Products!$A:$F,3,FALSE)</f>
        <v>Sports</v>
      </c>
      <c r="M624" s="23" t="str">
        <f>VLOOKUP(E624,Sales_Reps!$A:$E,3,FALSE)</f>
        <v>East</v>
      </c>
      <c r="N624" s="23" t="str">
        <f t="shared" si="27"/>
        <v>Jan-24</v>
      </c>
      <c r="O624" s="23" t="str">
        <f t="shared" si="28"/>
        <v>Q1 2024</v>
      </c>
      <c r="P624" s="23">
        <f>VLOOKUP(D624,Products!$A:$F,4,FALSE)</f>
        <v>2827</v>
      </c>
      <c r="Q624" s="35">
        <f t="shared" si="29"/>
        <v>0.5926512968299712</v>
      </c>
    </row>
    <row r="625" spans="1:17">
      <c r="A625" s="12" t="s">
        <v>1099</v>
      </c>
      <c r="B625" s="13">
        <v>45586</v>
      </c>
      <c r="C625" s="12" t="s">
        <v>216</v>
      </c>
      <c r="D625" s="12" t="s">
        <v>532</v>
      </c>
      <c r="E625" s="12" t="s">
        <v>221</v>
      </c>
      <c r="F625" s="14">
        <v>4</v>
      </c>
      <c r="G625" s="14">
        <v>6940</v>
      </c>
      <c r="H625" s="14">
        <v>15.1</v>
      </c>
      <c r="I625" s="14">
        <v>23568.240000000002</v>
      </c>
      <c r="J625" s="12" t="s">
        <v>104</v>
      </c>
      <c r="K625" s="12" t="s">
        <v>150</v>
      </c>
      <c r="L625" s="23" t="str">
        <f>VLOOKUP(D625,Products!$A:$F,3,FALSE)</f>
        <v>Sports</v>
      </c>
      <c r="M625" s="23" t="str">
        <f>VLOOKUP(E625,Sales_Reps!$A:$E,3,FALSE)</f>
        <v>South</v>
      </c>
      <c r="N625" s="23" t="str">
        <f t="shared" si="27"/>
        <v>Oct-24</v>
      </c>
      <c r="O625" s="23" t="str">
        <f t="shared" si="28"/>
        <v>Q4 2024</v>
      </c>
      <c r="P625" s="23">
        <f>VLOOKUP(D625,Products!$A:$F,4,FALSE)</f>
        <v>2827</v>
      </c>
      <c r="Q625" s="35">
        <f t="shared" si="29"/>
        <v>0.5926512968299712</v>
      </c>
    </row>
    <row r="626" spans="1:17">
      <c r="A626" s="12" t="s">
        <v>1100</v>
      </c>
      <c r="B626" s="13">
        <v>45587</v>
      </c>
      <c r="C626" s="12" t="s">
        <v>357</v>
      </c>
      <c r="D626" s="12" t="s">
        <v>199</v>
      </c>
      <c r="E626" s="12" t="s">
        <v>120</v>
      </c>
      <c r="F626" s="14">
        <v>1</v>
      </c>
      <c r="G626" s="14">
        <v>1010</v>
      </c>
      <c r="H626" s="14">
        <v>1.7</v>
      </c>
      <c r="I626" s="14">
        <v>992.83</v>
      </c>
      <c r="J626" s="12" t="s">
        <v>104</v>
      </c>
      <c r="K626" s="12" t="s">
        <v>105</v>
      </c>
      <c r="L626" s="23" t="str">
        <f>VLOOKUP(D626,Products!$A:$F,3,FALSE)</f>
        <v>Sports</v>
      </c>
      <c r="M626" s="23" t="str">
        <f>VLOOKUP(E626,Sales_Reps!$A:$E,3,FALSE)</f>
        <v>North</v>
      </c>
      <c r="N626" s="23" t="str">
        <f t="shared" si="27"/>
        <v>Oct-24</v>
      </c>
      <c r="O626" s="23" t="str">
        <f t="shared" si="28"/>
        <v>Q4 2024</v>
      </c>
      <c r="P626" s="23">
        <f>VLOOKUP(D626,Products!$A:$F,4,FALSE)</f>
        <v>516</v>
      </c>
      <c r="Q626" s="35">
        <f t="shared" si="29"/>
        <v>0.4891089108910891</v>
      </c>
    </row>
    <row r="627" spans="1:17">
      <c r="A627" s="12" t="s">
        <v>1101</v>
      </c>
      <c r="B627" s="13">
        <v>45609</v>
      </c>
      <c r="C627" s="12" t="s">
        <v>308</v>
      </c>
      <c r="D627" s="12" t="s">
        <v>265</v>
      </c>
      <c r="E627" s="12" t="s">
        <v>103</v>
      </c>
      <c r="F627" s="14">
        <v>6</v>
      </c>
      <c r="G627" s="14">
        <v>3870</v>
      </c>
      <c r="H627" s="14">
        <v>12.2</v>
      </c>
      <c r="I627" s="14">
        <v>20387.16</v>
      </c>
      <c r="J627" s="12" t="s">
        <v>104</v>
      </c>
      <c r="K627" s="12" t="s">
        <v>116</v>
      </c>
      <c r="L627" s="23" t="str">
        <f>VLOOKUP(D627,Products!$A:$F,3,FALSE)</f>
        <v>Electronics</v>
      </c>
      <c r="M627" s="23" t="str">
        <f>VLOOKUP(E627,Sales_Reps!$A:$E,3,FALSE)</f>
        <v>North</v>
      </c>
      <c r="N627" s="23" t="str">
        <f t="shared" si="27"/>
        <v>Nov-24</v>
      </c>
      <c r="O627" s="23" t="str">
        <f t="shared" si="28"/>
        <v>Q4 2024</v>
      </c>
      <c r="P627" s="23">
        <f>VLOOKUP(D627,Products!$A:$F,4,FALSE)</f>
        <v>1559</v>
      </c>
      <c r="Q627" s="35">
        <f t="shared" si="29"/>
        <v>0.59715762273901807</v>
      </c>
    </row>
    <row r="628" spans="1:17">
      <c r="A628" s="12" t="s">
        <v>1102</v>
      </c>
      <c r="B628" s="13">
        <v>45316</v>
      </c>
      <c r="C628" s="12" t="s">
        <v>554</v>
      </c>
      <c r="D628" s="12" t="s">
        <v>208</v>
      </c>
      <c r="E628" s="12" t="s">
        <v>290</v>
      </c>
      <c r="F628" s="14">
        <v>9</v>
      </c>
      <c r="G628" s="14">
        <v>5100</v>
      </c>
      <c r="H628" s="14">
        <v>26.4</v>
      </c>
      <c r="I628" s="14">
        <v>33782.400000000001</v>
      </c>
      <c r="J628" s="12" t="s">
        <v>104</v>
      </c>
      <c r="K628" s="12" t="s">
        <v>150</v>
      </c>
      <c r="L628" s="23" t="str">
        <f>VLOOKUP(D628,Products!$A:$F,3,FALSE)</f>
        <v>Beauty</v>
      </c>
      <c r="M628" s="23" t="str">
        <f>VLOOKUP(E628,Sales_Reps!$A:$E,3,FALSE)</f>
        <v>South</v>
      </c>
      <c r="N628" s="23" t="str">
        <f t="shared" si="27"/>
        <v>Jan-24</v>
      </c>
      <c r="O628" s="23" t="str">
        <f t="shared" si="28"/>
        <v>Q1 2024</v>
      </c>
      <c r="P628" s="23">
        <f>VLOOKUP(D628,Products!$A:$F,4,FALSE)</f>
        <v>2237</v>
      </c>
      <c r="Q628" s="35">
        <f t="shared" si="29"/>
        <v>0.56137254901960787</v>
      </c>
    </row>
    <row r="629" spans="1:17">
      <c r="A629" s="12" t="s">
        <v>1103</v>
      </c>
      <c r="B629" s="13">
        <v>45451</v>
      </c>
      <c r="C629" s="12" t="s">
        <v>965</v>
      </c>
      <c r="D629" s="12" t="s">
        <v>123</v>
      </c>
      <c r="E629" s="12" t="s">
        <v>124</v>
      </c>
      <c r="F629" s="14">
        <v>2</v>
      </c>
      <c r="G629" s="14">
        <v>3160</v>
      </c>
      <c r="H629" s="14">
        <v>13.4</v>
      </c>
      <c r="I629" s="14">
        <v>5473.12</v>
      </c>
      <c r="J629" s="12" t="s">
        <v>161</v>
      </c>
      <c r="K629" s="12" t="s">
        <v>105</v>
      </c>
      <c r="L629" s="23" t="str">
        <f>VLOOKUP(D629,Products!$A:$F,3,FALSE)</f>
        <v>Apparel</v>
      </c>
      <c r="M629" s="23" t="str">
        <f>VLOOKUP(E629,Sales_Reps!$A:$E,3,FALSE)</f>
        <v>North</v>
      </c>
      <c r="N629" s="23" t="str">
        <f t="shared" si="27"/>
        <v>Jun-24</v>
      </c>
      <c r="O629" s="23" t="str">
        <f t="shared" si="28"/>
        <v>Q2 2024</v>
      </c>
      <c r="P629" s="23">
        <f>VLOOKUP(D629,Products!$A:$F,4,FALSE)</f>
        <v>1886</v>
      </c>
      <c r="Q629" s="35">
        <f t="shared" si="29"/>
        <v>0.4031645569620253</v>
      </c>
    </row>
    <row r="630" spans="1:17">
      <c r="A630" s="12" t="s">
        <v>1104</v>
      </c>
      <c r="B630" s="13">
        <v>45554</v>
      </c>
      <c r="C630" s="12" t="s">
        <v>1044</v>
      </c>
      <c r="D630" s="12" t="s">
        <v>355</v>
      </c>
      <c r="E630" s="12" t="s">
        <v>290</v>
      </c>
      <c r="F630" s="14">
        <v>8</v>
      </c>
      <c r="G630" s="14">
        <v>2210</v>
      </c>
      <c r="H630" s="14">
        <v>26</v>
      </c>
      <c r="I630" s="14">
        <v>13083.2</v>
      </c>
      <c r="J630" s="12" t="s">
        <v>104</v>
      </c>
      <c r="K630" s="12" t="s">
        <v>129</v>
      </c>
      <c r="L630" s="23" t="str">
        <f>VLOOKUP(D630,Products!$A:$F,3,FALSE)</f>
        <v>Grocery</v>
      </c>
      <c r="M630" s="23" t="str">
        <f>VLOOKUP(E630,Sales_Reps!$A:$E,3,FALSE)</f>
        <v>South</v>
      </c>
      <c r="N630" s="23" t="str">
        <f t="shared" si="27"/>
        <v>Sep-24</v>
      </c>
      <c r="O630" s="23" t="str">
        <f t="shared" si="28"/>
        <v>Q3 2024</v>
      </c>
      <c r="P630" s="23">
        <f>VLOOKUP(D630,Products!$A:$F,4,FALSE)</f>
        <v>1010</v>
      </c>
      <c r="Q630" s="35">
        <f t="shared" si="29"/>
        <v>0.54298642533936647</v>
      </c>
    </row>
    <row r="631" spans="1:17">
      <c r="A631" s="12" t="s">
        <v>1105</v>
      </c>
      <c r="B631" s="13">
        <v>45567</v>
      </c>
      <c r="C631" s="12" t="s">
        <v>416</v>
      </c>
      <c r="D631" s="12" t="s">
        <v>676</v>
      </c>
      <c r="E631" s="12" t="s">
        <v>218</v>
      </c>
      <c r="F631" s="14">
        <v>5</v>
      </c>
      <c r="G631" s="14">
        <v>3560</v>
      </c>
      <c r="H631" s="14">
        <v>15</v>
      </c>
      <c r="I631" s="14">
        <v>15130</v>
      </c>
      <c r="J631" s="12" t="s">
        <v>104</v>
      </c>
      <c r="K631" s="12" t="s">
        <v>116</v>
      </c>
      <c r="L631" s="23" t="str">
        <f>VLOOKUP(D631,Products!$A:$F,3,FALSE)</f>
        <v>Apparel</v>
      </c>
      <c r="M631" s="23" t="str">
        <f>VLOOKUP(E631,Sales_Reps!$A:$E,3,FALSE)</f>
        <v>West</v>
      </c>
      <c r="N631" s="23" t="str">
        <f t="shared" si="27"/>
        <v>Oct-24</v>
      </c>
      <c r="O631" s="23" t="str">
        <f t="shared" si="28"/>
        <v>Q4 2024</v>
      </c>
      <c r="P631" s="23">
        <f>VLOOKUP(D631,Products!$A:$F,4,FALSE)</f>
        <v>2629</v>
      </c>
      <c r="Q631" s="35">
        <f t="shared" si="29"/>
        <v>0.26151685393258428</v>
      </c>
    </row>
    <row r="632" spans="1:17">
      <c r="A632" s="12" t="s">
        <v>1106</v>
      </c>
      <c r="B632" s="13">
        <v>45633</v>
      </c>
      <c r="C632" s="12" t="s">
        <v>1017</v>
      </c>
      <c r="D632" s="12" t="s">
        <v>309</v>
      </c>
      <c r="E632" s="12" t="s">
        <v>149</v>
      </c>
      <c r="F632" s="14">
        <v>10</v>
      </c>
      <c r="G632" s="14">
        <v>620</v>
      </c>
      <c r="H632" s="14">
        <v>15.8</v>
      </c>
      <c r="I632" s="14">
        <v>5220.3999999999996</v>
      </c>
      <c r="J632" s="12" t="s">
        <v>161</v>
      </c>
      <c r="K632" s="12" t="s">
        <v>134</v>
      </c>
      <c r="L632" s="23" t="str">
        <f>VLOOKUP(D632,Products!$A:$F,3,FALSE)</f>
        <v>Apparel</v>
      </c>
      <c r="M632" s="23" t="str">
        <f>VLOOKUP(E632,Sales_Reps!$A:$E,3,FALSE)</f>
        <v>South</v>
      </c>
      <c r="N632" s="23" t="str">
        <f t="shared" si="27"/>
        <v>Dec-24</v>
      </c>
      <c r="O632" s="23" t="str">
        <f t="shared" si="28"/>
        <v>Q4 2024</v>
      </c>
      <c r="P632" s="23">
        <f>VLOOKUP(D632,Products!$A:$F,4,FALSE)</f>
        <v>396</v>
      </c>
      <c r="Q632" s="35">
        <f t="shared" si="29"/>
        <v>0.36129032258064514</v>
      </c>
    </row>
    <row r="633" spans="1:17">
      <c r="A633" s="12" t="s">
        <v>1107</v>
      </c>
      <c r="B633" s="13">
        <v>45588</v>
      </c>
      <c r="C633" s="12" t="s">
        <v>574</v>
      </c>
      <c r="D633" s="12" t="s">
        <v>217</v>
      </c>
      <c r="E633" s="12" t="s">
        <v>314</v>
      </c>
      <c r="F633" s="14">
        <v>3</v>
      </c>
      <c r="G633" s="14">
        <v>2760</v>
      </c>
      <c r="H633" s="14">
        <v>1.9</v>
      </c>
      <c r="I633" s="14">
        <v>8122.68</v>
      </c>
      <c r="J633" s="12" t="s">
        <v>157</v>
      </c>
      <c r="K633" s="12" t="s">
        <v>129</v>
      </c>
      <c r="L633" s="23" t="str">
        <f>VLOOKUP(D633,Products!$A:$F,3,FALSE)</f>
        <v>Grocery</v>
      </c>
      <c r="M633" s="23" t="str">
        <f>VLOOKUP(E633,Sales_Reps!$A:$E,3,FALSE)</f>
        <v>North</v>
      </c>
      <c r="N633" s="23" t="str">
        <f t="shared" si="27"/>
        <v>Oct-24</v>
      </c>
      <c r="O633" s="23" t="str">
        <f t="shared" si="28"/>
        <v>Q4 2024</v>
      </c>
      <c r="P633" s="23">
        <f>VLOOKUP(D633,Products!$A:$F,4,FALSE)</f>
        <v>1435</v>
      </c>
      <c r="Q633" s="35">
        <f t="shared" si="29"/>
        <v>0.48007246376811596</v>
      </c>
    </row>
    <row r="634" spans="1:17">
      <c r="A634" s="12" t="s">
        <v>1108</v>
      </c>
      <c r="B634" s="13">
        <v>45634</v>
      </c>
      <c r="C634" s="12" t="s">
        <v>236</v>
      </c>
      <c r="D634" s="12" t="s">
        <v>199</v>
      </c>
      <c r="E634" s="12" t="s">
        <v>109</v>
      </c>
      <c r="F634" s="14">
        <v>10</v>
      </c>
      <c r="G634" s="14">
        <v>1010</v>
      </c>
      <c r="H634" s="14">
        <v>28.9</v>
      </c>
      <c r="I634" s="14">
        <v>7181.1</v>
      </c>
      <c r="J634" s="12" t="s">
        <v>104</v>
      </c>
      <c r="K634" s="12" t="s">
        <v>116</v>
      </c>
      <c r="L634" s="23" t="str">
        <f>VLOOKUP(D634,Products!$A:$F,3,FALSE)</f>
        <v>Sports</v>
      </c>
      <c r="M634" s="23" t="str">
        <f>VLOOKUP(E634,Sales_Reps!$A:$E,3,FALSE)</f>
        <v>North</v>
      </c>
      <c r="N634" s="23" t="str">
        <f t="shared" si="27"/>
        <v>Dec-24</v>
      </c>
      <c r="O634" s="23" t="str">
        <f t="shared" si="28"/>
        <v>Q4 2024</v>
      </c>
      <c r="P634" s="23">
        <f>VLOOKUP(D634,Products!$A:$F,4,FALSE)</f>
        <v>516</v>
      </c>
      <c r="Q634" s="35">
        <f t="shared" si="29"/>
        <v>0.4891089108910891</v>
      </c>
    </row>
    <row r="635" spans="1:17">
      <c r="A635" s="12" t="s">
        <v>1109</v>
      </c>
      <c r="B635" s="13">
        <v>45352</v>
      </c>
      <c r="C635" s="12" t="s">
        <v>223</v>
      </c>
      <c r="D635" s="12" t="s">
        <v>254</v>
      </c>
      <c r="E635" s="12" t="s">
        <v>314</v>
      </c>
      <c r="F635" s="14">
        <v>1</v>
      </c>
      <c r="G635" s="14">
        <v>3640</v>
      </c>
      <c r="H635" s="14">
        <v>9.6999999999999993</v>
      </c>
      <c r="I635" s="14">
        <v>3286.92</v>
      </c>
      <c r="J635" s="12" t="s">
        <v>104</v>
      </c>
      <c r="K635" s="12" t="s">
        <v>150</v>
      </c>
      <c r="L635" s="23" t="str">
        <f>VLOOKUP(D635,Products!$A:$F,3,FALSE)</f>
        <v>Apparel</v>
      </c>
      <c r="M635" s="23" t="str">
        <f>VLOOKUP(E635,Sales_Reps!$A:$E,3,FALSE)</f>
        <v>North</v>
      </c>
      <c r="N635" s="23" t="str">
        <f t="shared" si="27"/>
        <v>Mar-24</v>
      </c>
      <c r="O635" s="23" t="str">
        <f t="shared" si="28"/>
        <v>Q1 2024</v>
      </c>
      <c r="P635" s="23">
        <f>VLOOKUP(D635,Products!$A:$F,4,FALSE)</f>
        <v>2611</v>
      </c>
      <c r="Q635" s="35">
        <f t="shared" si="29"/>
        <v>0.28269230769230769</v>
      </c>
    </row>
    <row r="636" spans="1:17">
      <c r="A636" s="12" t="s">
        <v>1110</v>
      </c>
      <c r="B636" s="13">
        <v>45489</v>
      </c>
      <c r="C636" s="12" t="s">
        <v>203</v>
      </c>
      <c r="D636" s="12" t="s">
        <v>108</v>
      </c>
      <c r="E636" s="12" t="s">
        <v>149</v>
      </c>
      <c r="F636" s="14">
        <v>1</v>
      </c>
      <c r="G636" s="14">
        <v>820</v>
      </c>
      <c r="H636" s="14">
        <v>15</v>
      </c>
      <c r="I636" s="14">
        <v>697</v>
      </c>
      <c r="J636" s="12" t="s">
        <v>104</v>
      </c>
      <c r="K636" s="12" t="s">
        <v>111</v>
      </c>
      <c r="L636" s="23" t="str">
        <f>VLOOKUP(D636,Products!$A:$F,3,FALSE)</f>
        <v>Apparel</v>
      </c>
      <c r="M636" s="23" t="str">
        <f>VLOOKUP(E636,Sales_Reps!$A:$E,3,FALSE)</f>
        <v>South</v>
      </c>
      <c r="N636" s="23" t="str">
        <f t="shared" si="27"/>
        <v>Jul-24</v>
      </c>
      <c r="O636" s="23" t="str">
        <f t="shared" si="28"/>
        <v>Q3 2024</v>
      </c>
      <c r="P636" s="23">
        <f>VLOOKUP(D636,Products!$A:$F,4,FALSE)</f>
        <v>391</v>
      </c>
      <c r="Q636" s="35">
        <f t="shared" si="29"/>
        <v>0.52317073170731709</v>
      </c>
    </row>
    <row r="637" spans="1:17">
      <c r="A637" s="12" t="s">
        <v>1111</v>
      </c>
      <c r="B637" s="13">
        <v>45342</v>
      </c>
      <c r="C637" s="12" t="s">
        <v>180</v>
      </c>
      <c r="D637" s="12" t="s">
        <v>254</v>
      </c>
      <c r="E637" s="12" t="s">
        <v>290</v>
      </c>
      <c r="F637" s="14">
        <v>4</v>
      </c>
      <c r="G637" s="14">
        <v>3640</v>
      </c>
      <c r="H637" s="14">
        <v>17</v>
      </c>
      <c r="I637" s="14">
        <v>12084.8</v>
      </c>
      <c r="J637" s="12" t="s">
        <v>104</v>
      </c>
      <c r="K637" s="12" t="s">
        <v>111</v>
      </c>
      <c r="L637" s="23" t="str">
        <f>VLOOKUP(D637,Products!$A:$F,3,FALSE)</f>
        <v>Apparel</v>
      </c>
      <c r="M637" s="23" t="str">
        <f>VLOOKUP(E637,Sales_Reps!$A:$E,3,FALSE)</f>
        <v>South</v>
      </c>
      <c r="N637" s="23" t="str">
        <f t="shared" si="27"/>
        <v>Feb-24</v>
      </c>
      <c r="O637" s="23" t="str">
        <f t="shared" si="28"/>
        <v>Q1 2024</v>
      </c>
      <c r="P637" s="23">
        <f>VLOOKUP(D637,Products!$A:$F,4,FALSE)</f>
        <v>2611</v>
      </c>
      <c r="Q637" s="35">
        <f t="shared" si="29"/>
        <v>0.28269230769230769</v>
      </c>
    </row>
    <row r="638" spans="1:17">
      <c r="A638" s="12" t="s">
        <v>1112</v>
      </c>
      <c r="B638" s="13">
        <v>45425</v>
      </c>
      <c r="C638" s="12" t="s">
        <v>1113</v>
      </c>
      <c r="D638" s="12" t="s">
        <v>384</v>
      </c>
      <c r="E638" s="12" t="s">
        <v>314</v>
      </c>
      <c r="F638" s="14">
        <v>7</v>
      </c>
      <c r="G638" s="14">
        <v>2380</v>
      </c>
      <c r="H638" s="14">
        <v>25.5</v>
      </c>
      <c r="I638" s="14">
        <v>12411.7</v>
      </c>
      <c r="J638" s="12" t="s">
        <v>104</v>
      </c>
      <c r="K638" s="12" t="s">
        <v>105</v>
      </c>
      <c r="L638" s="23" t="str">
        <f>VLOOKUP(D638,Products!$A:$F,3,FALSE)</f>
        <v>Grocery</v>
      </c>
      <c r="M638" s="23" t="str">
        <f>VLOOKUP(E638,Sales_Reps!$A:$E,3,FALSE)</f>
        <v>North</v>
      </c>
      <c r="N638" s="23" t="str">
        <f t="shared" si="27"/>
        <v>May-24</v>
      </c>
      <c r="O638" s="23" t="str">
        <f t="shared" si="28"/>
        <v>Q2 2024</v>
      </c>
      <c r="P638" s="23">
        <f>VLOOKUP(D638,Products!$A:$F,4,FALSE)</f>
        <v>1182</v>
      </c>
      <c r="Q638" s="35">
        <f t="shared" si="29"/>
        <v>0.50336134453781511</v>
      </c>
    </row>
    <row r="639" spans="1:17">
      <c r="A639" s="12" t="s">
        <v>1114</v>
      </c>
      <c r="B639" s="13">
        <v>45598</v>
      </c>
      <c r="C639" s="12" t="s">
        <v>824</v>
      </c>
      <c r="D639" s="12" t="s">
        <v>220</v>
      </c>
      <c r="E639" s="12" t="s">
        <v>124</v>
      </c>
      <c r="F639" s="14">
        <v>1</v>
      </c>
      <c r="G639" s="14">
        <v>660</v>
      </c>
      <c r="H639" s="14">
        <v>2.5</v>
      </c>
      <c r="I639" s="14">
        <v>643.5</v>
      </c>
      <c r="J639" s="12" t="s">
        <v>104</v>
      </c>
      <c r="K639" s="12" t="s">
        <v>105</v>
      </c>
      <c r="L639" s="23" t="str">
        <f>VLOOKUP(D639,Products!$A:$F,3,FALSE)</f>
        <v>Home</v>
      </c>
      <c r="M639" s="23" t="str">
        <f>VLOOKUP(E639,Sales_Reps!$A:$E,3,FALSE)</f>
        <v>North</v>
      </c>
      <c r="N639" s="23" t="str">
        <f t="shared" si="27"/>
        <v>Nov-24</v>
      </c>
      <c r="O639" s="23" t="str">
        <f t="shared" si="28"/>
        <v>Q4 2024</v>
      </c>
      <c r="P639" s="23">
        <f>VLOOKUP(D639,Products!$A:$F,4,FALSE)</f>
        <v>329</v>
      </c>
      <c r="Q639" s="35">
        <f t="shared" si="29"/>
        <v>0.50151515151515147</v>
      </c>
    </row>
    <row r="640" spans="1:17">
      <c r="A640" s="12" t="s">
        <v>1115</v>
      </c>
      <c r="B640" s="13">
        <v>45353</v>
      </c>
      <c r="C640" s="12" t="s">
        <v>787</v>
      </c>
      <c r="D640" s="12" t="s">
        <v>265</v>
      </c>
      <c r="E640" s="12" t="s">
        <v>209</v>
      </c>
      <c r="F640" s="14">
        <v>7</v>
      </c>
      <c r="G640" s="14">
        <v>3870</v>
      </c>
      <c r="H640" s="14">
        <v>20.3</v>
      </c>
      <c r="I640" s="14">
        <v>21590.73</v>
      </c>
      <c r="J640" s="12" t="s">
        <v>110</v>
      </c>
      <c r="K640" s="12" t="s">
        <v>105</v>
      </c>
      <c r="L640" s="23" t="str">
        <f>VLOOKUP(D640,Products!$A:$F,3,FALSE)</f>
        <v>Electronics</v>
      </c>
      <c r="M640" s="23" t="str">
        <f>VLOOKUP(E640,Sales_Reps!$A:$E,3,FALSE)</f>
        <v>East</v>
      </c>
      <c r="N640" s="23" t="str">
        <f t="shared" si="27"/>
        <v>Mar-24</v>
      </c>
      <c r="O640" s="23" t="str">
        <f t="shared" si="28"/>
        <v>Q1 2024</v>
      </c>
      <c r="P640" s="23">
        <f>VLOOKUP(D640,Products!$A:$F,4,FALSE)</f>
        <v>1559</v>
      </c>
      <c r="Q640" s="35">
        <f t="shared" si="29"/>
        <v>0.59715762273901807</v>
      </c>
    </row>
    <row r="641" spans="1:17">
      <c r="A641" s="12" t="s">
        <v>1116</v>
      </c>
      <c r="B641" s="13">
        <v>45542</v>
      </c>
      <c r="C641" s="12" t="s">
        <v>271</v>
      </c>
      <c r="D641" s="12" t="s">
        <v>127</v>
      </c>
      <c r="E641" s="12" t="s">
        <v>363</v>
      </c>
      <c r="F641" s="14">
        <v>10</v>
      </c>
      <c r="G641" s="14">
        <v>370</v>
      </c>
      <c r="H641" s="14">
        <v>1.3</v>
      </c>
      <c r="I641" s="14">
        <v>3651.9</v>
      </c>
      <c r="J641" s="12" t="s">
        <v>161</v>
      </c>
      <c r="K641" s="12" t="s">
        <v>111</v>
      </c>
      <c r="L641" s="23" t="str">
        <f>VLOOKUP(D641,Products!$A:$F,3,FALSE)</f>
        <v>Home</v>
      </c>
      <c r="M641" s="23" t="str">
        <f>VLOOKUP(E641,Sales_Reps!$A:$E,3,FALSE)</f>
        <v>South</v>
      </c>
      <c r="N641" s="23" t="str">
        <f t="shared" si="27"/>
        <v>Sep-24</v>
      </c>
      <c r="O641" s="23" t="str">
        <f t="shared" si="28"/>
        <v>Q3 2024</v>
      </c>
      <c r="P641" s="23">
        <f>VLOOKUP(D641,Products!$A:$F,4,FALSE)</f>
        <v>288</v>
      </c>
      <c r="Q641" s="35">
        <f t="shared" si="29"/>
        <v>0.22162162162162163</v>
      </c>
    </row>
    <row r="642" spans="1:17">
      <c r="A642" s="12" t="s">
        <v>1117</v>
      </c>
      <c r="B642" s="13">
        <v>45365</v>
      </c>
      <c r="C642" s="12" t="s">
        <v>223</v>
      </c>
      <c r="D642" s="12" t="s">
        <v>102</v>
      </c>
      <c r="E642" s="12" t="s">
        <v>320</v>
      </c>
      <c r="F642" s="14">
        <v>1</v>
      </c>
      <c r="G642" s="14">
        <v>3620</v>
      </c>
      <c r="H642" s="14">
        <v>1.4</v>
      </c>
      <c r="I642" s="14">
        <v>3569.32</v>
      </c>
      <c r="J642" s="12" t="s">
        <v>104</v>
      </c>
      <c r="K642" s="12" t="s">
        <v>150</v>
      </c>
      <c r="L642" s="23" t="str">
        <f>VLOOKUP(D642,Products!$A:$F,3,FALSE)</f>
        <v>Apparel</v>
      </c>
      <c r="M642" s="23" t="str">
        <f>VLOOKUP(E642,Sales_Reps!$A:$E,3,FALSE)</f>
        <v>East</v>
      </c>
      <c r="N642" s="23" t="str">
        <f t="shared" si="27"/>
        <v>Mar-24</v>
      </c>
      <c r="O642" s="23" t="str">
        <f t="shared" si="28"/>
        <v>Q1 2024</v>
      </c>
      <c r="P642" s="23">
        <f>VLOOKUP(D642,Products!$A:$F,4,FALSE)</f>
        <v>2509</v>
      </c>
      <c r="Q642" s="35">
        <f t="shared" si="29"/>
        <v>0.3069060773480663</v>
      </c>
    </row>
    <row r="643" spans="1:17">
      <c r="A643" s="12" t="s">
        <v>1118</v>
      </c>
      <c r="B643" s="13">
        <v>45574</v>
      </c>
      <c r="C643" s="12" t="s">
        <v>446</v>
      </c>
      <c r="D643" s="12" t="s">
        <v>296</v>
      </c>
      <c r="E643" s="12" t="s">
        <v>109</v>
      </c>
      <c r="F643" s="14">
        <v>10</v>
      </c>
      <c r="G643" s="14">
        <v>2660</v>
      </c>
      <c r="H643" s="14">
        <v>20.2</v>
      </c>
      <c r="I643" s="14">
        <v>21226.799999999999</v>
      </c>
      <c r="J643" s="12" t="s">
        <v>104</v>
      </c>
      <c r="K643" s="12" t="s">
        <v>134</v>
      </c>
      <c r="L643" s="23" t="str">
        <f>VLOOKUP(D643,Products!$A:$F,3,FALSE)</f>
        <v>Electronics</v>
      </c>
      <c r="M643" s="23" t="str">
        <f>VLOOKUP(E643,Sales_Reps!$A:$E,3,FALSE)</f>
        <v>North</v>
      </c>
      <c r="N643" s="23" t="str">
        <f t="shared" ref="N643:N706" si="30">TEXT(B643, "mmm-yy")</f>
        <v>Oct-24</v>
      </c>
      <c r="O643" s="23" t="str">
        <f t="shared" ref="O643:O706" si="31">"Q" &amp; INT((MONTH(B643)-1)/3)+1 &amp; " " &amp; YEAR(B643)</f>
        <v>Q4 2024</v>
      </c>
      <c r="P643" s="23">
        <f>VLOOKUP(D643,Products!$A:$F,4,FALSE)</f>
        <v>1259</v>
      </c>
      <c r="Q643" s="35">
        <f t="shared" ref="Q643:Q706" si="32">(G643 - P643) / G643</f>
        <v>0.52669172932330832</v>
      </c>
    </row>
    <row r="644" spans="1:17">
      <c r="A644" s="12" t="s">
        <v>1119</v>
      </c>
      <c r="B644" s="13">
        <v>45614</v>
      </c>
      <c r="C644" s="12" t="s">
        <v>283</v>
      </c>
      <c r="D644" s="12" t="s">
        <v>178</v>
      </c>
      <c r="E644" s="12" t="s">
        <v>205</v>
      </c>
      <c r="F644" s="14">
        <v>10</v>
      </c>
      <c r="G644" s="14">
        <v>3450</v>
      </c>
      <c r="H644" s="14">
        <v>25.1</v>
      </c>
      <c r="I644" s="14">
        <v>25840.5</v>
      </c>
      <c r="J644" s="12" t="s">
        <v>104</v>
      </c>
      <c r="K644" s="12" t="s">
        <v>116</v>
      </c>
      <c r="L644" s="23" t="str">
        <f>VLOOKUP(D644,Products!$A:$F,3,FALSE)</f>
        <v>Sports</v>
      </c>
      <c r="M644" s="23" t="str">
        <f>VLOOKUP(E644,Sales_Reps!$A:$E,3,FALSE)</f>
        <v>South</v>
      </c>
      <c r="N644" s="23" t="str">
        <f t="shared" si="30"/>
        <v>Nov-24</v>
      </c>
      <c r="O644" s="23" t="str">
        <f t="shared" si="31"/>
        <v>Q4 2024</v>
      </c>
      <c r="P644" s="23">
        <f>VLOOKUP(D644,Products!$A:$F,4,FALSE)</f>
        <v>2467</v>
      </c>
      <c r="Q644" s="35">
        <f t="shared" si="32"/>
        <v>0.28492753623188405</v>
      </c>
    </row>
    <row r="645" spans="1:17">
      <c r="A645" s="12" t="s">
        <v>1120</v>
      </c>
      <c r="B645" s="13">
        <v>45629</v>
      </c>
      <c r="C645" s="12" t="s">
        <v>1121</v>
      </c>
      <c r="D645" s="12" t="s">
        <v>368</v>
      </c>
      <c r="E645" s="12" t="s">
        <v>269</v>
      </c>
      <c r="F645" s="14">
        <v>3</v>
      </c>
      <c r="G645" s="14">
        <v>4060</v>
      </c>
      <c r="H645" s="14">
        <v>2.5</v>
      </c>
      <c r="I645" s="14">
        <v>11875.5</v>
      </c>
      <c r="J645" s="12" t="s">
        <v>161</v>
      </c>
      <c r="K645" s="12" t="s">
        <v>134</v>
      </c>
      <c r="L645" s="23" t="str">
        <f>VLOOKUP(D645,Products!$A:$F,3,FALSE)</f>
        <v>Grocery</v>
      </c>
      <c r="M645" s="23" t="str">
        <f>VLOOKUP(E645,Sales_Reps!$A:$E,3,FALSE)</f>
        <v>South</v>
      </c>
      <c r="N645" s="23" t="str">
        <f t="shared" si="30"/>
        <v>Dec-24</v>
      </c>
      <c r="O645" s="23" t="str">
        <f t="shared" si="31"/>
        <v>Q4 2024</v>
      </c>
      <c r="P645" s="23">
        <f>VLOOKUP(D645,Products!$A:$F,4,FALSE)</f>
        <v>2911</v>
      </c>
      <c r="Q645" s="35">
        <f t="shared" si="32"/>
        <v>0.28300492610837441</v>
      </c>
    </row>
    <row r="646" spans="1:17">
      <c r="A646" s="12" t="s">
        <v>1122</v>
      </c>
      <c r="B646" s="13">
        <v>45294</v>
      </c>
      <c r="C646" s="12" t="s">
        <v>195</v>
      </c>
      <c r="D646" s="12" t="s">
        <v>132</v>
      </c>
      <c r="E646" s="12" t="s">
        <v>175</v>
      </c>
      <c r="F646" s="14">
        <v>3</v>
      </c>
      <c r="G646" s="14">
        <v>960</v>
      </c>
      <c r="H646" s="14">
        <v>6.6</v>
      </c>
      <c r="I646" s="14">
        <v>2689.92</v>
      </c>
      <c r="J646" s="12" t="s">
        <v>157</v>
      </c>
      <c r="K646" s="12" t="s">
        <v>111</v>
      </c>
      <c r="L646" s="23" t="str">
        <f>VLOOKUP(D646,Products!$A:$F,3,FALSE)</f>
        <v>Sports</v>
      </c>
      <c r="M646" s="23" t="str">
        <f>VLOOKUP(E646,Sales_Reps!$A:$E,3,FALSE)</f>
        <v>East</v>
      </c>
      <c r="N646" s="23" t="str">
        <f t="shared" si="30"/>
        <v>Jan-24</v>
      </c>
      <c r="O646" s="23" t="str">
        <f t="shared" si="31"/>
        <v>Q1 2024</v>
      </c>
      <c r="P646" s="23">
        <f>VLOOKUP(D646,Products!$A:$F,4,FALSE)</f>
        <v>705</v>
      </c>
      <c r="Q646" s="35">
        <f t="shared" si="32"/>
        <v>0.265625</v>
      </c>
    </row>
    <row r="647" spans="1:17">
      <c r="A647" s="12" t="s">
        <v>1123</v>
      </c>
      <c r="B647" s="13">
        <v>45418</v>
      </c>
      <c r="C647" s="12" t="s">
        <v>578</v>
      </c>
      <c r="D647" s="12" t="s">
        <v>296</v>
      </c>
      <c r="E647" s="12" t="s">
        <v>124</v>
      </c>
      <c r="F647" s="14">
        <v>4</v>
      </c>
      <c r="G647" s="14">
        <v>2660</v>
      </c>
      <c r="H647" s="14">
        <v>16.899999999999999</v>
      </c>
      <c r="I647" s="14">
        <v>8841.84</v>
      </c>
      <c r="J647" s="12" t="s">
        <v>104</v>
      </c>
      <c r="K647" s="12" t="s">
        <v>150</v>
      </c>
      <c r="L647" s="23" t="str">
        <f>VLOOKUP(D647,Products!$A:$F,3,FALSE)</f>
        <v>Electronics</v>
      </c>
      <c r="M647" s="23" t="str">
        <f>VLOOKUP(E647,Sales_Reps!$A:$E,3,FALSE)</f>
        <v>North</v>
      </c>
      <c r="N647" s="23" t="str">
        <f t="shared" si="30"/>
        <v>May-24</v>
      </c>
      <c r="O647" s="23" t="str">
        <f t="shared" si="31"/>
        <v>Q2 2024</v>
      </c>
      <c r="P647" s="23">
        <f>VLOOKUP(D647,Products!$A:$F,4,FALSE)</f>
        <v>1259</v>
      </c>
      <c r="Q647" s="35">
        <f t="shared" si="32"/>
        <v>0.52669172932330832</v>
      </c>
    </row>
    <row r="648" spans="1:17">
      <c r="A648" s="12" t="s">
        <v>1124</v>
      </c>
      <c r="B648" s="13">
        <v>45369</v>
      </c>
      <c r="C648" s="12" t="s">
        <v>518</v>
      </c>
      <c r="D648" s="12" t="s">
        <v>148</v>
      </c>
      <c r="E648" s="12" t="s">
        <v>320</v>
      </c>
      <c r="F648" s="14">
        <v>6</v>
      </c>
      <c r="G648" s="14">
        <v>2270</v>
      </c>
      <c r="H648" s="14">
        <v>16.7</v>
      </c>
      <c r="I648" s="14">
        <v>11345.46</v>
      </c>
      <c r="J648" s="12" t="s">
        <v>104</v>
      </c>
      <c r="K648" s="12" t="s">
        <v>150</v>
      </c>
      <c r="L648" s="23" t="str">
        <f>VLOOKUP(D648,Products!$A:$F,3,FALSE)</f>
        <v>Grocery</v>
      </c>
      <c r="M648" s="23" t="str">
        <f>VLOOKUP(E648,Sales_Reps!$A:$E,3,FALSE)</f>
        <v>East</v>
      </c>
      <c r="N648" s="23" t="str">
        <f t="shared" si="30"/>
        <v>Mar-24</v>
      </c>
      <c r="O648" s="23" t="str">
        <f t="shared" si="31"/>
        <v>Q1 2024</v>
      </c>
      <c r="P648" s="23">
        <f>VLOOKUP(D648,Products!$A:$F,4,FALSE)</f>
        <v>1203</v>
      </c>
      <c r="Q648" s="35">
        <f t="shared" si="32"/>
        <v>0.47004405286343615</v>
      </c>
    </row>
    <row r="649" spans="1:17">
      <c r="A649" s="12" t="s">
        <v>1125</v>
      </c>
      <c r="B649" s="13">
        <v>45549</v>
      </c>
      <c r="C649" s="12" t="s">
        <v>411</v>
      </c>
      <c r="D649" s="12" t="s">
        <v>251</v>
      </c>
      <c r="E649" s="12" t="s">
        <v>128</v>
      </c>
      <c r="F649" s="14">
        <v>5</v>
      </c>
      <c r="G649" s="14">
        <v>3780</v>
      </c>
      <c r="H649" s="14">
        <v>21.5</v>
      </c>
      <c r="I649" s="14">
        <v>14836.5</v>
      </c>
      <c r="J649" s="12" t="s">
        <v>104</v>
      </c>
      <c r="K649" s="12" t="s">
        <v>134</v>
      </c>
      <c r="L649" s="23" t="str">
        <f>VLOOKUP(D649,Products!$A:$F,3,FALSE)</f>
        <v>Grocery</v>
      </c>
      <c r="M649" s="23" t="str">
        <f>VLOOKUP(E649,Sales_Reps!$A:$E,3,FALSE)</f>
        <v>West</v>
      </c>
      <c r="N649" s="23" t="str">
        <f t="shared" si="30"/>
        <v>Sep-24</v>
      </c>
      <c r="O649" s="23" t="str">
        <f t="shared" si="31"/>
        <v>Q3 2024</v>
      </c>
      <c r="P649" s="23">
        <f>VLOOKUP(D649,Products!$A:$F,4,FALSE)</f>
        <v>2436</v>
      </c>
      <c r="Q649" s="35">
        <f t="shared" si="32"/>
        <v>0.35555555555555557</v>
      </c>
    </row>
    <row r="650" spans="1:17">
      <c r="A650" s="12" t="s">
        <v>1126</v>
      </c>
      <c r="B650" s="13">
        <v>45505</v>
      </c>
      <c r="C650" s="12" t="s">
        <v>927</v>
      </c>
      <c r="D650" s="12" t="s">
        <v>220</v>
      </c>
      <c r="E650" s="12" t="s">
        <v>138</v>
      </c>
      <c r="F650" s="14">
        <v>10</v>
      </c>
      <c r="G650" s="14">
        <v>660</v>
      </c>
      <c r="H650" s="14">
        <v>18.8</v>
      </c>
      <c r="I650" s="14">
        <v>5359.2</v>
      </c>
      <c r="J650" s="12" t="s">
        <v>104</v>
      </c>
      <c r="K650" s="12" t="s">
        <v>116</v>
      </c>
      <c r="L650" s="23" t="str">
        <f>VLOOKUP(D650,Products!$A:$F,3,FALSE)</f>
        <v>Home</v>
      </c>
      <c r="M650" s="23" t="str">
        <f>VLOOKUP(E650,Sales_Reps!$A:$E,3,FALSE)</f>
        <v>East</v>
      </c>
      <c r="N650" s="23" t="str">
        <f t="shared" si="30"/>
        <v>Aug-24</v>
      </c>
      <c r="O650" s="23" t="str">
        <f t="shared" si="31"/>
        <v>Q3 2024</v>
      </c>
      <c r="P650" s="23">
        <f>VLOOKUP(D650,Products!$A:$F,4,FALSE)</f>
        <v>329</v>
      </c>
      <c r="Q650" s="35">
        <f t="shared" si="32"/>
        <v>0.50151515151515147</v>
      </c>
    </row>
    <row r="651" spans="1:17">
      <c r="A651" s="12" t="s">
        <v>1127</v>
      </c>
      <c r="B651" s="13">
        <v>45413</v>
      </c>
      <c r="C651" s="12" t="s">
        <v>625</v>
      </c>
      <c r="D651" s="12" t="s">
        <v>243</v>
      </c>
      <c r="E651" s="12" t="s">
        <v>133</v>
      </c>
      <c r="F651" s="14">
        <v>10</v>
      </c>
      <c r="G651" s="14">
        <v>3730</v>
      </c>
      <c r="H651" s="14">
        <v>15.1</v>
      </c>
      <c r="I651" s="14">
        <v>31667.7</v>
      </c>
      <c r="J651" s="12" t="s">
        <v>104</v>
      </c>
      <c r="K651" s="12" t="s">
        <v>105</v>
      </c>
      <c r="L651" s="23" t="str">
        <f>VLOOKUP(D651,Products!$A:$F,3,FALSE)</f>
        <v>Home</v>
      </c>
      <c r="M651" s="23" t="str">
        <f>VLOOKUP(E651,Sales_Reps!$A:$E,3,FALSE)</f>
        <v>West</v>
      </c>
      <c r="N651" s="23" t="str">
        <f t="shared" si="30"/>
        <v>May-24</v>
      </c>
      <c r="O651" s="23" t="str">
        <f t="shared" si="31"/>
        <v>Q2 2024</v>
      </c>
      <c r="P651" s="23">
        <f>VLOOKUP(D651,Products!$A:$F,4,FALSE)</f>
        <v>2135</v>
      </c>
      <c r="Q651" s="35">
        <f t="shared" si="32"/>
        <v>0.42761394101876676</v>
      </c>
    </row>
    <row r="652" spans="1:17">
      <c r="A652" s="12" t="s">
        <v>1128</v>
      </c>
      <c r="B652" s="13">
        <v>45559</v>
      </c>
      <c r="C652" s="12" t="s">
        <v>154</v>
      </c>
      <c r="D652" s="12" t="s">
        <v>368</v>
      </c>
      <c r="E652" s="12" t="s">
        <v>175</v>
      </c>
      <c r="F652" s="14">
        <v>6</v>
      </c>
      <c r="G652" s="14">
        <v>4060</v>
      </c>
      <c r="H652" s="14">
        <v>20.100000000000001</v>
      </c>
      <c r="I652" s="14">
        <v>19463.64</v>
      </c>
      <c r="J652" s="12" t="s">
        <v>110</v>
      </c>
      <c r="K652" s="12" t="s">
        <v>1129</v>
      </c>
      <c r="L652" s="23" t="str">
        <f>VLOOKUP(D652,Products!$A:$F,3,FALSE)</f>
        <v>Grocery</v>
      </c>
      <c r="M652" s="23" t="str">
        <f>VLOOKUP(E652,Sales_Reps!$A:$E,3,FALSE)</f>
        <v>East</v>
      </c>
      <c r="N652" s="23" t="str">
        <f t="shared" si="30"/>
        <v>Sep-24</v>
      </c>
      <c r="O652" s="23" t="str">
        <f t="shared" si="31"/>
        <v>Q3 2024</v>
      </c>
      <c r="P652" s="23">
        <f>VLOOKUP(D652,Products!$A:$F,4,FALSE)</f>
        <v>2911</v>
      </c>
      <c r="Q652" s="35">
        <f t="shared" si="32"/>
        <v>0.28300492610837441</v>
      </c>
    </row>
    <row r="653" spans="1:17">
      <c r="A653" s="12" t="s">
        <v>1130</v>
      </c>
      <c r="B653" s="13">
        <v>45525</v>
      </c>
      <c r="C653" s="12" t="s">
        <v>1000</v>
      </c>
      <c r="D653" s="12" t="s">
        <v>148</v>
      </c>
      <c r="E653" s="12" t="s">
        <v>165</v>
      </c>
      <c r="F653" s="14">
        <v>2</v>
      </c>
      <c r="G653" s="14">
        <v>2270</v>
      </c>
      <c r="H653" s="14">
        <v>17.7</v>
      </c>
      <c r="I653" s="14">
        <v>3736.42</v>
      </c>
      <c r="J653" s="12" t="s">
        <v>104</v>
      </c>
      <c r="K653" s="12" t="s">
        <v>134</v>
      </c>
      <c r="L653" s="23" t="str">
        <f>VLOOKUP(D653,Products!$A:$F,3,FALSE)</f>
        <v>Grocery</v>
      </c>
      <c r="M653" s="23" t="str">
        <f>VLOOKUP(E653,Sales_Reps!$A:$E,3,FALSE)</f>
        <v>North</v>
      </c>
      <c r="N653" s="23" t="str">
        <f t="shared" si="30"/>
        <v>Aug-24</v>
      </c>
      <c r="O653" s="23" t="str">
        <f t="shared" si="31"/>
        <v>Q3 2024</v>
      </c>
      <c r="P653" s="23">
        <f>VLOOKUP(D653,Products!$A:$F,4,FALSE)</f>
        <v>1203</v>
      </c>
      <c r="Q653" s="35">
        <f t="shared" si="32"/>
        <v>0.47004405286343615</v>
      </c>
    </row>
    <row r="654" spans="1:17">
      <c r="A654" s="12" t="s">
        <v>1131</v>
      </c>
      <c r="B654" s="13">
        <v>45610</v>
      </c>
      <c r="C654" s="12" t="s">
        <v>554</v>
      </c>
      <c r="D654" s="12" t="s">
        <v>204</v>
      </c>
      <c r="E654" s="12" t="s">
        <v>145</v>
      </c>
      <c r="F654" s="14">
        <v>9</v>
      </c>
      <c r="G654" s="14">
        <v>3570</v>
      </c>
      <c r="H654" s="14">
        <v>29.9</v>
      </c>
      <c r="I654" s="14">
        <v>22523.13</v>
      </c>
      <c r="J654" s="12" t="s">
        <v>104</v>
      </c>
      <c r="K654" s="12" t="s">
        <v>150</v>
      </c>
      <c r="L654" s="23" t="str">
        <f>VLOOKUP(D654,Products!$A:$F,3,FALSE)</f>
        <v>Electronics</v>
      </c>
      <c r="M654" s="23" t="str">
        <f>VLOOKUP(E654,Sales_Reps!$A:$E,3,FALSE)</f>
        <v>West</v>
      </c>
      <c r="N654" s="23" t="str">
        <f t="shared" si="30"/>
        <v>Nov-24</v>
      </c>
      <c r="O654" s="23" t="str">
        <f t="shared" si="31"/>
        <v>Q4 2024</v>
      </c>
      <c r="P654" s="23">
        <f>VLOOKUP(D654,Products!$A:$F,4,FALSE)</f>
        <v>1665</v>
      </c>
      <c r="Q654" s="35">
        <f t="shared" si="32"/>
        <v>0.53361344537815125</v>
      </c>
    </row>
    <row r="655" spans="1:17">
      <c r="A655" s="12" t="s">
        <v>1132</v>
      </c>
      <c r="B655" s="13">
        <v>45521</v>
      </c>
      <c r="C655" s="12" t="s">
        <v>845</v>
      </c>
      <c r="D655" s="12" t="s">
        <v>355</v>
      </c>
      <c r="E655" s="12" t="s">
        <v>156</v>
      </c>
      <c r="F655" s="14">
        <v>7</v>
      </c>
      <c r="G655" s="14">
        <v>2210</v>
      </c>
      <c r="H655" s="14">
        <v>25</v>
      </c>
      <c r="I655" s="14">
        <v>11602.5</v>
      </c>
      <c r="J655" s="12" t="s">
        <v>104</v>
      </c>
      <c r="K655" s="12" t="s">
        <v>150</v>
      </c>
      <c r="L655" s="23" t="str">
        <f>VLOOKUP(D655,Products!$A:$F,3,FALSE)</f>
        <v>Grocery</v>
      </c>
      <c r="M655" s="23" t="str">
        <f>VLOOKUP(E655,Sales_Reps!$A:$E,3,FALSE)</f>
        <v>North</v>
      </c>
      <c r="N655" s="23" t="str">
        <f t="shared" si="30"/>
        <v>Aug-24</v>
      </c>
      <c r="O655" s="23" t="str">
        <f t="shared" si="31"/>
        <v>Q3 2024</v>
      </c>
      <c r="P655" s="23">
        <f>VLOOKUP(D655,Products!$A:$F,4,FALSE)</f>
        <v>1010</v>
      </c>
      <c r="Q655" s="35">
        <f t="shared" si="32"/>
        <v>0.54298642533936647</v>
      </c>
    </row>
    <row r="656" spans="1:17">
      <c r="A656" s="12" t="s">
        <v>1133</v>
      </c>
      <c r="B656" s="13">
        <v>45381</v>
      </c>
      <c r="C656" s="12" t="s">
        <v>922</v>
      </c>
      <c r="D656" s="12" t="s">
        <v>132</v>
      </c>
      <c r="E656" s="12" t="s">
        <v>218</v>
      </c>
      <c r="F656" s="14">
        <v>2</v>
      </c>
      <c r="G656" s="14">
        <v>960</v>
      </c>
      <c r="H656" s="14">
        <v>8.1999999999999993</v>
      </c>
      <c r="I656" s="14">
        <v>1762.56</v>
      </c>
      <c r="J656" s="12" t="s">
        <v>157</v>
      </c>
      <c r="K656" s="12" t="s">
        <v>129</v>
      </c>
      <c r="L656" s="23" t="str">
        <f>VLOOKUP(D656,Products!$A:$F,3,FALSE)</f>
        <v>Sports</v>
      </c>
      <c r="M656" s="23" t="str">
        <f>VLOOKUP(E656,Sales_Reps!$A:$E,3,FALSE)</f>
        <v>West</v>
      </c>
      <c r="N656" s="23" t="str">
        <f t="shared" si="30"/>
        <v>Mar-24</v>
      </c>
      <c r="O656" s="23" t="str">
        <f t="shared" si="31"/>
        <v>Q1 2024</v>
      </c>
      <c r="P656" s="23">
        <f>VLOOKUP(D656,Products!$A:$F,4,FALSE)</f>
        <v>705</v>
      </c>
      <c r="Q656" s="35">
        <f t="shared" si="32"/>
        <v>0.265625</v>
      </c>
    </row>
    <row r="657" spans="1:17">
      <c r="A657" s="12" t="s">
        <v>1134</v>
      </c>
      <c r="B657" s="13">
        <v>45401</v>
      </c>
      <c r="C657" s="12" t="s">
        <v>645</v>
      </c>
      <c r="D657" s="12" t="s">
        <v>478</v>
      </c>
      <c r="E657" s="12" t="s">
        <v>218</v>
      </c>
      <c r="F657" s="14">
        <v>9</v>
      </c>
      <c r="G657" s="14">
        <v>3780</v>
      </c>
      <c r="H657" s="14">
        <v>28.4</v>
      </c>
      <c r="I657" s="14">
        <v>24358.32</v>
      </c>
      <c r="J657" s="12" t="s">
        <v>110</v>
      </c>
      <c r="K657" s="12" t="s">
        <v>150</v>
      </c>
      <c r="L657" s="23" t="str">
        <f>VLOOKUP(D657,Products!$A:$F,3,FALSE)</f>
        <v>Sports</v>
      </c>
      <c r="M657" s="23" t="str">
        <f>VLOOKUP(E657,Sales_Reps!$A:$E,3,FALSE)</f>
        <v>West</v>
      </c>
      <c r="N657" s="23" t="str">
        <f t="shared" si="30"/>
        <v>Apr-24</v>
      </c>
      <c r="O657" s="23" t="str">
        <f t="shared" si="31"/>
        <v>Q2 2024</v>
      </c>
      <c r="P657" s="23">
        <f>VLOOKUP(D657,Products!$A:$F,4,FALSE)</f>
        <v>1860</v>
      </c>
      <c r="Q657" s="35">
        <f t="shared" si="32"/>
        <v>0.50793650793650791</v>
      </c>
    </row>
    <row r="658" spans="1:17">
      <c r="A658" s="12" t="s">
        <v>1135</v>
      </c>
      <c r="B658" s="13">
        <v>45581</v>
      </c>
      <c r="C658" s="12" t="s">
        <v>903</v>
      </c>
      <c r="D658" s="12" t="s">
        <v>208</v>
      </c>
      <c r="E658" s="12" t="s">
        <v>115</v>
      </c>
      <c r="F658" s="14">
        <v>2</v>
      </c>
      <c r="G658" s="14">
        <v>5100</v>
      </c>
      <c r="H658" s="14">
        <v>8.6</v>
      </c>
      <c r="I658" s="14">
        <v>9322.7999999999993</v>
      </c>
      <c r="J658" s="12" t="s">
        <v>104</v>
      </c>
      <c r="K658" s="12" t="s">
        <v>111</v>
      </c>
      <c r="L658" s="23" t="str">
        <f>VLOOKUP(D658,Products!$A:$F,3,FALSE)</f>
        <v>Beauty</v>
      </c>
      <c r="M658" s="23" t="str">
        <f>VLOOKUP(E658,Sales_Reps!$A:$E,3,FALSE)</f>
        <v>South</v>
      </c>
      <c r="N658" s="23" t="str">
        <f t="shared" si="30"/>
        <v>Oct-24</v>
      </c>
      <c r="O658" s="23" t="str">
        <f t="shared" si="31"/>
        <v>Q4 2024</v>
      </c>
      <c r="P658" s="23">
        <f>VLOOKUP(D658,Products!$A:$F,4,FALSE)</f>
        <v>2237</v>
      </c>
      <c r="Q658" s="35">
        <f t="shared" si="32"/>
        <v>0.56137254901960787</v>
      </c>
    </row>
    <row r="659" spans="1:17">
      <c r="A659" s="12" t="s">
        <v>1136</v>
      </c>
      <c r="B659" s="13">
        <v>45414</v>
      </c>
      <c r="C659" s="12" t="s">
        <v>527</v>
      </c>
      <c r="D659" s="12" t="s">
        <v>184</v>
      </c>
      <c r="E659" s="12" t="s">
        <v>175</v>
      </c>
      <c r="F659" s="14">
        <v>4</v>
      </c>
      <c r="G659" s="14">
        <v>2480</v>
      </c>
      <c r="H659" s="14">
        <v>16.600000000000001</v>
      </c>
      <c r="I659" s="14">
        <v>8273.2800000000007</v>
      </c>
      <c r="J659" s="12" t="s">
        <v>104</v>
      </c>
      <c r="K659" s="12" t="s">
        <v>134</v>
      </c>
      <c r="L659" s="23" t="str">
        <f>VLOOKUP(D659,Products!$A:$F,3,FALSE)</f>
        <v>Apparel</v>
      </c>
      <c r="M659" s="23" t="str">
        <f>VLOOKUP(E659,Sales_Reps!$A:$E,3,FALSE)</f>
        <v>East</v>
      </c>
      <c r="N659" s="23" t="str">
        <f t="shared" si="30"/>
        <v>May-24</v>
      </c>
      <c r="O659" s="23" t="str">
        <f t="shared" si="31"/>
        <v>Q2 2024</v>
      </c>
      <c r="P659" s="23">
        <f>VLOOKUP(D659,Products!$A:$F,4,FALSE)</f>
        <v>1173</v>
      </c>
      <c r="Q659" s="35">
        <f t="shared" si="32"/>
        <v>0.52701612903225803</v>
      </c>
    </row>
    <row r="660" spans="1:17">
      <c r="A660" s="12" t="s">
        <v>1137</v>
      </c>
      <c r="B660" s="13">
        <v>45443</v>
      </c>
      <c r="C660" s="12" t="s">
        <v>1138</v>
      </c>
      <c r="D660" s="12" t="s">
        <v>181</v>
      </c>
      <c r="E660" s="12" t="s">
        <v>320</v>
      </c>
      <c r="F660" s="14">
        <v>10</v>
      </c>
      <c r="G660" s="14">
        <v>1080</v>
      </c>
      <c r="H660" s="14">
        <v>14.5</v>
      </c>
      <c r="I660" s="14">
        <v>9234</v>
      </c>
      <c r="J660" s="12" t="s">
        <v>104</v>
      </c>
      <c r="K660" s="12" t="s">
        <v>129</v>
      </c>
      <c r="L660" s="23" t="str">
        <f>VLOOKUP(D660,Products!$A:$F,3,FALSE)</f>
        <v>Home</v>
      </c>
      <c r="M660" s="23" t="str">
        <f>VLOOKUP(E660,Sales_Reps!$A:$E,3,FALSE)</f>
        <v>East</v>
      </c>
      <c r="N660" s="23" t="str">
        <f t="shared" si="30"/>
        <v>May-24</v>
      </c>
      <c r="O660" s="23" t="str">
        <f t="shared" si="31"/>
        <v>Q2 2024</v>
      </c>
      <c r="P660" s="23">
        <f>VLOOKUP(D660,Products!$A:$F,4,FALSE)</f>
        <v>519</v>
      </c>
      <c r="Q660" s="35">
        <f t="shared" si="32"/>
        <v>0.51944444444444449</v>
      </c>
    </row>
    <row r="661" spans="1:17">
      <c r="A661" s="12" t="s">
        <v>1139</v>
      </c>
      <c r="B661" s="13">
        <v>45377</v>
      </c>
      <c r="C661" s="12" t="s">
        <v>643</v>
      </c>
      <c r="D661" s="12" t="s">
        <v>155</v>
      </c>
      <c r="E661" s="12" t="s">
        <v>246</v>
      </c>
      <c r="F661" s="14">
        <v>7</v>
      </c>
      <c r="G661" s="14">
        <v>2600</v>
      </c>
      <c r="H661" s="14">
        <v>21</v>
      </c>
      <c r="I661" s="14">
        <v>14378</v>
      </c>
      <c r="J661" s="12" t="s">
        <v>104</v>
      </c>
      <c r="K661" s="12" t="s">
        <v>116</v>
      </c>
      <c r="L661" s="23" t="str">
        <f>VLOOKUP(D661,Products!$A:$F,3,FALSE)</f>
        <v>Electronics</v>
      </c>
      <c r="M661" s="23" t="str">
        <f>VLOOKUP(E661,Sales_Reps!$A:$E,3,FALSE)</f>
        <v>West</v>
      </c>
      <c r="N661" s="23" t="str">
        <f t="shared" si="30"/>
        <v>Mar-24</v>
      </c>
      <c r="O661" s="23" t="str">
        <f t="shared" si="31"/>
        <v>Q1 2024</v>
      </c>
      <c r="P661" s="23">
        <f>VLOOKUP(D661,Products!$A:$F,4,FALSE)</f>
        <v>1052</v>
      </c>
      <c r="Q661" s="35">
        <f t="shared" si="32"/>
        <v>0.5953846153846154</v>
      </c>
    </row>
    <row r="662" spans="1:17">
      <c r="A662" s="12" t="s">
        <v>1140</v>
      </c>
      <c r="B662" s="13">
        <v>45622</v>
      </c>
      <c r="C662" s="12" t="s">
        <v>122</v>
      </c>
      <c r="D662" s="12" t="s">
        <v>155</v>
      </c>
      <c r="E662" s="12" t="s">
        <v>205</v>
      </c>
      <c r="F662" s="14">
        <v>7</v>
      </c>
      <c r="G662" s="14">
        <v>2600</v>
      </c>
      <c r="H662" s="14">
        <v>6.7</v>
      </c>
      <c r="I662" s="14">
        <v>16980.599999999999</v>
      </c>
      <c r="J662" s="12" t="s">
        <v>110</v>
      </c>
      <c r="K662" s="12" t="s">
        <v>111</v>
      </c>
      <c r="L662" s="23" t="str">
        <f>VLOOKUP(D662,Products!$A:$F,3,FALSE)</f>
        <v>Electronics</v>
      </c>
      <c r="M662" s="23" t="str">
        <f>VLOOKUP(E662,Sales_Reps!$A:$E,3,FALSE)</f>
        <v>South</v>
      </c>
      <c r="N662" s="23" t="str">
        <f t="shared" si="30"/>
        <v>Nov-24</v>
      </c>
      <c r="O662" s="23" t="str">
        <f t="shared" si="31"/>
        <v>Q4 2024</v>
      </c>
      <c r="P662" s="23">
        <f>VLOOKUP(D662,Products!$A:$F,4,FALSE)</f>
        <v>1052</v>
      </c>
      <c r="Q662" s="35">
        <f t="shared" si="32"/>
        <v>0.5953846153846154</v>
      </c>
    </row>
    <row r="663" spans="1:17">
      <c r="A663" s="12" t="s">
        <v>1141</v>
      </c>
      <c r="B663" s="13">
        <v>45403</v>
      </c>
      <c r="C663" s="12" t="s">
        <v>236</v>
      </c>
      <c r="D663" s="12" t="s">
        <v>108</v>
      </c>
      <c r="E663" s="12" t="s">
        <v>171</v>
      </c>
      <c r="F663" s="14">
        <v>8</v>
      </c>
      <c r="G663" s="14">
        <v>820</v>
      </c>
      <c r="H663" s="14">
        <v>17.8</v>
      </c>
      <c r="I663" s="14">
        <v>5392.32</v>
      </c>
      <c r="J663" s="12" t="s">
        <v>110</v>
      </c>
      <c r="K663" s="12" t="s">
        <v>116</v>
      </c>
      <c r="L663" s="23" t="str">
        <f>VLOOKUP(D663,Products!$A:$F,3,FALSE)</f>
        <v>Apparel</v>
      </c>
      <c r="M663" s="23" t="str">
        <f>VLOOKUP(E663,Sales_Reps!$A:$E,3,FALSE)</f>
        <v>East</v>
      </c>
      <c r="N663" s="23" t="str">
        <f t="shared" si="30"/>
        <v>Apr-24</v>
      </c>
      <c r="O663" s="23" t="str">
        <f t="shared" si="31"/>
        <v>Q2 2024</v>
      </c>
      <c r="P663" s="23">
        <f>VLOOKUP(D663,Products!$A:$F,4,FALSE)</f>
        <v>391</v>
      </c>
      <c r="Q663" s="35">
        <f t="shared" si="32"/>
        <v>0.52317073170731709</v>
      </c>
    </row>
    <row r="664" spans="1:17">
      <c r="A664" s="12" t="s">
        <v>1142</v>
      </c>
      <c r="B664" s="13">
        <v>45532</v>
      </c>
      <c r="C664" s="12" t="s">
        <v>535</v>
      </c>
      <c r="D664" s="12" t="s">
        <v>132</v>
      </c>
      <c r="E664" s="12" t="s">
        <v>221</v>
      </c>
      <c r="F664" s="14">
        <v>3</v>
      </c>
      <c r="G664" s="14">
        <v>960</v>
      </c>
      <c r="H664" s="14">
        <v>17.8</v>
      </c>
      <c r="I664" s="14">
        <v>2367.36</v>
      </c>
      <c r="J664" s="12" t="s">
        <v>104</v>
      </c>
      <c r="K664" s="12" t="s">
        <v>105</v>
      </c>
      <c r="L664" s="23" t="str">
        <f>VLOOKUP(D664,Products!$A:$F,3,FALSE)</f>
        <v>Sports</v>
      </c>
      <c r="M664" s="23" t="str">
        <f>VLOOKUP(E664,Sales_Reps!$A:$E,3,FALSE)</f>
        <v>South</v>
      </c>
      <c r="N664" s="23" t="str">
        <f t="shared" si="30"/>
        <v>Aug-24</v>
      </c>
      <c r="O664" s="23" t="str">
        <f t="shared" si="31"/>
        <v>Q3 2024</v>
      </c>
      <c r="P664" s="23">
        <f>VLOOKUP(D664,Products!$A:$F,4,FALSE)</f>
        <v>705</v>
      </c>
      <c r="Q664" s="35">
        <f t="shared" si="32"/>
        <v>0.265625</v>
      </c>
    </row>
    <row r="665" spans="1:17">
      <c r="A665" s="12" t="s">
        <v>1143</v>
      </c>
      <c r="B665" s="13">
        <v>45301</v>
      </c>
      <c r="C665" s="12" t="s">
        <v>283</v>
      </c>
      <c r="D665" s="12" t="s">
        <v>276</v>
      </c>
      <c r="E665" s="12" t="s">
        <v>171</v>
      </c>
      <c r="F665" s="14">
        <v>2</v>
      </c>
      <c r="G665" s="14">
        <v>1540</v>
      </c>
      <c r="H665" s="14">
        <v>1.8</v>
      </c>
      <c r="I665" s="14">
        <v>3024.56</v>
      </c>
      <c r="J665" s="12" t="s">
        <v>157</v>
      </c>
      <c r="K665" s="12" t="s">
        <v>116</v>
      </c>
      <c r="L665" s="23" t="str">
        <f>VLOOKUP(D665,Products!$A:$F,3,FALSE)</f>
        <v>Beauty</v>
      </c>
      <c r="M665" s="23" t="str">
        <f>VLOOKUP(E665,Sales_Reps!$A:$E,3,FALSE)</f>
        <v>East</v>
      </c>
      <c r="N665" s="23" t="str">
        <f t="shared" si="30"/>
        <v>Jan-24</v>
      </c>
      <c r="O665" s="23" t="str">
        <f t="shared" si="31"/>
        <v>Q1 2024</v>
      </c>
      <c r="P665" s="23">
        <f>VLOOKUP(D665,Products!$A:$F,4,FALSE)</f>
        <v>647</v>
      </c>
      <c r="Q665" s="35">
        <f t="shared" si="32"/>
        <v>0.57987012987012987</v>
      </c>
    </row>
    <row r="666" spans="1:17">
      <c r="A666" s="12" t="s">
        <v>1144</v>
      </c>
      <c r="B666" s="13">
        <v>45622</v>
      </c>
      <c r="C666" s="12" t="s">
        <v>1023</v>
      </c>
      <c r="D666" s="12" t="s">
        <v>532</v>
      </c>
      <c r="E666" s="12" t="s">
        <v>187</v>
      </c>
      <c r="F666" s="14">
        <v>5</v>
      </c>
      <c r="G666" s="14">
        <v>6940</v>
      </c>
      <c r="H666" s="14">
        <v>2.9</v>
      </c>
      <c r="I666" s="14">
        <v>33693.699999999997</v>
      </c>
      <c r="J666" s="12" t="s">
        <v>104</v>
      </c>
      <c r="K666" s="12" t="s">
        <v>134</v>
      </c>
      <c r="L666" s="23" t="str">
        <f>VLOOKUP(D666,Products!$A:$F,3,FALSE)</f>
        <v>Sports</v>
      </c>
      <c r="M666" s="23" t="str">
        <f>VLOOKUP(E666,Sales_Reps!$A:$E,3,FALSE)</f>
        <v>West</v>
      </c>
      <c r="N666" s="23" t="str">
        <f t="shared" si="30"/>
        <v>Nov-24</v>
      </c>
      <c r="O666" s="23" t="str">
        <f t="shared" si="31"/>
        <v>Q4 2024</v>
      </c>
      <c r="P666" s="23">
        <f>VLOOKUP(D666,Products!$A:$F,4,FALSE)</f>
        <v>2827</v>
      </c>
      <c r="Q666" s="35">
        <f t="shared" si="32"/>
        <v>0.5926512968299712</v>
      </c>
    </row>
    <row r="667" spans="1:17">
      <c r="A667" s="12" t="s">
        <v>1145</v>
      </c>
      <c r="B667" s="13">
        <v>45531</v>
      </c>
      <c r="C667" s="12" t="s">
        <v>395</v>
      </c>
      <c r="D667" s="12" t="s">
        <v>276</v>
      </c>
      <c r="E667" s="12" t="s">
        <v>269</v>
      </c>
      <c r="F667" s="14">
        <v>5</v>
      </c>
      <c r="G667" s="14">
        <v>1540</v>
      </c>
      <c r="H667" s="14">
        <v>28.8</v>
      </c>
      <c r="I667" s="14">
        <v>5482.4</v>
      </c>
      <c r="J667" s="12" t="s">
        <v>104</v>
      </c>
      <c r="K667" s="12" t="s">
        <v>111</v>
      </c>
      <c r="L667" s="23" t="str">
        <f>VLOOKUP(D667,Products!$A:$F,3,FALSE)</f>
        <v>Beauty</v>
      </c>
      <c r="M667" s="23" t="str">
        <f>VLOOKUP(E667,Sales_Reps!$A:$E,3,FALSE)</f>
        <v>South</v>
      </c>
      <c r="N667" s="23" t="str">
        <f t="shared" si="30"/>
        <v>Aug-24</v>
      </c>
      <c r="O667" s="23" t="str">
        <f t="shared" si="31"/>
        <v>Q3 2024</v>
      </c>
      <c r="P667" s="23">
        <f>VLOOKUP(D667,Products!$A:$F,4,FALSE)</f>
        <v>647</v>
      </c>
      <c r="Q667" s="35">
        <f t="shared" si="32"/>
        <v>0.57987012987012987</v>
      </c>
    </row>
    <row r="668" spans="1:17">
      <c r="A668" s="12" t="s">
        <v>1146</v>
      </c>
      <c r="B668" s="13">
        <v>45326</v>
      </c>
      <c r="C668" s="12" t="s">
        <v>722</v>
      </c>
      <c r="D668" s="12" t="s">
        <v>243</v>
      </c>
      <c r="E668" s="12" t="s">
        <v>342</v>
      </c>
      <c r="F668" s="14">
        <v>8</v>
      </c>
      <c r="G668" s="14">
        <v>3730</v>
      </c>
      <c r="H668" s="14">
        <v>21.1</v>
      </c>
      <c r="I668" s="14">
        <v>23543.759999999998</v>
      </c>
      <c r="J668" s="12" t="s">
        <v>104</v>
      </c>
      <c r="K668" s="12" t="s">
        <v>116</v>
      </c>
      <c r="L668" s="23" t="str">
        <f>VLOOKUP(D668,Products!$A:$F,3,FALSE)</f>
        <v>Home</v>
      </c>
      <c r="M668" s="23" t="str">
        <f>VLOOKUP(E668,Sales_Reps!$A:$E,3,FALSE)</f>
        <v>South</v>
      </c>
      <c r="N668" s="23" t="str">
        <f t="shared" si="30"/>
        <v>Feb-24</v>
      </c>
      <c r="O668" s="23" t="str">
        <f t="shared" si="31"/>
        <v>Q1 2024</v>
      </c>
      <c r="P668" s="23">
        <f>VLOOKUP(D668,Products!$A:$F,4,FALSE)</f>
        <v>2135</v>
      </c>
      <c r="Q668" s="35">
        <f t="shared" si="32"/>
        <v>0.42761394101876676</v>
      </c>
    </row>
    <row r="669" spans="1:17">
      <c r="A669" s="12" t="s">
        <v>1147</v>
      </c>
      <c r="B669" s="13">
        <v>45635</v>
      </c>
      <c r="C669" s="12" t="s">
        <v>264</v>
      </c>
      <c r="D669" s="12" t="s">
        <v>217</v>
      </c>
      <c r="E669" s="12" t="s">
        <v>171</v>
      </c>
      <c r="F669" s="14">
        <v>7</v>
      </c>
      <c r="G669" s="14">
        <v>2760</v>
      </c>
      <c r="H669" s="14">
        <v>1.2</v>
      </c>
      <c r="I669" s="14">
        <v>19088.16</v>
      </c>
      <c r="J669" s="12" t="s">
        <v>157</v>
      </c>
      <c r="K669" s="12" t="s">
        <v>134</v>
      </c>
      <c r="L669" s="23" t="str">
        <f>VLOOKUP(D669,Products!$A:$F,3,FALSE)</f>
        <v>Grocery</v>
      </c>
      <c r="M669" s="23" t="str">
        <f>VLOOKUP(E669,Sales_Reps!$A:$E,3,FALSE)</f>
        <v>East</v>
      </c>
      <c r="N669" s="23" t="str">
        <f t="shared" si="30"/>
        <v>Dec-24</v>
      </c>
      <c r="O669" s="23" t="str">
        <f t="shared" si="31"/>
        <v>Q4 2024</v>
      </c>
      <c r="P669" s="23">
        <f>VLOOKUP(D669,Products!$A:$F,4,FALSE)</f>
        <v>1435</v>
      </c>
      <c r="Q669" s="35">
        <f t="shared" si="32"/>
        <v>0.48007246376811596</v>
      </c>
    </row>
    <row r="670" spans="1:17">
      <c r="A670" s="12" t="s">
        <v>1148</v>
      </c>
      <c r="B670" s="13">
        <v>45431</v>
      </c>
      <c r="C670" s="12" t="s">
        <v>379</v>
      </c>
      <c r="D670" s="12" t="s">
        <v>425</v>
      </c>
      <c r="E670" s="12" t="s">
        <v>209</v>
      </c>
      <c r="F670" s="14">
        <v>3</v>
      </c>
      <c r="G670" s="14">
        <v>3970</v>
      </c>
      <c r="H670" s="14">
        <v>18.3</v>
      </c>
      <c r="I670" s="14">
        <v>9730.4699999999993</v>
      </c>
      <c r="J670" s="12" t="s">
        <v>104</v>
      </c>
      <c r="K670" s="12" t="s">
        <v>111</v>
      </c>
      <c r="L670" s="23" t="str">
        <f>VLOOKUP(D670,Products!$A:$F,3,FALSE)</f>
        <v>Electronics</v>
      </c>
      <c r="M670" s="23" t="str">
        <f>VLOOKUP(E670,Sales_Reps!$A:$E,3,FALSE)</f>
        <v>East</v>
      </c>
      <c r="N670" s="23" t="str">
        <f t="shared" si="30"/>
        <v>May-24</v>
      </c>
      <c r="O670" s="23" t="str">
        <f t="shared" si="31"/>
        <v>Q2 2024</v>
      </c>
      <c r="P670" s="23">
        <f>VLOOKUP(D670,Products!$A:$F,4,FALSE)</f>
        <v>2865</v>
      </c>
      <c r="Q670" s="35">
        <f t="shared" si="32"/>
        <v>0.27833753148614609</v>
      </c>
    </row>
    <row r="671" spans="1:17">
      <c r="A671" s="12" t="s">
        <v>1149</v>
      </c>
      <c r="B671" s="13">
        <v>45393</v>
      </c>
      <c r="C671" s="12" t="s">
        <v>411</v>
      </c>
      <c r="D671" s="12" t="s">
        <v>251</v>
      </c>
      <c r="E671" s="12" t="s">
        <v>171</v>
      </c>
      <c r="F671" s="14">
        <v>4</v>
      </c>
      <c r="G671" s="14">
        <v>3780</v>
      </c>
      <c r="H671" s="14">
        <v>24.6</v>
      </c>
      <c r="I671" s="14">
        <v>11400.48</v>
      </c>
      <c r="J671" s="12" t="s">
        <v>104</v>
      </c>
      <c r="K671" s="12" t="s">
        <v>134</v>
      </c>
      <c r="L671" s="23" t="str">
        <f>VLOOKUP(D671,Products!$A:$F,3,FALSE)</f>
        <v>Grocery</v>
      </c>
      <c r="M671" s="23" t="str">
        <f>VLOOKUP(E671,Sales_Reps!$A:$E,3,FALSE)</f>
        <v>East</v>
      </c>
      <c r="N671" s="23" t="str">
        <f t="shared" si="30"/>
        <v>Apr-24</v>
      </c>
      <c r="O671" s="23" t="str">
        <f t="shared" si="31"/>
        <v>Q2 2024</v>
      </c>
      <c r="P671" s="23">
        <f>VLOOKUP(D671,Products!$A:$F,4,FALSE)</f>
        <v>2436</v>
      </c>
      <c r="Q671" s="35">
        <f t="shared" si="32"/>
        <v>0.35555555555555557</v>
      </c>
    </row>
    <row r="672" spans="1:17">
      <c r="A672" s="12" t="s">
        <v>1150</v>
      </c>
      <c r="B672" s="13">
        <v>45295</v>
      </c>
      <c r="C672" s="12" t="s">
        <v>852</v>
      </c>
      <c r="D672" s="12" t="s">
        <v>190</v>
      </c>
      <c r="E672" s="12" t="s">
        <v>124</v>
      </c>
      <c r="F672" s="14">
        <v>10</v>
      </c>
      <c r="G672" s="14">
        <v>2720</v>
      </c>
      <c r="H672" s="14">
        <v>12.8</v>
      </c>
      <c r="I672" s="14">
        <v>23718.400000000001</v>
      </c>
      <c r="J672" s="12" t="s">
        <v>104</v>
      </c>
      <c r="K672" s="12" t="s">
        <v>134</v>
      </c>
      <c r="L672" s="23" t="str">
        <f>VLOOKUP(D672,Products!$A:$F,3,FALSE)</f>
        <v>Apparel</v>
      </c>
      <c r="M672" s="23" t="str">
        <f>VLOOKUP(E672,Sales_Reps!$A:$E,3,FALSE)</f>
        <v>North</v>
      </c>
      <c r="N672" s="23" t="str">
        <f t="shared" si="30"/>
        <v>Jan-24</v>
      </c>
      <c r="O672" s="23" t="str">
        <f t="shared" si="31"/>
        <v>Q1 2024</v>
      </c>
      <c r="P672" s="23">
        <f>VLOOKUP(D672,Products!$A:$F,4,FALSE)</f>
        <v>1962</v>
      </c>
      <c r="Q672" s="35">
        <f t="shared" si="32"/>
        <v>0.2786764705882353</v>
      </c>
    </row>
    <row r="673" spans="1:17">
      <c r="A673" s="12" t="s">
        <v>1151</v>
      </c>
      <c r="B673" s="13">
        <v>45371</v>
      </c>
      <c r="C673" s="12" t="s">
        <v>353</v>
      </c>
      <c r="D673" s="12" t="s">
        <v>425</v>
      </c>
      <c r="E673" s="12" t="s">
        <v>255</v>
      </c>
      <c r="F673" s="14">
        <v>5</v>
      </c>
      <c r="G673" s="14">
        <v>3970</v>
      </c>
      <c r="H673" s="14">
        <v>5.9</v>
      </c>
      <c r="I673" s="14">
        <v>18678.849999999999</v>
      </c>
      <c r="J673" s="12" t="s">
        <v>104</v>
      </c>
      <c r="K673" s="12" t="s">
        <v>129</v>
      </c>
      <c r="L673" s="23" t="str">
        <f>VLOOKUP(D673,Products!$A:$F,3,FALSE)</f>
        <v>Electronics</v>
      </c>
      <c r="M673" s="23" t="str">
        <f>VLOOKUP(E673,Sales_Reps!$A:$E,3,FALSE)</f>
        <v>East</v>
      </c>
      <c r="N673" s="23" t="str">
        <f t="shared" si="30"/>
        <v>Mar-24</v>
      </c>
      <c r="O673" s="23" t="str">
        <f t="shared" si="31"/>
        <v>Q1 2024</v>
      </c>
      <c r="P673" s="23">
        <f>VLOOKUP(D673,Products!$A:$F,4,FALSE)</f>
        <v>2865</v>
      </c>
      <c r="Q673" s="35">
        <f t="shared" si="32"/>
        <v>0.27833753148614609</v>
      </c>
    </row>
    <row r="674" spans="1:17">
      <c r="A674" s="12" t="s">
        <v>1152</v>
      </c>
      <c r="B674" s="13">
        <v>45601</v>
      </c>
      <c r="C674" s="12" t="s">
        <v>159</v>
      </c>
      <c r="D674" s="12" t="s">
        <v>108</v>
      </c>
      <c r="E674" s="12" t="s">
        <v>290</v>
      </c>
      <c r="F674" s="14">
        <v>3</v>
      </c>
      <c r="G674" s="14">
        <v>820</v>
      </c>
      <c r="H674" s="14">
        <v>19.399999999999999</v>
      </c>
      <c r="I674" s="14">
        <v>1982.76</v>
      </c>
      <c r="J674" s="12" t="s">
        <v>104</v>
      </c>
      <c r="K674" s="12" t="s">
        <v>105</v>
      </c>
      <c r="L674" s="23" t="str">
        <f>VLOOKUP(D674,Products!$A:$F,3,FALSE)</f>
        <v>Apparel</v>
      </c>
      <c r="M674" s="23" t="str">
        <f>VLOOKUP(E674,Sales_Reps!$A:$E,3,FALSE)</f>
        <v>South</v>
      </c>
      <c r="N674" s="23" t="str">
        <f t="shared" si="30"/>
        <v>Nov-24</v>
      </c>
      <c r="O674" s="23" t="str">
        <f t="shared" si="31"/>
        <v>Q4 2024</v>
      </c>
      <c r="P674" s="23">
        <f>VLOOKUP(D674,Products!$A:$F,4,FALSE)</f>
        <v>391</v>
      </c>
      <c r="Q674" s="35">
        <f t="shared" si="32"/>
        <v>0.52317073170731709</v>
      </c>
    </row>
    <row r="675" spans="1:17">
      <c r="A675" s="12" t="s">
        <v>1153</v>
      </c>
      <c r="B675" s="13">
        <v>45471</v>
      </c>
      <c r="C675" s="12" t="s">
        <v>572</v>
      </c>
      <c r="D675" s="12" t="s">
        <v>309</v>
      </c>
      <c r="E675" s="12" t="s">
        <v>149</v>
      </c>
      <c r="F675" s="14">
        <v>7</v>
      </c>
      <c r="G675" s="14">
        <v>620</v>
      </c>
      <c r="H675" s="14">
        <v>9.9</v>
      </c>
      <c r="I675" s="14">
        <v>3910.34</v>
      </c>
      <c r="J675" s="12" t="s">
        <v>104</v>
      </c>
      <c r="K675" s="12" t="s">
        <v>129</v>
      </c>
      <c r="L675" s="23" t="str">
        <f>VLOOKUP(D675,Products!$A:$F,3,FALSE)</f>
        <v>Apparel</v>
      </c>
      <c r="M675" s="23" t="str">
        <f>VLOOKUP(E675,Sales_Reps!$A:$E,3,FALSE)</f>
        <v>South</v>
      </c>
      <c r="N675" s="23" t="str">
        <f t="shared" si="30"/>
        <v>Jun-24</v>
      </c>
      <c r="O675" s="23" t="str">
        <f t="shared" si="31"/>
        <v>Q2 2024</v>
      </c>
      <c r="P675" s="23">
        <f>VLOOKUP(D675,Products!$A:$F,4,FALSE)</f>
        <v>396</v>
      </c>
      <c r="Q675" s="35">
        <f t="shared" si="32"/>
        <v>0.36129032258064514</v>
      </c>
    </row>
    <row r="676" spans="1:17">
      <c r="A676" s="12" t="s">
        <v>1154</v>
      </c>
      <c r="B676" s="13">
        <v>45318</v>
      </c>
      <c r="C676" s="12" t="s">
        <v>686</v>
      </c>
      <c r="D676" s="12" t="s">
        <v>403</v>
      </c>
      <c r="E676" s="12" t="s">
        <v>360</v>
      </c>
      <c r="F676" s="14">
        <v>8</v>
      </c>
      <c r="G676" s="14">
        <v>2290</v>
      </c>
      <c r="H676" s="14">
        <v>18.3</v>
      </c>
      <c r="I676" s="14">
        <v>14967.44</v>
      </c>
      <c r="J676" s="12" t="s">
        <v>104</v>
      </c>
      <c r="K676" s="12" t="s">
        <v>150</v>
      </c>
      <c r="L676" s="23" t="str">
        <f>VLOOKUP(D676,Products!$A:$F,3,FALSE)</f>
        <v>Beauty</v>
      </c>
      <c r="M676" s="23" t="str">
        <f>VLOOKUP(E676,Sales_Reps!$A:$E,3,FALSE)</f>
        <v>West</v>
      </c>
      <c r="N676" s="23" t="str">
        <f t="shared" si="30"/>
        <v>Jan-24</v>
      </c>
      <c r="O676" s="23" t="str">
        <f t="shared" si="31"/>
        <v>Q1 2024</v>
      </c>
      <c r="P676" s="23">
        <f>VLOOKUP(D676,Products!$A:$F,4,FALSE)</f>
        <v>1219</v>
      </c>
      <c r="Q676" s="35">
        <f t="shared" si="32"/>
        <v>0.46768558951965067</v>
      </c>
    </row>
    <row r="677" spans="1:17">
      <c r="A677" s="12" t="s">
        <v>1155</v>
      </c>
      <c r="B677" s="13">
        <v>45364</v>
      </c>
      <c r="C677" s="12" t="s">
        <v>584</v>
      </c>
      <c r="D677" s="12" t="s">
        <v>144</v>
      </c>
      <c r="E677" s="12" t="s">
        <v>128</v>
      </c>
      <c r="F677" s="14">
        <v>3</v>
      </c>
      <c r="G677" s="14">
        <v>970</v>
      </c>
      <c r="H677" s="14">
        <v>18.399999999999999</v>
      </c>
      <c r="I677" s="14">
        <v>2374.56</v>
      </c>
      <c r="J677" s="12" t="s">
        <v>104</v>
      </c>
      <c r="K677" s="12" t="s">
        <v>134</v>
      </c>
      <c r="L677" s="23" t="str">
        <f>VLOOKUP(D677,Products!$A:$F,3,FALSE)</f>
        <v>Grocery</v>
      </c>
      <c r="M677" s="23" t="str">
        <f>VLOOKUP(E677,Sales_Reps!$A:$E,3,FALSE)</f>
        <v>West</v>
      </c>
      <c r="N677" s="23" t="str">
        <f t="shared" si="30"/>
        <v>Mar-24</v>
      </c>
      <c r="O677" s="23" t="str">
        <f t="shared" si="31"/>
        <v>Q1 2024</v>
      </c>
      <c r="P677" s="23">
        <f>VLOOKUP(D677,Products!$A:$F,4,FALSE)</f>
        <v>434</v>
      </c>
      <c r="Q677" s="35">
        <f t="shared" si="32"/>
        <v>0.5525773195876289</v>
      </c>
    </row>
    <row r="678" spans="1:17">
      <c r="A678" s="12" t="s">
        <v>1156</v>
      </c>
      <c r="B678" s="13">
        <v>45419</v>
      </c>
      <c r="C678" s="12" t="s">
        <v>985</v>
      </c>
      <c r="D678" s="12" t="s">
        <v>127</v>
      </c>
      <c r="E678" s="12" t="s">
        <v>115</v>
      </c>
      <c r="F678" s="14">
        <v>2</v>
      </c>
      <c r="G678" s="14">
        <v>370</v>
      </c>
      <c r="H678" s="14">
        <v>8.9</v>
      </c>
      <c r="I678" s="14">
        <v>674.14</v>
      </c>
      <c r="J678" s="12" t="s">
        <v>104</v>
      </c>
      <c r="K678" s="12" t="s">
        <v>116</v>
      </c>
      <c r="L678" s="23" t="str">
        <f>VLOOKUP(D678,Products!$A:$F,3,FALSE)</f>
        <v>Home</v>
      </c>
      <c r="M678" s="23" t="str">
        <f>VLOOKUP(E678,Sales_Reps!$A:$E,3,FALSE)</f>
        <v>South</v>
      </c>
      <c r="N678" s="23" t="str">
        <f t="shared" si="30"/>
        <v>May-24</v>
      </c>
      <c r="O678" s="23" t="str">
        <f t="shared" si="31"/>
        <v>Q2 2024</v>
      </c>
      <c r="P678" s="23">
        <f>VLOOKUP(D678,Products!$A:$F,4,FALSE)</f>
        <v>288</v>
      </c>
      <c r="Q678" s="35">
        <f t="shared" si="32"/>
        <v>0.22162162162162163</v>
      </c>
    </row>
    <row r="679" spans="1:17">
      <c r="A679" s="12" t="s">
        <v>1157</v>
      </c>
      <c r="B679" s="13">
        <v>45632</v>
      </c>
      <c r="C679" s="12" t="s">
        <v>742</v>
      </c>
      <c r="D679" s="12" t="s">
        <v>137</v>
      </c>
      <c r="E679" s="12" t="s">
        <v>103</v>
      </c>
      <c r="F679" s="14">
        <v>1</v>
      </c>
      <c r="G679" s="14">
        <v>1430</v>
      </c>
      <c r="H679" s="14">
        <v>5.9</v>
      </c>
      <c r="I679" s="14">
        <v>1345.63</v>
      </c>
      <c r="J679" s="12" t="s">
        <v>157</v>
      </c>
      <c r="K679" s="12" t="s">
        <v>116</v>
      </c>
      <c r="L679" s="23" t="str">
        <f>VLOOKUP(D679,Products!$A:$F,3,FALSE)</f>
        <v>Electronics</v>
      </c>
      <c r="M679" s="23" t="str">
        <f>VLOOKUP(E679,Sales_Reps!$A:$E,3,FALSE)</f>
        <v>North</v>
      </c>
      <c r="N679" s="23" t="str">
        <f t="shared" si="30"/>
        <v>Dec-24</v>
      </c>
      <c r="O679" s="23" t="str">
        <f t="shared" si="31"/>
        <v>Q4 2024</v>
      </c>
      <c r="P679" s="23">
        <f>VLOOKUP(D679,Products!$A:$F,4,FALSE)</f>
        <v>861</v>
      </c>
      <c r="Q679" s="35">
        <f t="shared" si="32"/>
        <v>0.39790209790209791</v>
      </c>
    </row>
    <row r="680" spans="1:17">
      <c r="A680" s="12" t="s">
        <v>1158</v>
      </c>
      <c r="B680" s="13">
        <v>45494</v>
      </c>
      <c r="C680" s="12" t="s">
        <v>854</v>
      </c>
      <c r="D680" s="12" t="s">
        <v>168</v>
      </c>
      <c r="E680" s="12" t="s">
        <v>187</v>
      </c>
      <c r="F680" s="14">
        <v>2</v>
      </c>
      <c r="G680" s="14">
        <v>2400</v>
      </c>
      <c r="H680" s="14">
        <v>29.1</v>
      </c>
      <c r="I680" s="14">
        <v>3403.2</v>
      </c>
      <c r="J680" s="12" t="s">
        <v>104</v>
      </c>
      <c r="K680" s="12" t="s">
        <v>134</v>
      </c>
      <c r="L680" s="23" t="str">
        <f>VLOOKUP(D680,Products!$A:$F,3,FALSE)</f>
        <v>Sports</v>
      </c>
      <c r="M680" s="23" t="str">
        <f>VLOOKUP(E680,Sales_Reps!$A:$E,3,FALSE)</f>
        <v>West</v>
      </c>
      <c r="N680" s="23" t="str">
        <f t="shared" si="30"/>
        <v>Jul-24</v>
      </c>
      <c r="O680" s="23" t="str">
        <f t="shared" si="31"/>
        <v>Q3 2024</v>
      </c>
      <c r="P680" s="23">
        <f>VLOOKUP(D680,Products!$A:$F,4,FALSE)</f>
        <v>974</v>
      </c>
      <c r="Q680" s="35">
        <f t="shared" si="32"/>
        <v>0.59416666666666662</v>
      </c>
    </row>
    <row r="681" spans="1:17">
      <c r="A681" s="12" t="s">
        <v>1159</v>
      </c>
      <c r="B681" s="13">
        <v>45337</v>
      </c>
      <c r="C681" s="12" t="s">
        <v>416</v>
      </c>
      <c r="D681" s="12" t="s">
        <v>137</v>
      </c>
      <c r="E681" s="12" t="s">
        <v>290</v>
      </c>
      <c r="F681" s="14">
        <v>9</v>
      </c>
      <c r="G681" s="14">
        <v>1430</v>
      </c>
      <c r="H681" s="14">
        <v>6</v>
      </c>
      <c r="I681" s="14">
        <v>12097.8</v>
      </c>
      <c r="J681" s="12" t="s">
        <v>104</v>
      </c>
      <c r="K681" s="12" t="s">
        <v>116</v>
      </c>
      <c r="L681" s="23" t="str">
        <f>VLOOKUP(D681,Products!$A:$F,3,FALSE)</f>
        <v>Electronics</v>
      </c>
      <c r="M681" s="23" t="str">
        <f>VLOOKUP(E681,Sales_Reps!$A:$E,3,FALSE)</f>
        <v>South</v>
      </c>
      <c r="N681" s="23" t="str">
        <f t="shared" si="30"/>
        <v>Feb-24</v>
      </c>
      <c r="O681" s="23" t="str">
        <f t="shared" si="31"/>
        <v>Q1 2024</v>
      </c>
      <c r="P681" s="23">
        <f>VLOOKUP(D681,Products!$A:$F,4,FALSE)</f>
        <v>861</v>
      </c>
      <c r="Q681" s="35">
        <f t="shared" si="32"/>
        <v>0.39790209790209791</v>
      </c>
    </row>
    <row r="682" spans="1:17">
      <c r="A682" s="12" t="s">
        <v>1160</v>
      </c>
      <c r="B682" s="13">
        <v>45510</v>
      </c>
      <c r="C682" s="12" t="s">
        <v>612</v>
      </c>
      <c r="D682" s="12" t="s">
        <v>190</v>
      </c>
      <c r="E682" s="12" t="s">
        <v>103</v>
      </c>
      <c r="F682" s="14">
        <v>8</v>
      </c>
      <c r="G682" s="14">
        <v>2720</v>
      </c>
      <c r="H682" s="14">
        <v>25.7</v>
      </c>
      <c r="I682" s="14">
        <v>16167.68</v>
      </c>
      <c r="J682" s="12" t="s">
        <v>104</v>
      </c>
      <c r="K682" s="12" t="s">
        <v>116</v>
      </c>
      <c r="L682" s="23" t="str">
        <f>VLOOKUP(D682,Products!$A:$F,3,FALSE)</f>
        <v>Apparel</v>
      </c>
      <c r="M682" s="23" t="str">
        <f>VLOOKUP(E682,Sales_Reps!$A:$E,3,FALSE)</f>
        <v>North</v>
      </c>
      <c r="N682" s="23" t="str">
        <f t="shared" si="30"/>
        <v>Aug-24</v>
      </c>
      <c r="O682" s="23" t="str">
        <f t="shared" si="31"/>
        <v>Q3 2024</v>
      </c>
      <c r="P682" s="23">
        <f>VLOOKUP(D682,Products!$A:$F,4,FALSE)</f>
        <v>1962</v>
      </c>
      <c r="Q682" s="35">
        <f t="shared" si="32"/>
        <v>0.2786764705882353</v>
      </c>
    </row>
    <row r="683" spans="1:17">
      <c r="A683" s="12" t="s">
        <v>1161</v>
      </c>
      <c r="B683" s="13">
        <v>45572</v>
      </c>
      <c r="C683" s="12" t="s">
        <v>734</v>
      </c>
      <c r="D683" s="12" t="s">
        <v>532</v>
      </c>
      <c r="E683" s="12" t="s">
        <v>360</v>
      </c>
      <c r="F683" s="14">
        <v>6</v>
      </c>
      <c r="G683" s="14">
        <v>6940</v>
      </c>
      <c r="H683" s="14">
        <v>25.7</v>
      </c>
      <c r="I683" s="14">
        <v>30938.52</v>
      </c>
      <c r="J683" s="12" t="s">
        <v>104</v>
      </c>
      <c r="K683" s="12" t="s">
        <v>111</v>
      </c>
      <c r="L683" s="23" t="str">
        <f>VLOOKUP(D683,Products!$A:$F,3,FALSE)</f>
        <v>Sports</v>
      </c>
      <c r="M683" s="23" t="str">
        <f>VLOOKUP(E683,Sales_Reps!$A:$E,3,FALSE)</f>
        <v>West</v>
      </c>
      <c r="N683" s="23" t="str">
        <f t="shared" si="30"/>
        <v>Oct-24</v>
      </c>
      <c r="O683" s="23" t="str">
        <f t="shared" si="31"/>
        <v>Q4 2024</v>
      </c>
      <c r="P683" s="23">
        <f>VLOOKUP(D683,Products!$A:$F,4,FALSE)</f>
        <v>2827</v>
      </c>
      <c r="Q683" s="35">
        <f t="shared" si="32"/>
        <v>0.5926512968299712</v>
      </c>
    </row>
    <row r="684" spans="1:17">
      <c r="A684" s="12" t="s">
        <v>1162</v>
      </c>
      <c r="B684" s="13">
        <v>45472</v>
      </c>
      <c r="C684" s="12" t="s">
        <v>785</v>
      </c>
      <c r="D684" s="12" t="s">
        <v>102</v>
      </c>
      <c r="E684" s="12" t="s">
        <v>103</v>
      </c>
      <c r="F684" s="14">
        <v>3</v>
      </c>
      <c r="G684" s="14">
        <v>3620</v>
      </c>
      <c r="H684" s="14">
        <v>29.7</v>
      </c>
      <c r="I684" s="14">
        <v>7634.58</v>
      </c>
      <c r="J684" s="12" t="s">
        <v>104</v>
      </c>
      <c r="K684" s="12" t="s">
        <v>105</v>
      </c>
      <c r="L684" s="23" t="str">
        <f>VLOOKUP(D684,Products!$A:$F,3,FALSE)</f>
        <v>Apparel</v>
      </c>
      <c r="M684" s="23" t="str">
        <f>VLOOKUP(E684,Sales_Reps!$A:$E,3,FALSE)</f>
        <v>North</v>
      </c>
      <c r="N684" s="23" t="str">
        <f t="shared" si="30"/>
        <v>Jun-24</v>
      </c>
      <c r="O684" s="23" t="str">
        <f t="shared" si="31"/>
        <v>Q2 2024</v>
      </c>
      <c r="P684" s="23">
        <f>VLOOKUP(D684,Products!$A:$F,4,FALSE)</f>
        <v>2509</v>
      </c>
      <c r="Q684" s="35">
        <f t="shared" si="32"/>
        <v>0.3069060773480663</v>
      </c>
    </row>
    <row r="685" spans="1:17">
      <c r="A685" s="12" t="s">
        <v>1163</v>
      </c>
      <c r="B685" s="13">
        <v>45615</v>
      </c>
      <c r="C685" s="12" t="s">
        <v>395</v>
      </c>
      <c r="D685" s="12" t="s">
        <v>152</v>
      </c>
      <c r="E685" s="12" t="s">
        <v>128</v>
      </c>
      <c r="F685" s="14">
        <v>8</v>
      </c>
      <c r="G685" s="14">
        <v>2640</v>
      </c>
      <c r="H685" s="14">
        <v>24.4</v>
      </c>
      <c r="I685" s="14">
        <v>15966.72</v>
      </c>
      <c r="J685" s="12" t="s">
        <v>104</v>
      </c>
      <c r="K685" s="12" t="s">
        <v>111</v>
      </c>
      <c r="L685" s="23" t="str">
        <f>VLOOKUP(D685,Products!$A:$F,3,FALSE)</f>
        <v>Electronics</v>
      </c>
      <c r="M685" s="23" t="str">
        <f>VLOOKUP(E685,Sales_Reps!$A:$E,3,FALSE)</f>
        <v>West</v>
      </c>
      <c r="N685" s="23" t="str">
        <f t="shared" si="30"/>
        <v>Nov-24</v>
      </c>
      <c r="O685" s="23" t="str">
        <f t="shared" si="31"/>
        <v>Q4 2024</v>
      </c>
      <c r="P685" s="23">
        <f>VLOOKUP(D685,Products!$A:$F,4,FALSE)</f>
        <v>1149</v>
      </c>
      <c r="Q685" s="35">
        <f t="shared" si="32"/>
        <v>0.56477272727272732</v>
      </c>
    </row>
    <row r="686" spans="1:17">
      <c r="A686" s="12" t="s">
        <v>1164</v>
      </c>
      <c r="B686" s="13">
        <v>45349</v>
      </c>
      <c r="C686" s="12" t="s">
        <v>746</v>
      </c>
      <c r="D686" s="12" t="s">
        <v>141</v>
      </c>
      <c r="E686" s="12" t="s">
        <v>120</v>
      </c>
      <c r="F686" s="14">
        <v>3</v>
      </c>
      <c r="G686" s="14">
        <v>5490</v>
      </c>
      <c r="H686" s="14">
        <v>13.5</v>
      </c>
      <c r="I686" s="14">
        <v>14246.55</v>
      </c>
      <c r="J686" s="12" t="s">
        <v>104</v>
      </c>
      <c r="K686" s="12" t="s">
        <v>129</v>
      </c>
      <c r="L686" s="23" t="str">
        <f>VLOOKUP(D686,Products!$A:$F,3,FALSE)</f>
        <v>Home</v>
      </c>
      <c r="M686" s="23" t="str">
        <f>VLOOKUP(E686,Sales_Reps!$A:$E,3,FALSE)</f>
        <v>North</v>
      </c>
      <c r="N686" s="23" t="str">
        <f t="shared" si="30"/>
        <v>Feb-24</v>
      </c>
      <c r="O686" s="23" t="str">
        <f t="shared" si="31"/>
        <v>Q1 2024</v>
      </c>
      <c r="P686" s="23">
        <f>VLOOKUP(D686,Products!$A:$F,4,FALSE)</f>
        <v>2549</v>
      </c>
      <c r="Q686" s="35">
        <f t="shared" si="32"/>
        <v>0.53570127504553733</v>
      </c>
    </row>
    <row r="687" spans="1:17">
      <c r="A687" s="12" t="s">
        <v>1165</v>
      </c>
      <c r="B687" s="13">
        <v>45413</v>
      </c>
      <c r="C687" s="12" t="s">
        <v>159</v>
      </c>
      <c r="D687" s="12" t="s">
        <v>460</v>
      </c>
      <c r="E687" s="12" t="s">
        <v>255</v>
      </c>
      <c r="F687" s="14">
        <v>3</v>
      </c>
      <c r="G687" s="14">
        <v>5080</v>
      </c>
      <c r="H687" s="14">
        <v>9.3000000000000007</v>
      </c>
      <c r="I687" s="14">
        <v>13822.68</v>
      </c>
      <c r="J687" s="12" t="s">
        <v>104</v>
      </c>
      <c r="K687" s="12" t="s">
        <v>105</v>
      </c>
      <c r="L687" s="23" t="str">
        <f>VLOOKUP(D687,Products!$A:$F,3,FALSE)</f>
        <v>Home</v>
      </c>
      <c r="M687" s="23" t="str">
        <f>VLOOKUP(E687,Sales_Reps!$A:$E,3,FALSE)</f>
        <v>East</v>
      </c>
      <c r="N687" s="23" t="str">
        <f t="shared" si="30"/>
        <v>May-24</v>
      </c>
      <c r="O687" s="23" t="str">
        <f t="shared" si="31"/>
        <v>Q2 2024</v>
      </c>
      <c r="P687" s="23">
        <f>VLOOKUP(D687,Products!$A:$F,4,FALSE)</f>
        <v>2459</v>
      </c>
      <c r="Q687" s="35">
        <f t="shared" si="32"/>
        <v>0.51594488188976373</v>
      </c>
    </row>
    <row r="688" spans="1:17">
      <c r="A688" s="12" t="s">
        <v>1166</v>
      </c>
      <c r="B688" s="13">
        <v>45515</v>
      </c>
      <c r="C688" s="12" t="s">
        <v>411</v>
      </c>
      <c r="D688" s="12" t="s">
        <v>403</v>
      </c>
      <c r="E688" s="12" t="s">
        <v>187</v>
      </c>
      <c r="F688" s="14">
        <v>4</v>
      </c>
      <c r="G688" s="14">
        <v>2290</v>
      </c>
      <c r="H688" s="14">
        <v>24.4</v>
      </c>
      <c r="I688" s="14">
        <v>6924.96</v>
      </c>
      <c r="J688" s="12" t="s">
        <v>104</v>
      </c>
      <c r="K688" s="12" t="s">
        <v>134</v>
      </c>
      <c r="L688" s="23" t="str">
        <f>VLOOKUP(D688,Products!$A:$F,3,FALSE)</f>
        <v>Beauty</v>
      </c>
      <c r="M688" s="23" t="str">
        <f>VLOOKUP(E688,Sales_Reps!$A:$E,3,FALSE)</f>
        <v>West</v>
      </c>
      <c r="N688" s="23" t="str">
        <f t="shared" si="30"/>
        <v>Aug-24</v>
      </c>
      <c r="O688" s="23" t="str">
        <f t="shared" si="31"/>
        <v>Q3 2024</v>
      </c>
      <c r="P688" s="23">
        <f>VLOOKUP(D688,Products!$A:$F,4,FALSE)</f>
        <v>1219</v>
      </c>
      <c r="Q688" s="35">
        <f t="shared" si="32"/>
        <v>0.46768558951965067</v>
      </c>
    </row>
    <row r="689" spans="1:17">
      <c r="A689" s="12" t="s">
        <v>1167</v>
      </c>
      <c r="B689" s="13">
        <v>45463</v>
      </c>
      <c r="C689" s="12" t="s">
        <v>430</v>
      </c>
      <c r="D689" s="12" t="s">
        <v>312</v>
      </c>
      <c r="E689" s="12" t="s">
        <v>290</v>
      </c>
      <c r="F689" s="14">
        <v>10</v>
      </c>
      <c r="G689" s="14">
        <v>2030</v>
      </c>
      <c r="H689" s="14">
        <v>13.6</v>
      </c>
      <c r="I689" s="14">
        <v>17539.2</v>
      </c>
      <c r="J689" s="12" t="s">
        <v>110</v>
      </c>
      <c r="K689" s="12" t="s">
        <v>105</v>
      </c>
      <c r="L689" s="23" t="str">
        <f>VLOOKUP(D689,Products!$A:$F,3,FALSE)</f>
        <v>Home</v>
      </c>
      <c r="M689" s="23" t="str">
        <f>VLOOKUP(E689,Sales_Reps!$A:$E,3,FALSE)</f>
        <v>South</v>
      </c>
      <c r="N689" s="23" t="str">
        <f t="shared" si="30"/>
        <v>Jun-24</v>
      </c>
      <c r="O689" s="23" t="str">
        <f t="shared" si="31"/>
        <v>Q2 2024</v>
      </c>
      <c r="P689" s="23">
        <f>VLOOKUP(D689,Products!$A:$F,4,FALSE)</f>
        <v>1143</v>
      </c>
      <c r="Q689" s="35">
        <f t="shared" si="32"/>
        <v>0.43694581280788175</v>
      </c>
    </row>
    <row r="690" spans="1:17">
      <c r="A690" s="12" t="s">
        <v>1168</v>
      </c>
      <c r="B690" s="13">
        <v>45607</v>
      </c>
      <c r="C690" s="12" t="s">
        <v>582</v>
      </c>
      <c r="D690" s="12" t="s">
        <v>137</v>
      </c>
      <c r="E690" s="12" t="s">
        <v>342</v>
      </c>
      <c r="F690" s="14">
        <v>10</v>
      </c>
      <c r="G690" s="14">
        <v>1430</v>
      </c>
      <c r="H690" s="14">
        <v>16.100000000000001</v>
      </c>
      <c r="I690" s="14">
        <v>11997.7</v>
      </c>
      <c r="J690" s="12" t="s">
        <v>157</v>
      </c>
      <c r="K690" s="12" t="s">
        <v>129</v>
      </c>
      <c r="L690" s="23" t="str">
        <f>VLOOKUP(D690,Products!$A:$F,3,FALSE)</f>
        <v>Electronics</v>
      </c>
      <c r="M690" s="23" t="str">
        <f>VLOOKUP(E690,Sales_Reps!$A:$E,3,FALSE)</f>
        <v>South</v>
      </c>
      <c r="N690" s="23" t="str">
        <f t="shared" si="30"/>
        <v>Nov-24</v>
      </c>
      <c r="O690" s="23" t="str">
        <f t="shared" si="31"/>
        <v>Q4 2024</v>
      </c>
      <c r="P690" s="23">
        <f>VLOOKUP(D690,Products!$A:$F,4,FALSE)</f>
        <v>861</v>
      </c>
      <c r="Q690" s="35">
        <f t="shared" si="32"/>
        <v>0.39790209790209791</v>
      </c>
    </row>
    <row r="691" spans="1:17">
      <c r="A691" s="12" t="s">
        <v>1169</v>
      </c>
      <c r="B691" s="13">
        <v>45357</v>
      </c>
      <c r="C691" s="12" t="s">
        <v>1079</v>
      </c>
      <c r="D691" s="12" t="s">
        <v>251</v>
      </c>
      <c r="E691" s="12" t="s">
        <v>221</v>
      </c>
      <c r="F691" s="14">
        <v>1</v>
      </c>
      <c r="G691" s="14">
        <v>3780</v>
      </c>
      <c r="H691" s="14">
        <v>22.7</v>
      </c>
      <c r="I691" s="14">
        <v>2921.94</v>
      </c>
      <c r="J691" s="12" t="s">
        <v>104</v>
      </c>
      <c r="K691" s="12" t="s">
        <v>129</v>
      </c>
      <c r="L691" s="23" t="str">
        <f>VLOOKUP(D691,Products!$A:$F,3,FALSE)</f>
        <v>Grocery</v>
      </c>
      <c r="M691" s="23" t="str">
        <f>VLOOKUP(E691,Sales_Reps!$A:$E,3,FALSE)</f>
        <v>South</v>
      </c>
      <c r="N691" s="23" t="str">
        <f t="shared" si="30"/>
        <v>Mar-24</v>
      </c>
      <c r="O691" s="23" t="str">
        <f t="shared" si="31"/>
        <v>Q1 2024</v>
      </c>
      <c r="P691" s="23">
        <f>VLOOKUP(D691,Products!$A:$F,4,FALSE)</f>
        <v>2436</v>
      </c>
      <c r="Q691" s="35">
        <f t="shared" si="32"/>
        <v>0.35555555555555557</v>
      </c>
    </row>
    <row r="692" spans="1:17">
      <c r="A692" s="12" t="s">
        <v>1170</v>
      </c>
      <c r="B692" s="13">
        <v>45443</v>
      </c>
      <c r="C692" s="12" t="s">
        <v>409</v>
      </c>
      <c r="D692" s="12" t="s">
        <v>123</v>
      </c>
      <c r="E692" s="12" t="s">
        <v>175</v>
      </c>
      <c r="F692" s="14">
        <v>10</v>
      </c>
      <c r="G692" s="14">
        <v>3160</v>
      </c>
      <c r="H692" s="14">
        <v>13.4</v>
      </c>
      <c r="I692" s="14">
        <v>27365.599999999999</v>
      </c>
      <c r="J692" s="12" t="s">
        <v>104</v>
      </c>
      <c r="K692" s="12" t="s">
        <v>129</v>
      </c>
      <c r="L692" s="23" t="str">
        <f>VLOOKUP(D692,Products!$A:$F,3,FALSE)</f>
        <v>Apparel</v>
      </c>
      <c r="M692" s="23" t="str">
        <f>VLOOKUP(E692,Sales_Reps!$A:$E,3,FALSE)</f>
        <v>East</v>
      </c>
      <c r="N692" s="23" t="str">
        <f t="shared" si="30"/>
        <v>May-24</v>
      </c>
      <c r="O692" s="23" t="str">
        <f t="shared" si="31"/>
        <v>Q2 2024</v>
      </c>
      <c r="P692" s="23">
        <f>VLOOKUP(D692,Products!$A:$F,4,FALSE)</f>
        <v>1886</v>
      </c>
      <c r="Q692" s="35">
        <f t="shared" si="32"/>
        <v>0.4031645569620253</v>
      </c>
    </row>
    <row r="693" spans="1:17">
      <c r="A693" s="12" t="s">
        <v>1171</v>
      </c>
      <c r="B693" s="13">
        <v>45422</v>
      </c>
      <c r="C693" s="12" t="s">
        <v>459</v>
      </c>
      <c r="D693" s="12" t="s">
        <v>137</v>
      </c>
      <c r="E693" s="12" t="s">
        <v>165</v>
      </c>
      <c r="F693" s="14">
        <v>2</v>
      </c>
      <c r="G693" s="14">
        <v>1430</v>
      </c>
      <c r="H693" s="14">
        <v>7.4</v>
      </c>
      <c r="I693" s="14">
        <v>2648.36</v>
      </c>
      <c r="J693" s="12" t="s">
        <v>104</v>
      </c>
      <c r="K693" s="12" t="s">
        <v>105</v>
      </c>
      <c r="L693" s="23" t="str">
        <f>VLOOKUP(D693,Products!$A:$F,3,FALSE)</f>
        <v>Electronics</v>
      </c>
      <c r="M693" s="23" t="str">
        <f>VLOOKUP(E693,Sales_Reps!$A:$E,3,FALSE)</f>
        <v>North</v>
      </c>
      <c r="N693" s="23" t="str">
        <f t="shared" si="30"/>
        <v>May-24</v>
      </c>
      <c r="O693" s="23" t="str">
        <f t="shared" si="31"/>
        <v>Q2 2024</v>
      </c>
      <c r="P693" s="23">
        <f>VLOOKUP(D693,Products!$A:$F,4,FALSE)</f>
        <v>861</v>
      </c>
      <c r="Q693" s="35">
        <f t="shared" si="32"/>
        <v>0.39790209790209791</v>
      </c>
    </row>
    <row r="694" spans="1:17">
      <c r="A694" s="12" t="s">
        <v>1172</v>
      </c>
      <c r="B694" s="13">
        <v>45640</v>
      </c>
      <c r="C694" s="12" t="s">
        <v>248</v>
      </c>
      <c r="D694" s="12" t="s">
        <v>123</v>
      </c>
      <c r="E694" s="12" t="s">
        <v>120</v>
      </c>
      <c r="F694" s="14">
        <v>5</v>
      </c>
      <c r="G694" s="14">
        <v>3160</v>
      </c>
      <c r="H694" s="14">
        <v>3.6</v>
      </c>
      <c r="I694" s="14">
        <v>15231.2</v>
      </c>
      <c r="J694" s="12" t="s">
        <v>110</v>
      </c>
      <c r="K694" s="12" t="s">
        <v>134</v>
      </c>
      <c r="L694" s="23" t="str">
        <f>VLOOKUP(D694,Products!$A:$F,3,FALSE)</f>
        <v>Apparel</v>
      </c>
      <c r="M694" s="23" t="str">
        <f>VLOOKUP(E694,Sales_Reps!$A:$E,3,FALSE)</f>
        <v>North</v>
      </c>
      <c r="N694" s="23" t="str">
        <f t="shared" si="30"/>
        <v>Dec-24</v>
      </c>
      <c r="O694" s="23" t="str">
        <f t="shared" si="31"/>
        <v>Q4 2024</v>
      </c>
      <c r="P694" s="23">
        <f>VLOOKUP(D694,Products!$A:$F,4,FALSE)</f>
        <v>1886</v>
      </c>
      <c r="Q694" s="35">
        <f t="shared" si="32"/>
        <v>0.4031645569620253</v>
      </c>
    </row>
    <row r="695" spans="1:17">
      <c r="A695" s="12" t="s">
        <v>1173</v>
      </c>
      <c r="B695" s="13">
        <v>45521</v>
      </c>
      <c r="C695" s="12" t="s">
        <v>824</v>
      </c>
      <c r="D695" s="12" t="s">
        <v>403</v>
      </c>
      <c r="E695" s="12" t="s">
        <v>156</v>
      </c>
      <c r="F695" s="14">
        <v>2</v>
      </c>
      <c r="G695" s="14">
        <v>2290</v>
      </c>
      <c r="H695" s="14">
        <v>28.2</v>
      </c>
      <c r="I695" s="14">
        <v>3288.44</v>
      </c>
      <c r="J695" s="12" t="s">
        <v>104</v>
      </c>
      <c r="K695" s="12" t="s">
        <v>105</v>
      </c>
      <c r="L695" s="23" t="str">
        <f>VLOOKUP(D695,Products!$A:$F,3,FALSE)</f>
        <v>Beauty</v>
      </c>
      <c r="M695" s="23" t="str">
        <f>VLOOKUP(E695,Sales_Reps!$A:$E,3,FALSE)</f>
        <v>North</v>
      </c>
      <c r="N695" s="23" t="str">
        <f t="shared" si="30"/>
        <v>Aug-24</v>
      </c>
      <c r="O695" s="23" t="str">
        <f t="shared" si="31"/>
        <v>Q3 2024</v>
      </c>
      <c r="P695" s="23">
        <f>VLOOKUP(D695,Products!$A:$F,4,FALSE)</f>
        <v>1219</v>
      </c>
      <c r="Q695" s="35">
        <f t="shared" si="32"/>
        <v>0.46768558951965067</v>
      </c>
    </row>
    <row r="696" spans="1:17">
      <c r="A696" s="12" t="s">
        <v>1174</v>
      </c>
      <c r="B696" s="13">
        <v>45366</v>
      </c>
      <c r="C696" s="12" t="s">
        <v>755</v>
      </c>
      <c r="D696" s="12" t="s">
        <v>469</v>
      </c>
      <c r="E696" s="12" t="s">
        <v>205</v>
      </c>
      <c r="F696" s="14">
        <v>5</v>
      </c>
      <c r="G696" s="14">
        <v>3450</v>
      </c>
      <c r="H696" s="14">
        <v>18.100000000000001</v>
      </c>
      <c r="I696" s="14">
        <v>14127.75</v>
      </c>
      <c r="J696" s="12" t="s">
        <v>157</v>
      </c>
      <c r="K696" s="12" t="s">
        <v>105</v>
      </c>
      <c r="L696" s="23" t="str">
        <f>VLOOKUP(D696,Products!$A:$F,3,FALSE)</f>
        <v>Apparel</v>
      </c>
      <c r="M696" s="23" t="str">
        <f>VLOOKUP(E696,Sales_Reps!$A:$E,3,FALSE)</f>
        <v>South</v>
      </c>
      <c r="N696" s="23" t="str">
        <f t="shared" si="30"/>
        <v>Mar-24</v>
      </c>
      <c r="O696" s="23" t="str">
        <f t="shared" si="31"/>
        <v>Q1 2024</v>
      </c>
      <c r="P696" s="23">
        <f>VLOOKUP(D696,Products!$A:$F,4,FALSE)</f>
        <v>1748</v>
      </c>
      <c r="Q696" s="35">
        <f t="shared" si="32"/>
        <v>0.49333333333333335</v>
      </c>
    </row>
    <row r="697" spans="1:17">
      <c r="A697" s="12" t="s">
        <v>1175</v>
      </c>
      <c r="B697" s="13">
        <v>45439</v>
      </c>
      <c r="C697" s="12" t="s">
        <v>234</v>
      </c>
      <c r="D697" s="12" t="s">
        <v>676</v>
      </c>
      <c r="E697" s="12" t="s">
        <v>232</v>
      </c>
      <c r="F697" s="14">
        <v>1</v>
      </c>
      <c r="G697" s="14">
        <v>3560</v>
      </c>
      <c r="H697" s="14">
        <v>18.7</v>
      </c>
      <c r="I697" s="14">
        <v>2894.28</v>
      </c>
      <c r="J697" s="12" t="s">
        <v>104</v>
      </c>
      <c r="K697" s="12" t="s">
        <v>111</v>
      </c>
      <c r="L697" s="23" t="str">
        <f>VLOOKUP(D697,Products!$A:$F,3,FALSE)</f>
        <v>Apparel</v>
      </c>
      <c r="M697" s="23" t="str">
        <f>VLOOKUP(E697,Sales_Reps!$A:$E,3,FALSE)</f>
        <v>North</v>
      </c>
      <c r="N697" s="23" t="str">
        <f t="shared" si="30"/>
        <v>May-24</v>
      </c>
      <c r="O697" s="23" t="str">
        <f t="shared" si="31"/>
        <v>Q2 2024</v>
      </c>
      <c r="P697" s="23">
        <f>VLOOKUP(D697,Products!$A:$F,4,FALSE)</f>
        <v>2629</v>
      </c>
      <c r="Q697" s="35">
        <f t="shared" si="32"/>
        <v>0.26151685393258428</v>
      </c>
    </row>
    <row r="698" spans="1:17">
      <c r="A698" s="12" t="s">
        <v>1176</v>
      </c>
      <c r="B698" s="13">
        <v>45426</v>
      </c>
      <c r="C698" s="12" t="s">
        <v>322</v>
      </c>
      <c r="D698" s="12" t="s">
        <v>168</v>
      </c>
      <c r="E698" s="12" t="s">
        <v>221</v>
      </c>
      <c r="F698" s="14">
        <v>9</v>
      </c>
      <c r="G698" s="14">
        <v>2400</v>
      </c>
      <c r="H698" s="14">
        <v>18.5</v>
      </c>
      <c r="I698" s="14">
        <v>17604</v>
      </c>
      <c r="J698" s="12" t="s">
        <v>104</v>
      </c>
      <c r="K698" s="12" t="s">
        <v>150</v>
      </c>
      <c r="L698" s="23" t="str">
        <f>VLOOKUP(D698,Products!$A:$F,3,FALSE)</f>
        <v>Sports</v>
      </c>
      <c r="M698" s="23" t="str">
        <f>VLOOKUP(E698,Sales_Reps!$A:$E,3,FALSE)</f>
        <v>South</v>
      </c>
      <c r="N698" s="23" t="str">
        <f t="shared" si="30"/>
        <v>May-24</v>
      </c>
      <c r="O698" s="23" t="str">
        <f t="shared" si="31"/>
        <v>Q2 2024</v>
      </c>
      <c r="P698" s="23">
        <f>VLOOKUP(D698,Products!$A:$F,4,FALSE)</f>
        <v>974</v>
      </c>
      <c r="Q698" s="35">
        <f t="shared" si="32"/>
        <v>0.59416666666666662</v>
      </c>
    </row>
    <row r="699" spans="1:17">
      <c r="A699" s="12" t="s">
        <v>1177</v>
      </c>
      <c r="B699" s="13">
        <v>45415</v>
      </c>
      <c r="C699" s="12" t="s">
        <v>370</v>
      </c>
      <c r="D699" s="12" t="s">
        <v>265</v>
      </c>
      <c r="E699" s="12" t="s">
        <v>171</v>
      </c>
      <c r="F699" s="14">
        <v>9</v>
      </c>
      <c r="G699" s="14">
        <v>3870</v>
      </c>
      <c r="H699" s="14">
        <v>6.9</v>
      </c>
      <c r="I699" s="14">
        <v>32426.73</v>
      </c>
      <c r="J699" s="12" t="s">
        <v>161</v>
      </c>
      <c r="K699" s="12" t="s">
        <v>111</v>
      </c>
      <c r="L699" s="23" t="str">
        <f>VLOOKUP(D699,Products!$A:$F,3,FALSE)</f>
        <v>Electronics</v>
      </c>
      <c r="M699" s="23" t="str">
        <f>VLOOKUP(E699,Sales_Reps!$A:$E,3,FALSE)</f>
        <v>East</v>
      </c>
      <c r="N699" s="23" t="str">
        <f t="shared" si="30"/>
        <v>May-24</v>
      </c>
      <c r="O699" s="23" t="str">
        <f t="shared" si="31"/>
        <v>Q2 2024</v>
      </c>
      <c r="P699" s="23">
        <f>VLOOKUP(D699,Products!$A:$F,4,FALSE)</f>
        <v>1559</v>
      </c>
      <c r="Q699" s="35">
        <f t="shared" si="32"/>
        <v>0.59715762273901807</v>
      </c>
    </row>
    <row r="700" spans="1:17">
      <c r="A700" s="12" t="s">
        <v>1178</v>
      </c>
      <c r="B700" s="13">
        <v>45620</v>
      </c>
      <c r="C700" s="12" t="s">
        <v>722</v>
      </c>
      <c r="D700" s="12" t="s">
        <v>119</v>
      </c>
      <c r="E700" s="12" t="s">
        <v>302</v>
      </c>
      <c r="F700" s="14">
        <v>5</v>
      </c>
      <c r="G700" s="14">
        <v>3660</v>
      </c>
      <c r="H700" s="14">
        <v>11.7</v>
      </c>
      <c r="I700" s="14">
        <v>16158.9</v>
      </c>
      <c r="J700" s="12" t="s">
        <v>104</v>
      </c>
      <c r="K700" s="12" t="s">
        <v>116</v>
      </c>
      <c r="L700" s="23" t="str">
        <f>VLOOKUP(D700,Products!$A:$F,3,FALSE)</f>
        <v>Grocery</v>
      </c>
      <c r="M700" s="23" t="str">
        <f>VLOOKUP(E700,Sales_Reps!$A:$E,3,FALSE)</f>
        <v>East</v>
      </c>
      <c r="N700" s="23" t="str">
        <f t="shared" si="30"/>
        <v>Nov-24</v>
      </c>
      <c r="O700" s="23" t="str">
        <f t="shared" si="31"/>
        <v>Q4 2024</v>
      </c>
      <c r="P700" s="23">
        <f>VLOOKUP(D700,Products!$A:$F,4,FALSE)</f>
        <v>2214</v>
      </c>
      <c r="Q700" s="35">
        <f t="shared" si="32"/>
        <v>0.39508196721311473</v>
      </c>
    </row>
    <row r="701" spans="1:17">
      <c r="A701" s="12" t="s">
        <v>1179</v>
      </c>
      <c r="B701" s="13">
        <v>45346</v>
      </c>
      <c r="C701" s="12" t="s">
        <v>422</v>
      </c>
      <c r="D701" s="12" t="s">
        <v>181</v>
      </c>
      <c r="E701" s="12" t="s">
        <v>187</v>
      </c>
      <c r="F701" s="14">
        <v>4</v>
      </c>
      <c r="G701" s="14">
        <v>1080</v>
      </c>
      <c r="H701" s="14">
        <v>17.5</v>
      </c>
      <c r="I701" s="14">
        <v>3564</v>
      </c>
      <c r="J701" s="12" t="s">
        <v>104</v>
      </c>
      <c r="K701" s="12" t="s">
        <v>111</v>
      </c>
      <c r="L701" s="23" t="str">
        <f>VLOOKUP(D701,Products!$A:$F,3,FALSE)</f>
        <v>Home</v>
      </c>
      <c r="M701" s="23" t="str">
        <f>VLOOKUP(E701,Sales_Reps!$A:$E,3,FALSE)</f>
        <v>West</v>
      </c>
      <c r="N701" s="23" t="str">
        <f t="shared" si="30"/>
        <v>Feb-24</v>
      </c>
      <c r="O701" s="23" t="str">
        <f t="shared" si="31"/>
        <v>Q1 2024</v>
      </c>
      <c r="P701" s="23">
        <f>VLOOKUP(D701,Products!$A:$F,4,FALSE)</f>
        <v>519</v>
      </c>
      <c r="Q701" s="35">
        <f t="shared" si="32"/>
        <v>0.51944444444444449</v>
      </c>
    </row>
    <row r="702" spans="1:17">
      <c r="A702" s="12" t="s">
        <v>1180</v>
      </c>
      <c r="B702" s="13">
        <v>45297</v>
      </c>
      <c r="C702" s="12" t="s">
        <v>852</v>
      </c>
      <c r="D702" s="12" t="s">
        <v>478</v>
      </c>
      <c r="E702" s="12" t="s">
        <v>120</v>
      </c>
      <c r="F702" s="14">
        <v>6</v>
      </c>
      <c r="G702" s="14">
        <v>3780</v>
      </c>
      <c r="H702" s="14">
        <v>27.8</v>
      </c>
      <c r="I702" s="14">
        <v>16374.96</v>
      </c>
      <c r="J702" s="12" t="s">
        <v>104</v>
      </c>
      <c r="K702" s="12" t="s">
        <v>134</v>
      </c>
      <c r="L702" s="23" t="str">
        <f>VLOOKUP(D702,Products!$A:$F,3,FALSE)</f>
        <v>Sports</v>
      </c>
      <c r="M702" s="23" t="str">
        <f>VLOOKUP(E702,Sales_Reps!$A:$E,3,FALSE)</f>
        <v>North</v>
      </c>
      <c r="N702" s="23" t="str">
        <f t="shared" si="30"/>
        <v>Jan-24</v>
      </c>
      <c r="O702" s="23" t="str">
        <f t="shared" si="31"/>
        <v>Q1 2024</v>
      </c>
      <c r="P702" s="23">
        <f>VLOOKUP(D702,Products!$A:$F,4,FALSE)</f>
        <v>1860</v>
      </c>
      <c r="Q702" s="35">
        <f t="shared" si="32"/>
        <v>0.50793650793650791</v>
      </c>
    </row>
    <row r="703" spans="1:17">
      <c r="A703" s="12" t="s">
        <v>1181</v>
      </c>
      <c r="B703" s="13">
        <v>45521</v>
      </c>
      <c r="C703" s="12" t="s">
        <v>1079</v>
      </c>
      <c r="D703" s="12" t="s">
        <v>184</v>
      </c>
      <c r="E703" s="12" t="s">
        <v>302</v>
      </c>
      <c r="F703" s="14">
        <v>8</v>
      </c>
      <c r="G703" s="14">
        <v>2480</v>
      </c>
      <c r="H703" s="14">
        <v>15.7</v>
      </c>
      <c r="I703" s="14">
        <v>16725.12</v>
      </c>
      <c r="J703" s="12" t="s">
        <v>110</v>
      </c>
      <c r="K703" s="12" t="s">
        <v>129</v>
      </c>
      <c r="L703" s="23" t="str">
        <f>VLOOKUP(D703,Products!$A:$F,3,FALSE)</f>
        <v>Apparel</v>
      </c>
      <c r="M703" s="23" t="str">
        <f>VLOOKUP(E703,Sales_Reps!$A:$E,3,FALSE)</f>
        <v>East</v>
      </c>
      <c r="N703" s="23" t="str">
        <f t="shared" si="30"/>
        <v>Aug-24</v>
      </c>
      <c r="O703" s="23" t="str">
        <f t="shared" si="31"/>
        <v>Q3 2024</v>
      </c>
      <c r="P703" s="23">
        <f>VLOOKUP(D703,Products!$A:$F,4,FALSE)</f>
        <v>1173</v>
      </c>
      <c r="Q703" s="35">
        <f t="shared" si="32"/>
        <v>0.52701612903225803</v>
      </c>
    </row>
    <row r="704" spans="1:17">
      <c r="A704" s="12" t="s">
        <v>1182</v>
      </c>
      <c r="B704" s="13">
        <v>45409</v>
      </c>
      <c r="C704" s="12" t="s">
        <v>407</v>
      </c>
      <c r="D704" s="12" t="s">
        <v>199</v>
      </c>
      <c r="E704" s="12" t="s">
        <v>115</v>
      </c>
      <c r="F704" s="14">
        <v>10</v>
      </c>
      <c r="G704" s="14">
        <v>1010</v>
      </c>
      <c r="H704" s="14">
        <v>0.1</v>
      </c>
      <c r="I704" s="14">
        <v>10089.9</v>
      </c>
      <c r="J704" s="12" t="s">
        <v>110</v>
      </c>
      <c r="K704" s="12" t="s">
        <v>105</v>
      </c>
      <c r="L704" s="23" t="str">
        <f>VLOOKUP(D704,Products!$A:$F,3,FALSE)</f>
        <v>Sports</v>
      </c>
      <c r="M704" s="23" t="str">
        <f>VLOOKUP(E704,Sales_Reps!$A:$E,3,FALSE)</f>
        <v>South</v>
      </c>
      <c r="N704" s="23" t="str">
        <f t="shared" si="30"/>
        <v>Apr-24</v>
      </c>
      <c r="O704" s="23" t="str">
        <f t="shared" si="31"/>
        <v>Q2 2024</v>
      </c>
      <c r="P704" s="23">
        <f>VLOOKUP(D704,Products!$A:$F,4,FALSE)</f>
        <v>516</v>
      </c>
      <c r="Q704" s="35">
        <f t="shared" si="32"/>
        <v>0.4891089108910891</v>
      </c>
    </row>
    <row r="705" spans="1:17">
      <c r="A705" s="12" t="s">
        <v>1183</v>
      </c>
      <c r="B705" s="13">
        <v>45406</v>
      </c>
      <c r="C705" s="12" t="s">
        <v>167</v>
      </c>
      <c r="D705" s="12" t="s">
        <v>114</v>
      </c>
      <c r="E705" s="12" t="s">
        <v>205</v>
      </c>
      <c r="F705" s="14">
        <v>3</v>
      </c>
      <c r="G705" s="14">
        <v>470</v>
      </c>
      <c r="H705" s="14">
        <v>1.1000000000000001</v>
      </c>
      <c r="I705" s="14">
        <v>1394.49</v>
      </c>
      <c r="J705" s="12" t="s">
        <v>104</v>
      </c>
      <c r="K705" s="12" t="s">
        <v>105</v>
      </c>
      <c r="L705" s="23" t="str">
        <f>VLOOKUP(D705,Products!$A:$F,3,FALSE)</f>
        <v>Sports</v>
      </c>
      <c r="M705" s="23" t="str">
        <f>VLOOKUP(E705,Sales_Reps!$A:$E,3,FALSE)</f>
        <v>South</v>
      </c>
      <c r="N705" s="23" t="str">
        <f t="shared" si="30"/>
        <v>Apr-24</v>
      </c>
      <c r="O705" s="23" t="str">
        <f t="shared" si="31"/>
        <v>Q2 2024</v>
      </c>
      <c r="P705" s="23">
        <f>VLOOKUP(D705,Products!$A:$F,4,FALSE)</f>
        <v>302</v>
      </c>
      <c r="Q705" s="35">
        <f t="shared" si="32"/>
        <v>0.35744680851063831</v>
      </c>
    </row>
    <row r="706" spans="1:17">
      <c r="A706" s="12" t="s">
        <v>1184</v>
      </c>
      <c r="B706" s="13">
        <v>45474</v>
      </c>
      <c r="C706" s="12" t="s">
        <v>731</v>
      </c>
      <c r="D706" s="12" t="s">
        <v>148</v>
      </c>
      <c r="E706" s="12" t="s">
        <v>138</v>
      </c>
      <c r="F706" s="14">
        <v>4</v>
      </c>
      <c r="G706" s="14">
        <v>2270</v>
      </c>
      <c r="H706" s="14">
        <v>17.100000000000001</v>
      </c>
      <c r="I706" s="14">
        <v>7527.32</v>
      </c>
      <c r="J706" s="12" t="s">
        <v>104</v>
      </c>
      <c r="K706" s="12" t="s">
        <v>116</v>
      </c>
      <c r="L706" s="23" t="str">
        <f>VLOOKUP(D706,Products!$A:$F,3,FALSE)</f>
        <v>Grocery</v>
      </c>
      <c r="M706" s="23" t="str">
        <f>VLOOKUP(E706,Sales_Reps!$A:$E,3,FALSE)</f>
        <v>East</v>
      </c>
      <c r="N706" s="23" t="str">
        <f t="shared" si="30"/>
        <v>Jul-24</v>
      </c>
      <c r="O706" s="23" t="str">
        <f t="shared" si="31"/>
        <v>Q3 2024</v>
      </c>
      <c r="P706" s="23">
        <f>VLOOKUP(D706,Products!$A:$F,4,FALSE)</f>
        <v>1203</v>
      </c>
      <c r="Q706" s="35">
        <f t="shared" si="32"/>
        <v>0.47004405286343615</v>
      </c>
    </row>
    <row r="707" spans="1:17">
      <c r="A707" s="12" t="s">
        <v>1185</v>
      </c>
      <c r="B707" s="13">
        <v>45588</v>
      </c>
      <c r="C707" s="12" t="s">
        <v>240</v>
      </c>
      <c r="D707" s="12" t="s">
        <v>217</v>
      </c>
      <c r="E707" s="12" t="s">
        <v>149</v>
      </c>
      <c r="F707" s="14">
        <v>7</v>
      </c>
      <c r="G707" s="14">
        <v>2760</v>
      </c>
      <c r="H707" s="14">
        <v>17.100000000000001</v>
      </c>
      <c r="I707" s="14">
        <v>16016.28</v>
      </c>
      <c r="J707" s="12" t="s">
        <v>104</v>
      </c>
      <c r="K707" s="12" t="s">
        <v>116</v>
      </c>
      <c r="L707" s="23" t="str">
        <f>VLOOKUP(D707,Products!$A:$F,3,FALSE)</f>
        <v>Grocery</v>
      </c>
      <c r="M707" s="23" t="str">
        <f>VLOOKUP(E707,Sales_Reps!$A:$E,3,FALSE)</f>
        <v>South</v>
      </c>
      <c r="N707" s="23" t="str">
        <f t="shared" ref="N707:N770" si="33">TEXT(B707, "mmm-yy")</f>
        <v>Oct-24</v>
      </c>
      <c r="O707" s="23" t="str">
        <f t="shared" ref="O707:O770" si="34">"Q" &amp; INT((MONTH(B707)-1)/3)+1 &amp; " " &amp; YEAR(B707)</f>
        <v>Q4 2024</v>
      </c>
      <c r="P707" s="23">
        <f>VLOOKUP(D707,Products!$A:$F,4,FALSE)</f>
        <v>1435</v>
      </c>
      <c r="Q707" s="35">
        <f t="shared" ref="Q707:Q770" si="35">(G707 - P707) / G707</f>
        <v>0.48007246376811596</v>
      </c>
    </row>
    <row r="708" spans="1:17">
      <c r="A708" s="12" t="s">
        <v>1186</v>
      </c>
      <c r="B708" s="13">
        <v>45530</v>
      </c>
      <c r="C708" s="12" t="s">
        <v>1064</v>
      </c>
      <c r="D708" s="12" t="s">
        <v>178</v>
      </c>
      <c r="E708" s="12" t="s">
        <v>124</v>
      </c>
      <c r="F708" s="14">
        <v>6</v>
      </c>
      <c r="G708" s="14">
        <v>3450</v>
      </c>
      <c r="H708" s="14">
        <v>6.6</v>
      </c>
      <c r="I708" s="14">
        <v>19333.8</v>
      </c>
      <c r="J708" s="12" t="s">
        <v>161</v>
      </c>
      <c r="K708" s="12" t="s">
        <v>150</v>
      </c>
      <c r="L708" s="23" t="str">
        <f>VLOOKUP(D708,Products!$A:$F,3,FALSE)</f>
        <v>Sports</v>
      </c>
      <c r="M708" s="23" t="str">
        <f>VLOOKUP(E708,Sales_Reps!$A:$E,3,FALSE)</f>
        <v>North</v>
      </c>
      <c r="N708" s="23" t="str">
        <f t="shared" si="33"/>
        <v>Aug-24</v>
      </c>
      <c r="O708" s="23" t="str">
        <f t="shared" si="34"/>
        <v>Q3 2024</v>
      </c>
      <c r="P708" s="23">
        <f>VLOOKUP(D708,Products!$A:$F,4,FALSE)</f>
        <v>2467</v>
      </c>
      <c r="Q708" s="35">
        <f t="shared" si="35"/>
        <v>0.28492753623188405</v>
      </c>
    </row>
    <row r="709" spans="1:17">
      <c r="A709" s="12" t="s">
        <v>1187</v>
      </c>
      <c r="B709" s="13">
        <v>45630</v>
      </c>
      <c r="C709" s="12" t="s">
        <v>609</v>
      </c>
      <c r="D709" s="12" t="s">
        <v>119</v>
      </c>
      <c r="E709" s="12" t="s">
        <v>103</v>
      </c>
      <c r="F709" s="14">
        <v>8</v>
      </c>
      <c r="G709" s="14">
        <v>3660</v>
      </c>
      <c r="H709" s="14">
        <v>7.2</v>
      </c>
      <c r="I709" s="14">
        <v>27171.84</v>
      </c>
      <c r="J709" s="12" t="s">
        <v>104</v>
      </c>
      <c r="K709" s="12" t="s">
        <v>150</v>
      </c>
      <c r="L709" s="23" t="str">
        <f>VLOOKUP(D709,Products!$A:$F,3,FALSE)</f>
        <v>Grocery</v>
      </c>
      <c r="M709" s="23" t="str">
        <f>VLOOKUP(E709,Sales_Reps!$A:$E,3,FALSE)</f>
        <v>North</v>
      </c>
      <c r="N709" s="23" t="str">
        <f t="shared" si="33"/>
        <v>Dec-24</v>
      </c>
      <c r="O709" s="23" t="str">
        <f t="shared" si="34"/>
        <v>Q4 2024</v>
      </c>
      <c r="P709" s="23">
        <f>VLOOKUP(D709,Products!$A:$F,4,FALSE)</f>
        <v>2214</v>
      </c>
      <c r="Q709" s="35">
        <f t="shared" si="35"/>
        <v>0.39508196721311473</v>
      </c>
    </row>
    <row r="710" spans="1:17">
      <c r="A710" s="12" t="s">
        <v>1188</v>
      </c>
      <c r="B710" s="13">
        <v>45551</v>
      </c>
      <c r="C710" s="12" t="s">
        <v>1189</v>
      </c>
      <c r="D710" s="12" t="s">
        <v>284</v>
      </c>
      <c r="E710" s="12" t="s">
        <v>187</v>
      </c>
      <c r="F710" s="14">
        <v>4</v>
      </c>
      <c r="G710" s="14">
        <v>1220</v>
      </c>
      <c r="H710" s="14">
        <v>24.3</v>
      </c>
      <c r="I710" s="14">
        <v>3694.16</v>
      </c>
      <c r="J710" s="12" t="s">
        <v>157</v>
      </c>
      <c r="K710" s="12" t="s">
        <v>105</v>
      </c>
      <c r="L710" s="23" t="str">
        <f>VLOOKUP(D710,Products!$A:$F,3,FALSE)</f>
        <v>Electronics</v>
      </c>
      <c r="M710" s="23" t="str">
        <f>VLOOKUP(E710,Sales_Reps!$A:$E,3,FALSE)</f>
        <v>West</v>
      </c>
      <c r="N710" s="23" t="str">
        <f t="shared" si="33"/>
        <v>Sep-24</v>
      </c>
      <c r="O710" s="23" t="str">
        <f t="shared" si="34"/>
        <v>Q3 2024</v>
      </c>
      <c r="P710" s="23">
        <f>VLOOKUP(D710,Products!$A:$F,4,FALSE)</f>
        <v>517</v>
      </c>
      <c r="Q710" s="35">
        <f t="shared" si="35"/>
        <v>0.57622950819672136</v>
      </c>
    </row>
    <row r="711" spans="1:17">
      <c r="A711" s="12" t="s">
        <v>1190</v>
      </c>
      <c r="B711" s="13">
        <v>45610</v>
      </c>
      <c r="C711" s="12" t="s">
        <v>900</v>
      </c>
      <c r="D711" s="12" t="s">
        <v>377</v>
      </c>
      <c r="E711" s="12" t="s">
        <v>103</v>
      </c>
      <c r="F711" s="14">
        <v>2</v>
      </c>
      <c r="G711" s="14">
        <v>5410</v>
      </c>
      <c r="H711" s="14">
        <v>0.9</v>
      </c>
      <c r="I711" s="14">
        <v>10722.62</v>
      </c>
      <c r="J711" s="12" t="s">
        <v>110</v>
      </c>
      <c r="K711" s="12" t="s">
        <v>150</v>
      </c>
      <c r="L711" s="23" t="str">
        <f>VLOOKUP(D711,Products!$A:$F,3,FALSE)</f>
        <v>Sports</v>
      </c>
      <c r="M711" s="23" t="str">
        <f>VLOOKUP(E711,Sales_Reps!$A:$E,3,FALSE)</f>
        <v>North</v>
      </c>
      <c r="N711" s="23" t="str">
        <f t="shared" si="33"/>
        <v>Nov-24</v>
      </c>
      <c r="O711" s="23" t="str">
        <f t="shared" si="34"/>
        <v>Q4 2024</v>
      </c>
      <c r="P711" s="23">
        <f>VLOOKUP(D711,Products!$A:$F,4,FALSE)</f>
        <v>2265</v>
      </c>
      <c r="Q711" s="35">
        <f t="shared" si="35"/>
        <v>0.58133086876155271</v>
      </c>
    </row>
    <row r="712" spans="1:17">
      <c r="A712" s="12" t="s">
        <v>1191</v>
      </c>
      <c r="B712" s="13">
        <v>45322</v>
      </c>
      <c r="C712" s="12" t="s">
        <v>430</v>
      </c>
      <c r="D712" s="12" t="s">
        <v>312</v>
      </c>
      <c r="E712" s="12" t="s">
        <v>221</v>
      </c>
      <c r="F712" s="14">
        <v>5</v>
      </c>
      <c r="G712" s="14">
        <v>2030</v>
      </c>
      <c r="H712" s="14">
        <v>25.2</v>
      </c>
      <c r="I712" s="14">
        <v>7592.2</v>
      </c>
      <c r="J712" s="12" t="s">
        <v>104</v>
      </c>
      <c r="K712" s="12" t="s">
        <v>105</v>
      </c>
      <c r="L712" s="23" t="str">
        <f>VLOOKUP(D712,Products!$A:$F,3,FALSE)</f>
        <v>Home</v>
      </c>
      <c r="M712" s="23" t="str">
        <f>VLOOKUP(E712,Sales_Reps!$A:$E,3,FALSE)</f>
        <v>South</v>
      </c>
      <c r="N712" s="23" t="str">
        <f t="shared" si="33"/>
        <v>Jan-24</v>
      </c>
      <c r="O712" s="23" t="str">
        <f t="shared" si="34"/>
        <v>Q1 2024</v>
      </c>
      <c r="P712" s="23">
        <f>VLOOKUP(D712,Products!$A:$F,4,FALSE)</f>
        <v>1143</v>
      </c>
      <c r="Q712" s="35">
        <f t="shared" si="35"/>
        <v>0.43694581280788175</v>
      </c>
    </row>
    <row r="713" spans="1:17">
      <c r="A713" s="12" t="s">
        <v>1192</v>
      </c>
      <c r="B713" s="13">
        <v>45363</v>
      </c>
      <c r="C713" s="12" t="s">
        <v>602</v>
      </c>
      <c r="D713" s="12" t="s">
        <v>284</v>
      </c>
      <c r="E713" s="12" t="s">
        <v>342</v>
      </c>
      <c r="F713" s="14">
        <v>5</v>
      </c>
      <c r="G713" s="14">
        <v>1220</v>
      </c>
      <c r="H713" s="14">
        <v>2.6</v>
      </c>
      <c r="I713" s="14">
        <v>5941.4</v>
      </c>
      <c r="J713" s="12" t="s">
        <v>104</v>
      </c>
      <c r="K713" s="12" t="s">
        <v>111</v>
      </c>
      <c r="L713" s="23" t="str">
        <f>VLOOKUP(D713,Products!$A:$F,3,FALSE)</f>
        <v>Electronics</v>
      </c>
      <c r="M713" s="23" t="str">
        <f>VLOOKUP(E713,Sales_Reps!$A:$E,3,FALSE)</f>
        <v>South</v>
      </c>
      <c r="N713" s="23" t="str">
        <f t="shared" si="33"/>
        <v>Mar-24</v>
      </c>
      <c r="O713" s="23" t="str">
        <f t="shared" si="34"/>
        <v>Q1 2024</v>
      </c>
      <c r="P713" s="23">
        <f>VLOOKUP(D713,Products!$A:$F,4,FALSE)</f>
        <v>517</v>
      </c>
      <c r="Q713" s="35">
        <f t="shared" si="35"/>
        <v>0.57622950819672136</v>
      </c>
    </row>
    <row r="714" spans="1:17">
      <c r="A714" s="12" t="s">
        <v>1193</v>
      </c>
      <c r="B714" s="13">
        <v>45600</v>
      </c>
      <c r="C714" s="12" t="s">
        <v>541</v>
      </c>
      <c r="D714" s="12" t="s">
        <v>296</v>
      </c>
      <c r="E714" s="12" t="s">
        <v>120</v>
      </c>
      <c r="F714" s="14">
        <v>4</v>
      </c>
      <c r="G714" s="14">
        <v>2660</v>
      </c>
      <c r="H714" s="14">
        <v>19.100000000000001</v>
      </c>
      <c r="I714" s="14">
        <v>8607.76</v>
      </c>
      <c r="J714" s="12" t="s">
        <v>161</v>
      </c>
      <c r="K714" s="12" t="s">
        <v>129</v>
      </c>
      <c r="L714" s="23" t="str">
        <f>VLOOKUP(D714,Products!$A:$F,3,FALSE)</f>
        <v>Electronics</v>
      </c>
      <c r="M714" s="23" t="str">
        <f>VLOOKUP(E714,Sales_Reps!$A:$E,3,FALSE)</f>
        <v>North</v>
      </c>
      <c r="N714" s="23" t="str">
        <f t="shared" si="33"/>
        <v>Nov-24</v>
      </c>
      <c r="O714" s="23" t="str">
        <f t="shared" si="34"/>
        <v>Q4 2024</v>
      </c>
      <c r="P714" s="23">
        <f>VLOOKUP(D714,Products!$A:$F,4,FALSE)</f>
        <v>1259</v>
      </c>
      <c r="Q714" s="35">
        <f t="shared" si="35"/>
        <v>0.52669172932330832</v>
      </c>
    </row>
    <row r="715" spans="1:17">
      <c r="A715" s="12" t="s">
        <v>1194</v>
      </c>
      <c r="B715" s="13">
        <v>45351</v>
      </c>
      <c r="C715" s="12" t="s">
        <v>627</v>
      </c>
      <c r="D715" s="12" t="s">
        <v>281</v>
      </c>
      <c r="E715" s="12" t="s">
        <v>363</v>
      </c>
      <c r="F715" s="14">
        <v>3</v>
      </c>
      <c r="G715" s="14">
        <v>4070</v>
      </c>
      <c r="H715" s="14">
        <v>25.2</v>
      </c>
      <c r="I715" s="14">
        <v>9133.08</v>
      </c>
      <c r="J715" s="12" t="s">
        <v>104</v>
      </c>
      <c r="K715" s="12" t="s">
        <v>134</v>
      </c>
      <c r="L715" s="23" t="str">
        <f>VLOOKUP(D715,Products!$A:$F,3,FALSE)</f>
        <v>Grocery</v>
      </c>
      <c r="M715" s="23" t="str">
        <f>VLOOKUP(E715,Sales_Reps!$A:$E,3,FALSE)</f>
        <v>South</v>
      </c>
      <c r="N715" s="23" t="str">
        <f t="shared" si="33"/>
        <v>Feb-24</v>
      </c>
      <c r="O715" s="23" t="str">
        <f t="shared" si="34"/>
        <v>Q1 2024</v>
      </c>
      <c r="P715" s="23">
        <f>VLOOKUP(D715,Products!$A:$F,4,FALSE)</f>
        <v>2027</v>
      </c>
      <c r="Q715" s="35">
        <f t="shared" si="35"/>
        <v>0.50196560196560192</v>
      </c>
    </row>
    <row r="716" spans="1:17">
      <c r="A716" s="12" t="s">
        <v>1195</v>
      </c>
      <c r="B716" s="13">
        <v>45461</v>
      </c>
      <c r="C716" s="12" t="s">
        <v>686</v>
      </c>
      <c r="D716" s="12" t="s">
        <v>397</v>
      </c>
      <c r="E716" s="12" t="s">
        <v>115</v>
      </c>
      <c r="F716" s="14">
        <v>10</v>
      </c>
      <c r="G716" s="14">
        <v>960</v>
      </c>
      <c r="H716" s="14">
        <v>0.3</v>
      </c>
      <c r="I716" s="14">
        <v>9571.2000000000007</v>
      </c>
      <c r="J716" s="12" t="s">
        <v>104</v>
      </c>
      <c r="K716" s="12" t="s">
        <v>150</v>
      </c>
      <c r="L716" s="23" t="str">
        <f>VLOOKUP(D716,Products!$A:$F,3,FALSE)</f>
        <v>Beauty</v>
      </c>
      <c r="M716" s="23" t="str">
        <f>VLOOKUP(E716,Sales_Reps!$A:$E,3,FALSE)</f>
        <v>South</v>
      </c>
      <c r="N716" s="23" t="str">
        <f t="shared" si="33"/>
        <v>Jun-24</v>
      </c>
      <c r="O716" s="23" t="str">
        <f t="shared" si="34"/>
        <v>Q2 2024</v>
      </c>
      <c r="P716" s="23">
        <f>VLOOKUP(D716,Products!$A:$F,4,FALSE)</f>
        <v>675</v>
      </c>
      <c r="Q716" s="35">
        <f t="shared" si="35"/>
        <v>0.296875</v>
      </c>
    </row>
    <row r="717" spans="1:17">
      <c r="A717" s="12" t="s">
        <v>1196</v>
      </c>
      <c r="B717" s="13">
        <v>45431</v>
      </c>
      <c r="C717" s="12" t="s">
        <v>1197</v>
      </c>
      <c r="D717" s="12" t="s">
        <v>243</v>
      </c>
      <c r="E717" s="12" t="s">
        <v>246</v>
      </c>
      <c r="F717" s="14">
        <v>2</v>
      </c>
      <c r="G717" s="14">
        <v>3730</v>
      </c>
      <c r="H717" s="14">
        <v>29.9</v>
      </c>
      <c r="I717" s="14">
        <v>5229.46</v>
      </c>
      <c r="J717" s="12" t="s">
        <v>104</v>
      </c>
      <c r="K717" s="12" t="s">
        <v>111</v>
      </c>
      <c r="L717" s="23" t="str">
        <f>VLOOKUP(D717,Products!$A:$F,3,FALSE)</f>
        <v>Home</v>
      </c>
      <c r="M717" s="23" t="str">
        <f>VLOOKUP(E717,Sales_Reps!$A:$E,3,FALSE)</f>
        <v>West</v>
      </c>
      <c r="N717" s="23" t="str">
        <f t="shared" si="33"/>
        <v>May-24</v>
      </c>
      <c r="O717" s="23" t="str">
        <f t="shared" si="34"/>
        <v>Q2 2024</v>
      </c>
      <c r="P717" s="23">
        <f>VLOOKUP(D717,Products!$A:$F,4,FALSE)</f>
        <v>2135</v>
      </c>
      <c r="Q717" s="35">
        <f t="shared" si="35"/>
        <v>0.42761394101876676</v>
      </c>
    </row>
    <row r="718" spans="1:17">
      <c r="A718" s="12" t="s">
        <v>1198</v>
      </c>
      <c r="B718" s="13">
        <v>45592</v>
      </c>
      <c r="C718" s="12" t="s">
        <v>386</v>
      </c>
      <c r="D718" s="12" t="s">
        <v>132</v>
      </c>
      <c r="E718" s="12" t="s">
        <v>156</v>
      </c>
      <c r="F718" s="14">
        <v>9</v>
      </c>
      <c r="G718" s="14">
        <v>960</v>
      </c>
      <c r="H718" s="14">
        <v>1.9</v>
      </c>
      <c r="I718" s="14">
        <v>8475.84</v>
      </c>
      <c r="J718" s="12" t="s">
        <v>104</v>
      </c>
      <c r="K718" s="12" t="s">
        <v>111</v>
      </c>
      <c r="L718" s="23" t="str">
        <f>VLOOKUP(D718,Products!$A:$F,3,FALSE)</f>
        <v>Sports</v>
      </c>
      <c r="M718" s="23" t="str">
        <f>VLOOKUP(E718,Sales_Reps!$A:$E,3,FALSE)</f>
        <v>North</v>
      </c>
      <c r="N718" s="23" t="str">
        <f t="shared" si="33"/>
        <v>Oct-24</v>
      </c>
      <c r="O718" s="23" t="str">
        <f t="shared" si="34"/>
        <v>Q4 2024</v>
      </c>
      <c r="P718" s="23">
        <f>VLOOKUP(D718,Products!$A:$F,4,FALSE)</f>
        <v>705</v>
      </c>
      <c r="Q718" s="35">
        <f t="shared" si="35"/>
        <v>0.265625</v>
      </c>
    </row>
    <row r="719" spans="1:17">
      <c r="A719" s="12" t="s">
        <v>1199</v>
      </c>
      <c r="B719" s="13">
        <v>45454</v>
      </c>
      <c r="C719" s="12" t="s">
        <v>163</v>
      </c>
      <c r="D719" s="12" t="s">
        <v>469</v>
      </c>
      <c r="E719" s="12" t="s">
        <v>156</v>
      </c>
      <c r="F719" s="14">
        <v>2</v>
      </c>
      <c r="G719" s="14">
        <v>3450</v>
      </c>
      <c r="H719" s="14">
        <v>22.9</v>
      </c>
      <c r="I719" s="14">
        <v>5319.9</v>
      </c>
      <c r="J719" s="12" t="s">
        <v>110</v>
      </c>
      <c r="K719" s="12" t="s">
        <v>105</v>
      </c>
      <c r="L719" s="23" t="str">
        <f>VLOOKUP(D719,Products!$A:$F,3,FALSE)</f>
        <v>Apparel</v>
      </c>
      <c r="M719" s="23" t="str">
        <f>VLOOKUP(E719,Sales_Reps!$A:$E,3,FALSE)</f>
        <v>North</v>
      </c>
      <c r="N719" s="23" t="str">
        <f t="shared" si="33"/>
        <v>Jun-24</v>
      </c>
      <c r="O719" s="23" t="str">
        <f t="shared" si="34"/>
        <v>Q2 2024</v>
      </c>
      <c r="P719" s="23">
        <f>VLOOKUP(D719,Products!$A:$F,4,FALSE)</f>
        <v>1748</v>
      </c>
      <c r="Q719" s="35">
        <f t="shared" si="35"/>
        <v>0.49333333333333335</v>
      </c>
    </row>
    <row r="720" spans="1:17">
      <c r="A720" s="12" t="s">
        <v>1200</v>
      </c>
      <c r="B720" s="13">
        <v>45616</v>
      </c>
      <c r="C720" s="12" t="s">
        <v>858</v>
      </c>
      <c r="D720" s="12" t="s">
        <v>377</v>
      </c>
      <c r="E720" s="12" t="s">
        <v>149</v>
      </c>
      <c r="F720" s="14">
        <v>3</v>
      </c>
      <c r="G720" s="14">
        <v>5410</v>
      </c>
      <c r="H720" s="14">
        <v>15.5</v>
      </c>
      <c r="I720" s="14">
        <v>13714.35</v>
      </c>
      <c r="J720" s="12" t="s">
        <v>104</v>
      </c>
      <c r="K720" s="12" t="s">
        <v>134</v>
      </c>
      <c r="L720" s="23" t="str">
        <f>VLOOKUP(D720,Products!$A:$F,3,FALSE)</f>
        <v>Sports</v>
      </c>
      <c r="M720" s="23" t="str">
        <f>VLOOKUP(E720,Sales_Reps!$A:$E,3,FALSE)</f>
        <v>South</v>
      </c>
      <c r="N720" s="23" t="str">
        <f t="shared" si="33"/>
        <v>Nov-24</v>
      </c>
      <c r="O720" s="23" t="str">
        <f t="shared" si="34"/>
        <v>Q4 2024</v>
      </c>
      <c r="P720" s="23">
        <f>VLOOKUP(D720,Products!$A:$F,4,FALSE)</f>
        <v>2265</v>
      </c>
      <c r="Q720" s="35">
        <f t="shared" si="35"/>
        <v>0.58133086876155271</v>
      </c>
    </row>
    <row r="721" spans="1:17">
      <c r="A721" s="12" t="s">
        <v>1201</v>
      </c>
      <c r="B721" s="13">
        <v>45448</v>
      </c>
      <c r="C721" s="12" t="s">
        <v>518</v>
      </c>
      <c r="D721" s="12" t="s">
        <v>196</v>
      </c>
      <c r="E721" s="12" t="s">
        <v>138</v>
      </c>
      <c r="F721" s="14">
        <v>8</v>
      </c>
      <c r="G721" s="14">
        <v>3350</v>
      </c>
      <c r="H721" s="14">
        <v>18.399999999999999</v>
      </c>
      <c r="I721" s="14">
        <v>21868.799999999999</v>
      </c>
      <c r="J721" s="12" t="s">
        <v>104</v>
      </c>
      <c r="K721" s="12" t="s">
        <v>150</v>
      </c>
      <c r="L721" s="23" t="str">
        <f>VLOOKUP(D721,Products!$A:$F,3,FALSE)</f>
        <v>Beauty</v>
      </c>
      <c r="M721" s="23" t="str">
        <f>VLOOKUP(E721,Sales_Reps!$A:$E,3,FALSE)</f>
        <v>East</v>
      </c>
      <c r="N721" s="23" t="str">
        <f t="shared" si="33"/>
        <v>Jun-24</v>
      </c>
      <c r="O721" s="23" t="str">
        <f t="shared" si="34"/>
        <v>Q2 2024</v>
      </c>
      <c r="P721" s="23">
        <f>VLOOKUP(D721,Products!$A:$F,4,FALSE)</f>
        <v>1728</v>
      </c>
      <c r="Q721" s="35">
        <f t="shared" si="35"/>
        <v>0.48417910447761192</v>
      </c>
    </row>
    <row r="722" spans="1:17">
      <c r="A722" s="12" t="s">
        <v>1202</v>
      </c>
      <c r="B722" s="13">
        <v>45611</v>
      </c>
      <c r="C722" s="12" t="s">
        <v>240</v>
      </c>
      <c r="D722" s="12" t="s">
        <v>190</v>
      </c>
      <c r="E722" s="12" t="s">
        <v>124</v>
      </c>
      <c r="F722" s="14">
        <v>5</v>
      </c>
      <c r="G722" s="14">
        <v>2720</v>
      </c>
      <c r="H722" s="14">
        <v>17.3</v>
      </c>
      <c r="I722" s="14">
        <v>11247.2</v>
      </c>
      <c r="J722" s="12" t="s">
        <v>157</v>
      </c>
      <c r="K722" s="12" t="s">
        <v>116</v>
      </c>
      <c r="L722" s="23" t="str">
        <f>VLOOKUP(D722,Products!$A:$F,3,FALSE)</f>
        <v>Apparel</v>
      </c>
      <c r="M722" s="23" t="str">
        <f>VLOOKUP(E722,Sales_Reps!$A:$E,3,FALSE)</f>
        <v>North</v>
      </c>
      <c r="N722" s="23" t="str">
        <f t="shared" si="33"/>
        <v>Nov-24</v>
      </c>
      <c r="O722" s="23" t="str">
        <f t="shared" si="34"/>
        <v>Q4 2024</v>
      </c>
      <c r="P722" s="23">
        <f>VLOOKUP(D722,Products!$A:$F,4,FALSE)</f>
        <v>1962</v>
      </c>
      <c r="Q722" s="35">
        <f t="shared" si="35"/>
        <v>0.2786764705882353</v>
      </c>
    </row>
    <row r="723" spans="1:17">
      <c r="A723" s="12" t="s">
        <v>1203</v>
      </c>
      <c r="B723" s="13">
        <v>45403</v>
      </c>
      <c r="C723" s="12" t="s">
        <v>131</v>
      </c>
      <c r="D723" s="12" t="s">
        <v>119</v>
      </c>
      <c r="E723" s="12" t="s">
        <v>255</v>
      </c>
      <c r="F723" s="14">
        <v>8</v>
      </c>
      <c r="G723" s="14">
        <v>3660</v>
      </c>
      <c r="H723" s="14">
        <v>28.8</v>
      </c>
      <c r="I723" s="14">
        <v>20847.36</v>
      </c>
      <c r="J723" s="12" t="s">
        <v>104</v>
      </c>
      <c r="K723" s="12" t="s">
        <v>134</v>
      </c>
      <c r="L723" s="23" t="str">
        <f>VLOOKUP(D723,Products!$A:$F,3,FALSE)</f>
        <v>Grocery</v>
      </c>
      <c r="M723" s="23" t="str">
        <f>VLOOKUP(E723,Sales_Reps!$A:$E,3,FALSE)</f>
        <v>East</v>
      </c>
      <c r="N723" s="23" t="str">
        <f t="shared" si="33"/>
        <v>Apr-24</v>
      </c>
      <c r="O723" s="23" t="str">
        <f t="shared" si="34"/>
        <v>Q2 2024</v>
      </c>
      <c r="P723" s="23">
        <f>VLOOKUP(D723,Products!$A:$F,4,FALSE)</f>
        <v>2214</v>
      </c>
      <c r="Q723" s="35">
        <f t="shared" si="35"/>
        <v>0.39508196721311473</v>
      </c>
    </row>
    <row r="724" spans="1:17">
      <c r="A724" s="12" t="s">
        <v>1204</v>
      </c>
      <c r="B724" s="13">
        <v>45530</v>
      </c>
      <c r="C724" s="12" t="s">
        <v>599</v>
      </c>
      <c r="D724" s="12" t="s">
        <v>299</v>
      </c>
      <c r="E724" s="12" t="s">
        <v>269</v>
      </c>
      <c r="F724" s="14">
        <v>6</v>
      </c>
      <c r="G724" s="14">
        <v>300</v>
      </c>
      <c r="H724" s="14">
        <v>23.9</v>
      </c>
      <c r="I724" s="14">
        <v>1369.8</v>
      </c>
      <c r="J724" s="12" t="s">
        <v>157</v>
      </c>
      <c r="K724" s="12" t="s">
        <v>111</v>
      </c>
      <c r="L724" s="23" t="str">
        <f>VLOOKUP(D724,Products!$A:$F,3,FALSE)</f>
        <v>Electronics</v>
      </c>
      <c r="M724" s="23" t="str">
        <f>VLOOKUP(E724,Sales_Reps!$A:$E,3,FALSE)</f>
        <v>South</v>
      </c>
      <c r="N724" s="23" t="str">
        <f t="shared" si="33"/>
        <v>Aug-24</v>
      </c>
      <c r="O724" s="23" t="str">
        <f t="shared" si="34"/>
        <v>Q3 2024</v>
      </c>
      <c r="P724" s="23">
        <f>VLOOKUP(D724,Products!$A:$F,4,FALSE)</f>
        <v>128</v>
      </c>
      <c r="Q724" s="35">
        <f t="shared" si="35"/>
        <v>0.57333333333333336</v>
      </c>
    </row>
    <row r="725" spans="1:17">
      <c r="A725" s="12" t="s">
        <v>1205</v>
      </c>
      <c r="B725" s="13">
        <v>45548</v>
      </c>
      <c r="C725" s="12" t="s">
        <v>261</v>
      </c>
      <c r="D725" s="12" t="s">
        <v>403</v>
      </c>
      <c r="E725" s="12" t="s">
        <v>218</v>
      </c>
      <c r="F725" s="14">
        <v>3</v>
      </c>
      <c r="G725" s="14">
        <v>2290</v>
      </c>
      <c r="H725" s="14">
        <v>2.4</v>
      </c>
      <c r="I725" s="14">
        <v>6705.12</v>
      </c>
      <c r="J725" s="12" t="s">
        <v>104</v>
      </c>
      <c r="K725" s="12" t="s">
        <v>111</v>
      </c>
      <c r="L725" s="23" t="str">
        <f>VLOOKUP(D725,Products!$A:$F,3,FALSE)</f>
        <v>Beauty</v>
      </c>
      <c r="M725" s="23" t="str">
        <f>VLOOKUP(E725,Sales_Reps!$A:$E,3,FALSE)</f>
        <v>West</v>
      </c>
      <c r="N725" s="23" t="str">
        <f t="shared" si="33"/>
        <v>Sep-24</v>
      </c>
      <c r="O725" s="23" t="str">
        <f t="shared" si="34"/>
        <v>Q3 2024</v>
      </c>
      <c r="P725" s="23">
        <f>VLOOKUP(D725,Products!$A:$F,4,FALSE)</f>
        <v>1219</v>
      </c>
      <c r="Q725" s="35">
        <f t="shared" si="35"/>
        <v>0.46768558951965067</v>
      </c>
    </row>
    <row r="726" spans="1:17">
      <c r="A726" s="12" t="s">
        <v>1206</v>
      </c>
      <c r="B726" s="13">
        <v>45403</v>
      </c>
      <c r="C726" s="12" t="s">
        <v>1003</v>
      </c>
      <c r="D726" s="12" t="s">
        <v>201</v>
      </c>
      <c r="E726" s="12" t="s">
        <v>115</v>
      </c>
      <c r="F726" s="14">
        <v>6</v>
      </c>
      <c r="G726" s="14">
        <v>4880</v>
      </c>
      <c r="H726" s="14">
        <v>11.1</v>
      </c>
      <c r="I726" s="14">
        <v>26029.919999999998</v>
      </c>
      <c r="J726" s="12" t="s">
        <v>110</v>
      </c>
      <c r="K726" s="12" t="s">
        <v>111</v>
      </c>
      <c r="L726" s="23" t="str">
        <f>VLOOKUP(D726,Products!$A:$F,3,FALSE)</f>
        <v>Beauty</v>
      </c>
      <c r="M726" s="23" t="str">
        <f>VLOOKUP(E726,Sales_Reps!$A:$E,3,FALSE)</f>
        <v>South</v>
      </c>
      <c r="N726" s="23" t="str">
        <f t="shared" si="33"/>
        <v>Apr-24</v>
      </c>
      <c r="O726" s="23" t="str">
        <f t="shared" si="34"/>
        <v>Q2 2024</v>
      </c>
      <c r="P726" s="23">
        <f>VLOOKUP(D726,Products!$A:$F,4,FALSE)</f>
        <v>2768</v>
      </c>
      <c r="Q726" s="35">
        <f t="shared" si="35"/>
        <v>0.43278688524590164</v>
      </c>
    </row>
    <row r="727" spans="1:17">
      <c r="A727" s="12" t="s">
        <v>1207</v>
      </c>
      <c r="B727" s="13">
        <v>45562</v>
      </c>
      <c r="C727" s="12" t="s">
        <v>1208</v>
      </c>
      <c r="D727" s="12" t="s">
        <v>299</v>
      </c>
      <c r="E727" s="12" t="s">
        <v>103</v>
      </c>
      <c r="F727" s="14">
        <v>5</v>
      </c>
      <c r="G727" s="14">
        <v>300</v>
      </c>
      <c r="H727" s="14">
        <v>19.399999999999999</v>
      </c>
      <c r="I727" s="14">
        <v>1209</v>
      </c>
      <c r="J727" s="12" t="s">
        <v>104</v>
      </c>
      <c r="K727" s="12" t="s">
        <v>134</v>
      </c>
      <c r="L727" s="23" t="str">
        <f>VLOOKUP(D727,Products!$A:$F,3,FALSE)</f>
        <v>Electronics</v>
      </c>
      <c r="M727" s="23" t="str">
        <f>VLOOKUP(E727,Sales_Reps!$A:$E,3,FALSE)</f>
        <v>North</v>
      </c>
      <c r="N727" s="23" t="str">
        <f t="shared" si="33"/>
        <v>Sep-24</v>
      </c>
      <c r="O727" s="23" t="str">
        <f t="shared" si="34"/>
        <v>Q3 2024</v>
      </c>
      <c r="P727" s="23">
        <f>VLOOKUP(D727,Products!$A:$F,4,FALSE)</f>
        <v>128</v>
      </c>
      <c r="Q727" s="35">
        <f t="shared" si="35"/>
        <v>0.57333333333333336</v>
      </c>
    </row>
    <row r="728" spans="1:17">
      <c r="A728" s="12" t="s">
        <v>1209</v>
      </c>
      <c r="B728" s="13">
        <v>45635</v>
      </c>
      <c r="C728" s="12" t="s">
        <v>1210</v>
      </c>
      <c r="D728" s="12" t="s">
        <v>296</v>
      </c>
      <c r="E728" s="12" t="s">
        <v>187</v>
      </c>
      <c r="F728" s="14">
        <v>3</v>
      </c>
      <c r="G728" s="14">
        <v>2660</v>
      </c>
      <c r="H728" s="14">
        <v>28.5</v>
      </c>
      <c r="I728" s="14">
        <v>5705.7</v>
      </c>
      <c r="J728" s="12" t="s">
        <v>110</v>
      </c>
      <c r="K728" s="12" t="s">
        <v>150</v>
      </c>
      <c r="L728" s="23" t="str">
        <f>VLOOKUP(D728,Products!$A:$F,3,FALSE)</f>
        <v>Electronics</v>
      </c>
      <c r="M728" s="23" t="str">
        <f>VLOOKUP(E728,Sales_Reps!$A:$E,3,FALSE)</f>
        <v>West</v>
      </c>
      <c r="N728" s="23" t="str">
        <f t="shared" si="33"/>
        <v>Dec-24</v>
      </c>
      <c r="O728" s="23" t="str">
        <f t="shared" si="34"/>
        <v>Q4 2024</v>
      </c>
      <c r="P728" s="23">
        <f>VLOOKUP(D728,Products!$A:$F,4,FALSE)</f>
        <v>1259</v>
      </c>
      <c r="Q728" s="35">
        <f t="shared" si="35"/>
        <v>0.52669172932330832</v>
      </c>
    </row>
    <row r="729" spans="1:17">
      <c r="A729" s="12" t="s">
        <v>1211</v>
      </c>
      <c r="B729" s="13">
        <v>45434</v>
      </c>
      <c r="C729" s="12" t="s">
        <v>852</v>
      </c>
      <c r="D729" s="12" t="s">
        <v>519</v>
      </c>
      <c r="E729" s="12" t="s">
        <v>133</v>
      </c>
      <c r="F729" s="14">
        <v>7</v>
      </c>
      <c r="G729" s="14">
        <v>1090</v>
      </c>
      <c r="H729" s="14">
        <v>10.3</v>
      </c>
      <c r="I729" s="14">
        <v>6844.11</v>
      </c>
      <c r="J729" s="12" t="s">
        <v>104</v>
      </c>
      <c r="K729" s="12" t="s">
        <v>134</v>
      </c>
      <c r="L729" s="23" t="str">
        <f>VLOOKUP(D729,Products!$A:$F,3,FALSE)</f>
        <v>Home</v>
      </c>
      <c r="M729" s="23" t="str">
        <f>VLOOKUP(E729,Sales_Reps!$A:$E,3,FALSE)</f>
        <v>West</v>
      </c>
      <c r="N729" s="23" t="str">
        <f t="shared" si="33"/>
        <v>May-24</v>
      </c>
      <c r="O729" s="23" t="str">
        <f t="shared" si="34"/>
        <v>Q2 2024</v>
      </c>
      <c r="P729" s="23">
        <f>VLOOKUP(D729,Products!$A:$F,4,FALSE)</f>
        <v>464</v>
      </c>
      <c r="Q729" s="35">
        <f t="shared" si="35"/>
        <v>0.57431192660550456</v>
      </c>
    </row>
    <row r="730" spans="1:17">
      <c r="A730" s="12" t="s">
        <v>1212</v>
      </c>
      <c r="B730" s="13">
        <v>45350</v>
      </c>
      <c r="C730" s="12" t="s">
        <v>504</v>
      </c>
      <c r="D730" s="12" t="s">
        <v>137</v>
      </c>
      <c r="E730" s="12" t="s">
        <v>342</v>
      </c>
      <c r="F730" s="14">
        <v>9</v>
      </c>
      <c r="G730" s="14">
        <v>1430</v>
      </c>
      <c r="H730" s="14">
        <v>12.1</v>
      </c>
      <c r="I730" s="14">
        <v>11312.73</v>
      </c>
      <c r="J730" s="12" t="s">
        <v>157</v>
      </c>
      <c r="K730" s="12" t="s">
        <v>105</v>
      </c>
      <c r="L730" s="23" t="str">
        <f>VLOOKUP(D730,Products!$A:$F,3,FALSE)</f>
        <v>Electronics</v>
      </c>
      <c r="M730" s="23" t="str">
        <f>VLOOKUP(E730,Sales_Reps!$A:$E,3,FALSE)</f>
        <v>South</v>
      </c>
      <c r="N730" s="23" t="str">
        <f t="shared" si="33"/>
        <v>Feb-24</v>
      </c>
      <c r="O730" s="23" t="str">
        <f t="shared" si="34"/>
        <v>Q1 2024</v>
      </c>
      <c r="P730" s="23">
        <f>VLOOKUP(D730,Products!$A:$F,4,FALSE)</f>
        <v>861</v>
      </c>
      <c r="Q730" s="35">
        <f t="shared" si="35"/>
        <v>0.39790209790209791</v>
      </c>
    </row>
    <row r="731" spans="1:17">
      <c r="A731" s="12" t="s">
        <v>1213</v>
      </c>
      <c r="B731" s="13">
        <v>45344</v>
      </c>
      <c r="C731" s="12" t="s">
        <v>242</v>
      </c>
      <c r="D731" s="12" t="s">
        <v>152</v>
      </c>
      <c r="E731" s="12" t="s">
        <v>109</v>
      </c>
      <c r="F731" s="14">
        <v>5</v>
      </c>
      <c r="G731" s="14">
        <v>2640</v>
      </c>
      <c r="H731" s="14">
        <v>26.8</v>
      </c>
      <c r="I731" s="14">
        <v>9662.4</v>
      </c>
      <c r="J731" s="12" t="s">
        <v>104</v>
      </c>
      <c r="K731" s="12" t="s">
        <v>111</v>
      </c>
      <c r="L731" s="23" t="str">
        <f>VLOOKUP(D731,Products!$A:$F,3,FALSE)</f>
        <v>Electronics</v>
      </c>
      <c r="M731" s="23" t="str">
        <f>VLOOKUP(E731,Sales_Reps!$A:$E,3,FALSE)</f>
        <v>North</v>
      </c>
      <c r="N731" s="23" t="str">
        <f t="shared" si="33"/>
        <v>Feb-24</v>
      </c>
      <c r="O731" s="23" t="str">
        <f t="shared" si="34"/>
        <v>Q1 2024</v>
      </c>
      <c r="P731" s="23">
        <f>VLOOKUP(D731,Products!$A:$F,4,FALSE)</f>
        <v>1149</v>
      </c>
      <c r="Q731" s="35">
        <f t="shared" si="35"/>
        <v>0.56477272727272732</v>
      </c>
    </row>
    <row r="732" spans="1:17">
      <c r="A732" s="12" t="s">
        <v>1214</v>
      </c>
      <c r="B732" s="13">
        <v>45498</v>
      </c>
      <c r="C732" s="12" t="s">
        <v>720</v>
      </c>
      <c r="D732" s="12" t="s">
        <v>190</v>
      </c>
      <c r="E732" s="12" t="s">
        <v>232</v>
      </c>
      <c r="F732" s="14">
        <v>8</v>
      </c>
      <c r="G732" s="14">
        <v>2720</v>
      </c>
      <c r="H732" s="14">
        <v>17.5</v>
      </c>
      <c r="I732" s="14">
        <v>17952</v>
      </c>
      <c r="J732" s="12" t="s">
        <v>104</v>
      </c>
      <c r="K732" s="12" t="s">
        <v>105</v>
      </c>
      <c r="L732" s="23" t="str">
        <f>VLOOKUP(D732,Products!$A:$F,3,FALSE)</f>
        <v>Apparel</v>
      </c>
      <c r="M732" s="23" t="str">
        <f>VLOOKUP(E732,Sales_Reps!$A:$E,3,FALSE)</f>
        <v>North</v>
      </c>
      <c r="N732" s="23" t="str">
        <f t="shared" si="33"/>
        <v>Jul-24</v>
      </c>
      <c r="O732" s="23" t="str">
        <f t="shared" si="34"/>
        <v>Q3 2024</v>
      </c>
      <c r="P732" s="23">
        <f>VLOOKUP(D732,Products!$A:$F,4,FALSE)</f>
        <v>1962</v>
      </c>
      <c r="Q732" s="35">
        <f t="shared" si="35"/>
        <v>0.2786764705882353</v>
      </c>
    </row>
    <row r="733" spans="1:17">
      <c r="A733" s="12" t="s">
        <v>1215</v>
      </c>
      <c r="B733" s="13">
        <v>45520</v>
      </c>
      <c r="C733" s="12" t="s">
        <v>499</v>
      </c>
      <c r="D733" s="12" t="s">
        <v>254</v>
      </c>
      <c r="E733" s="12" t="s">
        <v>363</v>
      </c>
      <c r="F733" s="14">
        <v>9</v>
      </c>
      <c r="G733" s="14">
        <v>3640</v>
      </c>
      <c r="H733" s="14">
        <v>3.6</v>
      </c>
      <c r="I733" s="14">
        <v>31580.639999999999</v>
      </c>
      <c r="J733" s="12" t="s">
        <v>104</v>
      </c>
      <c r="K733" s="12" t="s">
        <v>150</v>
      </c>
      <c r="L733" s="23" t="str">
        <f>VLOOKUP(D733,Products!$A:$F,3,FALSE)</f>
        <v>Apparel</v>
      </c>
      <c r="M733" s="23" t="str">
        <f>VLOOKUP(E733,Sales_Reps!$A:$E,3,FALSE)</f>
        <v>South</v>
      </c>
      <c r="N733" s="23" t="str">
        <f t="shared" si="33"/>
        <v>Aug-24</v>
      </c>
      <c r="O733" s="23" t="str">
        <f t="shared" si="34"/>
        <v>Q3 2024</v>
      </c>
      <c r="P733" s="23">
        <f>VLOOKUP(D733,Products!$A:$F,4,FALSE)</f>
        <v>2611</v>
      </c>
      <c r="Q733" s="35">
        <f t="shared" si="35"/>
        <v>0.28269230769230769</v>
      </c>
    </row>
    <row r="734" spans="1:17">
      <c r="A734" s="12" t="s">
        <v>1216</v>
      </c>
      <c r="B734" s="13">
        <v>45554</v>
      </c>
      <c r="C734" s="12" t="s">
        <v>1217</v>
      </c>
      <c r="D734" s="12" t="s">
        <v>258</v>
      </c>
      <c r="E734" s="12" t="s">
        <v>175</v>
      </c>
      <c r="F734" s="14">
        <v>7</v>
      </c>
      <c r="G734" s="14">
        <v>6080</v>
      </c>
      <c r="H734" s="14">
        <v>23.6</v>
      </c>
      <c r="I734" s="14">
        <v>32515.84</v>
      </c>
      <c r="J734" s="12" t="s">
        <v>104</v>
      </c>
      <c r="K734" s="12" t="s">
        <v>129</v>
      </c>
      <c r="L734" s="23" t="str">
        <f>VLOOKUP(D734,Products!$A:$F,3,FALSE)</f>
        <v>Beauty</v>
      </c>
      <c r="M734" s="23" t="str">
        <f>VLOOKUP(E734,Sales_Reps!$A:$E,3,FALSE)</f>
        <v>East</v>
      </c>
      <c r="N734" s="23" t="str">
        <f t="shared" si="33"/>
        <v>Sep-24</v>
      </c>
      <c r="O734" s="23" t="str">
        <f t="shared" si="34"/>
        <v>Q3 2024</v>
      </c>
      <c r="P734" s="23">
        <f>VLOOKUP(D734,Products!$A:$F,4,FALSE)</f>
        <v>2617</v>
      </c>
      <c r="Q734" s="35">
        <f t="shared" si="35"/>
        <v>0.56957236842105263</v>
      </c>
    </row>
    <row r="735" spans="1:17">
      <c r="A735" s="12" t="s">
        <v>1218</v>
      </c>
      <c r="B735" s="13">
        <v>45584</v>
      </c>
      <c r="C735" s="12" t="s">
        <v>679</v>
      </c>
      <c r="D735" s="12" t="s">
        <v>381</v>
      </c>
      <c r="E735" s="12" t="s">
        <v>205</v>
      </c>
      <c r="F735" s="14">
        <v>7</v>
      </c>
      <c r="G735" s="14">
        <v>5330</v>
      </c>
      <c r="H735" s="14">
        <v>19.7</v>
      </c>
      <c r="I735" s="14">
        <v>29959.93</v>
      </c>
      <c r="J735" s="12" t="s">
        <v>157</v>
      </c>
      <c r="K735" s="12" t="s">
        <v>111</v>
      </c>
      <c r="L735" s="23" t="str">
        <f>VLOOKUP(D735,Products!$A:$F,3,FALSE)</f>
        <v>Electronics</v>
      </c>
      <c r="M735" s="23" t="str">
        <f>VLOOKUP(E735,Sales_Reps!$A:$E,3,FALSE)</f>
        <v>South</v>
      </c>
      <c r="N735" s="23" t="str">
        <f t="shared" si="33"/>
        <v>Oct-24</v>
      </c>
      <c r="O735" s="23" t="str">
        <f t="shared" si="34"/>
        <v>Q4 2024</v>
      </c>
      <c r="P735" s="23">
        <f>VLOOKUP(D735,Products!$A:$F,4,FALSE)</f>
        <v>2405</v>
      </c>
      <c r="Q735" s="35">
        <f t="shared" si="35"/>
        <v>0.54878048780487809</v>
      </c>
    </row>
    <row r="736" spans="1:17">
      <c r="A736" s="12" t="s">
        <v>1219</v>
      </c>
      <c r="B736" s="13">
        <v>45593</v>
      </c>
      <c r="C736" s="12" t="s">
        <v>529</v>
      </c>
      <c r="D736" s="12" t="s">
        <v>287</v>
      </c>
      <c r="E736" s="12" t="s">
        <v>133</v>
      </c>
      <c r="F736" s="14">
        <v>5</v>
      </c>
      <c r="G736" s="14">
        <v>4610</v>
      </c>
      <c r="H736" s="14">
        <v>3.6</v>
      </c>
      <c r="I736" s="14">
        <v>22220.2</v>
      </c>
      <c r="J736" s="12" t="s">
        <v>104</v>
      </c>
      <c r="K736" s="12" t="s">
        <v>150</v>
      </c>
      <c r="L736" s="23" t="str">
        <f>VLOOKUP(D736,Products!$A:$F,3,FALSE)</f>
        <v>Home</v>
      </c>
      <c r="M736" s="23" t="str">
        <f>VLOOKUP(E736,Sales_Reps!$A:$E,3,FALSE)</f>
        <v>West</v>
      </c>
      <c r="N736" s="23" t="str">
        <f t="shared" si="33"/>
        <v>Oct-24</v>
      </c>
      <c r="O736" s="23" t="str">
        <f t="shared" si="34"/>
        <v>Q4 2024</v>
      </c>
      <c r="P736" s="23">
        <f>VLOOKUP(D736,Products!$A:$F,4,FALSE)</f>
        <v>1850</v>
      </c>
      <c r="Q736" s="35">
        <f t="shared" si="35"/>
        <v>0.59869848156182215</v>
      </c>
    </row>
    <row r="737" spans="1:17">
      <c r="A737" s="12" t="s">
        <v>1220</v>
      </c>
      <c r="B737" s="13">
        <v>45302</v>
      </c>
      <c r="C737" s="12" t="s">
        <v>824</v>
      </c>
      <c r="D737" s="12" t="s">
        <v>381</v>
      </c>
      <c r="E737" s="12" t="s">
        <v>187</v>
      </c>
      <c r="F737" s="14">
        <v>9</v>
      </c>
      <c r="G737" s="14">
        <v>5330</v>
      </c>
      <c r="H737" s="14">
        <v>22.9</v>
      </c>
      <c r="I737" s="14">
        <v>36984.870000000003</v>
      </c>
      <c r="J737" s="12" t="s">
        <v>104</v>
      </c>
      <c r="K737" s="12" t="s">
        <v>105</v>
      </c>
      <c r="L737" s="23" t="str">
        <f>VLOOKUP(D737,Products!$A:$F,3,FALSE)</f>
        <v>Electronics</v>
      </c>
      <c r="M737" s="23" t="str">
        <f>VLOOKUP(E737,Sales_Reps!$A:$E,3,FALSE)</f>
        <v>West</v>
      </c>
      <c r="N737" s="23" t="str">
        <f t="shared" si="33"/>
        <v>Jan-24</v>
      </c>
      <c r="O737" s="23" t="str">
        <f t="shared" si="34"/>
        <v>Q1 2024</v>
      </c>
      <c r="P737" s="23">
        <f>VLOOKUP(D737,Products!$A:$F,4,FALSE)</f>
        <v>2405</v>
      </c>
      <c r="Q737" s="35">
        <f t="shared" si="35"/>
        <v>0.54878048780487809</v>
      </c>
    </row>
    <row r="738" spans="1:17">
      <c r="A738" s="12" t="s">
        <v>1221</v>
      </c>
      <c r="B738" s="13">
        <v>45440</v>
      </c>
      <c r="C738" s="12" t="s">
        <v>502</v>
      </c>
      <c r="D738" s="12" t="s">
        <v>258</v>
      </c>
      <c r="E738" s="12" t="s">
        <v>320</v>
      </c>
      <c r="F738" s="14">
        <v>5</v>
      </c>
      <c r="G738" s="14">
        <v>6080</v>
      </c>
      <c r="H738" s="14">
        <v>6</v>
      </c>
      <c r="I738" s="14">
        <v>28576</v>
      </c>
      <c r="J738" s="12" t="s">
        <v>161</v>
      </c>
      <c r="K738" s="12" t="s">
        <v>105</v>
      </c>
      <c r="L738" s="23" t="str">
        <f>VLOOKUP(D738,Products!$A:$F,3,FALSE)</f>
        <v>Beauty</v>
      </c>
      <c r="M738" s="23" t="str">
        <f>VLOOKUP(E738,Sales_Reps!$A:$E,3,FALSE)</f>
        <v>East</v>
      </c>
      <c r="N738" s="23" t="str">
        <f t="shared" si="33"/>
        <v>May-24</v>
      </c>
      <c r="O738" s="23" t="str">
        <f t="shared" si="34"/>
        <v>Q2 2024</v>
      </c>
      <c r="P738" s="23">
        <f>VLOOKUP(D738,Products!$A:$F,4,FALSE)</f>
        <v>2617</v>
      </c>
      <c r="Q738" s="35">
        <f t="shared" si="35"/>
        <v>0.56957236842105263</v>
      </c>
    </row>
    <row r="739" spans="1:17">
      <c r="A739" s="12" t="s">
        <v>1222</v>
      </c>
      <c r="B739" s="13">
        <v>45299</v>
      </c>
      <c r="C739" s="12" t="s">
        <v>729</v>
      </c>
      <c r="D739" s="12" t="s">
        <v>254</v>
      </c>
      <c r="E739" s="12" t="s">
        <v>255</v>
      </c>
      <c r="F739" s="14">
        <v>7</v>
      </c>
      <c r="G739" s="14">
        <v>3640</v>
      </c>
      <c r="H739" s="14">
        <v>5.5</v>
      </c>
      <c r="I739" s="14">
        <v>24078.6</v>
      </c>
      <c r="J739" s="12" t="s">
        <v>104</v>
      </c>
      <c r="K739" s="12" t="s">
        <v>129</v>
      </c>
      <c r="L739" s="23" t="str">
        <f>VLOOKUP(D739,Products!$A:$F,3,FALSE)</f>
        <v>Apparel</v>
      </c>
      <c r="M739" s="23" t="str">
        <f>VLOOKUP(E739,Sales_Reps!$A:$E,3,FALSE)</f>
        <v>East</v>
      </c>
      <c r="N739" s="23" t="str">
        <f t="shared" si="33"/>
        <v>Jan-24</v>
      </c>
      <c r="O739" s="23" t="str">
        <f t="shared" si="34"/>
        <v>Q1 2024</v>
      </c>
      <c r="P739" s="23">
        <f>VLOOKUP(D739,Products!$A:$F,4,FALSE)</f>
        <v>2611</v>
      </c>
      <c r="Q739" s="35">
        <f t="shared" si="35"/>
        <v>0.28269230769230769</v>
      </c>
    </row>
    <row r="740" spans="1:17">
      <c r="A740" s="12" t="s">
        <v>1223</v>
      </c>
      <c r="B740" s="13">
        <v>45336</v>
      </c>
      <c r="C740" s="12" t="s">
        <v>489</v>
      </c>
      <c r="D740" s="12" t="s">
        <v>296</v>
      </c>
      <c r="E740" s="12" t="s">
        <v>269</v>
      </c>
      <c r="F740" s="14">
        <v>1</v>
      </c>
      <c r="G740" s="14">
        <v>2660</v>
      </c>
      <c r="H740" s="14">
        <v>6.1</v>
      </c>
      <c r="I740" s="14">
        <v>2497.7399999999998</v>
      </c>
      <c r="J740" s="12" t="s">
        <v>157</v>
      </c>
      <c r="K740" s="12" t="s">
        <v>111</v>
      </c>
      <c r="L740" s="23" t="str">
        <f>VLOOKUP(D740,Products!$A:$F,3,FALSE)</f>
        <v>Electronics</v>
      </c>
      <c r="M740" s="23" t="str">
        <f>VLOOKUP(E740,Sales_Reps!$A:$E,3,FALSE)</f>
        <v>South</v>
      </c>
      <c r="N740" s="23" t="str">
        <f t="shared" si="33"/>
        <v>Feb-24</v>
      </c>
      <c r="O740" s="23" t="str">
        <f t="shared" si="34"/>
        <v>Q1 2024</v>
      </c>
      <c r="P740" s="23">
        <f>VLOOKUP(D740,Products!$A:$F,4,FALSE)</f>
        <v>1259</v>
      </c>
      <c r="Q740" s="35">
        <f t="shared" si="35"/>
        <v>0.52669172932330832</v>
      </c>
    </row>
    <row r="741" spans="1:17">
      <c r="A741" s="12" t="s">
        <v>1224</v>
      </c>
      <c r="B741" s="13">
        <v>45300</v>
      </c>
      <c r="C741" s="12" t="s">
        <v>250</v>
      </c>
      <c r="D741" s="12" t="s">
        <v>196</v>
      </c>
      <c r="E741" s="12" t="s">
        <v>205</v>
      </c>
      <c r="F741" s="14">
        <v>8</v>
      </c>
      <c r="G741" s="14">
        <v>3350</v>
      </c>
      <c r="H741" s="14">
        <v>19.5</v>
      </c>
      <c r="I741" s="14">
        <v>21574</v>
      </c>
      <c r="J741" s="12" t="s">
        <v>104</v>
      </c>
      <c r="K741" s="12" t="s">
        <v>105</v>
      </c>
      <c r="L741" s="23" t="str">
        <f>VLOOKUP(D741,Products!$A:$F,3,FALSE)</f>
        <v>Beauty</v>
      </c>
      <c r="M741" s="23" t="str">
        <f>VLOOKUP(E741,Sales_Reps!$A:$E,3,FALSE)</f>
        <v>South</v>
      </c>
      <c r="N741" s="23" t="str">
        <f t="shared" si="33"/>
        <v>Jan-24</v>
      </c>
      <c r="O741" s="23" t="str">
        <f t="shared" si="34"/>
        <v>Q1 2024</v>
      </c>
      <c r="P741" s="23">
        <f>VLOOKUP(D741,Products!$A:$F,4,FALSE)</f>
        <v>1728</v>
      </c>
      <c r="Q741" s="35">
        <f t="shared" si="35"/>
        <v>0.48417910447761192</v>
      </c>
    </row>
    <row r="742" spans="1:17">
      <c r="A742" s="12" t="s">
        <v>1225</v>
      </c>
      <c r="B742" s="13">
        <v>45648</v>
      </c>
      <c r="C742" s="12" t="s">
        <v>101</v>
      </c>
      <c r="D742" s="12" t="s">
        <v>287</v>
      </c>
      <c r="E742" s="12" t="s">
        <v>138</v>
      </c>
      <c r="F742" s="14">
        <v>4</v>
      </c>
      <c r="G742" s="14">
        <v>4610</v>
      </c>
      <c r="H742" s="14">
        <v>24</v>
      </c>
      <c r="I742" s="14">
        <v>14014.4</v>
      </c>
      <c r="J742" s="12" t="s">
        <v>104</v>
      </c>
      <c r="K742" s="12" t="s">
        <v>105</v>
      </c>
      <c r="L742" s="23" t="str">
        <f>VLOOKUP(D742,Products!$A:$F,3,FALSE)</f>
        <v>Home</v>
      </c>
      <c r="M742" s="23" t="str">
        <f>VLOOKUP(E742,Sales_Reps!$A:$E,3,FALSE)</f>
        <v>East</v>
      </c>
      <c r="N742" s="23" t="str">
        <f t="shared" si="33"/>
        <v>Dec-24</v>
      </c>
      <c r="O742" s="23" t="str">
        <f t="shared" si="34"/>
        <v>Q4 2024</v>
      </c>
      <c r="P742" s="23">
        <f>VLOOKUP(D742,Products!$A:$F,4,FALSE)</f>
        <v>1850</v>
      </c>
      <c r="Q742" s="35">
        <f t="shared" si="35"/>
        <v>0.59869848156182215</v>
      </c>
    </row>
    <row r="743" spans="1:17">
      <c r="A743" s="12" t="s">
        <v>1226</v>
      </c>
      <c r="B743" s="13">
        <v>45293</v>
      </c>
      <c r="C743" s="12" t="s">
        <v>597</v>
      </c>
      <c r="D743" s="12" t="s">
        <v>212</v>
      </c>
      <c r="E743" s="12" t="s">
        <v>115</v>
      </c>
      <c r="F743" s="14">
        <v>7</v>
      </c>
      <c r="G743" s="14">
        <v>2860</v>
      </c>
      <c r="H743" s="14">
        <v>23.2</v>
      </c>
      <c r="I743" s="14">
        <v>15375.36</v>
      </c>
      <c r="J743" s="12" t="s">
        <v>104</v>
      </c>
      <c r="K743" s="12" t="s">
        <v>105</v>
      </c>
      <c r="L743" s="23" t="str">
        <f>VLOOKUP(D743,Products!$A:$F,3,FALSE)</f>
        <v>Sports</v>
      </c>
      <c r="M743" s="23" t="str">
        <f>VLOOKUP(E743,Sales_Reps!$A:$E,3,FALSE)</f>
        <v>South</v>
      </c>
      <c r="N743" s="23" t="str">
        <f t="shared" si="33"/>
        <v>Jan-24</v>
      </c>
      <c r="O743" s="23" t="str">
        <f t="shared" si="34"/>
        <v>Q1 2024</v>
      </c>
      <c r="P743" s="23">
        <f>VLOOKUP(D743,Products!$A:$F,4,FALSE)</f>
        <v>2028</v>
      </c>
      <c r="Q743" s="35">
        <f t="shared" si="35"/>
        <v>0.29090909090909089</v>
      </c>
    </row>
    <row r="744" spans="1:17">
      <c r="A744" s="12" t="s">
        <v>1227</v>
      </c>
      <c r="B744" s="13">
        <v>45644</v>
      </c>
      <c r="C744" s="12" t="s">
        <v>824</v>
      </c>
      <c r="D744" s="12" t="s">
        <v>196</v>
      </c>
      <c r="E744" s="12" t="s">
        <v>269</v>
      </c>
      <c r="F744" s="14">
        <v>7</v>
      </c>
      <c r="G744" s="14">
        <v>3350</v>
      </c>
      <c r="H744" s="14">
        <v>10.6</v>
      </c>
      <c r="I744" s="14">
        <v>20964.3</v>
      </c>
      <c r="J744" s="12" t="s">
        <v>110</v>
      </c>
      <c r="K744" s="12" t="s">
        <v>105</v>
      </c>
      <c r="L744" s="23" t="str">
        <f>VLOOKUP(D744,Products!$A:$F,3,FALSE)</f>
        <v>Beauty</v>
      </c>
      <c r="M744" s="23" t="str">
        <f>VLOOKUP(E744,Sales_Reps!$A:$E,3,FALSE)</f>
        <v>South</v>
      </c>
      <c r="N744" s="23" t="str">
        <f t="shared" si="33"/>
        <v>Dec-24</v>
      </c>
      <c r="O744" s="23" t="str">
        <f t="shared" si="34"/>
        <v>Q4 2024</v>
      </c>
      <c r="P744" s="23">
        <f>VLOOKUP(D744,Products!$A:$F,4,FALSE)</f>
        <v>1728</v>
      </c>
      <c r="Q744" s="35">
        <f t="shared" si="35"/>
        <v>0.48417910447761192</v>
      </c>
    </row>
    <row r="745" spans="1:17">
      <c r="A745" s="12" t="s">
        <v>1228</v>
      </c>
      <c r="B745" s="13">
        <v>45589</v>
      </c>
      <c r="C745" s="12" t="s">
        <v>345</v>
      </c>
      <c r="D745" s="12" t="s">
        <v>355</v>
      </c>
      <c r="E745" s="12" t="s">
        <v>145</v>
      </c>
      <c r="F745" s="14">
        <v>5</v>
      </c>
      <c r="G745" s="14">
        <v>2210</v>
      </c>
      <c r="H745" s="14">
        <v>12.1</v>
      </c>
      <c r="I745" s="14">
        <v>9712.9500000000007</v>
      </c>
      <c r="J745" s="12" t="s">
        <v>104</v>
      </c>
      <c r="K745" s="12" t="s">
        <v>111</v>
      </c>
      <c r="L745" s="23" t="str">
        <f>VLOOKUP(D745,Products!$A:$F,3,FALSE)</f>
        <v>Grocery</v>
      </c>
      <c r="M745" s="23" t="str">
        <f>VLOOKUP(E745,Sales_Reps!$A:$E,3,FALSE)</f>
        <v>West</v>
      </c>
      <c r="N745" s="23" t="str">
        <f t="shared" si="33"/>
        <v>Oct-24</v>
      </c>
      <c r="O745" s="23" t="str">
        <f t="shared" si="34"/>
        <v>Q4 2024</v>
      </c>
      <c r="P745" s="23">
        <f>VLOOKUP(D745,Products!$A:$F,4,FALSE)</f>
        <v>1010</v>
      </c>
      <c r="Q745" s="35">
        <f t="shared" si="35"/>
        <v>0.54298642533936647</v>
      </c>
    </row>
    <row r="746" spans="1:17">
      <c r="A746" s="12" t="s">
        <v>1229</v>
      </c>
      <c r="B746" s="13">
        <v>45329</v>
      </c>
      <c r="C746" s="12" t="s">
        <v>477</v>
      </c>
      <c r="D746" s="12" t="s">
        <v>174</v>
      </c>
      <c r="E746" s="12" t="s">
        <v>269</v>
      </c>
      <c r="F746" s="14">
        <v>1</v>
      </c>
      <c r="G746" s="14">
        <v>3450</v>
      </c>
      <c r="H746" s="14">
        <v>19.100000000000001</v>
      </c>
      <c r="I746" s="14">
        <v>2791.05</v>
      </c>
      <c r="J746" s="12" t="s">
        <v>110</v>
      </c>
      <c r="K746" s="12" t="s">
        <v>105</v>
      </c>
      <c r="L746" s="23" t="str">
        <f>VLOOKUP(D746,Products!$A:$F,3,FALSE)</f>
        <v>Beauty</v>
      </c>
      <c r="M746" s="23" t="str">
        <f>VLOOKUP(E746,Sales_Reps!$A:$E,3,FALSE)</f>
        <v>South</v>
      </c>
      <c r="N746" s="23" t="str">
        <f t="shared" si="33"/>
        <v>Feb-24</v>
      </c>
      <c r="O746" s="23" t="str">
        <f t="shared" si="34"/>
        <v>Q1 2024</v>
      </c>
      <c r="P746" s="23">
        <f>VLOOKUP(D746,Products!$A:$F,4,FALSE)</f>
        <v>2420</v>
      </c>
      <c r="Q746" s="35">
        <f t="shared" si="35"/>
        <v>0.29855072463768118</v>
      </c>
    </row>
    <row r="747" spans="1:17">
      <c r="A747" s="12" t="s">
        <v>1230</v>
      </c>
      <c r="B747" s="13">
        <v>45587</v>
      </c>
      <c r="C747" s="12" t="s">
        <v>556</v>
      </c>
      <c r="D747" s="12" t="s">
        <v>208</v>
      </c>
      <c r="E747" s="12" t="s">
        <v>145</v>
      </c>
      <c r="F747" s="14">
        <v>5</v>
      </c>
      <c r="G747" s="14">
        <v>5100</v>
      </c>
      <c r="H747" s="14">
        <v>2.8</v>
      </c>
      <c r="I747" s="14">
        <v>24786</v>
      </c>
      <c r="J747" s="12" t="s">
        <v>104</v>
      </c>
      <c r="K747" s="12" t="s">
        <v>150</v>
      </c>
      <c r="L747" s="23" t="str">
        <f>VLOOKUP(D747,Products!$A:$F,3,FALSE)</f>
        <v>Beauty</v>
      </c>
      <c r="M747" s="23" t="str">
        <f>VLOOKUP(E747,Sales_Reps!$A:$E,3,FALSE)</f>
        <v>West</v>
      </c>
      <c r="N747" s="23" t="str">
        <f t="shared" si="33"/>
        <v>Oct-24</v>
      </c>
      <c r="O747" s="23" t="str">
        <f t="shared" si="34"/>
        <v>Q4 2024</v>
      </c>
      <c r="P747" s="23">
        <f>VLOOKUP(D747,Products!$A:$F,4,FALSE)</f>
        <v>2237</v>
      </c>
      <c r="Q747" s="35">
        <f t="shared" si="35"/>
        <v>0.56137254901960787</v>
      </c>
    </row>
    <row r="748" spans="1:17">
      <c r="A748" s="12" t="s">
        <v>1231</v>
      </c>
      <c r="B748" s="13">
        <v>45423</v>
      </c>
      <c r="C748" s="12" t="s">
        <v>316</v>
      </c>
      <c r="D748" s="12" t="s">
        <v>208</v>
      </c>
      <c r="E748" s="12" t="s">
        <v>165</v>
      </c>
      <c r="F748" s="14">
        <v>9</v>
      </c>
      <c r="G748" s="14">
        <v>5100</v>
      </c>
      <c r="H748" s="14">
        <v>24.4</v>
      </c>
      <c r="I748" s="14">
        <v>34700.400000000001</v>
      </c>
      <c r="J748" s="12" t="s">
        <v>104</v>
      </c>
      <c r="K748" s="12" t="s">
        <v>150</v>
      </c>
      <c r="L748" s="23" t="str">
        <f>VLOOKUP(D748,Products!$A:$F,3,FALSE)</f>
        <v>Beauty</v>
      </c>
      <c r="M748" s="23" t="str">
        <f>VLOOKUP(E748,Sales_Reps!$A:$E,3,FALSE)</f>
        <v>North</v>
      </c>
      <c r="N748" s="23" t="str">
        <f t="shared" si="33"/>
        <v>May-24</v>
      </c>
      <c r="O748" s="23" t="str">
        <f t="shared" si="34"/>
        <v>Q2 2024</v>
      </c>
      <c r="P748" s="23">
        <f>VLOOKUP(D748,Products!$A:$F,4,FALSE)</f>
        <v>2237</v>
      </c>
      <c r="Q748" s="35">
        <f t="shared" si="35"/>
        <v>0.56137254901960787</v>
      </c>
    </row>
    <row r="749" spans="1:17">
      <c r="A749" s="12" t="s">
        <v>1232</v>
      </c>
      <c r="B749" s="13">
        <v>45568</v>
      </c>
      <c r="C749" s="12" t="s">
        <v>318</v>
      </c>
      <c r="D749" s="12" t="s">
        <v>220</v>
      </c>
      <c r="E749" s="12" t="s">
        <v>120</v>
      </c>
      <c r="F749" s="14">
        <v>9</v>
      </c>
      <c r="G749" s="14">
        <v>660</v>
      </c>
      <c r="H749" s="14">
        <v>19.8</v>
      </c>
      <c r="I749" s="14">
        <v>4763.88</v>
      </c>
      <c r="J749" s="12" t="s">
        <v>104</v>
      </c>
      <c r="K749" s="12" t="s">
        <v>111</v>
      </c>
      <c r="L749" s="23" t="str">
        <f>VLOOKUP(D749,Products!$A:$F,3,FALSE)</f>
        <v>Home</v>
      </c>
      <c r="M749" s="23" t="str">
        <f>VLOOKUP(E749,Sales_Reps!$A:$E,3,FALSE)</f>
        <v>North</v>
      </c>
      <c r="N749" s="23" t="str">
        <f t="shared" si="33"/>
        <v>Oct-24</v>
      </c>
      <c r="O749" s="23" t="str">
        <f t="shared" si="34"/>
        <v>Q4 2024</v>
      </c>
      <c r="P749" s="23">
        <f>VLOOKUP(D749,Products!$A:$F,4,FALSE)</f>
        <v>329</v>
      </c>
      <c r="Q749" s="35">
        <f t="shared" si="35"/>
        <v>0.50151515151515147</v>
      </c>
    </row>
    <row r="750" spans="1:17">
      <c r="A750" s="12" t="s">
        <v>1233</v>
      </c>
      <c r="B750" s="13">
        <v>45549</v>
      </c>
      <c r="C750" s="12" t="s">
        <v>1234</v>
      </c>
      <c r="D750" s="12" t="s">
        <v>281</v>
      </c>
      <c r="E750" s="12" t="s">
        <v>120</v>
      </c>
      <c r="F750" s="14">
        <v>3</v>
      </c>
      <c r="G750" s="14">
        <v>4070</v>
      </c>
      <c r="H750" s="14">
        <v>27.1</v>
      </c>
      <c r="I750" s="14">
        <v>8901.09</v>
      </c>
      <c r="J750" s="12" t="s">
        <v>104</v>
      </c>
      <c r="K750" s="12" t="s">
        <v>129</v>
      </c>
      <c r="L750" s="23" t="str">
        <f>VLOOKUP(D750,Products!$A:$F,3,FALSE)</f>
        <v>Grocery</v>
      </c>
      <c r="M750" s="23" t="str">
        <f>VLOOKUP(E750,Sales_Reps!$A:$E,3,FALSE)</f>
        <v>North</v>
      </c>
      <c r="N750" s="23" t="str">
        <f t="shared" si="33"/>
        <v>Sep-24</v>
      </c>
      <c r="O750" s="23" t="str">
        <f t="shared" si="34"/>
        <v>Q3 2024</v>
      </c>
      <c r="P750" s="23">
        <f>VLOOKUP(D750,Products!$A:$F,4,FALSE)</f>
        <v>2027</v>
      </c>
      <c r="Q750" s="35">
        <f t="shared" si="35"/>
        <v>0.50196560196560192</v>
      </c>
    </row>
    <row r="751" spans="1:17">
      <c r="A751" s="12" t="s">
        <v>1235</v>
      </c>
      <c r="B751" s="13">
        <v>45504</v>
      </c>
      <c r="C751" s="12" t="s">
        <v>367</v>
      </c>
      <c r="D751" s="12" t="s">
        <v>372</v>
      </c>
      <c r="E751" s="12" t="s">
        <v>103</v>
      </c>
      <c r="F751" s="14">
        <v>2</v>
      </c>
      <c r="G751" s="14">
        <v>2510</v>
      </c>
      <c r="H751" s="14">
        <v>29.1</v>
      </c>
      <c r="I751" s="14">
        <v>3559.18</v>
      </c>
      <c r="J751" s="12" t="s">
        <v>104</v>
      </c>
      <c r="K751" s="12" t="s">
        <v>129</v>
      </c>
      <c r="L751" s="23" t="str">
        <f>VLOOKUP(D751,Products!$A:$F,3,FALSE)</f>
        <v>Apparel</v>
      </c>
      <c r="M751" s="23" t="str">
        <f>VLOOKUP(E751,Sales_Reps!$A:$E,3,FALSE)</f>
        <v>North</v>
      </c>
      <c r="N751" s="23" t="str">
        <f t="shared" si="33"/>
        <v>Jul-24</v>
      </c>
      <c r="O751" s="23" t="str">
        <f t="shared" si="34"/>
        <v>Q3 2024</v>
      </c>
      <c r="P751" s="23">
        <f>VLOOKUP(D751,Products!$A:$F,4,FALSE)</f>
        <v>1075</v>
      </c>
      <c r="Q751" s="35">
        <f t="shared" si="35"/>
        <v>0.57171314741035861</v>
      </c>
    </row>
    <row r="752" spans="1:17">
      <c r="A752" s="12" t="s">
        <v>1236</v>
      </c>
      <c r="B752" s="13">
        <v>45449</v>
      </c>
      <c r="C752" s="12" t="s">
        <v>250</v>
      </c>
      <c r="D752" s="12" t="s">
        <v>160</v>
      </c>
      <c r="E752" s="12" t="s">
        <v>187</v>
      </c>
      <c r="F752" s="14">
        <v>4</v>
      </c>
      <c r="G752" s="14">
        <v>3250</v>
      </c>
      <c r="H752" s="14">
        <v>21.1</v>
      </c>
      <c r="I752" s="14">
        <v>10257</v>
      </c>
      <c r="J752" s="12" t="s">
        <v>104</v>
      </c>
      <c r="K752" s="12" t="s">
        <v>105</v>
      </c>
      <c r="L752" s="23" t="str">
        <f>VLOOKUP(D752,Products!$A:$F,3,FALSE)</f>
        <v>Home</v>
      </c>
      <c r="M752" s="23" t="str">
        <f>VLOOKUP(E752,Sales_Reps!$A:$E,3,FALSE)</f>
        <v>West</v>
      </c>
      <c r="N752" s="23" t="str">
        <f t="shared" si="33"/>
        <v>Jun-24</v>
      </c>
      <c r="O752" s="23" t="str">
        <f t="shared" si="34"/>
        <v>Q2 2024</v>
      </c>
      <c r="P752" s="23">
        <f>VLOOKUP(D752,Products!$A:$F,4,FALSE)</f>
        <v>1556</v>
      </c>
      <c r="Q752" s="35">
        <f t="shared" si="35"/>
        <v>0.52123076923076928</v>
      </c>
    </row>
    <row r="753" spans="1:17">
      <c r="A753" s="12" t="s">
        <v>1237</v>
      </c>
      <c r="B753" s="13">
        <v>45600</v>
      </c>
      <c r="C753" s="12" t="s">
        <v>616</v>
      </c>
      <c r="D753" s="12" t="s">
        <v>127</v>
      </c>
      <c r="E753" s="12" t="s">
        <v>109</v>
      </c>
      <c r="F753" s="14">
        <v>3</v>
      </c>
      <c r="G753" s="14">
        <v>370</v>
      </c>
      <c r="H753" s="14">
        <v>7.7</v>
      </c>
      <c r="I753" s="14">
        <v>1024.53</v>
      </c>
      <c r="J753" s="12" t="s">
        <v>104</v>
      </c>
      <c r="K753" s="12" t="s">
        <v>134</v>
      </c>
      <c r="L753" s="23" t="str">
        <f>VLOOKUP(D753,Products!$A:$F,3,FALSE)</f>
        <v>Home</v>
      </c>
      <c r="M753" s="23" t="str">
        <f>VLOOKUP(E753,Sales_Reps!$A:$E,3,FALSE)</f>
        <v>North</v>
      </c>
      <c r="N753" s="23" t="str">
        <f t="shared" si="33"/>
        <v>Nov-24</v>
      </c>
      <c r="O753" s="23" t="str">
        <f t="shared" si="34"/>
        <v>Q4 2024</v>
      </c>
      <c r="P753" s="23">
        <f>VLOOKUP(D753,Products!$A:$F,4,FALSE)</f>
        <v>288</v>
      </c>
      <c r="Q753" s="35">
        <f t="shared" si="35"/>
        <v>0.22162162162162163</v>
      </c>
    </row>
    <row r="754" spans="1:17">
      <c r="A754" s="12" t="s">
        <v>1238</v>
      </c>
      <c r="B754" s="13">
        <v>45479</v>
      </c>
      <c r="C754" s="12" t="s">
        <v>994</v>
      </c>
      <c r="D754" s="12" t="s">
        <v>108</v>
      </c>
      <c r="E754" s="12" t="s">
        <v>120</v>
      </c>
      <c r="F754" s="14">
        <v>10</v>
      </c>
      <c r="G754" s="14">
        <v>820</v>
      </c>
      <c r="H754" s="14">
        <v>3.5</v>
      </c>
      <c r="I754" s="14">
        <v>7913</v>
      </c>
      <c r="J754" s="12" t="s">
        <v>104</v>
      </c>
      <c r="K754" s="12" t="s">
        <v>105</v>
      </c>
      <c r="L754" s="23" t="str">
        <f>VLOOKUP(D754,Products!$A:$F,3,FALSE)</f>
        <v>Apparel</v>
      </c>
      <c r="M754" s="23" t="str">
        <f>VLOOKUP(E754,Sales_Reps!$A:$E,3,FALSE)</f>
        <v>North</v>
      </c>
      <c r="N754" s="23" t="str">
        <f t="shared" si="33"/>
        <v>Jul-24</v>
      </c>
      <c r="O754" s="23" t="str">
        <f t="shared" si="34"/>
        <v>Q3 2024</v>
      </c>
      <c r="P754" s="23">
        <f>VLOOKUP(D754,Products!$A:$F,4,FALSE)</f>
        <v>391</v>
      </c>
      <c r="Q754" s="35">
        <f t="shared" si="35"/>
        <v>0.52317073170731709</v>
      </c>
    </row>
    <row r="755" spans="1:17">
      <c r="A755" s="12" t="s">
        <v>1239</v>
      </c>
      <c r="B755" s="13">
        <v>45531</v>
      </c>
      <c r="C755" s="12" t="s">
        <v>446</v>
      </c>
      <c r="D755" s="12" t="s">
        <v>281</v>
      </c>
      <c r="E755" s="12" t="s">
        <v>246</v>
      </c>
      <c r="F755" s="14">
        <v>4</v>
      </c>
      <c r="G755" s="14">
        <v>4070</v>
      </c>
      <c r="H755" s="14">
        <v>23.8</v>
      </c>
      <c r="I755" s="14">
        <v>12405.36</v>
      </c>
      <c r="J755" s="12" t="s">
        <v>104</v>
      </c>
      <c r="K755" s="12" t="s">
        <v>134</v>
      </c>
      <c r="L755" s="23" t="str">
        <f>VLOOKUP(D755,Products!$A:$F,3,FALSE)</f>
        <v>Grocery</v>
      </c>
      <c r="M755" s="23" t="str">
        <f>VLOOKUP(E755,Sales_Reps!$A:$E,3,FALSE)</f>
        <v>West</v>
      </c>
      <c r="N755" s="23" t="str">
        <f t="shared" si="33"/>
        <v>Aug-24</v>
      </c>
      <c r="O755" s="23" t="str">
        <f t="shared" si="34"/>
        <v>Q3 2024</v>
      </c>
      <c r="P755" s="23">
        <f>VLOOKUP(D755,Products!$A:$F,4,FALSE)</f>
        <v>2027</v>
      </c>
      <c r="Q755" s="35">
        <f t="shared" si="35"/>
        <v>0.50196560196560192</v>
      </c>
    </row>
    <row r="756" spans="1:17">
      <c r="A756" s="12" t="s">
        <v>1240</v>
      </c>
      <c r="B756" s="13">
        <v>45356</v>
      </c>
      <c r="C756" s="12" t="s">
        <v>776</v>
      </c>
      <c r="D756" s="12" t="s">
        <v>384</v>
      </c>
      <c r="E756" s="12" t="s">
        <v>290</v>
      </c>
      <c r="F756" s="14">
        <v>1</v>
      </c>
      <c r="G756" s="14">
        <v>2380</v>
      </c>
      <c r="H756" s="14">
        <v>19.600000000000001</v>
      </c>
      <c r="I756" s="14">
        <v>1913.52</v>
      </c>
      <c r="J756" s="12" t="s">
        <v>157</v>
      </c>
      <c r="K756" s="12" t="s">
        <v>134</v>
      </c>
      <c r="L756" s="23" t="str">
        <f>VLOOKUP(D756,Products!$A:$F,3,FALSE)</f>
        <v>Grocery</v>
      </c>
      <c r="M756" s="23" t="str">
        <f>VLOOKUP(E756,Sales_Reps!$A:$E,3,FALSE)</f>
        <v>South</v>
      </c>
      <c r="N756" s="23" t="str">
        <f t="shared" si="33"/>
        <v>Mar-24</v>
      </c>
      <c r="O756" s="23" t="str">
        <f t="shared" si="34"/>
        <v>Q1 2024</v>
      </c>
      <c r="P756" s="23">
        <f>VLOOKUP(D756,Products!$A:$F,4,FALSE)</f>
        <v>1182</v>
      </c>
      <c r="Q756" s="35">
        <f t="shared" si="35"/>
        <v>0.50336134453781511</v>
      </c>
    </row>
    <row r="757" spans="1:17">
      <c r="A757" s="12" t="s">
        <v>1241</v>
      </c>
      <c r="B757" s="13">
        <v>45553</v>
      </c>
      <c r="C757" s="12" t="s">
        <v>965</v>
      </c>
      <c r="D757" s="12" t="s">
        <v>141</v>
      </c>
      <c r="E757" s="12" t="s">
        <v>187</v>
      </c>
      <c r="F757" s="14">
        <v>3</v>
      </c>
      <c r="G757" s="14">
        <v>5490</v>
      </c>
      <c r="H757" s="14">
        <v>2.5</v>
      </c>
      <c r="I757" s="14">
        <v>16058.25</v>
      </c>
      <c r="J757" s="12" t="s">
        <v>104</v>
      </c>
      <c r="K757" s="12" t="s">
        <v>105</v>
      </c>
      <c r="L757" s="23" t="str">
        <f>VLOOKUP(D757,Products!$A:$F,3,FALSE)</f>
        <v>Home</v>
      </c>
      <c r="M757" s="23" t="str">
        <f>VLOOKUP(E757,Sales_Reps!$A:$E,3,FALSE)</f>
        <v>West</v>
      </c>
      <c r="N757" s="23" t="str">
        <f t="shared" si="33"/>
        <v>Sep-24</v>
      </c>
      <c r="O757" s="23" t="str">
        <f t="shared" si="34"/>
        <v>Q3 2024</v>
      </c>
      <c r="P757" s="23">
        <f>VLOOKUP(D757,Products!$A:$F,4,FALSE)</f>
        <v>2549</v>
      </c>
      <c r="Q757" s="35">
        <f t="shared" si="35"/>
        <v>0.53570127504553733</v>
      </c>
    </row>
    <row r="758" spans="1:17">
      <c r="A758" s="12" t="s">
        <v>1242</v>
      </c>
      <c r="B758" s="13">
        <v>45492</v>
      </c>
      <c r="C758" s="12" t="s">
        <v>353</v>
      </c>
      <c r="D758" s="12" t="s">
        <v>254</v>
      </c>
      <c r="E758" s="12" t="s">
        <v>360</v>
      </c>
      <c r="F758" s="14">
        <v>3</v>
      </c>
      <c r="G758" s="14">
        <v>3640</v>
      </c>
      <c r="H758" s="14">
        <v>23.3</v>
      </c>
      <c r="I758" s="14">
        <v>8375.64</v>
      </c>
      <c r="J758" s="12" t="s">
        <v>104</v>
      </c>
      <c r="K758" s="12" t="s">
        <v>129</v>
      </c>
      <c r="L758" s="23" t="str">
        <f>VLOOKUP(D758,Products!$A:$F,3,FALSE)</f>
        <v>Apparel</v>
      </c>
      <c r="M758" s="23" t="str">
        <f>VLOOKUP(E758,Sales_Reps!$A:$E,3,FALSE)</f>
        <v>West</v>
      </c>
      <c r="N758" s="23" t="str">
        <f t="shared" si="33"/>
        <v>Jul-24</v>
      </c>
      <c r="O758" s="23" t="str">
        <f t="shared" si="34"/>
        <v>Q3 2024</v>
      </c>
      <c r="P758" s="23">
        <f>VLOOKUP(D758,Products!$A:$F,4,FALSE)</f>
        <v>2611</v>
      </c>
      <c r="Q758" s="35">
        <f t="shared" si="35"/>
        <v>0.28269230769230769</v>
      </c>
    </row>
    <row r="759" spans="1:17">
      <c r="A759" s="12" t="s">
        <v>1243</v>
      </c>
      <c r="B759" s="13">
        <v>45388</v>
      </c>
      <c r="C759" s="12" t="s">
        <v>422</v>
      </c>
      <c r="D759" s="12" t="s">
        <v>287</v>
      </c>
      <c r="E759" s="12" t="s">
        <v>320</v>
      </c>
      <c r="F759" s="14">
        <v>2</v>
      </c>
      <c r="G759" s="14">
        <v>4610</v>
      </c>
      <c r="H759" s="14">
        <v>5</v>
      </c>
      <c r="I759" s="14">
        <v>8759</v>
      </c>
      <c r="J759" s="12" t="s">
        <v>110</v>
      </c>
      <c r="K759" s="12" t="s">
        <v>111</v>
      </c>
      <c r="L759" s="23" t="str">
        <f>VLOOKUP(D759,Products!$A:$F,3,FALSE)</f>
        <v>Home</v>
      </c>
      <c r="M759" s="23" t="str">
        <f>VLOOKUP(E759,Sales_Reps!$A:$E,3,FALSE)</f>
        <v>East</v>
      </c>
      <c r="N759" s="23" t="str">
        <f t="shared" si="33"/>
        <v>Apr-24</v>
      </c>
      <c r="O759" s="23" t="str">
        <f t="shared" si="34"/>
        <v>Q2 2024</v>
      </c>
      <c r="P759" s="23">
        <f>VLOOKUP(D759,Products!$A:$F,4,FALSE)</f>
        <v>1850</v>
      </c>
      <c r="Q759" s="35">
        <f t="shared" si="35"/>
        <v>0.59869848156182215</v>
      </c>
    </row>
    <row r="760" spans="1:17">
      <c r="A760" s="12" t="s">
        <v>1244</v>
      </c>
      <c r="B760" s="13">
        <v>45369</v>
      </c>
      <c r="C760" s="12" t="s">
        <v>524</v>
      </c>
      <c r="D760" s="12" t="s">
        <v>168</v>
      </c>
      <c r="E760" s="12" t="s">
        <v>232</v>
      </c>
      <c r="F760" s="14">
        <v>8</v>
      </c>
      <c r="G760" s="14">
        <v>2400</v>
      </c>
      <c r="H760" s="14">
        <v>10</v>
      </c>
      <c r="I760" s="14">
        <v>17280</v>
      </c>
      <c r="J760" s="12" t="s">
        <v>110</v>
      </c>
      <c r="K760" s="12" t="s">
        <v>105</v>
      </c>
      <c r="L760" s="23" t="str">
        <f>VLOOKUP(D760,Products!$A:$F,3,FALSE)</f>
        <v>Sports</v>
      </c>
      <c r="M760" s="23" t="str">
        <f>VLOOKUP(E760,Sales_Reps!$A:$E,3,FALSE)</f>
        <v>North</v>
      </c>
      <c r="N760" s="23" t="str">
        <f t="shared" si="33"/>
        <v>Mar-24</v>
      </c>
      <c r="O760" s="23" t="str">
        <f t="shared" si="34"/>
        <v>Q1 2024</v>
      </c>
      <c r="P760" s="23">
        <f>VLOOKUP(D760,Products!$A:$F,4,FALSE)</f>
        <v>974</v>
      </c>
      <c r="Q760" s="35">
        <f t="shared" si="35"/>
        <v>0.59416666666666662</v>
      </c>
    </row>
    <row r="761" spans="1:17">
      <c r="A761" s="12" t="s">
        <v>1245</v>
      </c>
      <c r="B761" s="13">
        <v>45597</v>
      </c>
      <c r="C761" s="12" t="s">
        <v>414</v>
      </c>
      <c r="D761" s="12" t="s">
        <v>196</v>
      </c>
      <c r="E761" s="12" t="s">
        <v>314</v>
      </c>
      <c r="F761" s="14">
        <v>7</v>
      </c>
      <c r="G761" s="14">
        <v>3350</v>
      </c>
      <c r="H761" s="14">
        <v>23.7</v>
      </c>
      <c r="I761" s="14">
        <v>17892.349999999999</v>
      </c>
      <c r="J761" s="12" t="s">
        <v>104</v>
      </c>
      <c r="K761" s="12" t="s">
        <v>116</v>
      </c>
      <c r="L761" s="23" t="str">
        <f>VLOOKUP(D761,Products!$A:$F,3,FALSE)</f>
        <v>Beauty</v>
      </c>
      <c r="M761" s="23" t="str">
        <f>VLOOKUP(E761,Sales_Reps!$A:$E,3,FALSE)</f>
        <v>North</v>
      </c>
      <c r="N761" s="23" t="str">
        <f t="shared" si="33"/>
        <v>Nov-24</v>
      </c>
      <c r="O761" s="23" t="str">
        <f t="shared" si="34"/>
        <v>Q4 2024</v>
      </c>
      <c r="P761" s="23">
        <f>VLOOKUP(D761,Products!$A:$F,4,FALSE)</f>
        <v>1728</v>
      </c>
      <c r="Q761" s="35">
        <f t="shared" si="35"/>
        <v>0.48417910447761192</v>
      </c>
    </row>
    <row r="762" spans="1:17">
      <c r="A762" s="12" t="s">
        <v>1246</v>
      </c>
      <c r="B762" s="13">
        <v>45611</v>
      </c>
      <c r="C762" s="12" t="s">
        <v>672</v>
      </c>
      <c r="D762" s="12" t="s">
        <v>254</v>
      </c>
      <c r="E762" s="12" t="s">
        <v>342</v>
      </c>
      <c r="F762" s="14">
        <v>4</v>
      </c>
      <c r="G762" s="14">
        <v>3640</v>
      </c>
      <c r="H762" s="14">
        <v>9.3000000000000007</v>
      </c>
      <c r="I762" s="14">
        <v>13205.92</v>
      </c>
      <c r="J762" s="12" t="s">
        <v>157</v>
      </c>
      <c r="K762" s="12" t="s">
        <v>150</v>
      </c>
      <c r="L762" s="23" t="str">
        <f>VLOOKUP(D762,Products!$A:$F,3,FALSE)</f>
        <v>Apparel</v>
      </c>
      <c r="M762" s="23" t="str">
        <f>VLOOKUP(E762,Sales_Reps!$A:$E,3,FALSE)</f>
        <v>South</v>
      </c>
      <c r="N762" s="23" t="str">
        <f t="shared" si="33"/>
        <v>Nov-24</v>
      </c>
      <c r="O762" s="23" t="str">
        <f t="shared" si="34"/>
        <v>Q4 2024</v>
      </c>
      <c r="P762" s="23">
        <f>VLOOKUP(D762,Products!$A:$F,4,FALSE)</f>
        <v>2611</v>
      </c>
      <c r="Q762" s="35">
        <f t="shared" si="35"/>
        <v>0.28269230769230769</v>
      </c>
    </row>
    <row r="763" spans="1:17">
      <c r="A763" s="12" t="s">
        <v>1247</v>
      </c>
      <c r="B763" s="13">
        <v>45579</v>
      </c>
      <c r="C763" s="12" t="s">
        <v>1248</v>
      </c>
      <c r="D763" s="12" t="s">
        <v>254</v>
      </c>
      <c r="E763" s="12" t="s">
        <v>145</v>
      </c>
      <c r="F763" s="14">
        <v>9</v>
      </c>
      <c r="G763" s="14">
        <v>3640</v>
      </c>
      <c r="H763" s="14">
        <v>13.1</v>
      </c>
      <c r="I763" s="14">
        <v>28468.44</v>
      </c>
      <c r="J763" s="12" t="s">
        <v>110</v>
      </c>
      <c r="K763" s="12" t="s">
        <v>105</v>
      </c>
      <c r="L763" s="23" t="str">
        <f>VLOOKUP(D763,Products!$A:$F,3,FALSE)</f>
        <v>Apparel</v>
      </c>
      <c r="M763" s="23" t="str">
        <f>VLOOKUP(E763,Sales_Reps!$A:$E,3,FALSE)</f>
        <v>West</v>
      </c>
      <c r="N763" s="23" t="str">
        <f t="shared" si="33"/>
        <v>Oct-24</v>
      </c>
      <c r="O763" s="23" t="str">
        <f t="shared" si="34"/>
        <v>Q4 2024</v>
      </c>
      <c r="P763" s="23">
        <f>VLOOKUP(D763,Products!$A:$F,4,FALSE)</f>
        <v>2611</v>
      </c>
      <c r="Q763" s="35">
        <f t="shared" si="35"/>
        <v>0.28269230769230769</v>
      </c>
    </row>
    <row r="764" spans="1:17">
      <c r="A764" s="12" t="s">
        <v>1249</v>
      </c>
      <c r="B764" s="13">
        <v>45634</v>
      </c>
      <c r="C764" s="12" t="s">
        <v>189</v>
      </c>
      <c r="D764" s="12" t="s">
        <v>312</v>
      </c>
      <c r="E764" s="12" t="s">
        <v>115</v>
      </c>
      <c r="F764" s="14">
        <v>2</v>
      </c>
      <c r="G764" s="14">
        <v>2030</v>
      </c>
      <c r="H764" s="14">
        <v>12.2</v>
      </c>
      <c r="I764" s="14">
        <v>3564.68</v>
      </c>
      <c r="J764" s="12" t="s">
        <v>104</v>
      </c>
      <c r="K764" s="12" t="s">
        <v>105</v>
      </c>
      <c r="L764" s="23" t="str">
        <f>VLOOKUP(D764,Products!$A:$F,3,FALSE)</f>
        <v>Home</v>
      </c>
      <c r="M764" s="23" t="str">
        <f>VLOOKUP(E764,Sales_Reps!$A:$E,3,FALSE)</f>
        <v>South</v>
      </c>
      <c r="N764" s="23" t="str">
        <f t="shared" si="33"/>
        <v>Dec-24</v>
      </c>
      <c r="O764" s="23" t="str">
        <f t="shared" si="34"/>
        <v>Q4 2024</v>
      </c>
      <c r="P764" s="23">
        <f>VLOOKUP(D764,Products!$A:$F,4,FALSE)</f>
        <v>1143</v>
      </c>
      <c r="Q764" s="35">
        <f t="shared" si="35"/>
        <v>0.43694581280788175</v>
      </c>
    </row>
    <row r="765" spans="1:17">
      <c r="A765" s="12" t="s">
        <v>1250</v>
      </c>
      <c r="B765" s="13">
        <v>45471</v>
      </c>
      <c r="C765" s="12" t="s">
        <v>1251</v>
      </c>
      <c r="D765" s="12" t="s">
        <v>123</v>
      </c>
      <c r="E765" s="12" t="s">
        <v>314</v>
      </c>
      <c r="F765" s="14">
        <v>4</v>
      </c>
      <c r="G765" s="14">
        <v>3160</v>
      </c>
      <c r="H765" s="14">
        <v>7.5</v>
      </c>
      <c r="I765" s="14">
        <v>11692</v>
      </c>
      <c r="J765" s="12" t="s">
        <v>104</v>
      </c>
      <c r="K765" s="12" t="s">
        <v>129</v>
      </c>
      <c r="L765" s="23" t="str">
        <f>VLOOKUP(D765,Products!$A:$F,3,FALSE)</f>
        <v>Apparel</v>
      </c>
      <c r="M765" s="23" t="str">
        <f>VLOOKUP(E765,Sales_Reps!$A:$E,3,FALSE)</f>
        <v>North</v>
      </c>
      <c r="N765" s="23" t="str">
        <f t="shared" si="33"/>
        <v>Jun-24</v>
      </c>
      <c r="O765" s="23" t="str">
        <f t="shared" si="34"/>
        <v>Q2 2024</v>
      </c>
      <c r="P765" s="23">
        <f>VLOOKUP(D765,Products!$A:$F,4,FALSE)</f>
        <v>1886</v>
      </c>
      <c r="Q765" s="35">
        <f t="shared" si="35"/>
        <v>0.4031645569620253</v>
      </c>
    </row>
    <row r="766" spans="1:17">
      <c r="A766" s="12" t="s">
        <v>1252</v>
      </c>
      <c r="B766" s="13">
        <v>45327</v>
      </c>
      <c r="C766" s="12" t="s">
        <v>781</v>
      </c>
      <c r="D766" s="12" t="s">
        <v>281</v>
      </c>
      <c r="E766" s="12" t="s">
        <v>246</v>
      </c>
      <c r="F766" s="14">
        <v>10</v>
      </c>
      <c r="G766" s="14">
        <v>4070</v>
      </c>
      <c r="H766" s="14">
        <v>8.3000000000000007</v>
      </c>
      <c r="I766" s="14">
        <v>37321.9</v>
      </c>
      <c r="J766" s="12" t="s">
        <v>104</v>
      </c>
      <c r="K766" s="12" t="s">
        <v>111</v>
      </c>
      <c r="L766" s="23" t="str">
        <f>VLOOKUP(D766,Products!$A:$F,3,FALSE)</f>
        <v>Grocery</v>
      </c>
      <c r="M766" s="23" t="str">
        <f>VLOOKUP(E766,Sales_Reps!$A:$E,3,FALSE)</f>
        <v>West</v>
      </c>
      <c r="N766" s="23" t="str">
        <f t="shared" si="33"/>
        <v>Feb-24</v>
      </c>
      <c r="O766" s="23" t="str">
        <f t="shared" si="34"/>
        <v>Q1 2024</v>
      </c>
      <c r="P766" s="23">
        <f>VLOOKUP(D766,Products!$A:$F,4,FALSE)</f>
        <v>2027</v>
      </c>
      <c r="Q766" s="35">
        <f t="shared" si="35"/>
        <v>0.50196560196560192</v>
      </c>
    </row>
    <row r="767" spans="1:17">
      <c r="A767" s="12" t="s">
        <v>1253</v>
      </c>
      <c r="B767" s="13">
        <v>45343</v>
      </c>
      <c r="C767" s="12" t="s">
        <v>643</v>
      </c>
      <c r="D767" s="12" t="s">
        <v>368</v>
      </c>
      <c r="E767" s="12" t="s">
        <v>133</v>
      </c>
      <c r="F767" s="14">
        <v>8</v>
      </c>
      <c r="G767" s="14">
        <v>4060</v>
      </c>
      <c r="H767" s="14">
        <v>8.5</v>
      </c>
      <c r="I767" s="14">
        <v>29719.200000000001</v>
      </c>
      <c r="J767" s="12" t="s">
        <v>104</v>
      </c>
      <c r="K767" s="12" t="s">
        <v>116</v>
      </c>
      <c r="L767" s="23" t="str">
        <f>VLOOKUP(D767,Products!$A:$F,3,FALSE)</f>
        <v>Grocery</v>
      </c>
      <c r="M767" s="23" t="str">
        <f>VLOOKUP(E767,Sales_Reps!$A:$E,3,FALSE)</f>
        <v>West</v>
      </c>
      <c r="N767" s="23" t="str">
        <f t="shared" si="33"/>
        <v>Feb-24</v>
      </c>
      <c r="O767" s="23" t="str">
        <f t="shared" si="34"/>
        <v>Q1 2024</v>
      </c>
      <c r="P767" s="23">
        <f>VLOOKUP(D767,Products!$A:$F,4,FALSE)</f>
        <v>2911</v>
      </c>
      <c r="Q767" s="35">
        <f t="shared" si="35"/>
        <v>0.28300492610837441</v>
      </c>
    </row>
    <row r="768" spans="1:17">
      <c r="A768" s="12" t="s">
        <v>1254</v>
      </c>
      <c r="B768" s="13">
        <v>45334</v>
      </c>
      <c r="C768" s="12" t="s">
        <v>746</v>
      </c>
      <c r="D768" s="12" t="s">
        <v>132</v>
      </c>
      <c r="E768" s="12" t="s">
        <v>320</v>
      </c>
      <c r="F768" s="14">
        <v>8</v>
      </c>
      <c r="G768" s="14">
        <v>960</v>
      </c>
      <c r="H768" s="14">
        <v>8.6999999999999993</v>
      </c>
      <c r="I768" s="14">
        <v>7011.84</v>
      </c>
      <c r="J768" s="12" t="s">
        <v>104</v>
      </c>
      <c r="K768" s="12" t="s">
        <v>129</v>
      </c>
      <c r="L768" s="23" t="str">
        <f>VLOOKUP(D768,Products!$A:$F,3,FALSE)</f>
        <v>Sports</v>
      </c>
      <c r="M768" s="23" t="str">
        <f>VLOOKUP(E768,Sales_Reps!$A:$E,3,FALSE)</f>
        <v>East</v>
      </c>
      <c r="N768" s="23" t="str">
        <f t="shared" si="33"/>
        <v>Feb-24</v>
      </c>
      <c r="O768" s="23" t="str">
        <f t="shared" si="34"/>
        <v>Q1 2024</v>
      </c>
      <c r="P768" s="23">
        <f>VLOOKUP(D768,Products!$A:$F,4,FALSE)</f>
        <v>705</v>
      </c>
      <c r="Q768" s="35">
        <f t="shared" si="35"/>
        <v>0.265625</v>
      </c>
    </row>
    <row r="769" spans="1:17">
      <c r="A769" s="12" t="s">
        <v>1255</v>
      </c>
      <c r="B769" s="13">
        <v>45306</v>
      </c>
      <c r="C769" s="12" t="s">
        <v>693</v>
      </c>
      <c r="D769" s="12" t="s">
        <v>262</v>
      </c>
      <c r="E769" s="12" t="s">
        <v>360</v>
      </c>
      <c r="F769" s="14">
        <v>2</v>
      </c>
      <c r="G769" s="14">
        <v>2270</v>
      </c>
      <c r="H769" s="14">
        <v>10.199999999999999</v>
      </c>
      <c r="I769" s="14">
        <v>4076.92</v>
      </c>
      <c r="J769" s="12" t="s">
        <v>104</v>
      </c>
      <c r="K769" s="12" t="s">
        <v>105</v>
      </c>
      <c r="L769" s="23" t="str">
        <f>VLOOKUP(D769,Products!$A:$F,3,FALSE)</f>
        <v>Grocery</v>
      </c>
      <c r="M769" s="23" t="str">
        <f>VLOOKUP(E769,Sales_Reps!$A:$E,3,FALSE)</f>
        <v>West</v>
      </c>
      <c r="N769" s="23" t="str">
        <f t="shared" si="33"/>
        <v>Jan-24</v>
      </c>
      <c r="O769" s="23" t="str">
        <f t="shared" si="34"/>
        <v>Q1 2024</v>
      </c>
      <c r="P769" s="23">
        <f>VLOOKUP(D769,Products!$A:$F,4,FALSE)</f>
        <v>1412</v>
      </c>
      <c r="Q769" s="35">
        <f t="shared" si="35"/>
        <v>0.37797356828193834</v>
      </c>
    </row>
    <row r="770" spans="1:17">
      <c r="A770" s="12" t="s">
        <v>1256</v>
      </c>
      <c r="B770" s="13">
        <v>45296</v>
      </c>
      <c r="C770" s="12" t="s">
        <v>316</v>
      </c>
      <c r="D770" s="12" t="s">
        <v>251</v>
      </c>
      <c r="E770" s="12" t="s">
        <v>103</v>
      </c>
      <c r="F770" s="14">
        <v>1</v>
      </c>
      <c r="G770" s="14">
        <v>3780</v>
      </c>
      <c r="H770" s="14">
        <v>15.3</v>
      </c>
      <c r="I770" s="14">
        <v>3201.66</v>
      </c>
      <c r="J770" s="12" t="s">
        <v>157</v>
      </c>
      <c r="K770" s="12" t="s">
        <v>150</v>
      </c>
      <c r="L770" s="23" t="str">
        <f>VLOOKUP(D770,Products!$A:$F,3,FALSE)</f>
        <v>Grocery</v>
      </c>
      <c r="M770" s="23" t="str">
        <f>VLOOKUP(E770,Sales_Reps!$A:$E,3,FALSE)</f>
        <v>North</v>
      </c>
      <c r="N770" s="23" t="str">
        <f t="shared" si="33"/>
        <v>Jan-24</v>
      </c>
      <c r="O770" s="23" t="str">
        <f t="shared" si="34"/>
        <v>Q1 2024</v>
      </c>
      <c r="P770" s="23">
        <f>VLOOKUP(D770,Products!$A:$F,4,FALSE)</f>
        <v>2436</v>
      </c>
      <c r="Q770" s="35">
        <f t="shared" si="35"/>
        <v>0.35555555555555557</v>
      </c>
    </row>
    <row r="771" spans="1:17">
      <c r="A771" s="12" t="s">
        <v>1257</v>
      </c>
      <c r="B771" s="13">
        <v>45489</v>
      </c>
      <c r="C771" s="12" t="s">
        <v>891</v>
      </c>
      <c r="D771" s="12" t="s">
        <v>403</v>
      </c>
      <c r="E771" s="12" t="s">
        <v>145</v>
      </c>
      <c r="F771" s="14">
        <v>10</v>
      </c>
      <c r="G771" s="14">
        <v>2290</v>
      </c>
      <c r="H771" s="14">
        <v>2.4</v>
      </c>
      <c r="I771" s="14">
        <v>22350.400000000001</v>
      </c>
      <c r="J771" s="12" t="s">
        <v>110</v>
      </c>
      <c r="K771" s="12" t="s">
        <v>129</v>
      </c>
      <c r="L771" s="23" t="str">
        <f>VLOOKUP(D771,Products!$A:$F,3,FALSE)</f>
        <v>Beauty</v>
      </c>
      <c r="M771" s="23" t="str">
        <f>VLOOKUP(E771,Sales_Reps!$A:$E,3,FALSE)</f>
        <v>West</v>
      </c>
      <c r="N771" s="23" t="str">
        <f t="shared" ref="N771:N834" si="36">TEXT(B771, "mmm-yy")</f>
        <v>Jul-24</v>
      </c>
      <c r="O771" s="23" t="str">
        <f t="shared" ref="O771:O834" si="37">"Q" &amp; INT((MONTH(B771)-1)/3)+1 &amp; " " &amp; YEAR(B771)</f>
        <v>Q3 2024</v>
      </c>
      <c r="P771" s="23">
        <f>VLOOKUP(D771,Products!$A:$F,4,FALSE)</f>
        <v>1219</v>
      </c>
      <c r="Q771" s="35">
        <f t="shared" ref="Q771:Q834" si="38">(G771 - P771) / G771</f>
        <v>0.46768558951965067</v>
      </c>
    </row>
    <row r="772" spans="1:17">
      <c r="A772" s="12" t="s">
        <v>1258</v>
      </c>
      <c r="B772" s="13">
        <v>45416</v>
      </c>
      <c r="C772" s="12" t="s">
        <v>1248</v>
      </c>
      <c r="D772" s="12" t="s">
        <v>196</v>
      </c>
      <c r="E772" s="12" t="s">
        <v>255</v>
      </c>
      <c r="F772" s="14">
        <v>5</v>
      </c>
      <c r="G772" s="14">
        <v>3350</v>
      </c>
      <c r="H772" s="14">
        <v>18.5</v>
      </c>
      <c r="I772" s="14">
        <v>13651.25</v>
      </c>
      <c r="J772" s="12" t="s">
        <v>157</v>
      </c>
      <c r="K772" s="12" t="s">
        <v>105</v>
      </c>
      <c r="L772" s="23" t="str">
        <f>VLOOKUP(D772,Products!$A:$F,3,FALSE)</f>
        <v>Beauty</v>
      </c>
      <c r="M772" s="23" t="str">
        <f>VLOOKUP(E772,Sales_Reps!$A:$E,3,FALSE)</f>
        <v>East</v>
      </c>
      <c r="N772" s="23" t="str">
        <f t="shared" si="36"/>
        <v>May-24</v>
      </c>
      <c r="O772" s="23" t="str">
        <f t="shared" si="37"/>
        <v>Q2 2024</v>
      </c>
      <c r="P772" s="23">
        <f>VLOOKUP(D772,Products!$A:$F,4,FALSE)</f>
        <v>1728</v>
      </c>
      <c r="Q772" s="35">
        <f t="shared" si="38"/>
        <v>0.48417910447761192</v>
      </c>
    </row>
    <row r="773" spans="1:17">
      <c r="A773" s="12" t="s">
        <v>1259</v>
      </c>
      <c r="B773" s="13">
        <v>45347</v>
      </c>
      <c r="C773" s="12" t="s">
        <v>325</v>
      </c>
      <c r="D773" s="12" t="s">
        <v>372</v>
      </c>
      <c r="E773" s="12" t="s">
        <v>175</v>
      </c>
      <c r="F773" s="14">
        <v>7</v>
      </c>
      <c r="G773" s="14">
        <v>2510</v>
      </c>
      <c r="H773" s="14">
        <v>4.2</v>
      </c>
      <c r="I773" s="14">
        <v>16832.060000000001</v>
      </c>
      <c r="J773" s="12" t="s">
        <v>157</v>
      </c>
      <c r="K773" s="12" t="s">
        <v>105</v>
      </c>
      <c r="L773" s="23" t="str">
        <f>VLOOKUP(D773,Products!$A:$F,3,FALSE)</f>
        <v>Apparel</v>
      </c>
      <c r="M773" s="23" t="str">
        <f>VLOOKUP(E773,Sales_Reps!$A:$E,3,FALSE)</f>
        <v>East</v>
      </c>
      <c r="N773" s="23" t="str">
        <f t="shared" si="36"/>
        <v>Feb-24</v>
      </c>
      <c r="O773" s="23" t="str">
        <f t="shared" si="37"/>
        <v>Q1 2024</v>
      </c>
      <c r="P773" s="23">
        <f>VLOOKUP(D773,Products!$A:$F,4,FALSE)</f>
        <v>1075</v>
      </c>
      <c r="Q773" s="35">
        <f t="shared" si="38"/>
        <v>0.57171314741035861</v>
      </c>
    </row>
    <row r="774" spans="1:17">
      <c r="A774" s="12" t="s">
        <v>1260</v>
      </c>
      <c r="B774" s="13">
        <v>45652</v>
      </c>
      <c r="C774" s="12" t="s">
        <v>180</v>
      </c>
      <c r="D774" s="12" t="s">
        <v>155</v>
      </c>
      <c r="E774" s="12" t="s">
        <v>320</v>
      </c>
      <c r="F774" s="14">
        <v>1</v>
      </c>
      <c r="G774" s="14">
        <v>2600</v>
      </c>
      <c r="H774" s="14">
        <v>2.2000000000000002</v>
      </c>
      <c r="I774" s="14">
        <v>2542.8000000000002</v>
      </c>
      <c r="J774" s="12" t="s">
        <v>104</v>
      </c>
      <c r="K774" s="12" t="s">
        <v>111</v>
      </c>
      <c r="L774" s="23" t="str">
        <f>VLOOKUP(D774,Products!$A:$F,3,FALSE)</f>
        <v>Electronics</v>
      </c>
      <c r="M774" s="23" t="str">
        <f>VLOOKUP(E774,Sales_Reps!$A:$E,3,FALSE)</f>
        <v>East</v>
      </c>
      <c r="N774" s="23" t="str">
        <f t="shared" si="36"/>
        <v>Dec-24</v>
      </c>
      <c r="O774" s="23" t="str">
        <f t="shared" si="37"/>
        <v>Q4 2024</v>
      </c>
      <c r="P774" s="23">
        <f>VLOOKUP(D774,Products!$A:$F,4,FALSE)</f>
        <v>1052</v>
      </c>
      <c r="Q774" s="35">
        <f t="shared" si="38"/>
        <v>0.5953846153846154</v>
      </c>
    </row>
    <row r="775" spans="1:17">
      <c r="A775" s="12" t="s">
        <v>1261</v>
      </c>
      <c r="B775" s="13">
        <v>45467</v>
      </c>
      <c r="C775" s="12" t="s">
        <v>446</v>
      </c>
      <c r="D775" s="12" t="s">
        <v>114</v>
      </c>
      <c r="E775" s="12" t="s">
        <v>165</v>
      </c>
      <c r="F775" s="14">
        <v>8</v>
      </c>
      <c r="G775" s="14">
        <v>470</v>
      </c>
      <c r="H775" s="14">
        <v>25.2</v>
      </c>
      <c r="I775" s="14">
        <v>2812.48</v>
      </c>
      <c r="J775" s="12" t="s">
        <v>104</v>
      </c>
      <c r="K775" s="12" t="s">
        <v>134</v>
      </c>
      <c r="L775" s="23" t="str">
        <f>VLOOKUP(D775,Products!$A:$F,3,FALSE)</f>
        <v>Sports</v>
      </c>
      <c r="M775" s="23" t="str">
        <f>VLOOKUP(E775,Sales_Reps!$A:$E,3,FALSE)</f>
        <v>North</v>
      </c>
      <c r="N775" s="23" t="str">
        <f t="shared" si="36"/>
        <v>Jun-24</v>
      </c>
      <c r="O775" s="23" t="str">
        <f t="shared" si="37"/>
        <v>Q2 2024</v>
      </c>
      <c r="P775" s="23">
        <f>VLOOKUP(D775,Products!$A:$F,4,FALSE)</f>
        <v>302</v>
      </c>
      <c r="Q775" s="35">
        <f t="shared" si="38"/>
        <v>0.35744680851063831</v>
      </c>
    </row>
    <row r="776" spans="1:17">
      <c r="A776" s="12" t="s">
        <v>1262</v>
      </c>
      <c r="B776" s="13">
        <v>45558</v>
      </c>
      <c r="C776" s="12" t="s">
        <v>214</v>
      </c>
      <c r="D776" s="12" t="s">
        <v>181</v>
      </c>
      <c r="E776" s="12" t="s">
        <v>342</v>
      </c>
      <c r="F776" s="14">
        <v>6</v>
      </c>
      <c r="G776" s="14">
        <v>1080</v>
      </c>
      <c r="H776" s="14">
        <v>25</v>
      </c>
      <c r="I776" s="14">
        <v>4860</v>
      </c>
      <c r="J776" s="12" t="s">
        <v>104</v>
      </c>
      <c r="K776" s="12" t="s">
        <v>105</v>
      </c>
      <c r="L776" s="23" t="str">
        <f>VLOOKUP(D776,Products!$A:$F,3,FALSE)</f>
        <v>Home</v>
      </c>
      <c r="M776" s="23" t="str">
        <f>VLOOKUP(E776,Sales_Reps!$A:$E,3,FALSE)</f>
        <v>South</v>
      </c>
      <c r="N776" s="23" t="str">
        <f t="shared" si="36"/>
        <v>Sep-24</v>
      </c>
      <c r="O776" s="23" t="str">
        <f t="shared" si="37"/>
        <v>Q3 2024</v>
      </c>
      <c r="P776" s="23">
        <f>VLOOKUP(D776,Products!$A:$F,4,FALSE)</f>
        <v>519</v>
      </c>
      <c r="Q776" s="35">
        <f t="shared" si="38"/>
        <v>0.51944444444444449</v>
      </c>
    </row>
    <row r="777" spans="1:17">
      <c r="A777" s="12" t="s">
        <v>1263</v>
      </c>
      <c r="B777" s="13">
        <v>45645</v>
      </c>
      <c r="C777" s="12" t="s">
        <v>101</v>
      </c>
      <c r="D777" s="12" t="s">
        <v>199</v>
      </c>
      <c r="E777" s="12" t="s">
        <v>138</v>
      </c>
      <c r="F777" s="14">
        <v>2</v>
      </c>
      <c r="G777" s="14">
        <v>1010</v>
      </c>
      <c r="H777" s="14">
        <v>16.100000000000001</v>
      </c>
      <c r="I777" s="14">
        <v>1694.78</v>
      </c>
      <c r="J777" s="12" t="s">
        <v>104</v>
      </c>
      <c r="K777" s="12" t="s">
        <v>105</v>
      </c>
      <c r="L777" s="23" t="str">
        <f>VLOOKUP(D777,Products!$A:$F,3,FALSE)</f>
        <v>Sports</v>
      </c>
      <c r="M777" s="23" t="str">
        <f>VLOOKUP(E777,Sales_Reps!$A:$E,3,FALSE)</f>
        <v>East</v>
      </c>
      <c r="N777" s="23" t="str">
        <f t="shared" si="36"/>
        <v>Dec-24</v>
      </c>
      <c r="O777" s="23" t="str">
        <f t="shared" si="37"/>
        <v>Q4 2024</v>
      </c>
      <c r="P777" s="23">
        <f>VLOOKUP(D777,Products!$A:$F,4,FALSE)</f>
        <v>516</v>
      </c>
      <c r="Q777" s="35">
        <f t="shared" si="38"/>
        <v>0.4891089108910891</v>
      </c>
    </row>
    <row r="778" spans="1:17">
      <c r="A778" s="12" t="s">
        <v>1264</v>
      </c>
      <c r="B778" s="13">
        <v>45418</v>
      </c>
      <c r="C778" s="12" t="s">
        <v>742</v>
      </c>
      <c r="D778" s="12" t="s">
        <v>265</v>
      </c>
      <c r="E778" s="12" t="s">
        <v>314</v>
      </c>
      <c r="F778" s="14">
        <v>6</v>
      </c>
      <c r="G778" s="14">
        <v>3870</v>
      </c>
      <c r="H778" s="14">
        <v>22.4</v>
      </c>
      <c r="I778" s="14">
        <v>18018.72</v>
      </c>
      <c r="J778" s="12" t="s">
        <v>157</v>
      </c>
      <c r="K778" s="12" t="s">
        <v>116</v>
      </c>
      <c r="L778" s="23" t="str">
        <f>VLOOKUP(D778,Products!$A:$F,3,FALSE)</f>
        <v>Electronics</v>
      </c>
      <c r="M778" s="23" t="str">
        <f>VLOOKUP(E778,Sales_Reps!$A:$E,3,FALSE)</f>
        <v>North</v>
      </c>
      <c r="N778" s="23" t="str">
        <f t="shared" si="36"/>
        <v>May-24</v>
      </c>
      <c r="O778" s="23" t="str">
        <f t="shared" si="37"/>
        <v>Q2 2024</v>
      </c>
      <c r="P778" s="23">
        <f>VLOOKUP(D778,Products!$A:$F,4,FALSE)</f>
        <v>1559</v>
      </c>
      <c r="Q778" s="35">
        <f t="shared" si="38"/>
        <v>0.59715762273901807</v>
      </c>
    </row>
    <row r="779" spans="1:17">
      <c r="A779" s="12" t="s">
        <v>1265</v>
      </c>
      <c r="B779" s="13">
        <v>45655</v>
      </c>
      <c r="C779" s="12" t="s">
        <v>630</v>
      </c>
      <c r="D779" s="12" t="s">
        <v>312</v>
      </c>
      <c r="E779" s="12" t="s">
        <v>360</v>
      </c>
      <c r="F779" s="14">
        <v>3</v>
      </c>
      <c r="G779" s="14">
        <v>2030</v>
      </c>
      <c r="H779" s="14">
        <v>18.5</v>
      </c>
      <c r="I779" s="14">
        <v>4963.3500000000004</v>
      </c>
      <c r="J779" s="12" t="s">
        <v>104</v>
      </c>
      <c r="K779" s="12" t="s">
        <v>129</v>
      </c>
      <c r="L779" s="23" t="str">
        <f>VLOOKUP(D779,Products!$A:$F,3,FALSE)</f>
        <v>Home</v>
      </c>
      <c r="M779" s="23" t="str">
        <f>VLOOKUP(E779,Sales_Reps!$A:$E,3,FALSE)</f>
        <v>West</v>
      </c>
      <c r="N779" s="23" t="str">
        <f t="shared" si="36"/>
        <v>Dec-24</v>
      </c>
      <c r="O779" s="23" t="str">
        <f t="shared" si="37"/>
        <v>Q4 2024</v>
      </c>
      <c r="P779" s="23">
        <f>VLOOKUP(D779,Products!$A:$F,4,FALSE)</f>
        <v>1143</v>
      </c>
      <c r="Q779" s="35">
        <f t="shared" si="38"/>
        <v>0.43694581280788175</v>
      </c>
    </row>
    <row r="780" spans="1:17">
      <c r="A780" s="12" t="s">
        <v>1266</v>
      </c>
      <c r="B780" s="13">
        <v>45540</v>
      </c>
      <c r="C780" s="12" t="s">
        <v>1267</v>
      </c>
      <c r="D780" s="12" t="s">
        <v>181</v>
      </c>
      <c r="E780" s="12" t="s">
        <v>360</v>
      </c>
      <c r="F780" s="14">
        <v>7</v>
      </c>
      <c r="G780" s="14">
        <v>1080</v>
      </c>
      <c r="H780" s="14">
        <v>6.8</v>
      </c>
      <c r="I780" s="14">
        <v>7045.92</v>
      </c>
      <c r="J780" s="12" t="s">
        <v>110</v>
      </c>
      <c r="K780" s="12" t="s">
        <v>105</v>
      </c>
      <c r="L780" s="23" t="str">
        <f>VLOOKUP(D780,Products!$A:$F,3,FALSE)</f>
        <v>Home</v>
      </c>
      <c r="M780" s="23" t="str">
        <f>VLOOKUP(E780,Sales_Reps!$A:$E,3,FALSE)</f>
        <v>West</v>
      </c>
      <c r="N780" s="23" t="str">
        <f t="shared" si="36"/>
        <v>Sep-24</v>
      </c>
      <c r="O780" s="23" t="str">
        <f t="shared" si="37"/>
        <v>Q3 2024</v>
      </c>
      <c r="P780" s="23">
        <f>VLOOKUP(D780,Products!$A:$F,4,FALSE)</f>
        <v>519</v>
      </c>
      <c r="Q780" s="35">
        <f t="shared" si="38"/>
        <v>0.51944444444444449</v>
      </c>
    </row>
    <row r="781" spans="1:17">
      <c r="A781" s="12" t="s">
        <v>1268</v>
      </c>
      <c r="B781" s="13">
        <v>45609</v>
      </c>
      <c r="C781" s="12" t="s">
        <v>379</v>
      </c>
      <c r="D781" s="12" t="s">
        <v>519</v>
      </c>
      <c r="E781" s="12" t="s">
        <v>221</v>
      </c>
      <c r="F781" s="14">
        <v>1</v>
      </c>
      <c r="G781" s="14">
        <v>1090</v>
      </c>
      <c r="H781" s="14">
        <v>20.6</v>
      </c>
      <c r="I781" s="14">
        <v>865.46</v>
      </c>
      <c r="J781" s="12" t="s">
        <v>104</v>
      </c>
      <c r="K781" s="12" t="s">
        <v>111</v>
      </c>
      <c r="L781" s="23" t="str">
        <f>VLOOKUP(D781,Products!$A:$F,3,FALSE)</f>
        <v>Home</v>
      </c>
      <c r="M781" s="23" t="str">
        <f>VLOOKUP(E781,Sales_Reps!$A:$E,3,FALSE)</f>
        <v>South</v>
      </c>
      <c r="N781" s="23" t="str">
        <f t="shared" si="36"/>
        <v>Nov-24</v>
      </c>
      <c r="O781" s="23" t="str">
        <f t="shared" si="37"/>
        <v>Q4 2024</v>
      </c>
      <c r="P781" s="23">
        <f>VLOOKUP(D781,Products!$A:$F,4,FALSE)</f>
        <v>464</v>
      </c>
      <c r="Q781" s="35">
        <f t="shared" si="38"/>
        <v>0.57431192660550456</v>
      </c>
    </row>
    <row r="782" spans="1:17">
      <c r="A782" s="12" t="s">
        <v>1269</v>
      </c>
      <c r="B782" s="13">
        <v>45528</v>
      </c>
      <c r="C782" s="12" t="s">
        <v>345</v>
      </c>
      <c r="D782" s="12" t="s">
        <v>127</v>
      </c>
      <c r="E782" s="12" t="s">
        <v>290</v>
      </c>
      <c r="F782" s="14">
        <v>8</v>
      </c>
      <c r="G782" s="14">
        <v>370</v>
      </c>
      <c r="H782" s="14">
        <v>1.7</v>
      </c>
      <c r="I782" s="14">
        <v>2909.68</v>
      </c>
      <c r="J782" s="12" t="s">
        <v>104</v>
      </c>
      <c r="K782" s="12" t="s">
        <v>111</v>
      </c>
      <c r="L782" s="23" t="str">
        <f>VLOOKUP(D782,Products!$A:$F,3,FALSE)</f>
        <v>Home</v>
      </c>
      <c r="M782" s="23" t="str">
        <f>VLOOKUP(E782,Sales_Reps!$A:$E,3,FALSE)</f>
        <v>South</v>
      </c>
      <c r="N782" s="23" t="str">
        <f t="shared" si="36"/>
        <v>Aug-24</v>
      </c>
      <c r="O782" s="23" t="str">
        <f t="shared" si="37"/>
        <v>Q3 2024</v>
      </c>
      <c r="P782" s="23">
        <f>VLOOKUP(D782,Products!$A:$F,4,FALSE)</f>
        <v>288</v>
      </c>
      <c r="Q782" s="35">
        <f t="shared" si="38"/>
        <v>0.22162162162162163</v>
      </c>
    </row>
    <row r="783" spans="1:17">
      <c r="A783" s="12" t="s">
        <v>1270</v>
      </c>
      <c r="B783" s="13">
        <v>45625</v>
      </c>
      <c r="C783" s="12" t="s">
        <v>1068</v>
      </c>
      <c r="D783" s="12" t="s">
        <v>676</v>
      </c>
      <c r="E783" s="12" t="s">
        <v>320</v>
      </c>
      <c r="F783" s="14">
        <v>7</v>
      </c>
      <c r="G783" s="14">
        <v>3560</v>
      </c>
      <c r="H783" s="14">
        <v>28.7</v>
      </c>
      <c r="I783" s="14">
        <v>17767.96</v>
      </c>
      <c r="J783" s="12" t="s">
        <v>104</v>
      </c>
      <c r="K783" s="12" t="s">
        <v>129</v>
      </c>
      <c r="L783" s="23" t="str">
        <f>VLOOKUP(D783,Products!$A:$F,3,FALSE)</f>
        <v>Apparel</v>
      </c>
      <c r="M783" s="23" t="str">
        <f>VLOOKUP(E783,Sales_Reps!$A:$E,3,FALSE)</f>
        <v>East</v>
      </c>
      <c r="N783" s="23" t="str">
        <f t="shared" si="36"/>
        <v>Nov-24</v>
      </c>
      <c r="O783" s="23" t="str">
        <f t="shared" si="37"/>
        <v>Q4 2024</v>
      </c>
      <c r="P783" s="23">
        <f>VLOOKUP(D783,Products!$A:$F,4,FALSE)</f>
        <v>2629</v>
      </c>
      <c r="Q783" s="35">
        <f t="shared" si="38"/>
        <v>0.26151685393258428</v>
      </c>
    </row>
    <row r="784" spans="1:17">
      <c r="A784" s="12" t="s">
        <v>1271</v>
      </c>
      <c r="B784" s="13">
        <v>45444</v>
      </c>
      <c r="C784" s="12" t="s">
        <v>576</v>
      </c>
      <c r="D784" s="12" t="s">
        <v>258</v>
      </c>
      <c r="E784" s="12" t="s">
        <v>363</v>
      </c>
      <c r="F784" s="14">
        <v>9</v>
      </c>
      <c r="G784" s="14">
        <v>6080</v>
      </c>
      <c r="H784" s="14">
        <v>16.3</v>
      </c>
      <c r="I784" s="14">
        <v>45800.639999999999</v>
      </c>
      <c r="J784" s="12" t="s">
        <v>157</v>
      </c>
      <c r="K784" s="12" t="s">
        <v>105</v>
      </c>
      <c r="L784" s="23" t="str">
        <f>VLOOKUP(D784,Products!$A:$F,3,FALSE)</f>
        <v>Beauty</v>
      </c>
      <c r="M784" s="23" t="str">
        <f>VLOOKUP(E784,Sales_Reps!$A:$E,3,FALSE)</f>
        <v>South</v>
      </c>
      <c r="N784" s="23" t="str">
        <f t="shared" si="36"/>
        <v>Jun-24</v>
      </c>
      <c r="O784" s="23" t="str">
        <f t="shared" si="37"/>
        <v>Q2 2024</v>
      </c>
      <c r="P784" s="23">
        <f>VLOOKUP(D784,Products!$A:$F,4,FALSE)</f>
        <v>2617</v>
      </c>
      <c r="Q784" s="35">
        <f t="shared" si="38"/>
        <v>0.56957236842105263</v>
      </c>
    </row>
    <row r="785" spans="1:17">
      <c r="A785" s="12" t="s">
        <v>1272</v>
      </c>
      <c r="B785" s="13">
        <v>45505</v>
      </c>
      <c r="C785" s="12" t="s">
        <v>173</v>
      </c>
      <c r="D785" s="12" t="s">
        <v>178</v>
      </c>
      <c r="E785" s="12" t="s">
        <v>205</v>
      </c>
      <c r="F785" s="14">
        <v>2</v>
      </c>
      <c r="G785" s="14">
        <v>3450</v>
      </c>
      <c r="H785" s="14">
        <v>17.600000000000001</v>
      </c>
      <c r="I785" s="14">
        <v>5685.6</v>
      </c>
      <c r="J785" s="12" t="s">
        <v>110</v>
      </c>
      <c r="K785" s="12" t="s">
        <v>150</v>
      </c>
      <c r="L785" s="23" t="str">
        <f>VLOOKUP(D785,Products!$A:$F,3,FALSE)</f>
        <v>Sports</v>
      </c>
      <c r="M785" s="23" t="str">
        <f>VLOOKUP(E785,Sales_Reps!$A:$E,3,FALSE)</f>
        <v>South</v>
      </c>
      <c r="N785" s="23" t="str">
        <f t="shared" si="36"/>
        <v>Aug-24</v>
      </c>
      <c r="O785" s="23" t="str">
        <f t="shared" si="37"/>
        <v>Q3 2024</v>
      </c>
      <c r="P785" s="23">
        <f>VLOOKUP(D785,Products!$A:$F,4,FALSE)</f>
        <v>2467</v>
      </c>
      <c r="Q785" s="35">
        <f t="shared" si="38"/>
        <v>0.28492753623188405</v>
      </c>
    </row>
    <row r="786" spans="1:17">
      <c r="A786" s="12" t="s">
        <v>1273</v>
      </c>
      <c r="B786" s="13">
        <v>45401</v>
      </c>
      <c r="C786" s="12" t="s">
        <v>234</v>
      </c>
      <c r="D786" s="12" t="s">
        <v>460</v>
      </c>
      <c r="E786" s="12" t="s">
        <v>221</v>
      </c>
      <c r="F786" s="14">
        <v>1</v>
      </c>
      <c r="G786" s="14">
        <v>5080</v>
      </c>
      <c r="H786" s="14">
        <v>5.9</v>
      </c>
      <c r="I786" s="14">
        <v>4780.28</v>
      </c>
      <c r="J786" s="12" t="s">
        <v>104</v>
      </c>
      <c r="K786" s="12" t="s">
        <v>111</v>
      </c>
      <c r="L786" s="23" t="str">
        <f>VLOOKUP(D786,Products!$A:$F,3,FALSE)</f>
        <v>Home</v>
      </c>
      <c r="M786" s="23" t="str">
        <f>VLOOKUP(E786,Sales_Reps!$A:$E,3,FALSE)</f>
        <v>South</v>
      </c>
      <c r="N786" s="23" t="str">
        <f t="shared" si="36"/>
        <v>Apr-24</v>
      </c>
      <c r="O786" s="23" t="str">
        <f t="shared" si="37"/>
        <v>Q2 2024</v>
      </c>
      <c r="P786" s="23">
        <f>VLOOKUP(D786,Products!$A:$F,4,FALSE)</f>
        <v>2459</v>
      </c>
      <c r="Q786" s="35">
        <f t="shared" si="38"/>
        <v>0.51594488188976373</v>
      </c>
    </row>
    <row r="787" spans="1:17">
      <c r="A787" s="12" t="s">
        <v>1274</v>
      </c>
      <c r="B787" s="13">
        <v>45364</v>
      </c>
      <c r="C787" s="12" t="s">
        <v>900</v>
      </c>
      <c r="D787" s="12" t="s">
        <v>469</v>
      </c>
      <c r="E787" s="12" t="s">
        <v>171</v>
      </c>
      <c r="F787" s="14">
        <v>7</v>
      </c>
      <c r="G787" s="14">
        <v>3450</v>
      </c>
      <c r="H787" s="14">
        <v>17.399999999999999</v>
      </c>
      <c r="I787" s="14">
        <v>19947.900000000001</v>
      </c>
      <c r="J787" s="12" t="s">
        <v>104</v>
      </c>
      <c r="K787" s="12" t="s">
        <v>150</v>
      </c>
      <c r="L787" s="23" t="str">
        <f>VLOOKUP(D787,Products!$A:$F,3,FALSE)</f>
        <v>Apparel</v>
      </c>
      <c r="M787" s="23" t="str">
        <f>VLOOKUP(E787,Sales_Reps!$A:$E,3,FALSE)</f>
        <v>East</v>
      </c>
      <c r="N787" s="23" t="str">
        <f t="shared" si="36"/>
        <v>Mar-24</v>
      </c>
      <c r="O787" s="23" t="str">
        <f t="shared" si="37"/>
        <v>Q1 2024</v>
      </c>
      <c r="P787" s="23">
        <f>VLOOKUP(D787,Products!$A:$F,4,FALSE)</f>
        <v>1748</v>
      </c>
      <c r="Q787" s="35">
        <f t="shared" si="38"/>
        <v>0.49333333333333335</v>
      </c>
    </row>
    <row r="788" spans="1:17">
      <c r="A788" s="12" t="s">
        <v>1275</v>
      </c>
      <c r="B788" s="13">
        <v>45403</v>
      </c>
      <c r="C788" s="12" t="s">
        <v>1189</v>
      </c>
      <c r="D788" s="12" t="s">
        <v>148</v>
      </c>
      <c r="E788" s="12" t="s">
        <v>221</v>
      </c>
      <c r="F788" s="14">
        <v>8</v>
      </c>
      <c r="G788" s="14">
        <v>2270</v>
      </c>
      <c r="H788" s="14">
        <v>24.7</v>
      </c>
      <c r="I788" s="14">
        <v>13674.48</v>
      </c>
      <c r="J788" s="12" t="s">
        <v>104</v>
      </c>
      <c r="K788" s="12" t="s">
        <v>105</v>
      </c>
      <c r="L788" s="23" t="str">
        <f>VLOOKUP(D788,Products!$A:$F,3,FALSE)</f>
        <v>Grocery</v>
      </c>
      <c r="M788" s="23" t="str">
        <f>VLOOKUP(E788,Sales_Reps!$A:$E,3,FALSE)</f>
        <v>South</v>
      </c>
      <c r="N788" s="23" t="str">
        <f t="shared" si="36"/>
        <v>Apr-24</v>
      </c>
      <c r="O788" s="23" t="str">
        <f t="shared" si="37"/>
        <v>Q2 2024</v>
      </c>
      <c r="P788" s="23">
        <f>VLOOKUP(D788,Products!$A:$F,4,FALSE)</f>
        <v>1203</v>
      </c>
      <c r="Q788" s="35">
        <f t="shared" si="38"/>
        <v>0.47004405286343615</v>
      </c>
    </row>
    <row r="789" spans="1:17">
      <c r="A789" s="12" t="s">
        <v>1276</v>
      </c>
      <c r="B789" s="13">
        <v>45599</v>
      </c>
      <c r="C789" s="12" t="s">
        <v>101</v>
      </c>
      <c r="D789" s="12" t="s">
        <v>123</v>
      </c>
      <c r="E789" s="12" t="s">
        <v>171</v>
      </c>
      <c r="F789" s="14">
        <v>3</v>
      </c>
      <c r="G789" s="14">
        <v>3160</v>
      </c>
      <c r="H789" s="14">
        <v>1.5</v>
      </c>
      <c r="I789" s="14">
        <v>9337.7999999999993</v>
      </c>
      <c r="J789" s="12" t="s">
        <v>110</v>
      </c>
      <c r="K789" s="12" t="s">
        <v>105</v>
      </c>
      <c r="L789" s="23" t="str">
        <f>VLOOKUP(D789,Products!$A:$F,3,FALSE)</f>
        <v>Apparel</v>
      </c>
      <c r="M789" s="23" t="str">
        <f>VLOOKUP(E789,Sales_Reps!$A:$E,3,FALSE)</f>
        <v>East</v>
      </c>
      <c r="N789" s="23" t="str">
        <f t="shared" si="36"/>
        <v>Nov-24</v>
      </c>
      <c r="O789" s="23" t="str">
        <f t="shared" si="37"/>
        <v>Q4 2024</v>
      </c>
      <c r="P789" s="23">
        <f>VLOOKUP(D789,Products!$A:$F,4,FALSE)</f>
        <v>1886</v>
      </c>
      <c r="Q789" s="35">
        <f t="shared" si="38"/>
        <v>0.4031645569620253</v>
      </c>
    </row>
    <row r="790" spans="1:17">
      <c r="A790" s="12" t="s">
        <v>1277</v>
      </c>
      <c r="B790" s="13">
        <v>45389</v>
      </c>
      <c r="C790" s="12" t="s">
        <v>1278</v>
      </c>
      <c r="D790" s="12" t="s">
        <v>196</v>
      </c>
      <c r="E790" s="12" t="s">
        <v>246</v>
      </c>
      <c r="F790" s="14">
        <v>6</v>
      </c>
      <c r="G790" s="14">
        <v>3350</v>
      </c>
      <c r="H790" s="14">
        <v>0.9</v>
      </c>
      <c r="I790" s="14">
        <v>19919.099999999999</v>
      </c>
      <c r="J790" s="12" t="s">
        <v>110</v>
      </c>
      <c r="K790" s="12" t="s">
        <v>134</v>
      </c>
      <c r="L790" s="23" t="str">
        <f>VLOOKUP(D790,Products!$A:$F,3,FALSE)</f>
        <v>Beauty</v>
      </c>
      <c r="M790" s="23" t="str">
        <f>VLOOKUP(E790,Sales_Reps!$A:$E,3,FALSE)</f>
        <v>West</v>
      </c>
      <c r="N790" s="23" t="str">
        <f t="shared" si="36"/>
        <v>Apr-24</v>
      </c>
      <c r="O790" s="23" t="str">
        <f t="shared" si="37"/>
        <v>Q2 2024</v>
      </c>
      <c r="P790" s="23">
        <f>VLOOKUP(D790,Products!$A:$F,4,FALSE)</f>
        <v>1728</v>
      </c>
      <c r="Q790" s="35">
        <f t="shared" si="38"/>
        <v>0.48417910447761192</v>
      </c>
    </row>
    <row r="791" spans="1:17">
      <c r="A791" s="12" t="s">
        <v>1279</v>
      </c>
      <c r="B791" s="13">
        <v>45506</v>
      </c>
      <c r="C791" s="12" t="s">
        <v>962</v>
      </c>
      <c r="D791" s="12" t="s">
        <v>193</v>
      </c>
      <c r="E791" s="12" t="s">
        <v>246</v>
      </c>
      <c r="F791" s="14">
        <v>7</v>
      </c>
      <c r="G791" s="14">
        <v>1650</v>
      </c>
      <c r="H791" s="14">
        <v>5.6</v>
      </c>
      <c r="I791" s="14">
        <v>10903.2</v>
      </c>
      <c r="J791" s="12" t="s">
        <v>161</v>
      </c>
      <c r="K791" s="12" t="s">
        <v>105</v>
      </c>
      <c r="L791" s="23" t="str">
        <f>VLOOKUP(D791,Products!$A:$F,3,FALSE)</f>
        <v>Beauty</v>
      </c>
      <c r="M791" s="23" t="str">
        <f>VLOOKUP(E791,Sales_Reps!$A:$E,3,FALSE)</f>
        <v>West</v>
      </c>
      <c r="N791" s="23" t="str">
        <f t="shared" si="36"/>
        <v>Aug-24</v>
      </c>
      <c r="O791" s="23" t="str">
        <f t="shared" si="37"/>
        <v>Q3 2024</v>
      </c>
      <c r="P791" s="23">
        <f>VLOOKUP(D791,Products!$A:$F,4,FALSE)</f>
        <v>1222</v>
      </c>
      <c r="Q791" s="35">
        <f t="shared" si="38"/>
        <v>0.2593939393939394</v>
      </c>
    </row>
    <row r="792" spans="1:17">
      <c r="A792" s="12" t="s">
        <v>1280</v>
      </c>
      <c r="B792" s="13">
        <v>45402</v>
      </c>
      <c r="C792" s="12" t="s">
        <v>742</v>
      </c>
      <c r="D792" s="12" t="s">
        <v>141</v>
      </c>
      <c r="E792" s="12" t="s">
        <v>165</v>
      </c>
      <c r="F792" s="14">
        <v>1</v>
      </c>
      <c r="G792" s="14">
        <v>5490</v>
      </c>
      <c r="H792" s="14">
        <v>5.8</v>
      </c>
      <c r="I792" s="14">
        <v>5171.58</v>
      </c>
      <c r="J792" s="12" t="s">
        <v>104</v>
      </c>
      <c r="K792" s="12" t="s">
        <v>116</v>
      </c>
      <c r="L792" s="23" t="str">
        <f>VLOOKUP(D792,Products!$A:$F,3,FALSE)</f>
        <v>Home</v>
      </c>
      <c r="M792" s="23" t="str">
        <f>VLOOKUP(E792,Sales_Reps!$A:$E,3,FALSE)</f>
        <v>North</v>
      </c>
      <c r="N792" s="23" t="str">
        <f t="shared" si="36"/>
        <v>Apr-24</v>
      </c>
      <c r="O792" s="23" t="str">
        <f t="shared" si="37"/>
        <v>Q2 2024</v>
      </c>
      <c r="P792" s="23">
        <f>VLOOKUP(D792,Products!$A:$F,4,FALSE)</f>
        <v>2549</v>
      </c>
      <c r="Q792" s="35">
        <f t="shared" si="38"/>
        <v>0.53570127504553733</v>
      </c>
    </row>
    <row r="793" spans="1:17">
      <c r="A793" s="12" t="s">
        <v>1281</v>
      </c>
      <c r="B793" s="13">
        <v>45405</v>
      </c>
      <c r="C793" s="12" t="s">
        <v>167</v>
      </c>
      <c r="D793" s="12" t="s">
        <v>181</v>
      </c>
      <c r="E793" s="12" t="s">
        <v>133</v>
      </c>
      <c r="F793" s="14">
        <v>3</v>
      </c>
      <c r="G793" s="14">
        <v>1080</v>
      </c>
      <c r="H793" s="14">
        <v>20.9</v>
      </c>
      <c r="I793" s="14">
        <v>2562.84</v>
      </c>
      <c r="J793" s="12" t="s">
        <v>104</v>
      </c>
      <c r="K793" s="12" t="s">
        <v>105</v>
      </c>
      <c r="L793" s="23" t="str">
        <f>VLOOKUP(D793,Products!$A:$F,3,FALSE)</f>
        <v>Home</v>
      </c>
      <c r="M793" s="23" t="str">
        <f>VLOOKUP(E793,Sales_Reps!$A:$E,3,FALSE)</f>
        <v>West</v>
      </c>
      <c r="N793" s="23" t="str">
        <f t="shared" si="36"/>
        <v>Apr-24</v>
      </c>
      <c r="O793" s="23" t="str">
        <f t="shared" si="37"/>
        <v>Q2 2024</v>
      </c>
      <c r="P793" s="23">
        <f>VLOOKUP(D793,Products!$A:$F,4,FALSE)</f>
        <v>519</v>
      </c>
      <c r="Q793" s="35">
        <f t="shared" si="38"/>
        <v>0.51944444444444449</v>
      </c>
    </row>
    <row r="794" spans="1:17">
      <c r="A794" s="12" t="s">
        <v>1282</v>
      </c>
      <c r="B794" s="13">
        <v>45434</v>
      </c>
      <c r="C794" s="12" t="s">
        <v>1283</v>
      </c>
      <c r="D794" s="12" t="s">
        <v>251</v>
      </c>
      <c r="E794" s="12" t="s">
        <v>320</v>
      </c>
      <c r="F794" s="14">
        <v>10</v>
      </c>
      <c r="G794" s="14">
        <v>3780</v>
      </c>
      <c r="H794" s="14">
        <v>5.5</v>
      </c>
      <c r="I794" s="14">
        <v>35721</v>
      </c>
      <c r="J794" s="12" t="s">
        <v>104</v>
      </c>
      <c r="K794" s="12" t="s">
        <v>150</v>
      </c>
      <c r="L794" s="23" t="str">
        <f>VLOOKUP(D794,Products!$A:$F,3,FALSE)</f>
        <v>Grocery</v>
      </c>
      <c r="M794" s="23" t="str">
        <f>VLOOKUP(E794,Sales_Reps!$A:$E,3,FALSE)</f>
        <v>East</v>
      </c>
      <c r="N794" s="23" t="str">
        <f t="shared" si="36"/>
        <v>May-24</v>
      </c>
      <c r="O794" s="23" t="str">
        <f t="shared" si="37"/>
        <v>Q2 2024</v>
      </c>
      <c r="P794" s="23">
        <f>VLOOKUP(D794,Products!$A:$F,4,FALSE)</f>
        <v>2436</v>
      </c>
      <c r="Q794" s="35">
        <f t="shared" si="38"/>
        <v>0.35555555555555557</v>
      </c>
    </row>
    <row r="795" spans="1:17">
      <c r="A795" s="12" t="s">
        <v>1284</v>
      </c>
      <c r="B795" s="13">
        <v>45558</v>
      </c>
      <c r="C795" s="12" t="s">
        <v>225</v>
      </c>
      <c r="D795" s="12" t="s">
        <v>312</v>
      </c>
      <c r="E795" s="12" t="s">
        <v>187</v>
      </c>
      <c r="F795" s="14">
        <v>2</v>
      </c>
      <c r="G795" s="14">
        <v>2030</v>
      </c>
      <c r="H795" s="14">
        <v>2</v>
      </c>
      <c r="I795" s="14">
        <v>3978.8</v>
      </c>
      <c r="J795" s="12" t="s">
        <v>110</v>
      </c>
      <c r="K795" s="12" t="s">
        <v>150</v>
      </c>
      <c r="L795" s="23" t="str">
        <f>VLOOKUP(D795,Products!$A:$F,3,FALSE)</f>
        <v>Home</v>
      </c>
      <c r="M795" s="23" t="str">
        <f>VLOOKUP(E795,Sales_Reps!$A:$E,3,FALSE)</f>
        <v>West</v>
      </c>
      <c r="N795" s="23" t="str">
        <f t="shared" si="36"/>
        <v>Sep-24</v>
      </c>
      <c r="O795" s="23" t="str">
        <f t="shared" si="37"/>
        <v>Q3 2024</v>
      </c>
      <c r="P795" s="23">
        <f>VLOOKUP(D795,Products!$A:$F,4,FALSE)</f>
        <v>1143</v>
      </c>
      <c r="Q795" s="35">
        <f t="shared" si="38"/>
        <v>0.43694581280788175</v>
      </c>
    </row>
    <row r="796" spans="1:17">
      <c r="A796" s="12" t="s">
        <v>1285</v>
      </c>
      <c r="B796" s="13">
        <v>45582</v>
      </c>
      <c r="C796" s="12" t="s">
        <v>584</v>
      </c>
      <c r="D796" s="12" t="s">
        <v>276</v>
      </c>
      <c r="E796" s="12" t="s">
        <v>138</v>
      </c>
      <c r="F796" s="14">
        <v>8</v>
      </c>
      <c r="G796" s="14">
        <v>1540</v>
      </c>
      <c r="H796" s="14">
        <v>9</v>
      </c>
      <c r="I796" s="14">
        <v>11211.2</v>
      </c>
      <c r="J796" s="12" t="s">
        <v>157</v>
      </c>
      <c r="K796" s="12" t="s">
        <v>134</v>
      </c>
      <c r="L796" s="23" t="str">
        <f>VLOOKUP(D796,Products!$A:$F,3,FALSE)</f>
        <v>Beauty</v>
      </c>
      <c r="M796" s="23" t="str">
        <f>VLOOKUP(E796,Sales_Reps!$A:$E,3,FALSE)</f>
        <v>East</v>
      </c>
      <c r="N796" s="23" t="str">
        <f t="shared" si="36"/>
        <v>Oct-24</v>
      </c>
      <c r="O796" s="23" t="str">
        <f t="shared" si="37"/>
        <v>Q4 2024</v>
      </c>
      <c r="P796" s="23">
        <f>VLOOKUP(D796,Products!$A:$F,4,FALSE)</f>
        <v>647</v>
      </c>
      <c r="Q796" s="35">
        <f t="shared" si="38"/>
        <v>0.57987012987012987</v>
      </c>
    </row>
    <row r="797" spans="1:17">
      <c r="A797" s="12" t="s">
        <v>1286</v>
      </c>
      <c r="B797" s="13">
        <v>45601</v>
      </c>
      <c r="C797" s="12" t="s">
        <v>143</v>
      </c>
      <c r="D797" s="12" t="s">
        <v>160</v>
      </c>
      <c r="E797" s="12" t="s">
        <v>205</v>
      </c>
      <c r="F797" s="14">
        <v>9</v>
      </c>
      <c r="G797" s="14">
        <v>3250</v>
      </c>
      <c r="H797" s="14">
        <v>20.5</v>
      </c>
      <c r="I797" s="14">
        <v>23253.75</v>
      </c>
      <c r="J797" s="12" t="s">
        <v>104</v>
      </c>
      <c r="K797" s="12" t="s">
        <v>105</v>
      </c>
      <c r="L797" s="23" t="str">
        <f>VLOOKUP(D797,Products!$A:$F,3,FALSE)</f>
        <v>Home</v>
      </c>
      <c r="M797" s="23" t="str">
        <f>VLOOKUP(E797,Sales_Reps!$A:$E,3,FALSE)</f>
        <v>South</v>
      </c>
      <c r="N797" s="23" t="str">
        <f t="shared" si="36"/>
        <v>Nov-24</v>
      </c>
      <c r="O797" s="23" t="str">
        <f t="shared" si="37"/>
        <v>Q4 2024</v>
      </c>
      <c r="P797" s="23">
        <f>VLOOKUP(D797,Products!$A:$F,4,FALSE)</f>
        <v>1556</v>
      </c>
      <c r="Q797" s="35">
        <f t="shared" si="38"/>
        <v>0.52123076923076928</v>
      </c>
    </row>
    <row r="798" spans="1:17">
      <c r="A798" s="12" t="s">
        <v>1287</v>
      </c>
      <c r="B798" s="13">
        <v>45344</v>
      </c>
      <c r="C798" s="12" t="s">
        <v>416</v>
      </c>
      <c r="D798" s="12" t="s">
        <v>174</v>
      </c>
      <c r="E798" s="12" t="s">
        <v>109</v>
      </c>
      <c r="F798" s="14">
        <v>3</v>
      </c>
      <c r="G798" s="14">
        <v>3450</v>
      </c>
      <c r="H798" s="14">
        <v>17.899999999999999</v>
      </c>
      <c r="I798" s="14">
        <v>8497.35</v>
      </c>
      <c r="J798" s="12" t="s">
        <v>104</v>
      </c>
      <c r="K798" s="12" t="s">
        <v>116</v>
      </c>
      <c r="L798" s="23" t="str">
        <f>VLOOKUP(D798,Products!$A:$F,3,FALSE)</f>
        <v>Beauty</v>
      </c>
      <c r="M798" s="23" t="str">
        <f>VLOOKUP(E798,Sales_Reps!$A:$E,3,FALSE)</f>
        <v>North</v>
      </c>
      <c r="N798" s="23" t="str">
        <f t="shared" si="36"/>
        <v>Feb-24</v>
      </c>
      <c r="O798" s="23" t="str">
        <f t="shared" si="37"/>
        <v>Q1 2024</v>
      </c>
      <c r="P798" s="23">
        <f>VLOOKUP(D798,Products!$A:$F,4,FALSE)</f>
        <v>2420</v>
      </c>
      <c r="Q798" s="35">
        <f t="shared" si="38"/>
        <v>0.29855072463768118</v>
      </c>
    </row>
    <row r="799" spans="1:17">
      <c r="A799" s="12" t="s">
        <v>1288</v>
      </c>
      <c r="B799" s="13">
        <v>45504</v>
      </c>
      <c r="C799" s="12" t="s">
        <v>422</v>
      </c>
      <c r="D799" s="12" t="s">
        <v>141</v>
      </c>
      <c r="E799" s="12" t="s">
        <v>124</v>
      </c>
      <c r="F799" s="14">
        <v>5</v>
      </c>
      <c r="G799" s="14">
        <v>5490</v>
      </c>
      <c r="H799" s="14">
        <v>7.9</v>
      </c>
      <c r="I799" s="14">
        <v>25281.45</v>
      </c>
      <c r="J799" s="12" t="s">
        <v>104</v>
      </c>
      <c r="K799" s="12" t="s">
        <v>111</v>
      </c>
      <c r="L799" s="23" t="str">
        <f>VLOOKUP(D799,Products!$A:$F,3,FALSE)</f>
        <v>Home</v>
      </c>
      <c r="M799" s="23" t="str">
        <f>VLOOKUP(E799,Sales_Reps!$A:$E,3,FALSE)</f>
        <v>North</v>
      </c>
      <c r="N799" s="23" t="str">
        <f t="shared" si="36"/>
        <v>Jul-24</v>
      </c>
      <c r="O799" s="23" t="str">
        <f t="shared" si="37"/>
        <v>Q3 2024</v>
      </c>
      <c r="P799" s="23">
        <f>VLOOKUP(D799,Products!$A:$F,4,FALSE)</f>
        <v>2549</v>
      </c>
      <c r="Q799" s="35">
        <f t="shared" si="38"/>
        <v>0.53570127504553733</v>
      </c>
    </row>
    <row r="800" spans="1:17">
      <c r="A800" s="12" t="s">
        <v>1289</v>
      </c>
      <c r="B800" s="13">
        <v>45306</v>
      </c>
      <c r="C800" s="12" t="s">
        <v>643</v>
      </c>
      <c r="D800" s="12" t="s">
        <v>127</v>
      </c>
      <c r="E800" s="12" t="s">
        <v>246</v>
      </c>
      <c r="F800" s="14">
        <v>3</v>
      </c>
      <c r="G800" s="14">
        <v>370</v>
      </c>
      <c r="H800" s="14">
        <v>13.4</v>
      </c>
      <c r="I800" s="14">
        <v>961.26</v>
      </c>
      <c r="J800" s="12" t="s">
        <v>104</v>
      </c>
      <c r="K800" s="12" t="s">
        <v>116</v>
      </c>
      <c r="L800" s="23" t="str">
        <f>VLOOKUP(D800,Products!$A:$F,3,FALSE)</f>
        <v>Home</v>
      </c>
      <c r="M800" s="23" t="str">
        <f>VLOOKUP(E800,Sales_Reps!$A:$E,3,FALSE)</f>
        <v>West</v>
      </c>
      <c r="N800" s="23" t="str">
        <f t="shared" si="36"/>
        <v>Jan-24</v>
      </c>
      <c r="O800" s="23" t="str">
        <f t="shared" si="37"/>
        <v>Q1 2024</v>
      </c>
      <c r="P800" s="23">
        <f>VLOOKUP(D800,Products!$A:$F,4,FALSE)</f>
        <v>288</v>
      </c>
      <c r="Q800" s="35">
        <f t="shared" si="38"/>
        <v>0.22162162162162163</v>
      </c>
    </row>
    <row r="801" spans="1:17">
      <c r="A801" s="12" t="s">
        <v>1290</v>
      </c>
      <c r="B801" s="13">
        <v>45413</v>
      </c>
      <c r="C801" s="12" t="s">
        <v>395</v>
      </c>
      <c r="D801" s="12" t="s">
        <v>381</v>
      </c>
      <c r="E801" s="12" t="s">
        <v>221</v>
      </c>
      <c r="F801" s="14">
        <v>7</v>
      </c>
      <c r="G801" s="14">
        <v>5330</v>
      </c>
      <c r="H801" s="14">
        <v>29.7</v>
      </c>
      <c r="I801" s="14">
        <v>26228.93</v>
      </c>
      <c r="J801" s="12" t="s">
        <v>110</v>
      </c>
      <c r="K801" s="12" t="s">
        <v>111</v>
      </c>
      <c r="L801" s="23" t="str">
        <f>VLOOKUP(D801,Products!$A:$F,3,FALSE)</f>
        <v>Electronics</v>
      </c>
      <c r="M801" s="23" t="str">
        <f>VLOOKUP(E801,Sales_Reps!$A:$E,3,FALSE)</f>
        <v>South</v>
      </c>
      <c r="N801" s="23" t="str">
        <f t="shared" si="36"/>
        <v>May-24</v>
      </c>
      <c r="O801" s="23" t="str">
        <f t="shared" si="37"/>
        <v>Q2 2024</v>
      </c>
      <c r="P801" s="23">
        <f>VLOOKUP(D801,Products!$A:$F,4,FALSE)</f>
        <v>2405</v>
      </c>
      <c r="Q801" s="35">
        <f t="shared" si="38"/>
        <v>0.54878048780487809</v>
      </c>
    </row>
    <row r="802" spans="1:17">
      <c r="A802" s="12" t="s">
        <v>1291</v>
      </c>
      <c r="B802" s="13">
        <v>45368</v>
      </c>
      <c r="C802" s="12" t="s">
        <v>1082</v>
      </c>
      <c r="D802" s="12" t="s">
        <v>178</v>
      </c>
      <c r="E802" s="12" t="s">
        <v>363</v>
      </c>
      <c r="F802" s="14">
        <v>8</v>
      </c>
      <c r="G802" s="14">
        <v>3450</v>
      </c>
      <c r="H802" s="14">
        <v>23.7</v>
      </c>
      <c r="I802" s="14">
        <v>21058.799999999999</v>
      </c>
      <c r="J802" s="12" t="s">
        <v>104</v>
      </c>
      <c r="K802" s="12" t="s">
        <v>111</v>
      </c>
      <c r="L802" s="23" t="str">
        <f>VLOOKUP(D802,Products!$A:$F,3,FALSE)</f>
        <v>Sports</v>
      </c>
      <c r="M802" s="23" t="str">
        <f>VLOOKUP(E802,Sales_Reps!$A:$E,3,FALSE)</f>
        <v>South</v>
      </c>
      <c r="N802" s="23" t="str">
        <f t="shared" si="36"/>
        <v>Mar-24</v>
      </c>
      <c r="O802" s="23" t="str">
        <f t="shared" si="37"/>
        <v>Q1 2024</v>
      </c>
      <c r="P802" s="23">
        <f>VLOOKUP(D802,Products!$A:$F,4,FALSE)</f>
        <v>2467</v>
      </c>
      <c r="Q802" s="35">
        <f t="shared" si="38"/>
        <v>0.28492753623188405</v>
      </c>
    </row>
    <row r="803" spans="1:17">
      <c r="A803" s="12" t="s">
        <v>1292</v>
      </c>
      <c r="B803" s="13">
        <v>45316</v>
      </c>
      <c r="C803" s="12" t="s">
        <v>379</v>
      </c>
      <c r="D803" s="12" t="s">
        <v>469</v>
      </c>
      <c r="E803" s="12" t="s">
        <v>360</v>
      </c>
      <c r="F803" s="14">
        <v>8</v>
      </c>
      <c r="G803" s="14">
        <v>3450</v>
      </c>
      <c r="H803" s="14">
        <v>5.4</v>
      </c>
      <c r="I803" s="14">
        <v>26109.599999999999</v>
      </c>
      <c r="J803" s="12" t="s">
        <v>104</v>
      </c>
      <c r="K803" s="12" t="s">
        <v>111</v>
      </c>
      <c r="L803" s="23" t="str">
        <f>VLOOKUP(D803,Products!$A:$F,3,FALSE)</f>
        <v>Apparel</v>
      </c>
      <c r="M803" s="23" t="str">
        <f>VLOOKUP(E803,Sales_Reps!$A:$E,3,FALSE)</f>
        <v>West</v>
      </c>
      <c r="N803" s="23" t="str">
        <f t="shared" si="36"/>
        <v>Jan-24</v>
      </c>
      <c r="O803" s="23" t="str">
        <f t="shared" si="37"/>
        <v>Q1 2024</v>
      </c>
      <c r="P803" s="23">
        <f>VLOOKUP(D803,Products!$A:$F,4,FALSE)</f>
        <v>1748</v>
      </c>
      <c r="Q803" s="35">
        <f t="shared" si="38"/>
        <v>0.49333333333333335</v>
      </c>
    </row>
    <row r="804" spans="1:17">
      <c r="A804" s="12" t="s">
        <v>1293</v>
      </c>
      <c r="B804" s="13">
        <v>45652</v>
      </c>
      <c r="C804" s="12" t="s">
        <v>889</v>
      </c>
      <c r="D804" s="12" t="s">
        <v>258</v>
      </c>
      <c r="E804" s="12" t="s">
        <v>246</v>
      </c>
      <c r="F804" s="14">
        <v>1</v>
      </c>
      <c r="G804" s="14">
        <v>6080</v>
      </c>
      <c r="H804" s="14">
        <v>22.3</v>
      </c>
      <c r="I804" s="14">
        <v>4724.16</v>
      </c>
      <c r="J804" s="12" t="s">
        <v>104</v>
      </c>
      <c r="K804" s="12" t="s">
        <v>129</v>
      </c>
      <c r="L804" s="23" t="str">
        <f>VLOOKUP(D804,Products!$A:$F,3,FALSE)</f>
        <v>Beauty</v>
      </c>
      <c r="M804" s="23" t="str">
        <f>VLOOKUP(E804,Sales_Reps!$A:$E,3,FALSE)</f>
        <v>West</v>
      </c>
      <c r="N804" s="23" t="str">
        <f t="shared" si="36"/>
        <v>Dec-24</v>
      </c>
      <c r="O804" s="23" t="str">
        <f t="shared" si="37"/>
        <v>Q4 2024</v>
      </c>
      <c r="P804" s="23">
        <f>VLOOKUP(D804,Products!$A:$F,4,FALSE)</f>
        <v>2617</v>
      </c>
      <c r="Q804" s="35">
        <f t="shared" si="38"/>
        <v>0.56957236842105263</v>
      </c>
    </row>
    <row r="805" spans="1:17">
      <c r="A805" s="12" t="s">
        <v>1294</v>
      </c>
      <c r="B805" s="13">
        <v>45597</v>
      </c>
      <c r="C805" s="12" t="s">
        <v>236</v>
      </c>
      <c r="D805" s="12" t="s">
        <v>372</v>
      </c>
      <c r="E805" s="12" t="s">
        <v>290</v>
      </c>
      <c r="F805" s="14">
        <v>9</v>
      </c>
      <c r="G805" s="14">
        <v>2510</v>
      </c>
      <c r="H805" s="14">
        <v>27.4</v>
      </c>
      <c r="I805" s="14">
        <v>16400.34</v>
      </c>
      <c r="J805" s="12" t="s">
        <v>104</v>
      </c>
      <c r="K805" s="12" t="s">
        <v>116</v>
      </c>
      <c r="L805" s="23" t="str">
        <f>VLOOKUP(D805,Products!$A:$F,3,FALSE)</f>
        <v>Apparel</v>
      </c>
      <c r="M805" s="23" t="str">
        <f>VLOOKUP(E805,Sales_Reps!$A:$E,3,FALSE)</f>
        <v>South</v>
      </c>
      <c r="N805" s="23" t="str">
        <f t="shared" si="36"/>
        <v>Nov-24</v>
      </c>
      <c r="O805" s="23" t="str">
        <f t="shared" si="37"/>
        <v>Q4 2024</v>
      </c>
      <c r="P805" s="23">
        <f>VLOOKUP(D805,Products!$A:$F,4,FALSE)</f>
        <v>1075</v>
      </c>
      <c r="Q805" s="35">
        <f t="shared" si="38"/>
        <v>0.57171314741035861</v>
      </c>
    </row>
    <row r="806" spans="1:17">
      <c r="A806" s="12" t="s">
        <v>1295</v>
      </c>
      <c r="B806" s="13">
        <v>45392</v>
      </c>
      <c r="C806" s="12" t="s">
        <v>177</v>
      </c>
      <c r="D806" s="12" t="s">
        <v>199</v>
      </c>
      <c r="E806" s="12" t="s">
        <v>342</v>
      </c>
      <c r="F806" s="14">
        <v>10</v>
      </c>
      <c r="G806" s="14">
        <v>1010</v>
      </c>
      <c r="H806" s="14">
        <v>28.4</v>
      </c>
      <c r="I806" s="14">
        <v>7231.6</v>
      </c>
      <c r="J806" s="12" t="s">
        <v>104</v>
      </c>
      <c r="K806" s="12" t="s">
        <v>129</v>
      </c>
      <c r="L806" s="23" t="str">
        <f>VLOOKUP(D806,Products!$A:$F,3,FALSE)</f>
        <v>Sports</v>
      </c>
      <c r="M806" s="23" t="str">
        <f>VLOOKUP(E806,Sales_Reps!$A:$E,3,FALSE)</f>
        <v>South</v>
      </c>
      <c r="N806" s="23" t="str">
        <f t="shared" si="36"/>
        <v>Apr-24</v>
      </c>
      <c r="O806" s="23" t="str">
        <f t="shared" si="37"/>
        <v>Q2 2024</v>
      </c>
      <c r="P806" s="23">
        <f>VLOOKUP(D806,Products!$A:$F,4,FALSE)</f>
        <v>516</v>
      </c>
      <c r="Q806" s="35">
        <f t="shared" si="38"/>
        <v>0.4891089108910891</v>
      </c>
    </row>
    <row r="807" spans="1:17">
      <c r="A807" s="12" t="s">
        <v>1296</v>
      </c>
      <c r="B807" s="13">
        <v>45401</v>
      </c>
      <c r="C807" s="12" t="s">
        <v>1068</v>
      </c>
      <c r="D807" s="12" t="s">
        <v>676</v>
      </c>
      <c r="E807" s="12" t="s">
        <v>171</v>
      </c>
      <c r="F807" s="14">
        <v>1</v>
      </c>
      <c r="G807" s="14">
        <v>3560</v>
      </c>
      <c r="H807" s="14">
        <v>26</v>
      </c>
      <c r="I807" s="14">
        <v>2634.4</v>
      </c>
      <c r="J807" s="12" t="s">
        <v>104</v>
      </c>
      <c r="K807" s="12" t="s">
        <v>129</v>
      </c>
      <c r="L807" s="23" t="str">
        <f>VLOOKUP(D807,Products!$A:$F,3,FALSE)</f>
        <v>Apparel</v>
      </c>
      <c r="M807" s="23" t="str">
        <f>VLOOKUP(E807,Sales_Reps!$A:$E,3,FALSE)</f>
        <v>East</v>
      </c>
      <c r="N807" s="23" t="str">
        <f t="shared" si="36"/>
        <v>Apr-24</v>
      </c>
      <c r="O807" s="23" t="str">
        <f t="shared" si="37"/>
        <v>Q2 2024</v>
      </c>
      <c r="P807" s="23">
        <f>VLOOKUP(D807,Products!$A:$F,4,FALSE)</f>
        <v>2629</v>
      </c>
      <c r="Q807" s="35">
        <f t="shared" si="38"/>
        <v>0.26151685393258428</v>
      </c>
    </row>
    <row r="808" spans="1:17">
      <c r="A808" s="12" t="s">
        <v>1297</v>
      </c>
      <c r="B808" s="13">
        <v>45397</v>
      </c>
      <c r="C808" s="12" t="s">
        <v>471</v>
      </c>
      <c r="D808" s="12" t="s">
        <v>293</v>
      </c>
      <c r="E808" s="12" t="s">
        <v>120</v>
      </c>
      <c r="F808" s="14">
        <v>8</v>
      </c>
      <c r="G808" s="14">
        <v>3020</v>
      </c>
      <c r="H808" s="14">
        <v>6.9</v>
      </c>
      <c r="I808" s="14">
        <v>22492.959999999999</v>
      </c>
      <c r="J808" s="12" t="s">
        <v>104</v>
      </c>
      <c r="K808" s="12" t="s">
        <v>150</v>
      </c>
      <c r="L808" s="23" t="str">
        <f>VLOOKUP(D808,Products!$A:$F,3,FALSE)</f>
        <v>Beauty</v>
      </c>
      <c r="M808" s="23" t="str">
        <f>VLOOKUP(E808,Sales_Reps!$A:$E,3,FALSE)</f>
        <v>North</v>
      </c>
      <c r="N808" s="23" t="str">
        <f t="shared" si="36"/>
        <v>Apr-24</v>
      </c>
      <c r="O808" s="23" t="str">
        <f t="shared" si="37"/>
        <v>Q2 2024</v>
      </c>
      <c r="P808" s="23">
        <f>VLOOKUP(D808,Products!$A:$F,4,FALSE)</f>
        <v>1626</v>
      </c>
      <c r="Q808" s="35">
        <f t="shared" si="38"/>
        <v>0.46158940397350995</v>
      </c>
    </row>
    <row r="809" spans="1:17">
      <c r="A809" s="12" t="s">
        <v>1298</v>
      </c>
      <c r="B809" s="13">
        <v>45301</v>
      </c>
      <c r="C809" s="12" t="s">
        <v>602</v>
      </c>
      <c r="D809" s="12" t="s">
        <v>281</v>
      </c>
      <c r="E809" s="12" t="s">
        <v>255</v>
      </c>
      <c r="F809" s="14">
        <v>1</v>
      </c>
      <c r="G809" s="14">
        <v>4070</v>
      </c>
      <c r="H809" s="14">
        <v>8.1999999999999993</v>
      </c>
      <c r="I809" s="14">
        <v>3736.26</v>
      </c>
      <c r="J809" s="12" t="s">
        <v>104</v>
      </c>
      <c r="K809" s="12" t="s">
        <v>111</v>
      </c>
      <c r="L809" s="23" t="str">
        <f>VLOOKUP(D809,Products!$A:$F,3,FALSE)</f>
        <v>Grocery</v>
      </c>
      <c r="M809" s="23" t="str">
        <f>VLOOKUP(E809,Sales_Reps!$A:$E,3,FALSE)</f>
        <v>East</v>
      </c>
      <c r="N809" s="23" t="str">
        <f t="shared" si="36"/>
        <v>Jan-24</v>
      </c>
      <c r="O809" s="23" t="str">
        <f t="shared" si="37"/>
        <v>Q1 2024</v>
      </c>
      <c r="P809" s="23">
        <f>VLOOKUP(D809,Products!$A:$F,4,FALSE)</f>
        <v>2027</v>
      </c>
      <c r="Q809" s="35">
        <f t="shared" si="38"/>
        <v>0.50196560196560192</v>
      </c>
    </row>
    <row r="810" spans="1:17">
      <c r="A810" s="12" t="s">
        <v>1299</v>
      </c>
      <c r="B810" s="13">
        <v>45347</v>
      </c>
      <c r="C810" s="12" t="s">
        <v>1251</v>
      </c>
      <c r="D810" s="12" t="s">
        <v>127</v>
      </c>
      <c r="E810" s="12" t="s">
        <v>209</v>
      </c>
      <c r="F810" s="14">
        <v>9</v>
      </c>
      <c r="G810" s="14">
        <v>370</v>
      </c>
      <c r="H810" s="14">
        <v>19.8</v>
      </c>
      <c r="I810" s="14">
        <v>2670.66</v>
      </c>
      <c r="J810" s="12" t="s">
        <v>104</v>
      </c>
      <c r="K810" s="12" t="s">
        <v>129</v>
      </c>
      <c r="L810" s="23" t="str">
        <f>VLOOKUP(D810,Products!$A:$F,3,FALSE)</f>
        <v>Home</v>
      </c>
      <c r="M810" s="23" t="str">
        <f>VLOOKUP(E810,Sales_Reps!$A:$E,3,FALSE)</f>
        <v>East</v>
      </c>
      <c r="N810" s="23" t="str">
        <f t="shared" si="36"/>
        <v>Feb-24</v>
      </c>
      <c r="O810" s="23" t="str">
        <f t="shared" si="37"/>
        <v>Q1 2024</v>
      </c>
      <c r="P810" s="23">
        <f>VLOOKUP(D810,Products!$A:$F,4,FALSE)</f>
        <v>288</v>
      </c>
      <c r="Q810" s="35">
        <f t="shared" si="38"/>
        <v>0.22162162162162163</v>
      </c>
    </row>
    <row r="811" spans="1:17">
      <c r="A811" s="12" t="s">
        <v>1300</v>
      </c>
      <c r="B811" s="13">
        <v>45544</v>
      </c>
      <c r="C811" s="12" t="s">
        <v>900</v>
      </c>
      <c r="D811" s="12" t="s">
        <v>144</v>
      </c>
      <c r="E811" s="12" t="s">
        <v>209</v>
      </c>
      <c r="F811" s="14">
        <v>6</v>
      </c>
      <c r="G811" s="14">
        <v>970</v>
      </c>
      <c r="H811" s="14">
        <v>16.2</v>
      </c>
      <c r="I811" s="14">
        <v>4877.16</v>
      </c>
      <c r="J811" s="12" t="s">
        <v>104</v>
      </c>
      <c r="K811" s="12" t="s">
        <v>150</v>
      </c>
      <c r="L811" s="23" t="str">
        <f>VLOOKUP(D811,Products!$A:$F,3,FALSE)</f>
        <v>Grocery</v>
      </c>
      <c r="M811" s="23" t="str">
        <f>VLOOKUP(E811,Sales_Reps!$A:$E,3,FALSE)</f>
        <v>East</v>
      </c>
      <c r="N811" s="23" t="str">
        <f t="shared" si="36"/>
        <v>Sep-24</v>
      </c>
      <c r="O811" s="23" t="str">
        <f t="shared" si="37"/>
        <v>Q3 2024</v>
      </c>
      <c r="P811" s="23">
        <f>VLOOKUP(D811,Products!$A:$F,4,FALSE)</f>
        <v>434</v>
      </c>
      <c r="Q811" s="35">
        <f t="shared" si="38"/>
        <v>0.5525773195876289</v>
      </c>
    </row>
    <row r="812" spans="1:17">
      <c r="A812" s="12" t="s">
        <v>1301</v>
      </c>
      <c r="B812" s="13">
        <v>45633</v>
      </c>
      <c r="C812" s="12" t="s">
        <v>333</v>
      </c>
      <c r="D812" s="12" t="s">
        <v>190</v>
      </c>
      <c r="E812" s="12" t="s">
        <v>138</v>
      </c>
      <c r="F812" s="14">
        <v>10</v>
      </c>
      <c r="G812" s="14">
        <v>2720</v>
      </c>
      <c r="H812" s="14">
        <v>3</v>
      </c>
      <c r="I812" s="14">
        <v>26384</v>
      </c>
      <c r="J812" s="12" t="s">
        <v>110</v>
      </c>
      <c r="K812" s="12" t="s">
        <v>105</v>
      </c>
      <c r="L812" s="23" t="str">
        <f>VLOOKUP(D812,Products!$A:$F,3,FALSE)</f>
        <v>Apparel</v>
      </c>
      <c r="M812" s="23" t="str">
        <f>VLOOKUP(E812,Sales_Reps!$A:$E,3,FALSE)</f>
        <v>East</v>
      </c>
      <c r="N812" s="23" t="str">
        <f t="shared" si="36"/>
        <v>Dec-24</v>
      </c>
      <c r="O812" s="23" t="str">
        <f t="shared" si="37"/>
        <v>Q4 2024</v>
      </c>
      <c r="P812" s="23">
        <f>VLOOKUP(D812,Products!$A:$F,4,FALSE)</f>
        <v>1962</v>
      </c>
      <c r="Q812" s="35">
        <f t="shared" si="38"/>
        <v>0.2786764705882353</v>
      </c>
    </row>
    <row r="813" spans="1:17">
      <c r="A813" s="12" t="s">
        <v>1302</v>
      </c>
      <c r="B813" s="13">
        <v>45293</v>
      </c>
      <c r="C813" s="12" t="s">
        <v>774</v>
      </c>
      <c r="D813" s="12" t="s">
        <v>168</v>
      </c>
      <c r="E813" s="12" t="s">
        <v>115</v>
      </c>
      <c r="F813" s="14">
        <v>7</v>
      </c>
      <c r="G813" s="14">
        <v>2400</v>
      </c>
      <c r="H813" s="14">
        <v>29.4</v>
      </c>
      <c r="I813" s="14">
        <v>11860.8</v>
      </c>
      <c r="J813" s="12" t="s">
        <v>104</v>
      </c>
      <c r="K813" s="12" t="s">
        <v>134</v>
      </c>
      <c r="L813" s="23" t="str">
        <f>VLOOKUP(D813,Products!$A:$F,3,FALSE)</f>
        <v>Sports</v>
      </c>
      <c r="M813" s="23" t="str">
        <f>VLOOKUP(E813,Sales_Reps!$A:$E,3,FALSE)</f>
        <v>South</v>
      </c>
      <c r="N813" s="23" t="str">
        <f t="shared" si="36"/>
        <v>Jan-24</v>
      </c>
      <c r="O813" s="23" t="str">
        <f t="shared" si="37"/>
        <v>Q1 2024</v>
      </c>
      <c r="P813" s="23">
        <f>VLOOKUP(D813,Products!$A:$F,4,FALSE)</f>
        <v>974</v>
      </c>
      <c r="Q813" s="35">
        <f t="shared" si="38"/>
        <v>0.59416666666666662</v>
      </c>
    </row>
    <row r="814" spans="1:17">
      <c r="A814" s="12" t="s">
        <v>1303</v>
      </c>
      <c r="B814" s="13">
        <v>45564</v>
      </c>
      <c r="C814" s="12" t="s">
        <v>459</v>
      </c>
      <c r="D814" s="12" t="s">
        <v>676</v>
      </c>
      <c r="E814" s="12" t="s">
        <v>342</v>
      </c>
      <c r="F814" s="14">
        <v>8</v>
      </c>
      <c r="G814" s="14">
        <v>3560</v>
      </c>
      <c r="H814" s="14">
        <v>21.7</v>
      </c>
      <c r="I814" s="14">
        <v>22299.84</v>
      </c>
      <c r="J814" s="12" t="s">
        <v>104</v>
      </c>
      <c r="K814" s="12" t="s">
        <v>105</v>
      </c>
      <c r="L814" s="23" t="str">
        <f>VLOOKUP(D814,Products!$A:$F,3,FALSE)</f>
        <v>Apparel</v>
      </c>
      <c r="M814" s="23" t="str">
        <f>VLOOKUP(E814,Sales_Reps!$A:$E,3,FALSE)</f>
        <v>South</v>
      </c>
      <c r="N814" s="23" t="str">
        <f t="shared" si="36"/>
        <v>Sep-24</v>
      </c>
      <c r="O814" s="23" t="str">
        <f t="shared" si="37"/>
        <v>Q3 2024</v>
      </c>
      <c r="P814" s="23">
        <f>VLOOKUP(D814,Products!$A:$F,4,FALSE)</f>
        <v>2629</v>
      </c>
      <c r="Q814" s="35">
        <f t="shared" si="38"/>
        <v>0.26151685393258428</v>
      </c>
    </row>
    <row r="815" spans="1:17">
      <c r="A815" s="12" t="s">
        <v>1304</v>
      </c>
      <c r="B815" s="13">
        <v>45385</v>
      </c>
      <c r="C815" s="12" t="s">
        <v>798</v>
      </c>
      <c r="D815" s="12" t="s">
        <v>281</v>
      </c>
      <c r="E815" s="12" t="s">
        <v>205</v>
      </c>
      <c r="F815" s="14">
        <v>7</v>
      </c>
      <c r="G815" s="14">
        <v>4070</v>
      </c>
      <c r="H815" s="14">
        <v>10.5</v>
      </c>
      <c r="I815" s="14">
        <v>25498.55</v>
      </c>
      <c r="J815" s="12" t="s">
        <v>104</v>
      </c>
      <c r="K815" s="12" t="s">
        <v>116</v>
      </c>
      <c r="L815" s="23" t="str">
        <f>VLOOKUP(D815,Products!$A:$F,3,FALSE)</f>
        <v>Grocery</v>
      </c>
      <c r="M815" s="23" t="str">
        <f>VLOOKUP(E815,Sales_Reps!$A:$E,3,FALSE)</f>
        <v>South</v>
      </c>
      <c r="N815" s="23" t="str">
        <f t="shared" si="36"/>
        <v>Apr-24</v>
      </c>
      <c r="O815" s="23" t="str">
        <f t="shared" si="37"/>
        <v>Q2 2024</v>
      </c>
      <c r="P815" s="23">
        <f>VLOOKUP(D815,Products!$A:$F,4,FALSE)</f>
        <v>2027</v>
      </c>
      <c r="Q815" s="35">
        <f t="shared" si="38"/>
        <v>0.50196560196560192</v>
      </c>
    </row>
    <row r="816" spans="1:17">
      <c r="A816" s="12" t="s">
        <v>1305</v>
      </c>
      <c r="B816" s="13">
        <v>45299</v>
      </c>
      <c r="C816" s="12" t="s">
        <v>632</v>
      </c>
      <c r="D816" s="12" t="s">
        <v>377</v>
      </c>
      <c r="E816" s="12" t="s">
        <v>124</v>
      </c>
      <c r="F816" s="14">
        <v>3</v>
      </c>
      <c r="G816" s="14">
        <v>5410</v>
      </c>
      <c r="H816" s="14">
        <v>0.2</v>
      </c>
      <c r="I816" s="14">
        <v>16197.54</v>
      </c>
      <c r="J816" s="12" t="s">
        <v>104</v>
      </c>
      <c r="K816" s="12" t="s">
        <v>129</v>
      </c>
      <c r="L816" s="23" t="str">
        <f>VLOOKUP(D816,Products!$A:$F,3,FALSE)</f>
        <v>Sports</v>
      </c>
      <c r="M816" s="23" t="str">
        <f>VLOOKUP(E816,Sales_Reps!$A:$E,3,FALSE)</f>
        <v>North</v>
      </c>
      <c r="N816" s="23" t="str">
        <f t="shared" si="36"/>
        <v>Jan-24</v>
      </c>
      <c r="O816" s="23" t="str">
        <f t="shared" si="37"/>
        <v>Q1 2024</v>
      </c>
      <c r="P816" s="23">
        <f>VLOOKUP(D816,Products!$A:$F,4,FALSE)</f>
        <v>2265</v>
      </c>
      <c r="Q816" s="35">
        <f t="shared" si="38"/>
        <v>0.58133086876155271</v>
      </c>
    </row>
    <row r="817" spans="1:17">
      <c r="A817" s="12" t="s">
        <v>1306</v>
      </c>
      <c r="B817" s="13">
        <v>45651</v>
      </c>
      <c r="C817" s="12" t="s">
        <v>550</v>
      </c>
      <c r="D817" s="12" t="s">
        <v>217</v>
      </c>
      <c r="E817" s="12" t="s">
        <v>145</v>
      </c>
      <c r="F817" s="14">
        <v>4</v>
      </c>
      <c r="G817" s="14">
        <v>2760</v>
      </c>
      <c r="H817" s="14">
        <v>27.5</v>
      </c>
      <c r="I817" s="14">
        <v>8004</v>
      </c>
      <c r="J817" s="12" t="s">
        <v>157</v>
      </c>
      <c r="K817" s="12" t="s">
        <v>116</v>
      </c>
      <c r="L817" s="23" t="str">
        <f>VLOOKUP(D817,Products!$A:$F,3,FALSE)</f>
        <v>Grocery</v>
      </c>
      <c r="M817" s="23" t="str">
        <f>VLOOKUP(E817,Sales_Reps!$A:$E,3,FALSE)</f>
        <v>West</v>
      </c>
      <c r="N817" s="23" t="str">
        <f t="shared" si="36"/>
        <v>Dec-24</v>
      </c>
      <c r="O817" s="23" t="str">
        <f t="shared" si="37"/>
        <v>Q4 2024</v>
      </c>
      <c r="P817" s="23">
        <f>VLOOKUP(D817,Products!$A:$F,4,FALSE)</f>
        <v>1435</v>
      </c>
      <c r="Q817" s="35">
        <f t="shared" si="38"/>
        <v>0.48007246376811596</v>
      </c>
    </row>
    <row r="818" spans="1:17">
      <c r="A818" s="12" t="s">
        <v>1307</v>
      </c>
      <c r="B818" s="13">
        <v>45474</v>
      </c>
      <c r="C818" s="12" t="s">
        <v>474</v>
      </c>
      <c r="D818" s="12" t="s">
        <v>460</v>
      </c>
      <c r="E818" s="12" t="s">
        <v>269</v>
      </c>
      <c r="F818" s="14">
        <v>3</v>
      </c>
      <c r="G818" s="14">
        <v>5080</v>
      </c>
      <c r="H818" s="14">
        <v>27.2</v>
      </c>
      <c r="I818" s="14">
        <v>11094.72</v>
      </c>
      <c r="J818" s="12" t="s">
        <v>104</v>
      </c>
      <c r="K818" s="12" t="s">
        <v>105</v>
      </c>
      <c r="L818" s="23" t="str">
        <f>VLOOKUP(D818,Products!$A:$F,3,FALSE)</f>
        <v>Home</v>
      </c>
      <c r="M818" s="23" t="str">
        <f>VLOOKUP(E818,Sales_Reps!$A:$E,3,FALSE)</f>
        <v>South</v>
      </c>
      <c r="N818" s="23" t="str">
        <f t="shared" si="36"/>
        <v>Jul-24</v>
      </c>
      <c r="O818" s="23" t="str">
        <f t="shared" si="37"/>
        <v>Q3 2024</v>
      </c>
      <c r="P818" s="23">
        <f>VLOOKUP(D818,Products!$A:$F,4,FALSE)</f>
        <v>2459</v>
      </c>
      <c r="Q818" s="35">
        <f t="shared" si="38"/>
        <v>0.51594488188976373</v>
      </c>
    </row>
    <row r="819" spans="1:17">
      <c r="A819" s="12" t="s">
        <v>1308</v>
      </c>
      <c r="B819" s="13">
        <v>45391</v>
      </c>
      <c r="C819" s="12" t="s">
        <v>1189</v>
      </c>
      <c r="D819" s="12" t="s">
        <v>519</v>
      </c>
      <c r="E819" s="12" t="s">
        <v>255</v>
      </c>
      <c r="F819" s="14">
        <v>5</v>
      </c>
      <c r="G819" s="14">
        <v>1090</v>
      </c>
      <c r="H819" s="14">
        <v>3.3</v>
      </c>
      <c r="I819" s="14">
        <v>5270.15</v>
      </c>
      <c r="J819" s="12" t="s">
        <v>104</v>
      </c>
      <c r="K819" s="12" t="s">
        <v>105</v>
      </c>
      <c r="L819" s="23" t="str">
        <f>VLOOKUP(D819,Products!$A:$F,3,FALSE)</f>
        <v>Home</v>
      </c>
      <c r="M819" s="23" t="str">
        <f>VLOOKUP(E819,Sales_Reps!$A:$E,3,FALSE)</f>
        <v>East</v>
      </c>
      <c r="N819" s="23" t="str">
        <f t="shared" si="36"/>
        <v>Apr-24</v>
      </c>
      <c r="O819" s="23" t="str">
        <f t="shared" si="37"/>
        <v>Q2 2024</v>
      </c>
      <c r="P819" s="23">
        <f>VLOOKUP(D819,Products!$A:$F,4,FALSE)</f>
        <v>464</v>
      </c>
      <c r="Q819" s="35">
        <f t="shared" si="38"/>
        <v>0.57431192660550456</v>
      </c>
    </row>
    <row r="820" spans="1:17">
      <c r="A820" s="12" t="s">
        <v>1309</v>
      </c>
      <c r="B820" s="13">
        <v>45328</v>
      </c>
      <c r="C820" s="12" t="s">
        <v>858</v>
      </c>
      <c r="D820" s="12" t="s">
        <v>384</v>
      </c>
      <c r="E820" s="12" t="s">
        <v>246</v>
      </c>
      <c r="F820" s="14">
        <v>10</v>
      </c>
      <c r="G820" s="14">
        <v>2380</v>
      </c>
      <c r="H820" s="14">
        <v>7</v>
      </c>
      <c r="I820" s="14">
        <v>22134</v>
      </c>
      <c r="J820" s="12" t="s">
        <v>104</v>
      </c>
      <c r="K820" s="12" t="s">
        <v>134</v>
      </c>
      <c r="L820" s="23" t="str">
        <f>VLOOKUP(D820,Products!$A:$F,3,FALSE)</f>
        <v>Grocery</v>
      </c>
      <c r="M820" s="23" t="str">
        <f>VLOOKUP(E820,Sales_Reps!$A:$E,3,FALSE)</f>
        <v>West</v>
      </c>
      <c r="N820" s="23" t="str">
        <f t="shared" si="36"/>
        <v>Feb-24</v>
      </c>
      <c r="O820" s="23" t="str">
        <f t="shared" si="37"/>
        <v>Q1 2024</v>
      </c>
      <c r="P820" s="23">
        <f>VLOOKUP(D820,Products!$A:$F,4,FALSE)</f>
        <v>1182</v>
      </c>
      <c r="Q820" s="35">
        <f t="shared" si="38"/>
        <v>0.50336134453781511</v>
      </c>
    </row>
    <row r="821" spans="1:17">
      <c r="A821" s="12" t="s">
        <v>1310</v>
      </c>
      <c r="B821" s="13">
        <v>45490</v>
      </c>
      <c r="C821" s="12" t="s">
        <v>1311</v>
      </c>
      <c r="D821" s="12" t="s">
        <v>123</v>
      </c>
      <c r="E821" s="12" t="s">
        <v>218</v>
      </c>
      <c r="F821" s="14">
        <v>5</v>
      </c>
      <c r="G821" s="14">
        <v>3160</v>
      </c>
      <c r="H821" s="14">
        <v>25.6</v>
      </c>
      <c r="I821" s="14">
        <v>11755.2</v>
      </c>
      <c r="J821" s="12" t="s">
        <v>104</v>
      </c>
      <c r="K821" s="12" t="s">
        <v>111</v>
      </c>
      <c r="L821" s="23" t="str">
        <f>VLOOKUP(D821,Products!$A:$F,3,FALSE)</f>
        <v>Apparel</v>
      </c>
      <c r="M821" s="23" t="str">
        <f>VLOOKUP(E821,Sales_Reps!$A:$E,3,FALSE)</f>
        <v>West</v>
      </c>
      <c r="N821" s="23" t="str">
        <f t="shared" si="36"/>
        <v>Jul-24</v>
      </c>
      <c r="O821" s="23" t="str">
        <f t="shared" si="37"/>
        <v>Q3 2024</v>
      </c>
      <c r="P821" s="23">
        <f>VLOOKUP(D821,Products!$A:$F,4,FALSE)</f>
        <v>1886</v>
      </c>
      <c r="Q821" s="35">
        <f t="shared" si="38"/>
        <v>0.4031645569620253</v>
      </c>
    </row>
    <row r="822" spans="1:17">
      <c r="A822" s="12" t="s">
        <v>1312</v>
      </c>
      <c r="B822" s="13">
        <v>45362</v>
      </c>
      <c r="C822" s="12" t="s">
        <v>922</v>
      </c>
      <c r="D822" s="12" t="s">
        <v>168</v>
      </c>
      <c r="E822" s="12" t="s">
        <v>246</v>
      </c>
      <c r="F822" s="14">
        <v>9</v>
      </c>
      <c r="G822" s="14">
        <v>2400</v>
      </c>
      <c r="H822" s="14">
        <v>8.4</v>
      </c>
      <c r="I822" s="14">
        <v>19785.599999999999</v>
      </c>
      <c r="J822" s="12" t="s">
        <v>104</v>
      </c>
      <c r="K822" s="12" t="s">
        <v>129</v>
      </c>
      <c r="L822" s="23" t="str">
        <f>VLOOKUP(D822,Products!$A:$F,3,FALSE)</f>
        <v>Sports</v>
      </c>
      <c r="M822" s="23" t="str">
        <f>VLOOKUP(E822,Sales_Reps!$A:$E,3,FALSE)</f>
        <v>West</v>
      </c>
      <c r="N822" s="23" t="str">
        <f t="shared" si="36"/>
        <v>Mar-24</v>
      </c>
      <c r="O822" s="23" t="str">
        <f t="shared" si="37"/>
        <v>Q1 2024</v>
      </c>
      <c r="P822" s="23">
        <f>VLOOKUP(D822,Products!$A:$F,4,FALSE)</f>
        <v>974</v>
      </c>
      <c r="Q822" s="35">
        <f t="shared" si="38"/>
        <v>0.59416666666666662</v>
      </c>
    </row>
    <row r="823" spans="1:17">
      <c r="A823" s="12" t="s">
        <v>1313</v>
      </c>
      <c r="B823" s="13">
        <v>45449</v>
      </c>
      <c r="C823" s="12" t="s">
        <v>1314</v>
      </c>
      <c r="D823" s="12" t="s">
        <v>155</v>
      </c>
      <c r="E823" s="12" t="s">
        <v>209</v>
      </c>
      <c r="F823" s="14">
        <v>4</v>
      </c>
      <c r="G823" s="14">
        <v>2600</v>
      </c>
      <c r="H823" s="14">
        <v>4.2</v>
      </c>
      <c r="I823" s="14">
        <v>9963.2000000000007</v>
      </c>
      <c r="J823" s="12" t="s">
        <v>104</v>
      </c>
      <c r="K823" s="12" t="s">
        <v>129</v>
      </c>
      <c r="L823" s="23" t="str">
        <f>VLOOKUP(D823,Products!$A:$F,3,FALSE)</f>
        <v>Electronics</v>
      </c>
      <c r="M823" s="23" t="str">
        <f>VLOOKUP(E823,Sales_Reps!$A:$E,3,FALSE)</f>
        <v>East</v>
      </c>
      <c r="N823" s="23" t="str">
        <f t="shared" si="36"/>
        <v>Jun-24</v>
      </c>
      <c r="O823" s="23" t="str">
        <f t="shared" si="37"/>
        <v>Q2 2024</v>
      </c>
      <c r="P823" s="23">
        <f>VLOOKUP(D823,Products!$A:$F,4,FALSE)</f>
        <v>1052</v>
      </c>
      <c r="Q823" s="35">
        <f t="shared" si="38"/>
        <v>0.5953846153846154</v>
      </c>
    </row>
    <row r="824" spans="1:17">
      <c r="A824" s="12" t="s">
        <v>1315</v>
      </c>
      <c r="B824" s="13">
        <v>45409</v>
      </c>
      <c r="C824" s="12" t="s">
        <v>1316</v>
      </c>
      <c r="D824" s="12" t="s">
        <v>148</v>
      </c>
      <c r="E824" s="12" t="s">
        <v>171</v>
      </c>
      <c r="F824" s="14">
        <v>5</v>
      </c>
      <c r="G824" s="14">
        <v>2270</v>
      </c>
      <c r="H824" s="14">
        <v>0.1</v>
      </c>
      <c r="I824" s="14">
        <v>11338.65</v>
      </c>
      <c r="J824" s="12" t="s">
        <v>104</v>
      </c>
      <c r="K824" s="12" t="s">
        <v>129</v>
      </c>
      <c r="L824" s="23" t="str">
        <f>VLOOKUP(D824,Products!$A:$F,3,FALSE)</f>
        <v>Grocery</v>
      </c>
      <c r="M824" s="23" t="str">
        <f>VLOOKUP(E824,Sales_Reps!$A:$E,3,FALSE)</f>
        <v>East</v>
      </c>
      <c r="N824" s="23" t="str">
        <f t="shared" si="36"/>
        <v>Apr-24</v>
      </c>
      <c r="O824" s="23" t="str">
        <f t="shared" si="37"/>
        <v>Q2 2024</v>
      </c>
      <c r="P824" s="23">
        <f>VLOOKUP(D824,Products!$A:$F,4,FALSE)</f>
        <v>1203</v>
      </c>
      <c r="Q824" s="35">
        <f t="shared" si="38"/>
        <v>0.47004405286343615</v>
      </c>
    </row>
    <row r="825" spans="1:17">
      <c r="A825" s="12" t="s">
        <v>1317</v>
      </c>
      <c r="B825" s="13">
        <v>45465</v>
      </c>
      <c r="C825" s="12" t="s">
        <v>858</v>
      </c>
      <c r="D825" s="12" t="s">
        <v>141</v>
      </c>
      <c r="E825" s="12" t="s">
        <v>209</v>
      </c>
      <c r="F825" s="14">
        <v>7</v>
      </c>
      <c r="G825" s="14">
        <v>5490</v>
      </c>
      <c r="H825" s="14">
        <v>14.9</v>
      </c>
      <c r="I825" s="14">
        <v>32703.93</v>
      </c>
      <c r="J825" s="12" t="s">
        <v>104</v>
      </c>
      <c r="K825" s="12" t="s">
        <v>134</v>
      </c>
      <c r="L825" s="23" t="str">
        <f>VLOOKUP(D825,Products!$A:$F,3,FALSE)</f>
        <v>Home</v>
      </c>
      <c r="M825" s="23" t="str">
        <f>VLOOKUP(E825,Sales_Reps!$A:$E,3,FALSE)</f>
        <v>East</v>
      </c>
      <c r="N825" s="23" t="str">
        <f t="shared" si="36"/>
        <v>Jun-24</v>
      </c>
      <c r="O825" s="23" t="str">
        <f t="shared" si="37"/>
        <v>Q2 2024</v>
      </c>
      <c r="P825" s="23">
        <f>VLOOKUP(D825,Products!$A:$F,4,FALSE)</f>
        <v>2549</v>
      </c>
      <c r="Q825" s="35">
        <f t="shared" si="38"/>
        <v>0.53570127504553733</v>
      </c>
    </row>
    <row r="826" spans="1:17">
      <c r="A826" s="12" t="s">
        <v>1318</v>
      </c>
      <c r="B826" s="13">
        <v>45415</v>
      </c>
      <c r="C826" s="12" t="s">
        <v>693</v>
      </c>
      <c r="D826" s="12" t="s">
        <v>265</v>
      </c>
      <c r="E826" s="12" t="s">
        <v>221</v>
      </c>
      <c r="F826" s="14">
        <v>5</v>
      </c>
      <c r="G826" s="14">
        <v>3870</v>
      </c>
      <c r="H826" s="14">
        <v>13.3</v>
      </c>
      <c r="I826" s="14">
        <v>16776.45</v>
      </c>
      <c r="J826" s="12" t="s">
        <v>157</v>
      </c>
      <c r="K826" s="12" t="s">
        <v>105</v>
      </c>
      <c r="L826" s="23" t="str">
        <f>VLOOKUP(D826,Products!$A:$F,3,FALSE)</f>
        <v>Electronics</v>
      </c>
      <c r="M826" s="23" t="str">
        <f>VLOOKUP(E826,Sales_Reps!$A:$E,3,FALSE)</f>
        <v>South</v>
      </c>
      <c r="N826" s="23" t="str">
        <f t="shared" si="36"/>
        <v>May-24</v>
      </c>
      <c r="O826" s="23" t="str">
        <f t="shared" si="37"/>
        <v>Q2 2024</v>
      </c>
      <c r="P826" s="23">
        <f>VLOOKUP(D826,Products!$A:$F,4,FALSE)</f>
        <v>1559</v>
      </c>
      <c r="Q826" s="35">
        <f t="shared" si="38"/>
        <v>0.59715762273901807</v>
      </c>
    </row>
    <row r="827" spans="1:17">
      <c r="A827" s="12" t="s">
        <v>1319</v>
      </c>
      <c r="B827" s="13">
        <v>45372</v>
      </c>
      <c r="C827" s="12" t="s">
        <v>706</v>
      </c>
      <c r="D827" s="12" t="s">
        <v>397</v>
      </c>
      <c r="E827" s="12" t="s">
        <v>133</v>
      </c>
      <c r="F827" s="14">
        <v>2</v>
      </c>
      <c r="G827" s="14">
        <v>960</v>
      </c>
      <c r="H827" s="14">
        <v>17.5</v>
      </c>
      <c r="I827" s="14">
        <v>1584</v>
      </c>
      <c r="J827" s="12" t="s">
        <v>104</v>
      </c>
      <c r="K827" s="12" t="s">
        <v>150</v>
      </c>
      <c r="L827" s="23" t="str">
        <f>VLOOKUP(D827,Products!$A:$F,3,FALSE)</f>
        <v>Beauty</v>
      </c>
      <c r="M827" s="23" t="str">
        <f>VLOOKUP(E827,Sales_Reps!$A:$E,3,FALSE)</f>
        <v>West</v>
      </c>
      <c r="N827" s="23" t="str">
        <f t="shared" si="36"/>
        <v>Mar-24</v>
      </c>
      <c r="O827" s="23" t="str">
        <f t="shared" si="37"/>
        <v>Q1 2024</v>
      </c>
      <c r="P827" s="23">
        <f>VLOOKUP(D827,Products!$A:$F,4,FALSE)</f>
        <v>675</v>
      </c>
      <c r="Q827" s="35">
        <f t="shared" si="38"/>
        <v>0.296875</v>
      </c>
    </row>
    <row r="828" spans="1:17">
      <c r="A828" s="12" t="s">
        <v>1320</v>
      </c>
      <c r="B828" s="13">
        <v>45405</v>
      </c>
      <c r="C828" s="12" t="s">
        <v>1072</v>
      </c>
      <c r="D828" s="12" t="s">
        <v>201</v>
      </c>
      <c r="E828" s="12" t="s">
        <v>232</v>
      </c>
      <c r="F828" s="14">
        <v>4</v>
      </c>
      <c r="G828" s="14">
        <v>4880</v>
      </c>
      <c r="H828" s="14">
        <v>12.2</v>
      </c>
      <c r="I828" s="14">
        <v>17138.560000000001</v>
      </c>
      <c r="J828" s="12" t="s">
        <v>157</v>
      </c>
      <c r="K828" s="12" t="s">
        <v>129</v>
      </c>
      <c r="L828" s="23" t="str">
        <f>VLOOKUP(D828,Products!$A:$F,3,FALSE)</f>
        <v>Beauty</v>
      </c>
      <c r="M828" s="23" t="str">
        <f>VLOOKUP(E828,Sales_Reps!$A:$E,3,FALSE)</f>
        <v>North</v>
      </c>
      <c r="N828" s="23" t="str">
        <f t="shared" si="36"/>
        <v>Apr-24</v>
      </c>
      <c r="O828" s="23" t="str">
        <f t="shared" si="37"/>
        <v>Q2 2024</v>
      </c>
      <c r="P828" s="23">
        <f>VLOOKUP(D828,Products!$A:$F,4,FALSE)</f>
        <v>2768</v>
      </c>
      <c r="Q828" s="35">
        <f t="shared" si="38"/>
        <v>0.43278688524590164</v>
      </c>
    </row>
    <row r="829" spans="1:17">
      <c r="A829" s="12" t="s">
        <v>1321</v>
      </c>
      <c r="B829" s="13">
        <v>45419</v>
      </c>
      <c r="C829" s="12" t="s">
        <v>660</v>
      </c>
      <c r="D829" s="12" t="s">
        <v>168</v>
      </c>
      <c r="E829" s="12" t="s">
        <v>124</v>
      </c>
      <c r="F829" s="14">
        <v>5</v>
      </c>
      <c r="G829" s="14">
        <v>2400</v>
      </c>
      <c r="H829" s="14">
        <v>15</v>
      </c>
      <c r="I829" s="14">
        <v>10200</v>
      </c>
      <c r="J829" s="12" t="s">
        <v>104</v>
      </c>
      <c r="K829" s="12" t="s">
        <v>129</v>
      </c>
      <c r="L829" s="23" t="str">
        <f>VLOOKUP(D829,Products!$A:$F,3,FALSE)</f>
        <v>Sports</v>
      </c>
      <c r="M829" s="23" t="str">
        <f>VLOOKUP(E829,Sales_Reps!$A:$E,3,FALSE)</f>
        <v>North</v>
      </c>
      <c r="N829" s="23" t="str">
        <f t="shared" si="36"/>
        <v>May-24</v>
      </c>
      <c r="O829" s="23" t="str">
        <f t="shared" si="37"/>
        <v>Q2 2024</v>
      </c>
      <c r="P829" s="23">
        <f>VLOOKUP(D829,Products!$A:$F,4,FALSE)</f>
        <v>974</v>
      </c>
      <c r="Q829" s="35">
        <f t="shared" si="38"/>
        <v>0.59416666666666662</v>
      </c>
    </row>
    <row r="830" spans="1:17">
      <c r="A830" s="12" t="s">
        <v>1322</v>
      </c>
      <c r="B830" s="13">
        <v>45522</v>
      </c>
      <c r="C830" s="12" t="s">
        <v>325</v>
      </c>
      <c r="D830" s="12" t="s">
        <v>309</v>
      </c>
      <c r="E830" s="12" t="s">
        <v>205</v>
      </c>
      <c r="F830" s="14">
        <v>9</v>
      </c>
      <c r="G830" s="14">
        <v>620</v>
      </c>
      <c r="H830" s="14">
        <v>20.399999999999999</v>
      </c>
      <c r="I830" s="14">
        <v>4441.68</v>
      </c>
      <c r="J830" s="12" t="s">
        <v>110</v>
      </c>
      <c r="K830" s="12" t="s">
        <v>105</v>
      </c>
      <c r="L830" s="23" t="str">
        <f>VLOOKUP(D830,Products!$A:$F,3,FALSE)</f>
        <v>Apparel</v>
      </c>
      <c r="M830" s="23" t="str">
        <f>VLOOKUP(E830,Sales_Reps!$A:$E,3,FALSE)</f>
        <v>South</v>
      </c>
      <c r="N830" s="23" t="str">
        <f t="shared" si="36"/>
        <v>Aug-24</v>
      </c>
      <c r="O830" s="23" t="str">
        <f t="shared" si="37"/>
        <v>Q3 2024</v>
      </c>
      <c r="P830" s="23">
        <f>VLOOKUP(D830,Products!$A:$F,4,FALSE)</f>
        <v>396</v>
      </c>
      <c r="Q830" s="35">
        <f t="shared" si="38"/>
        <v>0.36129032258064514</v>
      </c>
    </row>
    <row r="831" spans="1:17">
      <c r="A831" s="12" t="s">
        <v>1323</v>
      </c>
      <c r="B831" s="13">
        <v>45513</v>
      </c>
      <c r="C831" s="12" t="s">
        <v>755</v>
      </c>
      <c r="D831" s="12" t="s">
        <v>287</v>
      </c>
      <c r="E831" s="12" t="s">
        <v>269</v>
      </c>
      <c r="F831" s="14">
        <v>1</v>
      </c>
      <c r="G831" s="14">
        <v>4610</v>
      </c>
      <c r="H831" s="14">
        <v>1.8</v>
      </c>
      <c r="I831" s="14">
        <v>4527.0200000000004</v>
      </c>
      <c r="J831" s="12" t="s">
        <v>110</v>
      </c>
      <c r="K831" s="12" t="s">
        <v>105</v>
      </c>
      <c r="L831" s="23" t="str">
        <f>VLOOKUP(D831,Products!$A:$F,3,FALSE)</f>
        <v>Home</v>
      </c>
      <c r="M831" s="23" t="str">
        <f>VLOOKUP(E831,Sales_Reps!$A:$E,3,FALSE)</f>
        <v>South</v>
      </c>
      <c r="N831" s="23" t="str">
        <f t="shared" si="36"/>
        <v>Aug-24</v>
      </c>
      <c r="O831" s="23" t="str">
        <f t="shared" si="37"/>
        <v>Q3 2024</v>
      </c>
      <c r="P831" s="23">
        <f>VLOOKUP(D831,Products!$A:$F,4,FALSE)</f>
        <v>1850</v>
      </c>
      <c r="Q831" s="35">
        <f t="shared" si="38"/>
        <v>0.59869848156182215</v>
      </c>
    </row>
    <row r="832" spans="1:17">
      <c r="A832" s="12" t="s">
        <v>1324</v>
      </c>
      <c r="B832" s="13">
        <v>45500</v>
      </c>
      <c r="C832" s="12" t="s">
        <v>1325</v>
      </c>
      <c r="D832" s="12" t="s">
        <v>287</v>
      </c>
      <c r="E832" s="12" t="s">
        <v>115</v>
      </c>
      <c r="F832" s="14">
        <v>7</v>
      </c>
      <c r="G832" s="14">
        <v>4610</v>
      </c>
      <c r="H832" s="14">
        <v>27</v>
      </c>
      <c r="I832" s="14">
        <v>23557.1</v>
      </c>
      <c r="J832" s="12" t="s">
        <v>104</v>
      </c>
      <c r="K832" s="12" t="s">
        <v>111</v>
      </c>
      <c r="L832" s="23" t="str">
        <f>VLOOKUP(D832,Products!$A:$F,3,FALSE)</f>
        <v>Home</v>
      </c>
      <c r="M832" s="23" t="str">
        <f>VLOOKUP(E832,Sales_Reps!$A:$E,3,FALSE)</f>
        <v>South</v>
      </c>
      <c r="N832" s="23" t="str">
        <f t="shared" si="36"/>
        <v>Jul-24</v>
      </c>
      <c r="O832" s="23" t="str">
        <f t="shared" si="37"/>
        <v>Q3 2024</v>
      </c>
      <c r="P832" s="23">
        <f>VLOOKUP(D832,Products!$A:$F,4,FALSE)</f>
        <v>1850</v>
      </c>
      <c r="Q832" s="35">
        <f t="shared" si="38"/>
        <v>0.59869848156182215</v>
      </c>
    </row>
    <row r="833" spans="1:17">
      <c r="A833" s="12" t="s">
        <v>1326</v>
      </c>
      <c r="B833" s="13">
        <v>45608</v>
      </c>
      <c r="C833" s="12" t="s">
        <v>983</v>
      </c>
      <c r="D833" s="12" t="s">
        <v>144</v>
      </c>
      <c r="E833" s="12" t="s">
        <v>246</v>
      </c>
      <c r="F833" s="14">
        <v>6</v>
      </c>
      <c r="G833" s="14">
        <v>970</v>
      </c>
      <c r="H833" s="14">
        <v>4.7</v>
      </c>
      <c r="I833" s="14">
        <v>5546.46</v>
      </c>
      <c r="J833" s="12" t="s">
        <v>157</v>
      </c>
      <c r="K833" s="12" t="s">
        <v>150</v>
      </c>
      <c r="L833" s="23" t="str">
        <f>VLOOKUP(D833,Products!$A:$F,3,FALSE)</f>
        <v>Grocery</v>
      </c>
      <c r="M833" s="23" t="str">
        <f>VLOOKUP(E833,Sales_Reps!$A:$E,3,FALSE)</f>
        <v>West</v>
      </c>
      <c r="N833" s="23" t="str">
        <f t="shared" si="36"/>
        <v>Nov-24</v>
      </c>
      <c r="O833" s="23" t="str">
        <f t="shared" si="37"/>
        <v>Q4 2024</v>
      </c>
      <c r="P833" s="23">
        <f>VLOOKUP(D833,Products!$A:$F,4,FALSE)</f>
        <v>434</v>
      </c>
      <c r="Q833" s="35">
        <f t="shared" si="38"/>
        <v>0.5525773195876289</v>
      </c>
    </row>
    <row r="834" spans="1:17">
      <c r="A834" s="12" t="s">
        <v>1327</v>
      </c>
      <c r="B834" s="13">
        <v>45362</v>
      </c>
      <c r="C834" s="12" t="s">
        <v>489</v>
      </c>
      <c r="D834" s="12" t="s">
        <v>137</v>
      </c>
      <c r="E834" s="12" t="s">
        <v>218</v>
      </c>
      <c r="F834" s="14">
        <v>8</v>
      </c>
      <c r="G834" s="14">
        <v>1430</v>
      </c>
      <c r="H834" s="14">
        <v>8.6999999999999993</v>
      </c>
      <c r="I834" s="14">
        <v>10444.719999999999</v>
      </c>
      <c r="J834" s="12" t="s">
        <v>104</v>
      </c>
      <c r="K834" s="12" t="s">
        <v>111</v>
      </c>
      <c r="L834" s="23" t="str">
        <f>VLOOKUP(D834,Products!$A:$F,3,FALSE)</f>
        <v>Electronics</v>
      </c>
      <c r="M834" s="23" t="str">
        <f>VLOOKUP(E834,Sales_Reps!$A:$E,3,FALSE)</f>
        <v>West</v>
      </c>
      <c r="N834" s="23" t="str">
        <f t="shared" si="36"/>
        <v>Mar-24</v>
      </c>
      <c r="O834" s="23" t="str">
        <f t="shared" si="37"/>
        <v>Q1 2024</v>
      </c>
      <c r="P834" s="23">
        <f>VLOOKUP(D834,Products!$A:$F,4,FALSE)</f>
        <v>861</v>
      </c>
      <c r="Q834" s="35">
        <f t="shared" si="38"/>
        <v>0.39790209790209791</v>
      </c>
    </row>
    <row r="835" spans="1:17">
      <c r="A835" s="12" t="s">
        <v>1328</v>
      </c>
      <c r="B835" s="13">
        <v>45348</v>
      </c>
      <c r="C835" s="12" t="s">
        <v>236</v>
      </c>
      <c r="D835" s="12" t="s">
        <v>251</v>
      </c>
      <c r="E835" s="12" t="s">
        <v>290</v>
      </c>
      <c r="F835" s="14">
        <v>5</v>
      </c>
      <c r="G835" s="14">
        <v>3780</v>
      </c>
      <c r="H835" s="14">
        <v>2.9</v>
      </c>
      <c r="I835" s="14">
        <v>18351.900000000001</v>
      </c>
      <c r="J835" s="12" t="s">
        <v>104</v>
      </c>
      <c r="K835" s="12" t="s">
        <v>116</v>
      </c>
      <c r="L835" s="23" t="str">
        <f>VLOOKUP(D835,Products!$A:$F,3,FALSE)</f>
        <v>Grocery</v>
      </c>
      <c r="M835" s="23" t="str">
        <f>VLOOKUP(E835,Sales_Reps!$A:$E,3,FALSE)</f>
        <v>South</v>
      </c>
      <c r="N835" s="23" t="str">
        <f t="shared" ref="N835:N898" si="39">TEXT(B835, "mmm-yy")</f>
        <v>Feb-24</v>
      </c>
      <c r="O835" s="23" t="str">
        <f t="shared" ref="O835:O898" si="40">"Q" &amp; INT((MONTH(B835)-1)/3)+1 &amp; " " &amp; YEAR(B835)</f>
        <v>Q1 2024</v>
      </c>
      <c r="P835" s="23">
        <f>VLOOKUP(D835,Products!$A:$F,4,FALSE)</f>
        <v>2436</v>
      </c>
      <c r="Q835" s="35">
        <f t="shared" ref="Q835:Q898" si="41">(G835 - P835) / G835</f>
        <v>0.35555555555555557</v>
      </c>
    </row>
    <row r="836" spans="1:17">
      <c r="A836" s="12" t="s">
        <v>1329</v>
      </c>
      <c r="B836" s="13">
        <v>45532</v>
      </c>
      <c r="C836" s="12" t="s">
        <v>518</v>
      </c>
      <c r="D836" s="12" t="s">
        <v>276</v>
      </c>
      <c r="E836" s="12" t="s">
        <v>171</v>
      </c>
      <c r="F836" s="14">
        <v>2</v>
      </c>
      <c r="G836" s="14">
        <v>1540</v>
      </c>
      <c r="H836" s="14">
        <v>12.7</v>
      </c>
      <c r="I836" s="14">
        <v>2688.84</v>
      </c>
      <c r="J836" s="12" t="s">
        <v>104</v>
      </c>
      <c r="K836" s="12" t="s">
        <v>150</v>
      </c>
      <c r="L836" s="23" t="str">
        <f>VLOOKUP(D836,Products!$A:$F,3,FALSE)</f>
        <v>Beauty</v>
      </c>
      <c r="M836" s="23" t="str">
        <f>VLOOKUP(E836,Sales_Reps!$A:$E,3,FALSE)</f>
        <v>East</v>
      </c>
      <c r="N836" s="23" t="str">
        <f t="shared" si="39"/>
        <v>Aug-24</v>
      </c>
      <c r="O836" s="23" t="str">
        <f t="shared" si="40"/>
        <v>Q3 2024</v>
      </c>
      <c r="P836" s="23">
        <f>VLOOKUP(D836,Products!$A:$F,4,FALSE)</f>
        <v>647</v>
      </c>
      <c r="Q836" s="35">
        <f t="shared" si="41"/>
        <v>0.57987012987012987</v>
      </c>
    </row>
    <row r="837" spans="1:17">
      <c r="A837" s="12" t="s">
        <v>1330</v>
      </c>
      <c r="B837" s="13">
        <v>45492</v>
      </c>
      <c r="C837" s="12" t="s">
        <v>1189</v>
      </c>
      <c r="D837" s="12" t="s">
        <v>181</v>
      </c>
      <c r="E837" s="12" t="s">
        <v>209</v>
      </c>
      <c r="F837" s="14">
        <v>9</v>
      </c>
      <c r="G837" s="14">
        <v>1080</v>
      </c>
      <c r="H837" s="14">
        <v>11.2</v>
      </c>
      <c r="I837" s="14">
        <v>8631.36</v>
      </c>
      <c r="J837" s="12" t="s">
        <v>157</v>
      </c>
      <c r="K837" s="12" t="s">
        <v>105</v>
      </c>
      <c r="L837" s="23" t="str">
        <f>VLOOKUP(D837,Products!$A:$F,3,FALSE)</f>
        <v>Home</v>
      </c>
      <c r="M837" s="23" t="str">
        <f>VLOOKUP(E837,Sales_Reps!$A:$E,3,FALSE)</f>
        <v>East</v>
      </c>
      <c r="N837" s="23" t="str">
        <f t="shared" si="39"/>
        <v>Jul-24</v>
      </c>
      <c r="O837" s="23" t="str">
        <f t="shared" si="40"/>
        <v>Q3 2024</v>
      </c>
      <c r="P837" s="23">
        <f>VLOOKUP(D837,Products!$A:$F,4,FALSE)</f>
        <v>519</v>
      </c>
      <c r="Q837" s="35">
        <f t="shared" si="41"/>
        <v>0.51944444444444449</v>
      </c>
    </row>
    <row r="838" spans="1:17">
      <c r="A838" s="12" t="s">
        <v>1331</v>
      </c>
      <c r="B838" s="13">
        <v>45368</v>
      </c>
      <c r="C838" s="12" t="s">
        <v>965</v>
      </c>
      <c r="D838" s="12" t="s">
        <v>168</v>
      </c>
      <c r="E838" s="12" t="s">
        <v>103</v>
      </c>
      <c r="F838" s="14">
        <v>3</v>
      </c>
      <c r="G838" s="14">
        <v>2400</v>
      </c>
      <c r="H838" s="14">
        <v>28.6</v>
      </c>
      <c r="I838" s="14">
        <v>5140.8</v>
      </c>
      <c r="J838" s="12" t="s">
        <v>104</v>
      </c>
      <c r="K838" s="12" t="s">
        <v>105</v>
      </c>
      <c r="L838" s="23" t="str">
        <f>VLOOKUP(D838,Products!$A:$F,3,FALSE)</f>
        <v>Sports</v>
      </c>
      <c r="M838" s="23" t="str">
        <f>VLOOKUP(E838,Sales_Reps!$A:$E,3,FALSE)</f>
        <v>North</v>
      </c>
      <c r="N838" s="23" t="str">
        <f t="shared" si="39"/>
        <v>Mar-24</v>
      </c>
      <c r="O838" s="23" t="str">
        <f t="shared" si="40"/>
        <v>Q1 2024</v>
      </c>
      <c r="P838" s="23">
        <f>VLOOKUP(D838,Products!$A:$F,4,FALSE)</f>
        <v>974</v>
      </c>
      <c r="Q838" s="35">
        <f t="shared" si="41"/>
        <v>0.59416666666666662</v>
      </c>
    </row>
    <row r="839" spans="1:17">
      <c r="A839" s="12" t="s">
        <v>1332</v>
      </c>
      <c r="B839" s="13">
        <v>45448</v>
      </c>
      <c r="C839" s="12" t="s">
        <v>170</v>
      </c>
      <c r="D839" s="12" t="s">
        <v>181</v>
      </c>
      <c r="E839" s="12" t="s">
        <v>320</v>
      </c>
      <c r="F839" s="14">
        <v>5</v>
      </c>
      <c r="G839" s="14">
        <v>1080</v>
      </c>
      <c r="H839" s="14">
        <v>18.3</v>
      </c>
      <c r="I839" s="14">
        <v>4411.8</v>
      </c>
      <c r="J839" s="12" t="s">
        <v>104</v>
      </c>
      <c r="K839" s="12" t="s">
        <v>134</v>
      </c>
      <c r="L839" s="23" t="str">
        <f>VLOOKUP(D839,Products!$A:$F,3,FALSE)</f>
        <v>Home</v>
      </c>
      <c r="M839" s="23" t="str">
        <f>VLOOKUP(E839,Sales_Reps!$A:$E,3,FALSE)</f>
        <v>East</v>
      </c>
      <c r="N839" s="23" t="str">
        <f t="shared" si="39"/>
        <v>Jun-24</v>
      </c>
      <c r="O839" s="23" t="str">
        <f t="shared" si="40"/>
        <v>Q2 2024</v>
      </c>
      <c r="P839" s="23">
        <f>VLOOKUP(D839,Products!$A:$F,4,FALSE)</f>
        <v>519</v>
      </c>
      <c r="Q839" s="35">
        <f t="shared" si="41"/>
        <v>0.51944444444444449</v>
      </c>
    </row>
    <row r="840" spans="1:17">
      <c r="A840" s="12" t="s">
        <v>1333</v>
      </c>
      <c r="B840" s="13">
        <v>45610</v>
      </c>
      <c r="C840" s="12" t="s">
        <v>418</v>
      </c>
      <c r="D840" s="12" t="s">
        <v>148</v>
      </c>
      <c r="E840" s="12" t="s">
        <v>360</v>
      </c>
      <c r="F840" s="14">
        <v>7</v>
      </c>
      <c r="G840" s="14">
        <v>2270</v>
      </c>
      <c r="H840" s="14">
        <v>1.7</v>
      </c>
      <c r="I840" s="14">
        <v>15619.87</v>
      </c>
      <c r="J840" s="12" t="s">
        <v>157</v>
      </c>
      <c r="K840" s="12" t="s">
        <v>111</v>
      </c>
      <c r="L840" s="23" t="str">
        <f>VLOOKUP(D840,Products!$A:$F,3,FALSE)</f>
        <v>Grocery</v>
      </c>
      <c r="M840" s="23" t="str">
        <f>VLOOKUP(E840,Sales_Reps!$A:$E,3,FALSE)</f>
        <v>West</v>
      </c>
      <c r="N840" s="23" t="str">
        <f t="shared" si="39"/>
        <v>Nov-24</v>
      </c>
      <c r="O840" s="23" t="str">
        <f t="shared" si="40"/>
        <v>Q4 2024</v>
      </c>
      <c r="P840" s="23">
        <f>VLOOKUP(D840,Products!$A:$F,4,FALSE)</f>
        <v>1203</v>
      </c>
      <c r="Q840" s="35">
        <f t="shared" si="41"/>
        <v>0.47004405286343615</v>
      </c>
    </row>
    <row r="841" spans="1:17">
      <c r="A841" s="12" t="s">
        <v>1334</v>
      </c>
      <c r="B841" s="13">
        <v>45438</v>
      </c>
      <c r="C841" s="12" t="s">
        <v>660</v>
      </c>
      <c r="D841" s="12" t="s">
        <v>119</v>
      </c>
      <c r="E841" s="12" t="s">
        <v>218</v>
      </c>
      <c r="F841" s="14">
        <v>8</v>
      </c>
      <c r="G841" s="14">
        <v>3660</v>
      </c>
      <c r="H841" s="14">
        <v>19.100000000000001</v>
      </c>
      <c r="I841" s="14">
        <v>23687.52</v>
      </c>
      <c r="J841" s="12" t="s">
        <v>157</v>
      </c>
      <c r="K841" s="12" t="s">
        <v>129</v>
      </c>
      <c r="L841" s="23" t="str">
        <f>VLOOKUP(D841,Products!$A:$F,3,FALSE)</f>
        <v>Grocery</v>
      </c>
      <c r="M841" s="23" t="str">
        <f>VLOOKUP(E841,Sales_Reps!$A:$E,3,FALSE)</f>
        <v>West</v>
      </c>
      <c r="N841" s="23" t="str">
        <f t="shared" si="39"/>
        <v>May-24</v>
      </c>
      <c r="O841" s="23" t="str">
        <f t="shared" si="40"/>
        <v>Q2 2024</v>
      </c>
      <c r="P841" s="23">
        <f>VLOOKUP(D841,Products!$A:$F,4,FALSE)</f>
        <v>2214</v>
      </c>
      <c r="Q841" s="35">
        <f t="shared" si="41"/>
        <v>0.39508196721311473</v>
      </c>
    </row>
    <row r="842" spans="1:17">
      <c r="A842" s="12" t="s">
        <v>1335</v>
      </c>
      <c r="B842" s="13">
        <v>45477</v>
      </c>
      <c r="C842" s="12" t="s">
        <v>550</v>
      </c>
      <c r="D842" s="12" t="s">
        <v>160</v>
      </c>
      <c r="E842" s="12" t="s">
        <v>165</v>
      </c>
      <c r="F842" s="14">
        <v>5</v>
      </c>
      <c r="G842" s="14">
        <v>3250</v>
      </c>
      <c r="H842" s="14">
        <v>12.9</v>
      </c>
      <c r="I842" s="14">
        <v>14153.75</v>
      </c>
      <c r="J842" s="12" t="s">
        <v>104</v>
      </c>
      <c r="K842" s="12" t="s">
        <v>116</v>
      </c>
      <c r="L842" s="23" t="str">
        <f>VLOOKUP(D842,Products!$A:$F,3,FALSE)</f>
        <v>Home</v>
      </c>
      <c r="M842" s="23" t="str">
        <f>VLOOKUP(E842,Sales_Reps!$A:$E,3,FALSE)</f>
        <v>North</v>
      </c>
      <c r="N842" s="23" t="str">
        <f t="shared" si="39"/>
        <v>Jul-24</v>
      </c>
      <c r="O842" s="23" t="str">
        <f t="shared" si="40"/>
        <v>Q3 2024</v>
      </c>
      <c r="P842" s="23">
        <f>VLOOKUP(D842,Products!$A:$F,4,FALSE)</f>
        <v>1556</v>
      </c>
      <c r="Q842" s="35">
        <f t="shared" si="41"/>
        <v>0.52123076923076928</v>
      </c>
    </row>
    <row r="843" spans="1:17">
      <c r="A843" s="12" t="s">
        <v>1336</v>
      </c>
      <c r="B843" s="13">
        <v>45328</v>
      </c>
      <c r="C843" s="12" t="s">
        <v>580</v>
      </c>
      <c r="D843" s="12" t="s">
        <v>193</v>
      </c>
      <c r="E843" s="12" t="s">
        <v>342</v>
      </c>
      <c r="F843" s="14">
        <v>4</v>
      </c>
      <c r="G843" s="14">
        <v>1650</v>
      </c>
      <c r="H843" s="14">
        <v>4.0999999999999996</v>
      </c>
      <c r="I843" s="14">
        <v>6329.4</v>
      </c>
      <c r="J843" s="12" t="s">
        <v>104</v>
      </c>
      <c r="K843" s="12" t="s">
        <v>105</v>
      </c>
      <c r="L843" s="23" t="str">
        <f>VLOOKUP(D843,Products!$A:$F,3,FALSE)</f>
        <v>Beauty</v>
      </c>
      <c r="M843" s="23" t="str">
        <f>VLOOKUP(E843,Sales_Reps!$A:$E,3,FALSE)</f>
        <v>South</v>
      </c>
      <c r="N843" s="23" t="str">
        <f t="shared" si="39"/>
        <v>Feb-24</v>
      </c>
      <c r="O843" s="23" t="str">
        <f t="shared" si="40"/>
        <v>Q1 2024</v>
      </c>
      <c r="P843" s="23">
        <f>VLOOKUP(D843,Products!$A:$F,4,FALSE)</f>
        <v>1222</v>
      </c>
      <c r="Q843" s="35">
        <f t="shared" si="41"/>
        <v>0.2593939393939394</v>
      </c>
    </row>
    <row r="844" spans="1:17">
      <c r="A844" s="12" t="s">
        <v>1337</v>
      </c>
      <c r="B844" s="13">
        <v>45624</v>
      </c>
      <c r="C844" s="12" t="s">
        <v>311</v>
      </c>
      <c r="D844" s="12" t="s">
        <v>460</v>
      </c>
      <c r="E844" s="12" t="s">
        <v>165</v>
      </c>
      <c r="F844" s="14">
        <v>6</v>
      </c>
      <c r="G844" s="14">
        <v>5080</v>
      </c>
      <c r="H844" s="14">
        <v>3</v>
      </c>
      <c r="I844" s="14">
        <v>29565.599999999999</v>
      </c>
      <c r="J844" s="12" t="s">
        <v>104</v>
      </c>
      <c r="K844" s="12" t="s">
        <v>150</v>
      </c>
      <c r="L844" s="23" t="str">
        <f>VLOOKUP(D844,Products!$A:$F,3,FALSE)</f>
        <v>Home</v>
      </c>
      <c r="M844" s="23" t="str">
        <f>VLOOKUP(E844,Sales_Reps!$A:$E,3,FALSE)</f>
        <v>North</v>
      </c>
      <c r="N844" s="23" t="str">
        <f t="shared" si="39"/>
        <v>Nov-24</v>
      </c>
      <c r="O844" s="23" t="str">
        <f t="shared" si="40"/>
        <v>Q4 2024</v>
      </c>
      <c r="P844" s="23">
        <f>VLOOKUP(D844,Products!$A:$F,4,FALSE)</f>
        <v>2459</v>
      </c>
      <c r="Q844" s="35">
        <f t="shared" si="41"/>
        <v>0.51594488188976373</v>
      </c>
    </row>
    <row r="845" spans="1:17">
      <c r="A845" s="12" t="s">
        <v>1338</v>
      </c>
      <c r="B845" s="13">
        <v>45614</v>
      </c>
      <c r="C845" s="12" t="s">
        <v>1007</v>
      </c>
      <c r="D845" s="12" t="s">
        <v>178</v>
      </c>
      <c r="E845" s="12" t="s">
        <v>360</v>
      </c>
      <c r="F845" s="14">
        <v>8</v>
      </c>
      <c r="G845" s="14">
        <v>3450</v>
      </c>
      <c r="H845" s="14">
        <v>20.9</v>
      </c>
      <c r="I845" s="14">
        <v>21831.599999999999</v>
      </c>
      <c r="J845" s="12" t="s">
        <v>104</v>
      </c>
      <c r="K845" s="12" t="s">
        <v>134</v>
      </c>
      <c r="L845" s="23" t="str">
        <f>VLOOKUP(D845,Products!$A:$F,3,FALSE)</f>
        <v>Sports</v>
      </c>
      <c r="M845" s="23" t="str">
        <f>VLOOKUP(E845,Sales_Reps!$A:$E,3,FALSE)</f>
        <v>West</v>
      </c>
      <c r="N845" s="23" t="str">
        <f t="shared" si="39"/>
        <v>Nov-24</v>
      </c>
      <c r="O845" s="23" t="str">
        <f t="shared" si="40"/>
        <v>Q4 2024</v>
      </c>
      <c r="P845" s="23">
        <f>VLOOKUP(D845,Products!$A:$F,4,FALSE)</f>
        <v>2467</v>
      </c>
      <c r="Q845" s="35">
        <f t="shared" si="41"/>
        <v>0.28492753623188405</v>
      </c>
    </row>
    <row r="846" spans="1:17">
      <c r="A846" s="12" t="s">
        <v>1339</v>
      </c>
      <c r="B846" s="13">
        <v>45429</v>
      </c>
      <c r="C846" s="12" t="s">
        <v>318</v>
      </c>
      <c r="D846" s="12" t="s">
        <v>196</v>
      </c>
      <c r="E846" s="12" t="s">
        <v>320</v>
      </c>
      <c r="F846" s="14">
        <v>6</v>
      </c>
      <c r="G846" s="14">
        <v>3350</v>
      </c>
      <c r="H846" s="14">
        <v>24.8</v>
      </c>
      <c r="I846" s="14">
        <v>15115.2</v>
      </c>
      <c r="J846" s="12" t="s">
        <v>104</v>
      </c>
      <c r="K846" s="12" t="s">
        <v>111</v>
      </c>
      <c r="L846" s="23" t="str">
        <f>VLOOKUP(D846,Products!$A:$F,3,FALSE)</f>
        <v>Beauty</v>
      </c>
      <c r="M846" s="23" t="str">
        <f>VLOOKUP(E846,Sales_Reps!$A:$E,3,FALSE)</f>
        <v>East</v>
      </c>
      <c r="N846" s="23" t="str">
        <f t="shared" si="39"/>
        <v>May-24</v>
      </c>
      <c r="O846" s="23" t="str">
        <f t="shared" si="40"/>
        <v>Q2 2024</v>
      </c>
      <c r="P846" s="23">
        <f>VLOOKUP(D846,Products!$A:$F,4,FALSE)</f>
        <v>1728</v>
      </c>
      <c r="Q846" s="35">
        <f t="shared" si="41"/>
        <v>0.48417910447761192</v>
      </c>
    </row>
    <row r="847" spans="1:17">
      <c r="A847" s="12" t="s">
        <v>1340</v>
      </c>
      <c r="B847" s="13">
        <v>45451</v>
      </c>
      <c r="C847" s="12" t="s">
        <v>686</v>
      </c>
      <c r="D847" s="12" t="s">
        <v>355</v>
      </c>
      <c r="E847" s="12" t="s">
        <v>360</v>
      </c>
      <c r="F847" s="14">
        <v>10</v>
      </c>
      <c r="G847" s="14">
        <v>2210</v>
      </c>
      <c r="H847" s="14">
        <v>4.2</v>
      </c>
      <c r="I847" s="14">
        <v>21171.8</v>
      </c>
      <c r="J847" s="12" t="s">
        <v>104</v>
      </c>
      <c r="K847" s="12" t="s">
        <v>150</v>
      </c>
      <c r="L847" s="23" t="str">
        <f>VLOOKUP(D847,Products!$A:$F,3,FALSE)</f>
        <v>Grocery</v>
      </c>
      <c r="M847" s="23" t="str">
        <f>VLOOKUP(E847,Sales_Reps!$A:$E,3,FALSE)</f>
        <v>West</v>
      </c>
      <c r="N847" s="23" t="str">
        <f t="shared" si="39"/>
        <v>Jun-24</v>
      </c>
      <c r="O847" s="23" t="str">
        <f t="shared" si="40"/>
        <v>Q2 2024</v>
      </c>
      <c r="P847" s="23">
        <f>VLOOKUP(D847,Products!$A:$F,4,FALSE)</f>
        <v>1010</v>
      </c>
      <c r="Q847" s="35">
        <f t="shared" si="41"/>
        <v>0.54298642533936647</v>
      </c>
    </row>
    <row r="848" spans="1:17">
      <c r="A848" s="12" t="s">
        <v>1341</v>
      </c>
      <c r="B848" s="13">
        <v>45444</v>
      </c>
      <c r="C848" s="12" t="s">
        <v>655</v>
      </c>
      <c r="D848" s="12" t="s">
        <v>201</v>
      </c>
      <c r="E848" s="12" t="s">
        <v>120</v>
      </c>
      <c r="F848" s="14">
        <v>10</v>
      </c>
      <c r="G848" s="14">
        <v>4880</v>
      </c>
      <c r="H848" s="14">
        <v>0.7</v>
      </c>
      <c r="I848" s="14">
        <v>48458.400000000001</v>
      </c>
      <c r="J848" s="12" t="s">
        <v>104</v>
      </c>
      <c r="K848" s="12" t="s">
        <v>116</v>
      </c>
      <c r="L848" s="23" t="str">
        <f>VLOOKUP(D848,Products!$A:$F,3,FALSE)</f>
        <v>Beauty</v>
      </c>
      <c r="M848" s="23" t="str">
        <f>VLOOKUP(E848,Sales_Reps!$A:$E,3,FALSE)</f>
        <v>North</v>
      </c>
      <c r="N848" s="23" t="str">
        <f t="shared" si="39"/>
        <v>Jun-24</v>
      </c>
      <c r="O848" s="23" t="str">
        <f t="shared" si="40"/>
        <v>Q2 2024</v>
      </c>
      <c r="P848" s="23">
        <f>VLOOKUP(D848,Products!$A:$F,4,FALSE)</f>
        <v>2768</v>
      </c>
      <c r="Q848" s="35">
        <f t="shared" si="41"/>
        <v>0.43278688524590164</v>
      </c>
    </row>
    <row r="849" spans="1:17">
      <c r="A849" s="12" t="s">
        <v>1342</v>
      </c>
      <c r="B849" s="13">
        <v>45369</v>
      </c>
      <c r="C849" s="12" t="s">
        <v>180</v>
      </c>
      <c r="D849" s="12" t="s">
        <v>212</v>
      </c>
      <c r="E849" s="12" t="s">
        <v>156</v>
      </c>
      <c r="F849" s="14">
        <v>7</v>
      </c>
      <c r="G849" s="14">
        <v>2860</v>
      </c>
      <c r="H849" s="14">
        <v>28.1</v>
      </c>
      <c r="I849" s="14">
        <v>14394.38</v>
      </c>
      <c r="J849" s="12" t="s">
        <v>110</v>
      </c>
      <c r="K849" s="12" t="s">
        <v>111</v>
      </c>
      <c r="L849" s="23" t="str">
        <f>VLOOKUP(D849,Products!$A:$F,3,FALSE)</f>
        <v>Sports</v>
      </c>
      <c r="M849" s="23" t="str">
        <f>VLOOKUP(E849,Sales_Reps!$A:$E,3,FALSE)</f>
        <v>North</v>
      </c>
      <c r="N849" s="23" t="str">
        <f t="shared" si="39"/>
        <v>Mar-24</v>
      </c>
      <c r="O849" s="23" t="str">
        <f t="shared" si="40"/>
        <v>Q1 2024</v>
      </c>
      <c r="P849" s="23">
        <f>VLOOKUP(D849,Products!$A:$F,4,FALSE)</f>
        <v>2028</v>
      </c>
      <c r="Q849" s="35">
        <f t="shared" si="41"/>
        <v>0.29090909090909089</v>
      </c>
    </row>
    <row r="850" spans="1:17">
      <c r="A850" s="12" t="s">
        <v>1343</v>
      </c>
      <c r="B850" s="13">
        <v>45581</v>
      </c>
      <c r="C850" s="12" t="s">
        <v>459</v>
      </c>
      <c r="D850" s="12" t="s">
        <v>144</v>
      </c>
      <c r="E850" s="12" t="s">
        <v>109</v>
      </c>
      <c r="F850" s="14">
        <v>3</v>
      </c>
      <c r="G850" s="14">
        <v>970</v>
      </c>
      <c r="H850" s="14">
        <v>28.3</v>
      </c>
      <c r="I850" s="14">
        <v>2086.4699999999998</v>
      </c>
      <c r="J850" s="12" t="s">
        <v>104</v>
      </c>
      <c r="K850" s="12" t="s">
        <v>105</v>
      </c>
      <c r="L850" s="23" t="str">
        <f>VLOOKUP(D850,Products!$A:$F,3,FALSE)</f>
        <v>Grocery</v>
      </c>
      <c r="M850" s="23" t="str">
        <f>VLOOKUP(E850,Sales_Reps!$A:$E,3,FALSE)</f>
        <v>North</v>
      </c>
      <c r="N850" s="23" t="str">
        <f t="shared" si="39"/>
        <v>Oct-24</v>
      </c>
      <c r="O850" s="23" t="str">
        <f t="shared" si="40"/>
        <v>Q4 2024</v>
      </c>
      <c r="P850" s="23">
        <f>VLOOKUP(D850,Products!$A:$F,4,FALSE)</f>
        <v>434</v>
      </c>
      <c r="Q850" s="35">
        <f t="shared" si="41"/>
        <v>0.5525773195876289</v>
      </c>
    </row>
    <row r="851" spans="1:17">
      <c r="A851" s="12" t="s">
        <v>1344</v>
      </c>
      <c r="B851" s="13">
        <v>45494</v>
      </c>
      <c r="C851" s="12" t="s">
        <v>994</v>
      </c>
      <c r="D851" s="12" t="s">
        <v>262</v>
      </c>
      <c r="E851" s="12" t="s">
        <v>124</v>
      </c>
      <c r="F851" s="14">
        <v>1</v>
      </c>
      <c r="G851" s="14">
        <v>2270</v>
      </c>
      <c r="H851" s="14">
        <v>15.1</v>
      </c>
      <c r="I851" s="14">
        <v>1927.23</v>
      </c>
      <c r="J851" s="12" t="s">
        <v>104</v>
      </c>
      <c r="K851" s="12" t="s">
        <v>105</v>
      </c>
      <c r="L851" s="23" t="str">
        <f>VLOOKUP(D851,Products!$A:$F,3,FALSE)</f>
        <v>Grocery</v>
      </c>
      <c r="M851" s="23" t="str">
        <f>VLOOKUP(E851,Sales_Reps!$A:$E,3,FALSE)</f>
        <v>North</v>
      </c>
      <c r="N851" s="23" t="str">
        <f t="shared" si="39"/>
        <v>Jul-24</v>
      </c>
      <c r="O851" s="23" t="str">
        <f t="shared" si="40"/>
        <v>Q3 2024</v>
      </c>
      <c r="P851" s="23">
        <f>VLOOKUP(D851,Products!$A:$F,4,FALSE)</f>
        <v>1412</v>
      </c>
      <c r="Q851" s="35">
        <f t="shared" si="41"/>
        <v>0.37797356828193834</v>
      </c>
    </row>
    <row r="852" spans="1:17">
      <c r="A852" s="12" t="s">
        <v>1345</v>
      </c>
      <c r="B852" s="13">
        <v>45324</v>
      </c>
      <c r="C852" s="12" t="s">
        <v>386</v>
      </c>
      <c r="D852" s="12" t="s">
        <v>676</v>
      </c>
      <c r="E852" s="12" t="s">
        <v>205</v>
      </c>
      <c r="F852" s="14">
        <v>5</v>
      </c>
      <c r="G852" s="14">
        <v>3560</v>
      </c>
      <c r="H852" s="14">
        <v>11.5</v>
      </c>
      <c r="I852" s="14">
        <v>15753</v>
      </c>
      <c r="J852" s="12" t="s">
        <v>104</v>
      </c>
      <c r="K852" s="12" t="s">
        <v>111</v>
      </c>
      <c r="L852" s="23" t="str">
        <f>VLOOKUP(D852,Products!$A:$F,3,FALSE)</f>
        <v>Apparel</v>
      </c>
      <c r="M852" s="23" t="str">
        <f>VLOOKUP(E852,Sales_Reps!$A:$E,3,FALSE)</f>
        <v>South</v>
      </c>
      <c r="N852" s="23" t="str">
        <f t="shared" si="39"/>
        <v>Feb-24</v>
      </c>
      <c r="O852" s="23" t="str">
        <f t="shared" si="40"/>
        <v>Q1 2024</v>
      </c>
      <c r="P852" s="23">
        <f>VLOOKUP(D852,Products!$A:$F,4,FALSE)</f>
        <v>2629</v>
      </c>
      <c r="Q852" s="35">
        <f t="shared" si="41"/>
        <v>0.26151685393258428</v>
      </c>
    </row>
    <row r="853" spans="1:17">
      <c r="A853" s="12" t="s">
        <v>1346</v>
      </c>
      <c r="B853" s="13">
        <v>45419</v>
      </c>
      <c r="C853" s="12" t="s">
        <v>195</v>
      </c>
      <c r="D853" s="12" t="s">
        <v>377</v>
      </c>
      <c r="E853" s="12" t="s">
        <v>149</v>
      </c>
      <c r="F853" s="14">
        <v>2</v>
      </c>
      <c r="G853" s="14">
        <v>5410</v>
      </c>
      <c r="H853" s="14">
        <v>14.8</v>
      </c>
      <c r="I853" s="14">
        <v>9218.64</v>
      </c>
      <c r="J853" s="12" t="s">
        <v>110</v>
      </c>
      <c r="K853" s="12" t="s">
        <v>111</v>
      </c>
      <c r="L853" s="23" t="str">
        <f>VLOOKUP(D853,Products!$A:$F,3,FALSE)</f>
        <v>Sports</v>
      </c>
      <c r="M853" s="23" t="str">
        <f>VLOOKUP(E853,Sales_Reps!$A:$E,3,FALSE)</f>
        <v>South</v>
      </c>
      <c r="N853" s="23" t="str">
        <f t="shared" si="39"/>
        <v>May-24</v>
      </c>
      <c r="O853" s="23" t="str">
        <f t="shared" si="40"/>
        <v>Q2 2024</v>
      </c>
      <c r="P853" s="23">
        <f>VLOOKUP(D853,Products!$A:$F,4,FALSE)</f>
        <v>2265</v>
      </c>
      <c r="Q853" s="35">
        <f t="shared" si="41"/>
        <v>0.58133086876155271</v>
      </c>
    </row>
    <row r="854" spans="1:17">
      <c r="A854" s="12" t="s">
        <v>1347</v>
      </c>
      <c r="B854" s="13">
        <v>45656</v>
      </c>
      <c r="C854" s="12" t="s">
        <v>938</v>
      </c>
      <c r="D854" s="12" t="s">
        <v>184</v>
      </c>
      <c r="E854" s="12" t="s">
        <v>120</v>
      </c>
      <c r="F854" s="14">
        <v>2</v>
      </c>
      <c r="G854" s="14">
        <v>2480</v>
      </c>
      <c r="H854" s="14">
        <v>27.2</v>
      </c>
      <c r="I854" s="14">
        <v>3610.88</v>
      </c>
      <c r="J854" s="12" t="s">
        <v>104</v>
      </c>
      <c r="K854" s="12" t="s">
        <v>134</v>
      </c>
      <c r="L854" s="23" t="str">
        <f>VLOOKUP(D854,Products!$A:$F,3,FALSE)</f>
        <v>Apparel</v>
      </c>
      <c r="M854" s="23" t="str">
        <f>VLOOKUP(E854,Sales_Reps!$A:$E,3,FALSE)</f>
        <v>North</v>
      </c>
      <c r="N854" s="23" t="str">
        <f t="shared" si="39"/>
        <v>Dec-24</v>
      </c>
      <c r="O854" s="23" t="str">
        <f t="shared" si="40"/>
        <v>Q4 2024</v>
      </c>
      <c r="P854" s="23">
        <f>VLOOKUP(D854,Products!$A:$F,4,FALSE)</f>
        <v>1173</v>
      </c>
      <c r="Q854" s="35">
        <f t="shared" si="41"/>
        <v>0.52701612903225803</v>
      </c>
    </row>
    <row r="855" spans="1:17">
      <c r="A855" s="12" t="s">
        <v>1348</v>
      </c>
      <c r="B855" s="13">
        <v>45350</v>
      </c>
      <c r="C855" s="12" t="s">
        <v>547</v>
      </c>
      <c r="D855" s="12" t="s">
        <v>108</v>
      </c>
      <c r="E855" s="12" t="s">
        <v>115</v>
      </c>
      <c r="F855" s="14">
        <v>6</v>
      </c>
      <c r="G855" s="14">
        <v>820</v>
      </c>
      <c r="H855" s="14">
        <v>6.6</v>
      </c>
      <c r="I855" s="14">
        <v>4595.28</v>
      </c>
      <c r="J855" s="12" t="s">
        <v>104</v>
      </c>
      <c r="K855" s="12" t="s">
        <v>116</v>
      </c>
      <c r="L855" s="23" t="str">
        <f>VLOOKUP(D855,Products!$A:$F,3,FALSE)</f>
        <v>Apparel</v>
      </c>
      <c r="M855" s="23" t="str">
        <f>VLOOKUP(E855,Sales_Reps!$A:$E,3,FALSE)</f>
        <v>South</v>
      </c>
      <c r="N855" s="23" t="str">
        <f t="shared" si="39"/>
        <v>Feb-24</v>
      </c>
      <c r="O855" s="23" t="str">
        <f t="shared" si="40"/>
        <v>Q1 2024</v>
      </c>
      <c r="P855" s="23">
        <f>VLOOKUP(D855,Products!$A:$F,4,FALSE)</f>
        <v>391</v>
      </c>
      <c r="Q855" s="35">
        <f t="shared" si="41"/>
        <v>0.52317073170731709</v>
      </c>
    </row>
    <row r="856" spans="1:17">
      <c r="A856" s="12" t="s">
        <v>1349</v>
      </c>
      <c r="B856" s="13">
        <v>45434</v>
      </c>
      <c r="C856" s="12" t="s">
        <v>264</v>
      </c>
      <c r="D856" s="12" t="s">
        <v>381</v>
      </c>
      <c r="E856" s="12" t="s">
        <v>205</v>
      </c>
      <c r="F856" s="14">
        <v>10</v>
      </c>
      <c r="G856" s="14">
        <v>5330</v>
      </c>
      <c r="H856" s="14">
        <v>16.100000000000001</v>
      </c>
      <c r="I856" s="14">
        <v>44718.7</v>
      </c>
      <c r="J856" s="12" t="s">
        <v>104</v>
      </c>
      <c r="K856" s="12" t="s">
        <v>134</v>
      </c>
      <c r="L856" s="23" t="str">
        <f>VLOOKUP(D856,Products!$A:$F,3,FALSE)</f>
        <v>Electronics</v>
      </c>
      <c r="M856" s="23" t="str">
        <f>VLOOKUP(E856,Sales_Reps!$A:$E,3,FALSE)</f>
        <v>South</v>
      </c>
      <c r="N856" s="23" t="str">
        <f t="shared" si="39"/>
        <v>May-24</v>
      </c>
      <c r="O856" s="23" t="str">
        <f t="shared" si="40"/>
        <v>Q2 2024</v>
      </c>
      <c r="P856" s="23">
        <f>VLOOKUP(D856,Products!$A:$F,4,FALSE)</f>
        <v>2405</v>
      </c>
      <c r="Q856" s="35">
        <f t="shared" si="41"/>
        <v>0.54878048780487809</v>
      </c>
    </row>
    <row r="857" spans="1:17">
      <c r="A857" s="12" t="s">
        <v>1350</v>
      </c>
      <c r="B857" s="13">
        <v>45438</v>
      </c>
      <c r="C857" s="12" t="s">
        <v>761</v>
      </c>
      <c r="D857" s="12" t="s">
        <v>174</v>
      </c>
      <c r="E857" s="12" t="s">
        <v>156</v>
      </c>
      <c r="F857" s="14">
        <v>2</v>
      </c>
      <c r="G857" s="14">
        <v>3450</v>
      </c>
      <c r="H857" s="14">
        <v>11.3</v>
      </c>
      <c r="I857" s="14">
        <v>6120.3</v>
      </c>
      <c r="J857" s="12" t="s">
        <v>110</v>
      </c>
      <c r="K857" s="12" t="s">
        <v>150</v>
      </c>
      <c r="L857" s="23" t="str">
        <f>VLOOKUP(D857,Products!$A:$F,3,FALSE)</f>
        <v>Beauty</v>
      </c>
      <c r="M857" s="23" t="str">
        <f>VLOOKUP(E857,Sales_Reps!$A:$E,3,FALSE)</f>
        <v>North</v>
      </c>
      <c r="N857" s="23" t="str">
        <f t="shared" si="39"/>
        <v>May-24</v>
      </c>
      <c r="O857" s="23" t="str">
        <f t="shared" si="40"/>
        <v>Q2 2024</v>
      </c>
      <c r="P857" s="23">
        <f>VLOOKUP(D857,Products!$A:$F,4,FALSE)</f>
        <v>2420</v>
      </c>
      <c r="Q857" s="35">
        <f t="shared" si="41"/>
        <v>0.29855072463768118</v>
      </c>
    </row>
    <row r="858" spans="1:17">
      <c r="A858" s="12" t="s">
        <v>1351</v>
      </c>
      <c r="B858" s="13">
        <v>45486</v>
      </c>
      <c r="C858" s="12" t="s">
        <v>318</v>
      </c>
      <c r="D858" s="12" t="s">
        <v>397</v>
      </c>
      <c r="E858" s="12" t="s">
        <v>171</v>
      </c>
      <c r="F858" s="14">
        <v>7</v>
      </c>
      <c r="G858" s="14">
        <v>960</v>
      </c>
      <c r="H858" s="14">
        <v>17.100000000000001</v>
      </c>
      <c r="I858" s="14">
        <v>5570.88</v>
      </c>
      <c r="J858" s="12" t="s">
        <v>104</v>
      </c>
      <c r="K858" s="12" t="s">
        <v>111</v>
      </c>
      <c r="L858" s="23" t="str">
        <f>VLOOKUP(D858,Products!$A:$F,3,FALSE)</f>
        <v>Beauty</v>
      </c>
      <c r="M858" s="23" t="str">
        <f>VLOOKUP(E858,Sales_Reps!$A:$E,3,FALSE)</f>
        <v>East</v>
      </c>
      <c r="N858" s="23" t="str">
        <f t="shared" si="39"/>
        <v>Jul-24</v>
      </c>
      <c r="O858" s="23" t="str">
        <f t="shared" si="40"/>
        <v>Q3 2024</v>
      </c>
      <c r="P858" s="23">
        <f>VLOOKUP(D858,Products!$A:$F,4,FALSE)</f>
        <v>675</v>
      </c>
      <c r="Q858" s="35">
        <f t="shared" si="41"/>
        <v>0.296875</v>
      </c>
    </row>
    <row r="859" spans="1:17">
      <c r="A859" s="12" t="s">
        <v>1352</v>
      </c>
      <c r="B859" s="13">
        <v>45623</v>
      </c>
      <c r="C859" s="12" t="s">
        <v>311</v>
      </c>
      <c r="D859" s="12" t="s">
        <v>469</v>
      </c>
      <c r="E859" s="12" t="s">
        <v>165</v>
      </c>
      <c r="F859" s="14">
        <v>5</v>
      </c>
      <c r="G859" s="14">
        <v>3450</v>
      </c>
      <c r="H859" s="14">
        <v>22.9</v>
      </c>
      <c r="I859" s="14">
        <v>13299.75</v>
      </c>
      <c r="J859" s="12" t="s">
        <v>104</v>
      </c>
      <c r="K859" s="12" t="s">
        <v>150</v>
      </c>
      <c r="L859" s="23" t="str">
        <f>VLOOKUP(D859,Products!$A:$F,3,FALSE)</f>
        <v>Apparel</v>
      </c>
      <c r="M859" s="23" t="str">
        <f>VLOOKUP(E859,Sales_Reps!$A:$E,3,FALSE)</f>
        <v>North</v>
      </c>
      <c r="N859" s="23" t="str">
        <f t="shared" si="39"/>
        <v>Nov-24</v>
      </c>
      <c r="O859" s="23" t="str">
        <f t="shared" si="40"/>
        <v>Q4 2024</v>
      </c>
      <c r="P859" s="23">
        <f>VLOOKUP(D859,Products!$A:$F,4,FALSE)</f>
        <v>1748</v>
      </c>
      <c r="Q859" s="35">
        <f t="shared" si="41"/>
        <v>0.49333333333333335</v>
      </c>
    </row>
    <row r="860" spans="1:17">
      <c r="A860" s="12" t="s">
        <v>1353</v>
      </c>
      <c r="B860" s="13">
        <v>45634</v>
      </c>
      <c r="C860" s="12" t="s">
        <v>873</v>
      </c>
      <c r="D860" s="12" t="s">
        <v>284</v>
      </c>
      <c r="E860" s="12" t="s">
        <v>124</v>
      </c>
      <c r="F860" s="14">
        <v>5</v>
      </c>
      <c r="G860" s="14">
        <v>1220</v>
      </c>
      <c r="H860" s="14">
        <v>0.3</v>
      </c>
      <c r="I860" s="14">
        <v>6081.7</v>
      </c>
      <c r="J860" s="12" t="s">
        <v>104</v>
      </c>
      <c r="K860" s="12" t="s">
        <v>105</v>
      </c>
      <c r="L860" s="23" t="str">
        <f>VLOOKUP(D860,Products!$A:$F,3,FALSE)</f>
        <v>Electronics</v>
      </c>
      <c r="M860" s="23" t="str">
        <f>VLOOKUP(E860,Sales_Reps!$A:$E,3,FALSE)</f>
        <v>North</v>
      </c>
      <c r="N860" s="23" t="str">
        <f t="shared" si="39"/>
        <v>Dec-24</v>
      </c>
      <c r="O860" s="23" t="str">
        <f t="shared" si="40"/>
        <v>Q4 2024</v>
      </c>
      <c r="P860" s="23">
        <f>VLOOKUP(D860,Products!$A:$F,4,FALSE)</f>
        <v>517</v>
      </c>
      <c r="Q860" s="35">
        <f t="shared" si="41"/>
        <v>0.57622950819672136</v>
      </c>
    </row>
    <row r="861" spans="1:17">
      <c r="A861" s="12" t="s">
        <v>1354</v>
      </c>
      <c r="B861" s="13">
        <v>45308</v>
      </c>
      <c r="C861" s="12" t="s">
        <v>1189</v>
      </c>
      <c r="D861" s="12" t="s">
        <v>381</v>
      </c>
      <c r="E861" s="12" t="s">
        <v>103</v>
      </c>
      <c r="F861" s="14">
        <v>5</v>
      </c>
      <c r="G861" s="14">
        <v>5330</v>
      </c>
      <c r="H861" s="14">
        <v>29</v>
      </c>
      <c r="I861" s="14">
        <v>18921.5</v>
      </c>
      <c r="J861" s="12" t="s">
        <v>104</v>
      </c>
      <c r="K861" s="12" t="s">
        <v>105</v>
      </c>
      <c r="L861" s="23" t="str">
        <f>VLOOKUP(D861,Products!$A:$F,3,FALSE)</f>
        <v>Electronics</v>
      </c>
      <c r="M861" s="23" t="str">
        <f>VLOOKUP(E861,Sales_Reps!$A:$E,3,FALSE)</f>
        <v>North</v>
      </c>
      <c r="N861" s="23" t="str">
        <f t="shared" si="39"/>
        <v>Jan-24</v>
      </c>
      <c r="O861" s="23" t="str">
        <f t="shared" si="40"/>
        <v>Q1 2024</v>
      </c>
      <c r="P861" s="23">
        <f>VLOOKUP(D861,Products!$A:$F,4,FALSE)</f>
        <v>2405</v>
      </c>
      <c r="Q861" s="35">
        <f t="shared" si="41"/>
        <v>0.54878048780487809</v>
      </c>
    </row>
    <row r="862" spans="1:17">
      <c r="A862" s="12" t="s">
        <v>1355</v>
      </c>
      <c r="B862" s="13">
        <v>45641</v>
      </c>
      <c r="C862" s="12" t="s">
        <v>776</v>
      </c>
      <c r="D862" s="12" t="s">
        <v>204</v>
      </c>
      <c r="E862" s="12" t="s">
        <v>145</v>
      </c>
      <c r="F862" s="14">
        <v>3</v>
      </c>
      <c r="G862" s="14">
        <v>3570</v>
      </c>
      <c r="H862" s="14">
        <v>20</v>
      </c>
      <c r="I862" s="14">
        <v>8568</v>
      </c>
      <c r="J862" s="12" t="s">
        <v>157</v>
      </c>
      <c r="K862" s="12" t="s">
        <v>134</v>
      </c>
      <c r="L862" s="23" t="str">
        <f>VLOOKUP(D862,Products!$A:$F,3,FALSE)</f>
        <v>Electronics</v>
      </c>
      <c r="M862" s="23" t="str">
        <f>VLOOKUP(E862,Sales_Reps!$A:$E,3,FALSE)</f>
        <v>West</v>
      </c>
      <c r="N862" s="23" t="str">
        <f t="shared" si="39"/>
        <v>Dec-24</v>
      </c>
      <c r="O862" s="23" t="str">
        <f t="shared" si="40"/>
        <v>Q4 2024</v>
      </c>
      <c r="P862" s="23">
        <f>VLOOKUP(D862,Products!$A:$F,4,FALSE)</f>
        <v>1665</v>
      </c>
      <c r="Q862" s="35">
        <f t="shared" si="41"/>
        <v>0.53361344537815125</v>
      </c>
    </row>
    <row r="863" spans="1:17">
      <c r="A863" s="12" t="s">
        <v>1356</v>
      </c>
      <c r="B863" s="13">
        <v>45396</v>
      </c>
      <c r="C863" s="12" t="s">
        <v>746</v>
      </c>
      <c r="D863" s="12" t="s">
        <v>355</v>
      </c>
      <c r="E863" s="12" t="s">
        <v>218</v>
      </c>
      <c r="F863" s="14">
        <v>9</v>
      </c>
      <c r="G863" s="14">
        <v>2210</v>
      </c>
      <c r="H863" s="14">
        <v>12.4</v>
      </c>
      <c r="I863" s="14">
        <v>17423.64</v>
      </c>
      <c r="J863" s="12" t="s">
        <v>104</v>
      </c>
      <c r="K863" s="12" t="s">
        <v>129</v>
      </c>
      <c r="L863" s="23" t="str">
        <f>VLOOKUP(D863,Products!$A:$F,3,FALSE)</f>
        <v>Grocery</v>
      </c>
      <c r="M863" s="23" t="str">
        <f>VLOOKUP(E863,Sales_Reps!$A:$E,3,FALSE)</f>
        <v>West</v>
      </c>
      <c r="N863" s="23" t="str">
        <f t="shared" si="39"/>
        <v>Apr-24</v>
      </c>
      <c r="O863" s="23" t="str">
        <f t="shared" si="40"/>
        <v>Q2 2024</v>
      </c>
      <c r="P863" s="23">
        <f>VLOOKUP(D863,Products!$A:$F,4,FALSE)</f>
        <v>1010</v>
      </c>
      <c r="Q863" s="35">
        <f t="shared" si="41"/>
        <v>0.54298642533936647</v>
      </c>
    </row>
    <row r="864" spans="1:17">
      <c r="A864" s="12" t="s">
        <v>1357</v>
      </c>
      <c r="B864" s="13">
        <v>45302</v>
      </c>
      <c r="C864" s="12" t="s">
        <v>159</v>
      </c>
      <c r="D864" s="12" t="s">
        <v>478</v>
      </c>
      <c r="E864" s="12" t="s">
        <v>246</v>
      </c>
      <c r="F864" s="14">
        <v>5</v>
      </c>
      <c r="G864" s="14">
        <v>3780</v>
      </c>
      <c r="H864" s="14">
        <v>3.9</v>
      </c>
      <c r="I864" s="14">
        <v>18162.900000000001</v>
      </c>
      <c r="J864" s="12" t="s">
        <v>104</v>
      </c>
      <c r="K864" s="12" t="s">
        <v>105</v>
      </c>
      <c r="L864" s="23" t="str">
        <f>VLOOKUP(D864,Products!$A:$F,3,FALSE)</f>
        <v>Sports</v>
      </c>
      <c r="M864" s="23" t="str">
        <f>VLOOKUP(E864,Sales_Reps!$A:$E,3,FALSE)</f>
        <v>West</v>
      </c>
      <c r="N864" s="23" t="str">
        <f t="shared" si="39"/>
        <v>Jan-24</v>
      </c>
      <c r="O864" s="23" t="str">
        <f t="shared" si="40"/>
        <v>Q1 2024</v>
      </c>
      <c r="P864" s="23">
        <f>VLOOKUP(D864,Products!$A:$F,4,FALSE)</f>
        <v>1860</v>
      </c>
      <c r="Q864" s="35">
        <f t="shared" si="41"/>
        <v>0.50793650793650791</v>
      </c>
    </row>
    <row r="865" spans="1:17">
      <c r="A865" s="12" t="s">
        <v>1358</v>
      </c>
      <c r="B865" s="13">
        <v>45626</v>
      </c>
      <c r="C865" s="12" t="s">
        <v>186</v>
      </c>
      <c r="D865" s="12" t="s">
        <v>152</v>
      </c>
      <c r="E865" s="12" t="s">
        <v>124</v>
      </c>
      <c r="F865" s="14">
        <v>10</v>
      </c>
      <c r="G865" s="14">
        <v>2640</v>
      </c>
      <c r="H865" s="14">
        <v>17.8</v>
      </c>
      <c r="I865" s="14">
        <v>21700.799999999999</v>
      </c>
      <c r="J865" s="12" t="s">
        <v>161</v>
      </c>
      <c r="K865" s="12" t="s">
        <v>129</v>
      </c>
      <c r="L865" s="23" t="str">
        <f>VLOOKUP(D865,Products!$A:$F,3,FALSE)</f>
        <v>Electronics</v>
      </c>
      <c r="M865" s="23" t="str">
        <f>VLOOKUP(E865,Sales_Reps!$A:$E,3,FALSE)</f>
        <v>North</v>
      </c>
      <c r="N865" s="23" t="str">
        <f t="shared" si="39"/>
        <v>Nov-24</v>
      </c>
      <c r="O865" s="23" t="str">
        <f t="shared" si="40"/>
        <v>Q4 2024</v>
      </c>
      <c r="P865" s="23">
        <f>VLOOKUP(D865,Products!$A:$F,4,FALSE)</f>
        <v>1149</v>
      </c>
      <c r="Q865" s="35">
        <f t="shared" si="41"/>
        <v>0.56477272727272732</v>
      </c>
    </row>
    <row r="866" spans="1:17">
      <c r="A866" s="12" t="s">
        <v>1359</v>
      </c>
      <c r="B866" s="13">
        <v>45352</v>
      </c>
      <c r="C866" s="12" t="s">
        <v>627</v>
      </c>
      <c r="D866" s="12" t="s">
        <v>299</v>
      </c>
      <c r="E866" s="12" t="s">
        <v>133</v>
      </c>
      <c r="F866" s="14">
        <v>5</v>
      </c>
      <c r="G866" s="14">
        <v>300</v>
      </c>
      <c r="H866" s="14">
        <v>12.9</v>
      </c>
      <c r="I866" s="14">
        <v>1306.5</v>
      </c>
      <c r="J866" s="12" t="s">
        <v>104</v>
      </c>
      <c r="K866" s="12" t="s">
        <v>134</v>
      </c>
      <c r="L866" s="23" t="str">
        <f>VLOOKUP(D866,Products!$A:$F,3,FALSE)</f>
        <v>Electronics</v>
      </c>
      <c r="M866" s="23" t="str">
        <f>VLOOKUP(E866,Sales_Reps!$A:$E,3,FALSE)</f>
        <v>West</v>
      </c>
      <c r="N866" s="23" t="str">
        <f t="shared" si="39"/>
        <v>Mar-24</v>
      </c>
      <c r="O866" s="23" t="str">
        <f t="shared" si="40"/>
        <v>Q1 2024</v>
      </c>
      <c r="P866" s="23">
        <f>VLOOKUP(D866,Products!$A:$F,4,FALSE)</f>
        <v>128</v>
      </c>
      <c r="Q866" s="35">
        <f t="shared" si="41"/>
        <v>0.57333333333333336</v>
      </c>
    </row>
    <row r="867" spans="1:17">
      <c r="A867" s="12" t="s">
        <v>1360</v>
      </c>
      <c r="B867" s="13">
        <v>45588</v>
      </c>
      <c r="C867" s="12" t="s">
        <v>311</v>
      </c>
      <c r="D867" s="12" t="s">
        <v>168</v>
      </c>
      <c r="E867" s="12" t="s">
        <v>269</v>
      </c>
      <c r="F867" s="14">
        <v>2</v>
      </c>
      <c r="G867" s="14">
        <v>2400</v>
      </c>
      <c r="H867" s="14">
        <v>17.100000000000001</v>
      </c>
      <c r="I867" s="14">
        <v>3979.2</v>
      </c>
      <c r="J867" s="12" t="s">
        <v>110</v>
      </c>
      <c r="K867" s="12" t="s">
        <v>150</v>
      </c>
      <c r="L867" s="23" t="str">
        <f>VLOOKUP(D867,Products!$A:$F,3,FALSE)</f>
        <v>Sports</v>
      </c>
      <c r="M867" s="23" t="str">
        <f>VLOOKUP(E867,Sales_Reps!$A:$E,3,FALSE)</f>
        <v>South</v>
      </c>
      <c r="N867" s="23" t="str">
        <f t="shared" si="39"/>
        <v>Oct-24</v>
      </c>
      <c r="O867" s="23" t="str">
        <f t="shared" si="40"/>
        <v>Q4 2024</v>
      </c>
      <c r="P867" s="23">
        <f>VLOOKUP(D867,Products!$A:$F,4,FALSE)</f>
        <v>974</v>
      </c>
      <c r="Q867" s="35">
        <f t="shared" si="41"/>
        <v>0.59416666666666662</v>
      </c>
    </row>
    <row r="868" spans="1:17">
      <c r="A868" s="12" t="s">
        <v>1361</v>
      </c>
      <c r="B868" s="13">
        <v>45583</v>
      </c>
      <c r="C868" s="12" t="s">
        <v>316</v>
      </c>
      <c r="D868" s="12" t="s">
        <v>181</v>
      </c>
      <c r="E868" s="12" t="s">
        <v>218</v>
      </c>
      <c r="F868" s="14">
        <v>5</v>
      </c>
      <c r="G868" s="14">
        <v>1080</v>
      </c>
      <c r="H868" s="14">
        <v>15.7</v>
      </c>
      <c r="I868" s="14">
        <v>4552.2</v>
      </c>
      <c r="J868" s="12" t="s">
        <v>110</v>
      </c>
      <c r="K868" s="12" t="s">
        <v>150</v>
      </c>
      <c r="L868" s="23" t="str">
        <f>VLOOKUP(D868,Products!$A:$F,3,FALSE)</f>
        <v>Home</v>
      </c>
      <c r="M868" s="23" t="str">
        <f>VLOOKUP(E868,Sales_Reps!$A:$E,3,FALSE)</f>
        <v>West</v>
      </c>
      <c r="N868" s="23" t="str">
        <f t="shared" si="39"/>
        <v>Oct-24</v>
      </c>
      <c r="O868" s="23" t="str">
        <f t="shared" si="40"/>
        <v>Q4 2024</v>
      </c>
      <c r="P868" s="23">
        <f>VLOOKUP(D868,Products!$A:$F,4,FALSE)</f>
        <v>519</v>
      </c>
      <c r="Q868" s="35">
        <f t="shared" si="41"/>
        <v>0.51944444444444449</v>
      </c>
    </row>
    <row r="869" spans="1:17">
      <c r="A869" s="12" t="s">
        <v>1362</v>
      </c>
      <c r="B869" s="13">
        <v>45528</v>
      </c>
      <c r="C869" s="12" t="s">
        <v>731</v>
      </c>
      <c r="D869" s="12" t="s">
        <v>160</v>
      </c>
      <c r="E869" s="12" t="s">
        <v>165</v>
      </c>
      <c r="F869" s="14">
        <v>1</v>
      </c>
      <c r="G869" s="14">
        <v>3250</v>
      </c>
      <c r="H869" s="14">
        <v>14.7</v>
      </c>
      <c r="I869" s="14">
        <v>2772.25</v>
      </c>
      <c r="J869" s="12" t="s">
        <v>104</v>
      </c>
      <c r="K869" s="12" t="s">
        <v>116</v>
      </c>
      <c r="L869" s="23" t="str">
        <f>VLOOKUP(D869,Products!$A:$F,3,FALSE)</f>
        <v>Home</v>
      </c>
      <c r="M869" s="23" t="str">
        <f>VLOOKUP(E869,Sales_Reps!$A:$E,3,FALSE)</f>
        <v>North</v>
      </c>
      <c r="N869" s="23" t="str">
        <f t="shared" si="39"/>
        <v>Aug-24</v>
      </c>
      <c r="O869" s="23" t="str">
        <f t="shared" si="40"/>
        <v>Q3 2024</v>
      </c>
      <c r="P869" s="23">
        <f>VLOOKUP(D869,Products!$A:$F,4,FALSE)</f>
        <v>1556</v>
      </c>
      <c r="Q869" s="35">
        <f t="shared" si="41"/>
        <v>0.52123076923076928</v>
      </c>
    </row>
    <row r="870" spans="1:17">
      <c r="A870" s="12" t="s">
        <v>1363</v>
      </c>
      <c r="B870" s="13">
        <v>45400</v>
      </c>
      <c r="C870" s="12" t="s">
        <v>433</v>
      </c>
      <c r="D870" s="12" t="s">
        <v>127</v>
      </c>
      <c r="E870" s="12" t="s">
        <v>175</v>
      </c>
      <c r="F870" s="14">
        <v>7</v>
      </c>
      <c r="G870" s="14">
        <v>370</v>
      </c>
      <c r="H870" s="14">
        <v>6</v>
      </c>
      <c r="I870" s="14">
        <v>2434.6</v>
      </c>
      <c r="J870" s="12" t="s">
        <v>157</v>
      </c>
      <c r="K870" s="12" t="s">
        <v>134</v>
      </c>
      <c r="L870" s="23" t="str">
        <f>VLOOKUP(D870,Products!$A:$F,3,FALSE)</f>
        <v>Home</v>
      </c>
      <c r="M870" s="23" t="str">
        <f>VLOOKUP(E870,Sales_Reps!$A:$E,3,FALSE)</f>
        <v>East</v>
      </c>
      <c r="N870" s="23" t="str">
        <f t="shared" si="39"/>
        <v>Apr-24</v>
      </c>
      <c r="O870" s="23" t="str">
        <f t="shared" si="40"/>
        <v>Q2 2024</v>
      </c>
      <c r="P870" s="23">
        <f>VLOOKUP(D870,Products!$A:$F,4,FALSE)</f>
        <v>288</v>
      </c>
      <c r="Q870" s="35">
        <f t="shared" si="41"/>
        <v>0.22162162162162163</v>
      </c>
    </row>
    <row r="871" spans="1:17">
      <c r="A871" s="12" t="s">
        <v>1364</v>
      </c>
      <c r="B871" s="13">
        <v>45337</v>
      </c>
      <c r="C871" s="12" t="s">
        <v>1365</v>
      </c>
      <c r="D871" s="12" t="s">
        <v>141</v>
      </c>
      <c r="E871" s="12" t="s">
        <v>246</v>
      </c>
      <c r="F871" s="14">
        <v>7</v>
      </c>
      <c r="G871" s="14">
        <v>5490</v>
      </c>
      <c r="H871" s="14">
        <v>10.199999999999999</v>
      </c>
      <c r="I871" s="14">
        <v>34510.14</v>
      </c>
      <c r="J871" s="12" t="s">
        <v>104</v>
      </c>
      <c r="K871" s="12" t="s">
        <v>105</v>
      </c>
      <c r="L871" s="23" t="str">
        <f>VLOOKUP(D871,Products!$A:$F,3,FALSE)</f>
        <v>Home</v>
      </c>
      <c r="M871" s="23" t="str">
        <f>VLOOKUP(E871,Sales_Reps!$A:$E,3,FALSE)</f>
        <v>West</v>
      </c>
      <c r="N871" s="23" t="str">
        <f t="shared" si="39"/>
        <v>Feb-24</v>
      </c>
      <c r="O871" s="23" t="str">
        <f t="shared" si="40"/>
        <v>Q1 2024</v>
      </c>
      <c r="P871" s="23">
        <f>VLOOKUP(D871,Products!$A:$F,4,FALSE)</f>
        <v>2549</v>
      </c>
      <c r="Q871" s="35">
        <f t="shared" si="41"/>
        <v>0.53570127504553733</v>
      </c>
    </row>
    <row r="872" spans="1:17">
      <c r="A872" s="12" t="s">
        <v>1366</v>
      </c>
      <c r="B872" s="13">
        <v>45482</v>
      </c>
      <c r="C872" s="12" t="s">
        <v>1367</v>
      </c>
      <c r="D872" s="12" t="s">
        <v>425</v>
      </c>
      <c r="E872" s="12" t="s">
        <v>145</v>
      </c>
      <c r="F872" s="14">
        <v>3</v>
      </c>
      <c r="G872" s="14">
        <v>3970</v>
      </c>
      <c r="H872" s="14">
        <v>2.4</v>
      </c>
      <c r="I872" s="14">
        <v>11624.16</v>
      </c>
      <c r="J872" s="12" t="s">
        <v>104</v>
      </c>
      <c r="K872" s="12" t="s">
        <v>129</v>
      </c>
      <c r="L872" s="23" t="str">
        <f>VLOOKUP(D872,Products!$A:$F,3,FALSE)</f>
        <v>Electronics</v>
      </c>
      <c r="M872" s="23" t="str">
        <f>VLOOKUP(E872,Sales_Reps!$A:$E,3,FALSE)</f>
        <v>West</v>
      </c>
      <c r="N872" s="23" t="str">
        <f t="shared" si="39"/>
        <v>Jul-24</v>
      </c>
      <c r="O872" s="23" t="str">
        <f t="shared" si="40"/>
        <v>Q3 2024</v>
      </c>
      <c r="P872" s="23">
        <f>VLOOKUP(D872,Products!$A:$F,4,FALSE)</f>
        <v>2865</v>
      </c>
      <c r="Q872" s="35">
        <f t="shared" si="41"/>
        <v>0.27833753148614609</v>
      </c>
    </row>
    <row r="873" spans="1:17">
      <c r="A873" s="12" t="s">
        <v>1368</v>
      </c>
      <c r="B873" s="13">
        <v>45583</v>
      </c>
      <c r="C873" s="12" t="s">
        <v>779</v>
      </c>
      <c r="D873" s="12" t="s">
        <v>284</v>
      </c>
      <c r="E873" s="12" t="s">
        <v>103</v>
      </c>
      <c r="F873" s="14">
        <v>4</v>
      </c>
      <c r="G873" s="14">
        <v>1220</v>
      </c>
      <c r="H873" s="14">
        <v>25.3</v>
      </c>
      <c r="I873" s="14">
        <v>3645.36</v>
      </c>
      <c r="J873" s="12" t="s">
        <v>104</v>
      </c>
      <c r="K873" s="12" t="s">
        <v>150</v>
      </c>
      <c r="L873" s="23" t="str">
        <f>VLOOKUP(D873,Products!$A:$F,3,FALSE)</f>
        <v>Electronics</v>
      </c>
      <c r="M873" s="23" t="str">
        <f>VLOOKUP(E873,Sales_Reps!$A:$E,3,FALSE)</f>
        <v>North</v>
      </c>
      <c r="N873" s="23" t="str">
        <f t="shared" si="39"/>
        <v>Oct-24</v>
      </c>
      <c r="O873" s="23" t="str">
        <f t="shared" si="40"/>
        <v>Q4 2024</v>
      </c>
      <c r="P873" s="23">
        <f>VLOOKUP(D873,Products!$A:$F,4,FALSE)</f>
        <v>517</v>
      </c>
      <c r="Q873" s="35">
        <f t="shared" si="41"/>
        <v>0.57622950819672136</v>
      </c>
    </row>
    <row r="874" spans="1:17">
      <c r="A874" s="12" t="s">
        <v>1369</v>
      </c>
      <c r="B874" s="13">
        <v>45409</v>
      </c>
      <c r="C874" s="12" t="s">
        <v>761</v>
      </c>
      <c r="D874" s="12" t="s">
        <v>123</v>
      </c>
      <c r="E874" s="12" t="s">
        <v>218</v>
      </c>
      <c r="F874" s="14">
        <v>3</v>
      </c>
      <c r="G874" s="14">
        <v>3160</v>
      </c>
      <c r="H874" s="14">
        <v>19.8</v>
      </c>
      <c r="I874" s="14">
        <v>7602.96</v>
      </c>
      <c r="J874" s="12" t="s">
        <v>104</v>
      </c>
      <c r="K874" s="12" t="s">
        <v>150</v>
      </c>
      <c r="L874" s="23" t="str">
        <f>VLOOKUP(D874,Products!$A:$F,3,FALSE)</f>
        <v>Apparel</v>
      </c>
      <c r="M874" s="23" t="str">
        <f>VLOOKUP(E874,Sales_Reps!$A:$E,3,FALSE)</f>
        <v>West</v>
      </c>
      <c r="N874" s="23" t="str">
        <f t="shared" si="39"/>
        <v>Apr-24</v>
      </c>
      <c r="O874" s="23" t="str">
        <f t="shared" si="40"/>
        <v>Q2 2024</v>
      </c>
      <c r="P874" s="23">
        <f>VLOOKUP(D874,Products!$A:$F,4,FALSE)</f>
        <v>1886</v>
      </c>
      <c r="Q874" s="35">
        <f t="shared" si="41"/>
        <v>0.4031645569620253</v>
      </c>
    </row>
    <row r="875" spans="1:17">
      <c r="A875" s="12" t="s">
        <v>1370</v>
      </c>
      <c r="B875" s="13">
        <v>45430</v>
      </c>
      <c r="C875" s="12" t="s">
        <v>630</v>
      </c>
      <c r="D875" s="12" t="s">
        <v>299</v>
      </c>
      <c r="E875" s="12" t="s">
        <v>124</v>
      </c>
      <c r="F875" s="14">
        <v>1</v>
      </c>
      <c r="G875" s="14">
        <v>300</v>
      </c>
      <c r="H875" s="14">
        <v>24.5</v>
      </c>
      <c r="I875" s="14">
        <v>226.5</v>
      </c>
      <c r="J875" s="12" t="s">
        <v>104</v>
      </c>
      <c r="K875" s="12" t="s">
        <v>129</v>
      </c>
      <c r="L875" s="23" t="str">
        <f>VLOOKUP(D875,Products!$A:$F,3,FALSE)</f>
        <v>Electronics</v>
      </c>
      <c r="M875" s="23" t="str">
        <f>VLOOKUP(E875,Sales_Reps!$A:$E,3,FALSE)</f>
        <v>North</v>
      </c>
      <c r="N875" s="23" t="str">
        <f t="shared" si="39"/>
        <v>May-24</v>
      </c>
      <c r="O875" s="23" t="str">
        <f t="shared" si="40"/>
        <v>Q2 2024</v>
      </c>
      <c r="P875" s="23">
        <f>VLOOKUP(D875,Products!$A:$F,4,FALSE)</f>
        <v>128</v>
      </c>
      <c r="Q875" s="35">
        <f t="shared" si="41"/>
        <v>0.57333333333333336</v>
      </c>
    </row>
    <row r="876" spans="1:17">
      <c r="A876" s="12" t="s">
        <v>1371</v>
      </c>
      <c r="B876" s="13">
        <v>45654</v>
      </c>
      <c r="C876" s="12" t="s">
        <v>1325</v>
      </c>
      <c r="D876" s="12" t="s">
        <v>174</v>
      </c>
      <c r="E876" s="12" t="s">
        <v>246</v>
      </c>
      <c r="F876" s="14">
        <v>5</v>
      </c>
      <c r="G876" s="14">
        <v>3450</v>
      </c>
      <c r="H876" s="14">
        <v>13.4</v>
      </c>
      <c r="I876" s="14">
        <v>14938.5</v>
      </c>
      <c r="J876" s="12" t="s">
        <v>110</v>
      </c>
      <c r="K876" s="12" t="s">
        <v>111</v>
      </c>
      <c r="L876" s="23" t="str">
        <f>VLOOKUP(D876,Products!$A:$F,3,FALSE)</f>
        <v>Beauty</v>
      </c>
      <c r="M876" s="23" t="str">
        <f>VLOOKUP(E876,Sales_Reps!$A:$E,3,FALSE)</f>
        <v>West</v>
      </c>
      <c r="N876" s="23" t="str">
        <f t="shared" si="39"/>
        <v>Dec-24</v>
      </c>
      <c r="O876" s="23" t="str">
        <f t="shared" si="40"/>
        <v>Q4 2024</v>
      </c>
      <c r="P876" s="23">
        <f>VLOOKUP(D876,Products!$A:$F,4,FALSE)</f>
        <v>2420</v>
      </c>
      <c r="Q876" s="35">
        <f t="shared" si="41"/>
        <v>0.29855072463768118</v>
      </c>
    </row>
    <row r="877" spans="1:17">
      <c r="A877" s="12" t="s">
        <v>1372</v>
      </c>
      <c r="B877" s="13">
        <v>45397</v>
      </c>
      <c r="C877" s="12" t="s">
        <v>306</v>
      </c>
      <c r="D877" s="12" t="s">
        <v>102</v>
      </c>
      <c r="E877" s="12" t="s">
        <v>360</v>
      </c>
      <c r="F877" s="14">
        <v>7</v>
      </c>
      <c r="G877" s="14">
        <v>3620</v>
      </c>
      <c r="H877" s="14">
        <v>19.2</v>
      </c>
      <c r="I877" s="14">
        <v>20474.72</v>
      </c>
      <c r="J877" s="12" t="s">
        <v>104</v>
      </c>
      <c r="K877" s="12" t="s">
        <v>111</v>
      </c>
      <c r="L877" s="23" t="str">
        <f>VLOOKUP(D877,Products!$A:$F,3,FALSE)</f>
        <v>Apparel</v>
      </c>
      <c r="M877" s="23" t="str">
        <f>VLOOKUP(E877,Sales_Reps!$A:$E,3,FALSE)</f>
        <v>West</v>
      </c>
      <c r="N877" s="23" t="str">
        <f t="shared" si="39"/>
        <v>Apr-24</v>
      </c>
      <c r="O877" s="23" t="str">
        <f t="shared" si="40"/>
        <v>Q2 2024</v>
      </c>
      <c r="P877" s="23">
        <f>VLOOKUP(D877,Products!$A:$F,4,FALSE)</f>
        <v>2509</v>
      </c>
      <c r="Q877" s="35">
        <f t="shared" si="41"/>
        <v>0.3069060773480663</v>
      </c>
    </row>
    <row r="878" spans="1:17">
      <c r="A878" s="12" t="s">
        <v>1373</v>
      </c>
      <c r="B878" s="13">
        <v>45505</v>
      </c>
      <c r="C878" s="12" t="s">
        <v>126</v>
      </c>
      <c r="D878" s="12" t="s">
        <v>148</v>
      </c>
      <c r="E878" s="12" t="s">
        <v>149</v>
      </c>
      <c r="F878" s="14">
        <v>10</v>
      </c>
      <c r="G878" s="14">
        <v>2270</v>
      </c>
      <c r="H878" s="14">
        <v>20.5</v>
      </c>
      <c r="I878" s="14">
        <v>18046.5</v>
      </c>
      <c r="J878" s="12" t="s">
        <v>104</v>
      </c>
      <c r="K878" s="12" t="s">
        <v>129</v>
      </c>
      <c r="L878" s="23" t="str">
        <f>VLOOKUP(D878,Products!$A:$F,3,FALSE)</f>
        <v>Grocery</v>
      </c>
      <c r="M878" s="23" t="str">
        <f>VLOOKUP(E878,Sales_Reps!$A:$E,3,FALSE)</f>
        <v>South</v>
      </c>
      <c r="N878" s="23" t="str">
        <f t="shared" si="39"/>
        <v>Aug-24</v>
      </c>
      <c r="O878" s="23" t="str">
        <f t="shared" si="40"/>
        <v>Q3 2024</v>
      </c>
      <c r="P878" s="23">
        <f>VLOOKUP(D878,Products!$A:$F,4,FALSE)</f>
        <v>1203</v>
      </c>
      <c r="Q878" s="35">
        <f t="shared" si="41"/>
        <v>0.47004405286343615</v>
      </c>
    </row>
    <row r="879" spans="1:17">
      <c r="A879" s="12" t="s">
        <v>1374</v>
      </c>
      <c r="B879" s="13">
        <v>45386</v>
      </c>
      <c r="C879" s="12" t="s">
        <v>1375</v>
      </c>
      <c r="D879" s="12" t="s">
        <v>190</v>
      </c>
      <c r="E879" s="12" t="s">
        <v>133</v>
      </c>
      <c r="F879" s="14">
        <v>5</v>
      </c>
      <c r="G879" s="14">
        <v>2720</v>
      </c>
      <c r="H879" s="14">
        <v>29.3</v>
      </c>
      <c r="I879" s="14">
        <v>9615.2000000000007</v>
      </c>
      <c r="J879" s="12" t="s">
        <v>104</v>
      </c>
      <c r="K879" s="12" t="s">
        <v>129</v>
      </c>
      <c r="L879" s="23" t="str">
        <f>VLOOKUP(D879,Products!$A:$F,3,FALSE)</f>
        <v>Apparel</v>
      </c>
      <c r="M879" s="23" t="str">
        <f>VLOOKUP(E879,Sales_Reps!$A:$E,3,FALSE)</f>
        <v>West</v>
      </c>
      <c r="N879" s="23" t="str">
        <f t="shared" si="39"/>
        <v>Apr-24</v>
      </c>
      <c r="O879" s="23" t="str">
        <f t="shared" si="40"/>
        <v>Q2 2024</v>
      </c>
      <c r="P879" s="23">
        <f>VLOOKUP(D879,Products!$A:$F,4,FALSE)</f>
        <v>1962</v>
      </c>
      <c r="Q879" s="35">
        <f t="shared" si="41"/>
        <v>0.2786764705882353</v>
      </c>
    </row>
    <row r="880" spans="1:17">
      <c r="A880" s="12" t="s">
        <v>1376</v>
      </c>
      <c r="B880" s="13">
        <v>45499</v>
      </c>
      <c r="C880" s="12" t="s">
        <v>980</v>
      </c>
      <c r="D880" s="12" t="s">
        <v>251</v>
      </c>
      <c r="E880" s="12" t="s">
        <v>302</v>
      </c>
      <c r="F880" s="14">
        <v>9</v>
      </c>
      <c r="G880" s="14">
        <v>3780</v>
      </c>
      <c r="H880" s="14">
        <v>2.2999999999999998</v>
      </c>
      <c r="I880" s="14">
        <v>33237.54</v>
      </c>
      <c r="J880" s="12" t="s">
        <v>104</v>
      </c>
      <c r="K880" s="12" t="s">
        <v>111</v>
      </c>
      <c r="L880" s="23" t="str">
        <f>VLOOKUP(D880,Products!$A:$F,3,FALSE)</f>
        <v>Grocery</v>
      </c>
      <c r="M880" s="23" t="str">
        <f>VLOOKUP(E880,Sales_Reps!$A:$E,3,FALSE)</f>
        <v>East</v>
      </c>
      <c r="N880" s="23" t="str">
        <f t="shared" si="39"/>
        <v>Jul-24</v>
      </c>
      <c r="O880" s="23" t="str">
        <f t="shared" si="40"/>
        <v>Q3 2024</v>
      </c>
      <c r="P880" s="23">
        <f>VLOOKUP(D880,Products!$A:$F,4,FALSE)</f>
        <v>2436</v>
      </c>
      <c r="Q880" s="35">
        <f t="shared" si="41"/>
        <v>0.35555555555555557</v>
      </c>
    </row>
    <row r="881" spans="1:17">
      <c r="A881" s="12" t="s">
        <v>1377</v>
      </c>
      <c r="B881" s="13">
        <v>45636</v>
      </c>
      <c r="C881" s="12" t="s">
        <v>1378</v>
      </c>
      <c r="D881" s="12" t="s">
        <v>368</v>
      </c>
      <c r="E881" s="12" t="s">
        <v>115</v>
      </c>
      <c r="F881" s="14">
        <v>9</v>
      </c>
      <c r="G881" s="14">
        <v>4060</v>
      </c>
      <c r="H881" s="14">
        <v>11.5</v>
      </c>
      <c r="I881" s="14">
        <v>32337.9</v>
      </c>
      <c r="J881" s="12" t="s">
        <v>104</v>
      </c>
      <c r="K881" s="12" t="s">
        <v>111</v>
      </c>
      <c r="L881" s="23" t="str">
        <f>VLOOKUP(D881,Products!$A:$F,3,FALSE)</f>
        <v>Grocery</v>
      </c>
      <c r="M881" s="23" t="str">
        <f>VLOOKUP(E881,Sales_Reps!$A:$E,3,FALSE)</f>
        <v>South</v>
      </c>
      <c r="N881" s="23" t="str">
        <f t="shared" si="39"/>
        <v>Dec-24</v>
      </c>
      <c r="O881" s="23" t="str">
        <f t="shared" si="40"/>
        <v>Q4 2024</v>
      </c>
      <c r="P881" s="23">
        <f>VLOOKUP(D881,Products!$A:$F,4,FALSE)</f>
        <v>2911</v>
      </c>
      <c r="Q881" s="35">
        <f t="shared" si="41"/>
        <v>0.28300492610837441</v>
      </c>
    </row>
    <row r="882" spans="1:17">
      <c r="A882" s="12" t="s">
        <v>694</v>
      </c>
      <c r="B882" s="13">
        <v>45517</v>
      </c>
      <c r="C882" s="12" t="s">
        <v>437</v>
      </c>
      <c r="D882" s="12" t="s">
        <v>217</v>
      </c>
      <c r="E882" s="12" t="s">
        <v>342</v>
      </c>
      <c r="F882" s="14">
        <v>10</v>
      </c>
      <c r="G882" s="14">
        <v>2760</v>
      </c>
      <c r="H882" s="14">
        <v>3.9</v>
      </c>
      <c r="I882" s="14">
        <v>26523.599999999999</v>
      </c>
      <c r="J882" s="12" t="s">
        <v>161</v>
      </c>
      <c r="K882" s="12" t="s">
        <v>116</v>
      </c>
      <c r="L882" s="23" t="str">
        <f>VLOOKUP(D882,Products!$A:$F,3,FALSE)</f>
        <v>Grocery</v>
      </c>
      <c r="M882" s="23" t="str">
        <f>VLOOKUP(E882,Sales_Reps!$A:$E,3,FALSE)</f>
        <v>South</v>
      </c>
      <c r="N882" s="23" t="str">
        <f t="shared" si="39"/>
        <v>Aug-24</v>
      </c>
      <c r="O882" s="23" t="str">
        <f t="shared" si="40"/>
        <v>Q3 2024</v>
      </c>
      <c r="P882" s="23">
        <f>VLOOKUP(D882,Products!$A:$F,4,FALSE)</f>
        <v>1435</v>
      </c>
      <c r="Q882" s="35">
        <f t="shared" si="41"/>
        <v>0.48007246376811596</v>
      </c>
    </row>
    <row r="883" spans="1:17">
      <c r="A883" s="12" t="s">
        <v>1379</v>
      </c>
      <c r="B883" s="13">
        <v>45593</v>
      </c>
      <c r="C883" s="12" t="s">
        <v>242</v>
      </c>
      <c r="D883" s="12" t="s">
        <v>181</v>
      </c>
      <c r="E883" s="12" t="s">
        <v>175</v>
      </c>
      <c r="F883" s="14">
        <v>10</v>
      </c>
      <c r="G883" s="14">
        <v>1080</v>
      </c>
      <c r="H883" s="14">
        <v>21.4</v>
      </c>
      <c r="I883" s="14">
        <v>8488.7999999999993</v>
      </c>
      <c r="J883" s="12" t="s">
        <v>104</v>
      </c>
      <c r="K883" s="12" t="s">
        <v>111</v>
      </c>
      <c r="L883" s="23" t="str">
        <f>VLOOKUP(D883,Products!$A:$F,3,FALSE)</f>
        <v>Home</v>
      </c>
      <c r="M883" s="23" t="str">
        <f>VLOOKUP(E883,Sales_Reps!$A:$E,3,FALSE)</f>
        <v>East</v>
      </c>
      <c r="N883" s="23" t="str">
        <f t="shared" si="39"/>
        <v>Oct-24</v>
      </c>
      <c r="O883" s="23" t="str">
        <f t="shared" si="40"/>
        <v>Q4 2024</v>
      </c>
      <c r="P883" s="23">
        <f>VLOOKUP(D883,Products!$A:$F,4,FALSE)</f>
        <v>519</v>
      </c>
      <c r="Q883" s="35">
        <f t="shared" si="41"/>
        <v>0.51944444444444449</v>
      </c>
    </row>
    <row r="884" spans="1:17">
      <c r="A884" s="12" t="s">
        <v>1380</v>
      </c>
      <c r="B884" s="13">
        <v>45497</v>
      </c>
      <c r="C884" s="12" t="s">
        <v>1375</v>
      </c>
      <c r="D884" s="12" t="s">
        <v>460</v>
      </c>
      <c r="E884" s="12" t="s">
        <v>171</v>
      </c>
      <c r="F884" s="14">
        <v>6</v>
      </c>
      <c r="G884" s="14">
        <v>5080</v>
      </c>
      <c r="H884" s="14">
        <v>29.8</v>
      </c>
      <c r="I884" s="14">
        <v>21396.959999999999</v>
      </c>
      <c r="J884" s="12" t="s">
        <v>110</v>
      </c>
      <c r="K884" s="12" t="s">
        <v>129</v>
      </c>
      <c r="L884" s="23" t="str">
        <f>VLOOKUP(D884,Products!$A:$F,3,FALSE)</f>
        <v>Home</v>
      </c>
      <c r="M884" s="23" t="str">
        <f>VLOOKUP(E884,Sales_Reps!$A:$E,3,FALSE)</f>
        <v>East</v>
      </c>
      <c r="N884" s="23" t="str">
        <f t="shared" si="39"/>
        <v>Jul-24</v>
      </c>
      <c r="O884" s="23" t="str">
        <f t="shared" si="40"/>
        <v>Q3 2024</v>
      </c>
      <c r="P884" s="23">
        <f>VLOOKUP(D884,Products!$A:$F,4,FALSE)</f>
        <v>2459</v>
      </c>
      <c r="Q884" s="35">
        <f t="shared" si="41"/>
        <v>0.51594488188976373</v>
      </c>
    </row>
    <row r="885" spans="1:17">
      <c r="A885" s="12" t="s">
        <v>1381</v>
      </c>
      <c r="B885" s="13">
        <v>45293</v>
      </c>
      <c r="C885" s="12" t="s">
        <v>143</v>
      </c>
      <c r="D885" s="12" t="s">
        <v>201</v>
      </c>
      <c r="E885" s="12" t="s">
        <v>187</v>
      </c>
      <c r="F885" s="14">
        <v>1</v>
      </c>
      <c r="G885" s="14">
        <v>4880</v>
      </c>
      <c r="H885" s="14">
        <v>28.2</v>
      </c>
      <c r="I885" s="14">
        <v>3503.84</v>
      </c>
      <c r="J885" s="12" t="s">
        <v>104</v>
      </c>
      <c r="K885" s="12" t="s">
        <v>105</v>
      </c>
      <c r="L885" s="23" t="str">
        <f>VLOOKUP(D885,Products!$A:$F,3,FALSE)</f>
        <v>Beauty</v>
      </c>
      <c r="M885" s="23" t="str">
        <f>VLOOKUP(E885,Sales_Reps!$A:$E,3,FALSE)</f>
        <v>West</v>
      </c>
      <c r="N885" s="23" t="str">
        <f t="shared" si="39"/>
        <v>Jan-24</v>
      </c>
      <c r="O885" s="23" t="str">
        <f t="shared" si="40"/>
        <v>Q1 2024</v>
      </c>
      <c r="P885" s="23">
        <f>VLOOKUP(D885,Products!$A:$F,4,FALSE)</f>
        <v>2768</v>
      </c>
      <c r="Q885" s="35">
        <f t="shared" si="41"/>
        <v>0.43278688524590164</v>
      </c>
    </row>
    <row r="886" spans="1:17">
      <c r="A886" s="12" t="s">
        <v>1382</v>
      </c>
      <c r="B886" s="13">
        <v>45562</v>
      </c>
      <c r="C886" s="12" t="s">
        <v>229</v>
      </c>
      <c r="D886" s="12" t="s">
        <v>262</v>
      </c>
      <c r="E886" s="12" t="s">
        <v>360</v>
      </c>
      <c r="F886" s="14">
        <v>1</v>
      </c>
      <c r="G886" s="14">
        <v>2270</v>
      </c>
      <c r="H886" s="14">
        <v>27.8</v>
      </c>
      <c r="I886" s="14">
        <v>1638.94</v>
      </c>
      <c r="J886" s="12" t="s">
        <v>104</v>
      </c>
      <c r="K886" s="12" t="s">
        <v>129</v>
      </c>
      <c r="L886" s="23" t="str">
        <f>VLOOKUP(D886,Products!$A:$F,3,FALSE)</f>
        <v>Grocery</v>
      </c>
      <c r="M886" s="23" t="str">
        <f>VLOOKUP(E886,Sales_Reps!$A:$E,3,FALSE)</f>
        <v>West</v>
      </c>
      <c r="N886" s="23" t="str">
        <f t="shared" si="39"/>
        <v>Sep-24</v>
      </c>
      <c r="O886" s="23" t="str">
        <f t="shared" si="40"/>
        <v>Q3 2024</v>
      </c>
      <c r="P886" s="23">
        <f>VLOOKUP(D886,Products!$A:$F,4,FALSE)</f>
        <v>1412</v>
      </c>
      <c r="Q886" s="35">
        <f t="shared" si="41"/>
        <v>0.37797356828193834</v>
      </c>
    </row>
    <row r="887" spans="1:17">
      <c r="A887" s="12" t="s">
        <v>1383</v>
      </c>
      <c r="B887" s="13">
        <v>45638</v>
      </c>
      <c r="C887" s="12" t="s">
        <v>539</v>
      </c>
      <c r="D887" s="12" t="s">
        <v>425</v>
      </c>
      <c r="E887" s="12" t="s">
        <v>138</v>
      </c>
      <c r="F887" s="14">
        <v>9</v>
      </c>
      <c r="G887" s="14">
        <v>3970</v>
      </c>
      <c r="H887" s="14">
        <v>7</v>
      </c>
      <c r="I887" s="14">
        <v>33228.9</v>
      </c>
      <c r="J887" s="12" t="s">
        <v>104</v>
      </c>
      <c r="K887" s="12" t="s">
        <v>116</v>
      </c>
      <c r="L887" s="23" t="str">
        <f>VLOOKUP(D887,Products!$A:$F,3,FALSE)</f>
        <v>Electronics</v>
      </c>
      <c r="M887" s="23" t="str">
        <f>VLOOKUP(E887,Sales_Reps!$A:$E,3,FALSE)</f>
        <v>East</v>
      </c>
      <c r="N887" s="23" t="str">
        <f t="shared" si="39"/>
        <v>Dec-24</v>
      </c>
      <c r="O887" s="23" t="str">
        <f t="shared" si="40"/>
        <v>Q4 2024</v>
      </c>
      <c r="P887" s="23">
        <f>VLOOKUP(D887,Products!$A:$F,4,FALSE)</f>
        <v>2865</v>
      </c>
      <c r="Q887" s="35">
        <f t="shared" si="41"/>
        <v>0.27833753148614609</v>
      </c>
    </row>
    <row r="888" spans="1:17">
      <c r="A888" s="12" t="s">
        <v>1384</v>
      </c>
      <c r="B888" s="13">
        <v>45408</v>
      </c>
      <c r="C888" s="12" t="s">
        <v>623</v>
      </c>
      <c r="D888" s="12" t="s">
        <v>208</v>
      </c>
      <c r="E888" s="12" t="s">
        <v>165</v>
      </c>
      <c r="F888" s="14">
        <v>9</v>
      </c>
      <c r="G888" s="14">
        <v>5100</v>
      </c>
      <c r="H888" s="14">
        <v>9.6999999999999993</v>
      </c>
      <c r="I888" s="14">
        <v>41447.699999999997</v>
      </c>
      <c r="J888" s="12" t="s">
        <v>104</v>
      </c>
      <c r="K888" s="12" t="s">
        <v>129</v>
      </c>
      <c r="L888" s="23" t="str">
        <f>VLOOKUP(D888,Products!$A:$F,3,FALSE)</f>
        <v>Beauty</v>
      </c>
      <c r="M888" s="23" t="str">
        <f>VLOOKUP(E888,Sales_Reps!$A:$E,3,FALSE)</f>
        <v>North</v>
      </c>
      <c r="N888" s="23" t="str">
        <f t="shared" si="39"/>
        <v>Apr-24</v>
      </c>
      <c r="O888" s="23" t="str">
        <f t="shared" si="40"/>
        <v>Q2 2024</v>
      </c>
      <c r="P888" s="23">
        <f>VLOOKUP(D888,Products!$A:$F,4,FALSE)</f>
        <v>2237</v>
      </c>
      <c r="Q888" s="35">
        <f t="shared" si="41"/>
        <v>0.56137254901960787</v>
      </c>
    </row>
    <row r="889" spans="1:17">
      <c r="A889" s="12" t="s">
        <v>1385</v>
      </c>
      <c r="B889" s="13">
        <v>45498</v>
      </c>
      <c r="C889" s="12" t="s">
        <v>563</v>
      </c>
      <c r="D889" s="12" t="s">
        <v>164</v>
      </c>
      <c r="E889" s="12" t="s">
        <v>109</v>
      </c>
      <c r="F889" s="14">
        <v>8</v>
      </c>
      <c r="G889" s="14">
        <v>190</v>
      </c>
      <c r="H889" s="14">
        <v>10.199999999999999</v>
      </c>
      <c r="I889" s="14">
        <v>1364.96</v>
      </c>
      <c r="J889" s="12" t="s">
        <v>104</v>
      </c>
      <c r="K889" s="12" t="s">
        <v>116</v>
      </c>
      <c r="L889" s="23" t="str">
        <f>VLOOKUP(D889,Products!$A:$F,3,FALSE)</f>
        <v>Sports</v>
      </c>
      <c r="M889" s="23" t="str">
        <f>VLOOKUP(E889,Sales_Reps!$A:$E,3,FALSE)</f>
        <v>North</v>
      </c>
      <c r="N889" s="23" t="str">
        <f t="shared" si="39"/>
        <v>Jul-24</v>
      </c>
      <c r="O889" s="23" t="str">
        <f t="shared" si="40"/>
        <v>Q3 2024</v>
      </c>
      <c r="P889" s="23">
        <f>VLOOKUP(D889,Products!$A:$F,4,FALSE)</f>
        <v>147</v>
      </c>
      <c r="Q889" s="35">
        <f t="shared" si="41"/>
        <v>0.22631578947368422</v>
      </c>
    </row>
    <row r="890" spans="1:17">
      <c r="A890" s="12" t="s">
        <v>1386</v>
      </c>
      <c r="B890" s="13">
        <v>45649</v>
      </c>
      <c r="C890" s="12" t="s">
        <v>388</v>
      </c>
      <c r="D890" s="12" t="s">
        <v>258</v>
      </c>
      <c r="E890" s="12" t="s">
        <v>218</v>
      </c>
      <c r="F890" s="14">
        <v>1</v>
      </c>
      <c r="G890" s="14">
        <v>6080</v>
      </c>
      <c r="H890" s="14">
        <v>5.6</v>
      </c>
      <c r="I890" s="14">
        <v>5739.52</v>
      </c>
      <c r="J890" s="12" t="s">
        <v>104</v>
      </c>
      <c r="K890" s="12" t="s">
        <v>129</v>
      </c>
      <c r="L890" s="23" t="str">
        <f>VLOOKUP(D890,Products!$A:$F,3,FALSE)</f>
        <v>Beauty</v>
      </c>
      <c r="M890" s="23" t="str">
        <f>VLOOKUP(E890,Sales_Reps!$A:$E,3,FALSE)</f>
        <v>West</v>
      </c>
      <c r="N890" s="23" t="str">
        <f t="shared" si="39"/>
        <v>Dec-24</v>
      </c>
      <c r="O890" s="23" t="str">
        <f t="shared" si="40"/>
        <v>Q4 2024</v>
      </c>
      <c r="P890" s="23">
        <f>VLOOKUP(D890,Products!$A:$F,4,FALSE)</f>
        <v>2617</v>
      </c>
      <c r="Q890" s="35">
        <f t="shared" si="41"/>
        <v>0.56957236842105263</v>
      </c>
    </row>
    <row r="891" spans="1:17">
      <c r="A891" s="12" t="s">
        <v>1387</v>
      </c>
      <c r="B891" s="13">
        <v>45484</v>
      </c>
      <c r="C891" s="12" t="s">
        <v>614</v>
      </c>
      <c r="D891" s="12" t="s">
        <v>132</v>
      </c>
      <c r="E891" s="12" t="s">
        <v>209</v>
      </c>
      <c r="F891" s="14">
        <v>6</v>
      </c>
      <c r="G891" s="14">
        <v>960</v>
      </c>
      <c r="H891" s="14">
        <v>1.9</v>
      </c>
      <c r="I891" s="14">
        <v>5650.56</v>
      </c>
      <c r="J891" s="12" t="s">
        <v>104</v>
      </c>
      <c r="K891" s="12" t="s">
        <v>129</v>
      </c>
      <c r="L891" s="23" t="str">
        <f>VLOOKUP(D891,Products!$A:$F,3,FALSE)</f>
        <v>Sports</v>
      </c>
      <c r="M891" s="23" t="str">
        <f>VLOOKUP(E891,Sales_Reps!$A:$E,3,FALSE)</f>
        <v>East</v>
      </c>
      <c r="N891" s="23" t="str">
        <f t="shared" si="39"/>
        <v>Jul-24</v>
      </c>
      <c r="O891" s="23" t="str">
        <f t="shared" si="40"/>
        <v>Q3 2024</v>
      </c>
      <c r="P891" s="23">
        <f>VLOOKUP(D891,Products!$A:$F,4,FALSE)</f>
        <v>705</v>
      </c>
      <c r="Q891" s="35">
        <f t="shared" si="41"/>
        <v>0.265625</v>
      </c>
    </row>
    <row r="892" spans="1:17">
      <c r="A892" s="12" t="s">
        <v>1388</v>
      </c>
      <c r="B892" s="13">
        <v>45316</v>
      </c>
      <c r="C892" s="12" t="s">
        <v>550</v>
      </c>
      <c r="D892" s="12" t="s">
        <v>276</v>
      </c>
      <c r="E892" s="12" t="s">
        <v>156</v>
      </c>
      <c r="F892" s="14">
        <v>7</v>
      </c>
      <c r="G892" s="14">
        <v>1540</v>
      </c>
      <c r="H892" s="14">
        <v>7.1</v>
      </c>
      <c r="I892" s="14">
        <v>10014.620000000001</v>
      </c>
      <c r="J892" s="12" t="s">
        <v>104</v>
      </c>
      <c r="K892" s="12" t="s">
        <v>116</v>
      </c>
      <c r="L892" s="23" t="str">
        <f>VLOOKUP(D892,Products!$A:$F,3,FALSE)</f>
        <v>Beauty</v>
      </c>
      <c r="M892" s="23" t="str">
        <f>VLOOKUP(E892,Sales_Reps!$A:$E,3,FALSE)</f>
        <v>North</v>
      </c>
      <c r="N892" s="23" t="str">
        <f t="shared" si="39"/>
        <v>Jan-24</v>
      </c>
      <c r="O892" s="23" t="str">
        <f t="shared" si="40"/>
        <v>Q1 2024</v>
      </c>
      <c r="P892" s="23">
        <f>VLOOKUP(D892,Products!$A:$F,4,FALSE)</f>
        <v>647</v>
      </c>
      <c r="Q892" s="35">
        <f t="shared" si="41"/>
        <v>0.57987012987012987</v>
      </c>
    </row>
    <row r="893" spans="1:17">
      <c r="A893" s="12" t="s">
        <v>1389</v>
      </c>
      <c r="B893" s="13">
        <v>45328</v>
      </c>
      <c r="C893" s="12" t="s">
        <v>278</v>
      </c>
      <c r="D893" s="12" t="s">
        <v>299</v>
      </c>
      <c r="E893" s="12" t="s">
        <v>290</v>
      </c>
      <c r="F893" s="14">
        <v>10</v>
      </c>
      <c r="G893" s="14">
        <v>300</v>
      </c>
      <c r="H893" s="14">
        <v>12.8</v>
      </c>
      <c r="I893" s="14">
        <v>2616</v>
      </c>
      <c r="J893" s="12" t="s">
        <v>157</v>
      </c>
      <c r="K893" s="12" t="s">
        <v>116</v>
      </c>
      <c r="L893" s="23" t="str">
        <f>VLOOKUP(D893,Products!$A:$F,3,FALSE)</f>
        <v>Electronics</v>
      </c>
      <c r="M893" s="23" t="str">
        <f>VLOOKUP(E893,Sales_Reps!$A:$E,3,FALSE)</f>
        <v>South</v>
      </c>
      <c r="N893" s="23" t="str">
        <f t="shared" si="39"/>
        <v>Feb-24</v>
      </c>
      <c r="O893" s="23" t="str">
        <f t="shared" si="40"/>
        <v>Q1 2024</v>
      </c>
      <c r="P893" s="23">
        <f>VLOOKUP(D893,Products!$A:$F,4,FALSE)</f>
        <v>128</v>
      </c>
      <c r="Q893" s="35">
        <f t="shared" si="41"/>
        <v>0.57333333333333336</v>
      </c>
    </row>
    <row r="894" spans="1:17">
      <c r="A894" s="12" t="s">
        <v>1390</v>
      </c>
      <c r="B894" s="13">
        <v>45456</v>
      </c>
      <c r="C894" s="12" t="s">
        <v>554</v>
      </c>
      <c r="D894" s="12" t="s">
        <v>201</v>
      </c>
      <c r="E894" s="12" t="s">
        <v>290</v>
      </c>
      <c r="F894" s="14">
        <v>4</v>
      </c>
      <c r="G894" s="14">
        <v>4880</v>
      </c>
      <c r="H894" s="14">
        <v>26.5</v>
      </c>
      <c r="I894" s="14">
        <v>14347.2</v>
      </c>
      <c r="J894" s="12" t="s">
        <v>104</v>
      </c>
      <c r="K894" s="12" t="s">
        <v>150</v>
      </c>
      <c r="L894" s="23" t="str">
        <f>VLOOKUP(D894,Products!$A:$F,3,FALSE)</f>
        <v>Beauty</v>
      </c>
      <c r="M894" s="23" t="str">
        <f>VLOOKUP(E894,Sales_Reps!$A:$E,3,FALSE)</f>
        <v>South</v>
      </c>
      <c r="N894" s="23" t="str">
        <f t="shared" si="39"/>
        <v>Jun-24</v>
      </c>
      <c r="O894" s="23" t="str">
        <f t="shared" si="40"/>
        <v>Q2 2024</v>
      </c>
      <c r="P894" s="23">
        <f>VLOOKUP(D894,Products!$A:$F,4,FALSE)</f>
        <v>2768</v>
      </c>
      <c r="Q894" s="35">
        <f t="shared" si="41"/>
        <v>0.43278688524590164</v>
      </c>
    </row>
    <row r="895" spans="1:17">
      <c r="A895" s="12" t="s">
        <v>1391</v>
      </c>
      <c r="B895" s="13">
        <v>45589</v>
      </c>
      <c r="C895" s="12" t="s">
        <v>1278</v>
      </c>
      <c r="D895" s="12" t="s">
        <v>127</v>
      </c>
      <c r="E895" s="12" t="s">
        <v>165</v>
      </c>
      <c r="F895" s="14">
        <v>2</v>
      </c>
      <c r="G895" s="14">
        <v>370</v>
      </c>
      <c r="H895" s="14">
        <v>26.5</v>
      </c>
      <c r="I895" s="14">
        <v>543.9</v>
      </c>
      <c r="J895" s="12" t="s">
        <v>104</v>
      </c>
      <c r="K895" s="12" t="s">
        <v>134</v>
      </c>
      <c r="L895" s="23" t="str">
        <f>VLOOKUP(D895,Products!$A:$F,3,FALSE)</f>
        <v>Home</v>
      </c>
      <c r="M895" s="23" t="str">
        <f>VLOOKUP(E895,Sales_Reps!$A:$E,3,FALSE)</f>
        <v>North</v>
      </c>
      <c r="N895" s="23" t="str">
        <f t="shared" si="39"/>
        <v>Oct-24</v>
      </c>
      <c r="O895" s="23" t="str">
        <f t="shared" si="40"/>
        <v>Q4 2024</v>
      </c>
      <c r="P895" s="23">
        <f>VLOOKUP(D895,Products!$A:$F,4,FALSE)</f>
        <v>288</v>
      </c>
      <c r="Q895" s="35">
        <f t="shared" si="41"/>
        <v>0.22162162162162163</v>
      </c>
    </row>
    <row r="896" spans="1:17">
      <c r="A896" s="12" t="s">
        <v>1392</v>
      </c>
      <c r="B896" s="13">
        <v>45593</v>
      </c>
      <c r="C896" s="12" t="s">
        <v>393</v>
      </c>
      <c r="D896" s="12" t="s">
        <v>287</v>
      </c>
      <c r="E896" s="12" t="s">
        <v>314</v>
      </c>
      <c r="F896" s="14">
        <v>3</v>
      </c>
      <c r="G896" s="14">
        <v>4610</v>
      </c>
      <c r="H896" s="14">
        <v>29.7</v>
      </c>
      <c r="I896" s="14">
        <v>9722.49</v>
      </c>
      <c r="J896" s="12" t="s">
        <v>104</v>
      </c>
      <c r="K896" s="12" t="s">
        <v>134</v>
      </c>
      <c r="L896" s="23" t="str">
        <f>VLOOKUP(D896,Products!$A:$F,3,FALSE)</f>
        <v>Home</v>
      </c>
      <c r="M896" s="23" t="str">
        <f>VLOOKUP(E896,Sales_Reps!$A:$E,3,FALSE)</f>
        <v>North</v>
      </c>
      <c r="N896" s="23" t="str">
        <f t="shared" si="39"/>
        <v>Oct-24</v>
      </c>
      <c r="O896" s="23" t="str">
        <f t="shared" si="40"/>
        <v>Q4 2024</v>
      </c>
      <c r="P896" s="23">
        <f>VLOOKUP(D896,Products!$A:$F,4,FALSE)</f>
        <v>1850</v>
      </c>
      <c r="Q896" s="35">
        <f t="shared" si="41"/>
        <v>0.59869848156182215</v>
      </c>
    </row>
    <row r="897" spans="1:17">
      <c r="A897" s="12" t="s">
        <v>1393</v>
      </c>
      <c r="B897" s="13">
        <v>45539</v>
      </c>
      <c r="C897" s="12" t="s">
        <v>690</v>
      </c>
      <c r="D897" s="12" t="s">
        <v>155</v>
      </c>
      <c r="E897" s="12" t="s">
        <v>269</v>
      </c>
      <c r="F897" s="14">
        <v>5</v>
      </c>
      <c r="G897" s="14">
        <v>2600</v>
      </c>
      <c r="H897" s="14">
        <v>21.4</v>
      </c>
      <c r="I897" s="14">
        <v>10218</v>
      </c>
      <c r="J897" s="12" t="s">
        <v>104</v>
      </c>
      <c r="K897" s="12" t="s">
        <v>129</v>
      </c>
      <c r="L897" s="23" t="str">
        <f>VLOOKUP(D897,Products!$A:$F,3,FALSE)</f>
        <v>Electronics</v>
      </c>
      <c r="M897" s="23" t="str">
        <f>VLOOKUP(E897,Sales_Reps!$A:$E,3,FALSE)</f>
        <v>South</v>
      </c>
      <c r="N897" s="23" t="str">
        <f t="shared" si="39"/>
        <v>Sep-24</v>
      </c>
      <c r="O897" s="23" t="str">
        <f t="shared" si="40"/>
        <v>Q3 2024</v>
      </c>
      <c r="P897" s="23">
        <f>VLOOKUP(D897,Products!$A:$F,4,FALSE)</f>
        <v>1052</v>
      </c>
      <c r="Q897" s="35">
        <f t="shared" si="41"/>
        <v>0.5953846153846154</v>
      </c>
    </row>
    <row r="898" spans="1:17">
      <c r="A898" s="12" t="s">
        <v>1071</v>
      </c>
      <c r="B898" s="13">
        <v>45436</v>
      </c>
      <c r="C898" s="12" t="s">
        <v>737</v>
      </c>
      <c r="D898" s="12" t="s">
        <v>284</v>
      </c>
      <c r="E898" s="12" t="s">
        <v>128</v>
      </c>
      <c r="F898" s="14">
        <v>10</v>
      </c>
      <c r="G898" s="14">
        <v>1220</v>
      </c>
      <c r="H898" s="14">
        <v>24.3</v>
      </c>
      <c r="I898" s="14">
        <v>9235.4</v>
      </c>
      <c r="J898" s="12" t="s">
        <v>104</v>
      </c>
      <c r="K898" s="12" t="s">
        <v>105</v>
      </c>
      <c r="L898" s="23" t="str">
        <f>VLOOKUP(D898,Products!$A:$F,3,FALSE)</f>
        <v>Electronics</v>
      </c>
      <c r="M898" s="23" t="str">
        <f>VLOOKUP(E898,Sales_Reps!$A:$E,3,FALSE)</f>
        <v>West</v>
      </c>
      <c r="N898" s="23" t="str">
        <f t="shared" si="39"/>
        <v>May-24</v>
      </c>
      <c r="O898" s="23" t="str">
        <f t="shared" si="40"/>
        <v>Q2 2024</v>
      </c>
      <c r="P898" s="23">
        <f>VLOOKUP(D898,Products!$A:$F,4,FALSE)</f>
        <v>517</v>
      </c>
      <c r="Q898" s="35">
        <f t="shared" si="41"/>
        <v>0.57622950819672136</v>
      </c>
    </row>
    <row r="899" spans="1:17">
      <c r="A899" s="12" t="s">
        <v>1394</v>
      </c>
      <c r="B899" s="13">
        <v>45646</v>
      </c>
      <c r="C899" s="12" t="s">
        <v>1395</v>
      </c>
      <c r="D899" s="12" t="s">
        <v>137</v>
      </c>
      <c r="E899" s="12" t="s">
        <v>205</v>
      </c>
      <c r="F899" s="14">
        <v>10</v>
      </c>
      <c r="G899" s="14">
        <v>1430</v>
      </c>
      <c r="H899" s="14">
        <v>5.0999999999999996</v>
      </c>
      <c r="I899" s="14">
        <v>13570.7</v>
      </c>
      <c r="J899" s="12" t="s">
        <v>157</v>
      </c>
      <c r="K899" s="12" t="s">
        <v>111</v>
      </c>
      <c r="L899" s="23" t="str">
        <f>VLOOKUP(D899,Products!$A:$F,3,FALSE)</f>
        <v>Electronics</v>
      </c>
      <c r="M899" s="23" t="str">
        <f>VLOOKUP(E899,Sales_Reps!$A:$E,3,FALSE)</f>
        <v>South</v>
      </c>
      <c r="N899" s="23" t="str">
        <f t="shared" ref="N899:N962" si="42">TEXT(B899, "mmm-yy")</f>
        <v>Dec-24</v>
      </c>
      <c r="O899" s="23" t="str">
        <f t="shared" ref="O899:O962" si="43">"Q" &amp; INT((MONTH(B899)-1)/3)+1 &amp; " " &amp; YEAR(B899)</f>
        <v>Q4 2024</v>
      </c>
      <c r="P899" s="23">
        <f>VLOOKUP(D899,Products!$A:$F,4,FALSE)</f>
        <v>861</v>
      </c>
      <c r="Q899" s="35">
        <f t="shared" ref="Q899:Q962" si="44">(G899 - P899) / G899</f>
        <v>0.39790209790209791</v>
      </c>
    </row>
    <row r="900" spans="1:17">
      <c r="A900" s="12" t="s">
        <v>1396</v>
      </c>
      <c r="B900" s="13">
        <v>45478</v>
      </c>
      <c r="C900" s="12" t="s">
        <v>318</v>
      </c>
      <c r="D900" s="12" t="s">
        <v>201</v>
      </c>
      <c r="E900" s="12" t="s">
        <v>187</v>
      </c>
      <c r="F900" s="14">
        <v>10</v>
      </c>
      <c r="G900" s="14">
        <v>4880</v>
      </c>
      <c r="H900" s="14">
        <v>25.5</v>
      </c>
      <c r="I900" s="14">
        <v>36356</v>
      </c>
      <c r="J900" s="12" t="s">
        <v>157</v>
      </c>
      <c r="K900" s="12" t="s">
        <v>111</v>
      </c>
      <c r="L900" s="23" t="str">
        <f>VLOOKUP(D900,Products!$A:$F,3,FALSE)</f>
        <v>Beauty</v>
      </c>
      <c r="M900" s="23" t="str">
        <f>VLOOKUP(E900,Sales_Reps!$A:$E,3,FALSE)</f>
        <v>West</v>
      </c>
      <c r="N900" s="23" t="str">
        <f t="shared" si="42"/>
        <v>Jul-24</v>
      </c>
      <c r="O900" s="23" t="str">
        <f t="shared" si="43"/>
        <v>Q3 2024</v>
      </c>
      <c r="P900" s="23">
        <f>VLOOKUP(D900,Products!$A:$F,4,FALSE)</f>
        <v>2768</v>
      </c>
      <c r="Q900" s="35">
        <f t="shared" si="44"/>
        <v>0.43278688524590164</v>
      </c>
    </row>
    <row r="901" spans="1:17">
      <c r="A901" s="12" t="s">
        <v>1397</v>
      </c>
      <c r="B901" s="13">
        <v>45518</v>
      </c>
      <c r="C901" s="12" t="s">
        <v>983</v>
      </c>
      <c r="D901" s="12" t="s">
        <v>258</v>
      </c>
      <c r="E901" s="12" t="s">
        <v>145</v>
      </c>
      <c r="F901" s="14">
        <v>6</v>
      </c>
      <c r="G901" s="14">
        <v>6080</v>
      </c>
      <c r="H901" s="14">
        <v>21.6</v>
      </c>
      <c r="I901" s="14">
        <v>28600.32</v>
      </c>
      <c r="J901" s="12" t="s">
        <v>104</v>
      </c>
      <c r="K901" s="12" t="s">
        <v>150</v>
      </c>
      <c r="L901" s="23" t="str">
        <f>VLOOKUP(D901,Products!$A:$F,3,FALSE)</f>
        <v>Beauty</v>
      </c>
      <c r="M901" s="23" t="str">
        <f>VLOOKUP(E901,Sales_Reps!$A:$E,3,FALSE)</f>
        <v>West</v>
      </c>
      <c r="N901" s="23" t="str">
        <f t="shared" si="42"/>
        <v>Aug-24</v>
      </c>
      <c r="O901" s="23" t="str">
        <f t="shared" si="43"/>
        <v>Q3 2024</v>
      </c>
      <c r="P901" s="23">
        <f>VLOOKUP(D901,Products!$A:$F,4,FALSE)</f>
        <v>2617</v>
      </c>
      <c r="Q901" s="35">
        <f t="shared" si="44"/>
        <v>0.56957236842105263</v>
      </c>
    </row>
    <row r="902" spans="1:17">
      <c r="A902" s="12" t="s">
        <v>1398</v>
      </c>
      <c r="B902" s="13">
        <v>45319</v>
      </c>
      <c r="C902" s="12" t="s">
        <v>558</v>
      </c>
      <c r="D902" s="12" t="s">
        <v>293</v>
      </c>
      <c r="E902" s="12" t="s">
        <v>269</v>
      </c>
      <c r="F902" s="14">
        <v>3</v>
      </c>
      <c r="G902" s="14">
        <v>3020</v>
      </c>
      <c r="H902" s="14">
        <v>20.7</v>
      </c>
      <c r="I902" s="14">
        <v>7184.58</v>
      </c>
      <c r="J902" s="12" t="s">
        <v>104</v>
      </c>
      <c r="K902" s="12" t="s">
        <v>111</v>
      </c>
      <c r="L902" s="23" t="str">
        <f>VLOOKUP(D902,Products!$A:$F,3,FALSE)</f>
        <v>Beauty</v>
      </c>
      <c r="M902" s="23" t="str">
        <f>VLOOKUP(E902,Sales_Reps!$A:$E,3,FALSE)</f>
        <v>South</v>
      </c>
      <c r="N902" s="23" t="str">
        <f t="shared" si="42"/>
        <v>Jan-24</v>
      </c>
      <c r="O902" s="23" t="str">
        <f t="shared" si="43"/>
        <v>Q1 2024</v>
      </c>
      <c r="P902" s="23">
        <f>VLOOKUP(D902,Products!$A:$F,4,FALSE)</f>
        <v>1626</v>
      </c>
      <c r="Q902" s="35">
        <f t="shared" si="44"/>
        <v>0.46158940397350995</v>
      </c>
    </row>
    <row r="903" spans="1:17">
      <c r="A903" s="12" t="s">
        <v>1399</v>
      </c>
      <c r="B903" s="13">
        <v>45445</v>
      </c>
      <c r="C903" s="12" t="s">
        <v>348</v>
      </c>
      <c r="D903" s="12" t="s">
        <v>190</v>
      </c>
      <c r="E903" s="12" t="s">
        <v>269</v>
      </c>
      <c r="F903" s="14">
        <v>9</v>
      </c>
      <c r="G903" s="14">
        <v>2720</v>
      </c>
      <c r="H903" s="14">
        <v>21.4</v>
      </c>
      <c r="I903" s="14">
        <v>19241.28</v>
      </c>
      <c r="J903" s="12" t="s">
        <v>104</v>
      </c>
      <c r="K903" s="12" t="s">
        <v>134</v>
      </c>
      <c r="L903" s="23" t="str">
        <f>VLOOKUP(D903,Products!$A:$F,3,FALSE)</f>
        <v>Apparel</v>
      </c>
      <c r="M903" s="23" t="str">
        <f>VLOOKUP(E903,Sales_Reps!$A:$E,3,FALSE)</f>
        <v>South</v>
      </c>
      <c r="N903" s="23" t="str">
        <f t="shared" si="42"/>
        <v>Jun-24</v>
      </c>
      <c r="O903" s="23" t="str">
        <f t="shared" si="43"/>
        <v>Q2 2024</v>
      </c>
      <c r="P903" s="23">
        <f>VLOOKUP(D903,Products!$A:$F,4,FALSE)</f>
        <v>1962</v>
      </c>
      <c r="Q903" s="35">
        <f t="shared" si="44"/>
        <v>0.2786764705882353</v>
      </c>
    </row>
    <row r="904" spans="1:17">
      <c r="A904" s="12" t="s">
        <v>1400</v>
      </c>
      <c r="B904" s="13">
        <v>45417</v>
      </c>
      <c r="C904" s="12" t="s">
        <v>289</v>
      </c>
      <c r="D904" s="12" t="s">
        <v>204</v>
      </c>
      <c r="E904" s="12" t="s">
        <v>128</v>
      </c>
      <c r="F904" s="14">
        <v>10</v>
      </c>
      <c r="G904" s="14">
        <v>3570</v>
      </c>
      <c r="H904" s="14">
        <v>4.4000000000000004</v>
      </c>
      <c r="I904" s="14">
        <v>34129.199999999997</v>
      </c>
      <c r="J904" s="12" t="s">
        <v>104</v>
      </c>
      <c r="K904" s="12" t="s">
        <v>111</v>
      </c>
      <c r="L904" s="23" t="str">
        <f>VLOOKUP(D904,Products!$A:$F,3,FALSE)</f>
        <v>Electronics</v>
      </c>
      <c r="M904" s="23" t="str">
        <f>VLOOKUP(E904,Sales_Reps!$A:$E,3,FALSE)</f>
        <v>West</v>
      </c>
      <c r="N904" s="23" t="str">
        <f t="shared" si="42"/>
        <v>May-24</v>
      </c>
      <c r="O904" s="23" t="str">
        <f t="shared" si="43"/>
        <v>Q2 2024</v>
      </c>
      <c r="P904" s="23">
        <f>VLOOKUP(D904,Products!$A:$F,4,FALSE)</f>
        <v>1665</v>
      </c>
      <c r="Q904" s="35">
        <f t="shared" si="44"/>
        <v>0.53361344537815125</v>
      </c>
    </row>
    <row r="905" spans="1:17">
      <c r="A905" s="12" t="s">
        <v>1401</v>
      </c>
      <c r="B905" s="13">
        <v>45309</v>
      </c>
      <c r="C905" s="12" t="s">
        <v>1044</v>
      </c>
      <c r="D905" s="12" t="s">
        <v>181</v>
      </c>
      <c r="E905" s="12" t="s">
        <v>115</v>
      </c>
      <c r="F905" s="14">
        <v>8</v>
      </c>
      <c r="G905" s="14">
        <v>1080</v>
      </c>
      <c r="H905" s="14">
        <v>23.8</v>
      </c>
      <c r="I905" s="14">
        <v>6583.68</v>
      </c>
      <c r="J905" s="12" t="s">
        <v>104</v>
      </c>
      <c r="K905" s="12" t="s">
        <v>129</v>
      </c>
      <c r="L905" s="23" t="str">
        <f>VLOOKUP(D905,Products!$A:$F,3,FALSE)</f>
        <v>Home</v>
      </c>
      <c r="M905" s="23" t="str">
        <f>VLOOKUP(E905,Sales_Reps!$A:$E,3,FALSE)</f>
        <v>South</v>
      </c>
      <c r="N905" s="23" t="str">
        <f t="shared" si="42"/>
        <v>Jan-24</v>
      </c>
      <c r="O905" s="23" t="str">
        <f t="shared" si="43"/>
        <v>Q1 2024</v>
      </c>
      <c r="P905" s="23">
        <f>VLOOKUP(D905,Products!$A:$F,4,FALSE)</f>
        <v>519</v>
      </c>
      <c r="Q905" s="35">
        <f t="shared" si="44"/>
        <v>0.51944444444444449</v>
      </c>
    </row>
    <row r="906" spans="1:17">
      <c r="A906" s="12" t="s">
        <v>1402</v>
      </c>
      <c r="B906" s="13">
        <v>45367</v>
      </c>
      <c r="C906" s="12" t="s">
        <v>854</v>
      </c>
      <c r="D906" s="12" t="s">
        <v>519</v>
      </c>
      <c r="E906" s="12" t="s">
        <v>290</v>
      </c>
      <c r="F906" s="14">
        <v>8</v>
      </c>
      <c r="G906" s="14">
        <v>1090</v>
      </c>
      <c r="H906" s="14">
        <v>17.5</v>
      </c>
      <c r="I906" s="14">
        <v>7194</v>
      </c>
      <c r="J906" s="12" t="s">
        <v>104</v>
      </c>
      <c r="K906" s="12" t="s">
        <v>134</v>
      </c>
      <c r="L906" s="23" t="str">
        <f>VLOOKUP(D906,Products!$A:$F,3,FALSE)</f>
        <v>Home</v>
      </c>
      <c r="M906" s="23" t="str">
        <f>VLOOKUP(E906,Sales_Reps!$A:$E,3,FALSE)</f>
        <v>South</v>
      </c>
      <c r="N906" s="23" t="str">
        <f t="shared" si="42"/>
        <v>Mar-24</v>
      </c>
      <c r="O906" s="23" t="str">
        <f t="shared" si="43"/>
        <v>Q1 2024</v>
      </c>
      <c r="P906" s="23">
        <f>VLOOKUP(D906,Products!$A:$F,4,FALSE)</f>
        <v>464</v>
      </c>
      <c r="Q906" s="35">
        <f t="shared" si="44"/>
        <v>0.57431192660550456</v>
      </c>
    </row>
    <row r="907" spans="1:17">
      <c r="A907" s="12" t="s">
        <v>1403</v>
      </c>
      <c r="B907" s="13">
        <v>45615</v>
      </c>
      <c r="C907" s="12" t="s">
        <v>1325</v>
      </c>
      <c r="D907" s="12" t="s">
        <v>676</v>
      </c>
      <c r="E907" s="12" t="s">
        <v>360</v>
      </c>
      <c r="F907" s="14">
        <v>7</v>
      </c>
      <c r="G907" s="14">
        <v>3560</v>
      </c>
      <c r="H907" s="14">
        <v>11.1</v>
      </c>
      <c r="I907" s="14">
        <v>22153.88</v>
      </c>
      <c r="J907" s="12" t="s">
        <v>104</v>
      </c>
      <c r="K907" s="12" t="s">
        <v>111</v>
      </c>
      <c r="L907" s="23" t="str">
        <f>VLOOKUP(D907,Products!$A:$F,3,FALSE)</f>
        <v>Apparel</v>
      </c>
      <c r="M907" s="23" t="str">
        <f>VLOOKUP(E907,Sales_Reps!$A:$E,3,FALSE)</f>
        <v>West</v>
      </c>
      <c r="N907" s="23" t="str">
        <f t="shared" si="42"/>
        <v>Nov-24</v>
      </c>
      <c r="O907" s="23" t="str">
        <f t="shared" si="43"/>
        <v>Q4 2024</v>
      </c>
      <c r="P907" s="23">
        <f>VLOOKUP(D907,Products!$A:$F,4,FALSE)</f>
        <v>2629</v>
      </c>
      <c r="Q907" s="35">
        <f t="shared" si="44"/>
        <v>0.26151685393258428</v>
      </c>
    </row>
    <row r="908" spans="1:17">
      <c r="A908" s="12" t="s">
        <v>1404</v>
      </c>
      <c r="B908" s="13">
        <v>45499</v>
      </c>
      <c r="C908" s="12" t="s">
        <v>245</v>
      </c>
      <c r="D908" s="12" t="s">
        <v>164</v>
      </c>
      <c r="E908" s="12" t="s">
        <v>302</v>
      </c>
      <c r="F908" s="14">
        <v>6</v>
      </c>
      <c r="G908" s="14">
        <v>190</v>
      </c>
      <c r="H908" s="14">
        <v>17.100000000000001</v>
      </c>
      <c r="I908" s="14">
        <v>945.06</v>
      </c>
      <c r="J908" s="12" t="s">
        <v>157</v>
      </c>
      <c r="K908" s="12" t="s">
        <v>129</v>
      </c>
      <c r="L908" s="23" t="str">
        <f>VLOOKUP(D908,Products!$A:$F,3,FALSE)</f>
        <v>Sports</v>
      </c>
      <c r="M908" s="23" t="str">
        <f>VLOOKUP(E908,Sales_Reps!$A:$E,3,FALSE)</f>
        <v>East</v>
      </c>
      <c r="N908" s="23" t="str">
        <f t="shared" si="42"/>
        <v>Jul-24</v>
      </c>
      <c r="O908" s="23" t="str">
        <f t="shared" si="43"/>
        <v>Q3 2024</v>
      </c>
      <c r="P908" s="23">
        <f>VLOOKUP(D908,Products!$A:$F,4,FALSE)</f>
        <v>147</v>
      </c>
      <c r="Q908" s="35">
        <f t="shared" si="44"/>
        <v>0.22631578947368422</v>
      </c>
    </row>
    <row r="909" spans="1:17">
      <c r="A909" s="12" t="s">
        <v>1405</v>
      </c>
      <c r="B909" s="13">
        <v>45356</v>
      </c>
      <c r="C909" s="12" t="s">
        <v>734</v>
      </c>
      <c r="D909" s="12" t="s">
        <v>368</v>
      </c>
      <c r="E909" s="12" t="s">
        <v>128</v>
      </c>
      <c r="F909" s="14">
        <v>7</v>
      </c>
      <c r="G909" s="14">
        <v>4060</v>
      </c>
      <c r="H909" s="14">
        <v>0.6</v>
      </c>
      <c r="I909" s="14">
        <v>28249.48</v>
      </c>
      <c r="J909" s="12" t="s">
        <v>104</v>
      </c>
      <c r="K909" s="12" t="s">
        <v>111</v>
      </c>
      <c r="L909" s="23" t="str">
        <f>VLOOKUP(D909,Products!$A:$F,3,FALSE)</f>
        <v>Grocery</v>
      </c>
      <c r="M909" s="23" t="str">
        <f>VLOOKUP(E909,Sales_Reps!$A:$E,3,FALSE)</f>
        <v>West</v>
      </c>
      <c r="N909" s="23" t="str">
        <f t="shared" si="42"/>
        <v>Mar-24</v>
      </c>
      <c r="O909" s="23" t="str">
        <f t="shared" si="43"/>
        <v>Q1 2024</v>
      </c>
      <c r="P909" s="23">
        <f>VLOOKUP(D909,Products!$A:$F,4,FALSE)</f>
        <v>2911</v>
      </c>
      <c r="Q909" s="35">
        <f t="shared" si="44"/>
        <v>0.28300492610837441</v>
      </c>
    </row>
    <row r="910" spans="1:17">
      <c r="A910" s="12" t="s">
        <v>1406</v>
      </c>
      <c r="B910" s="13">
        <v>45346</v>
      </c>
      <c r="C910" s="12" t="s">
        <v>625</v>
      </c>
      <c r="D910" s="12" t="s">
        <v>287</v>
      </c>
      <c r="E910" s="12" t="s">
        <v>175</v>
      </c>
      <c r="F910" s="14">
        <v>4</v>
      </c>
      <c r="G910" s="14">
        <v>4610</v>
      </c>
      <c r="H910" s="14">
        <v>1.9</v>
      </c>
      <c r="I910" s="14">
        <v>18089.64</v>
      </c>
      <c r="J910" s="12" t="s">
        <v>110</v>
      </c>
      <c r="K910" s="12" t="s">
        <v>105</v>
      </c>
      <c r="L910" s="23" t="str">
        <f>VLOOKUP(D910,Products!$A:$F,3,FALSE)</f>
        <v>Home</v>
      </c>
      <c r="M910" s="23" t="str">
        <f>VLOOKUP(E910,Sales_Reps!$A:$E,3,FALSE)</f>
        <v>East</v>
      </c>
      <c r="N910" s="23" t="str">
        <f t="shared" si="42"/>
        <v>Feb-24</v>
      </c>
      <c r="O910" s="23" t="str">
        <f t="shared" si="43"/>
        <v>Q1 2024</v>
      </c>
      <c r="P910" s="23">
        <f>VLOOKUP(D910,Products!$A:$F,4,FALSE)</f>
        <v>1850</v>
      </c>
      <c r="Q910" s="35">
        <f t="shared" si="44"/>
        <v>0.59869848156182215</v>
      </c>
    </row>
    <row r="911" spans="1:17">
      <c r="A911" s="12" t="s">
        <v>1407</v>
      </c>
      <c r="B911" s="13">
        <v>45640</v>
      </c>
      <c r="C911" s="12" t="s">
        <v>638</v>
      </c>
      <c r="D911" s="12" t="s">
        <v>281</v>
      </c>
      <c r="E911" s="12" t="s">
        <v>209</v>
      </c>
      <c r="F911" s="14">
        <v>4</v>
      </c>
      <c r="G911" s="14">
        <v>4070</v>
      </c>
      <c r="H911" s="14">
        <v>26.8</v>
      </c>
      <c r="I911" s="14">
        <v>11916.96</v>
      </c>
      <c r="J911" s="12" t="s">
        <v>104</v>
      </c>
      <c r="K911" s="12" t="s">
        <v>111</v>
      </c>
      <c r="L911" s="23" t="str">
        <f>VLOOKUP(D911,Products!$A:$F,3,FALSE)</f>
        <v>Grocery</v>
      </c>
      <c r="M911" s="23" t="str">
        <f>VLOOKUP(E911,Sales_Reps!$A:$E,3,FALSE)</f>
        <v>East</v>
      </c>
      <c r="N911" s="23" t="str">
        <f t="shared" si="42"/>
        <v>Dec-24</v>
      </c>
      <c r="O911" s="23" t="str">
        <f t="shared" si="43"/>
        <v>Q4 2024</v>
      </c>
      <c r="P911" s="23">
        <f>VLOOKUP(D911,Products!$A:$F,4,FALSE)</f>
        <v>2027</v>
      </c>
      <c r="Q911" s="35">
        <f t="shared" si="44"/>
        <v>0.50196560196560192</v>
      </c>
    </row>
    <row r="912" spans="1:17">
      <c r="A912" s="12" t="s">
        <v>1408</v>
      </c>
      <c r="B912" s="13">
        <v>45633</v>
      </c>
      <c r="C912" s="12" t="s">
        <v>273</v>
      </c>
      <c r="D912" s="12" t="s">
        <v>102</v>
      </c>
      <c r="E912" s="12" t="s">
        <v>156</v>
      </c>
      <c r="F912" s="14">
        <v>4</v>
      </c>
      <c r="G912" s="14">
        <v>3620</v>
      </c>
      <c r="H912" s="14">
        <v>11.7</v>
      </c>
      <c r="I912" s="14">
        <v>12785.84</v>
      </c>
      <c r="J912" s="12" t="s">
        <v>104</v>
      </c>
      <c r="K912" s="12" t="s">
        <v>150</v>
      </c>
      <c r="L912" s="23" t="str">
        <f>VLOOKUP(D912,Products!$A:$F,3,FALSE)</f>
        <v>Apparel</v>
      </c>
      <c r="M912" s="23" t="str">
        <f>VLOOKUP(E912,Sales_Reps!$A:$E,3,FALSE)</f>
        <v>North</v>
      </c>
      <c r="N912" s="23" t="str">
        <f t="shared" si="42"/>
        <v>Dec-24</v>
      </c>
      <c r="O912" s="23" t="str">
        <f t="shared" si="43"/>
        <v>Q4 2024</v>
      </c>
      <c r="P912" s="23">
        <f>VLOOKUP(D912,Products!$A:$F,4,FALSE)</f>
        <v>2509</v>
      </c>
      <c r="Q912" s="35">
        <f t="shared" si="44"/>
        <v>0.3069060773480663</v>
      </c>
    </row>
    <row r="913" spans="1:17">
      <c r="A913" s="12" t="s">
        <v>1409</v>
      </c>
      <c r="B913" s="13">
        <v>45430</v>
      </c>
      <c r="C913" s="12" t="s">
        <v>335</v>
      </c>
      <c r="D913" s="12" t="s">
        <v>425</v>
      </c>
      <c r="E913" s="12" t="s">
        <v>187</v>
      </c>
      <c r="F913" s="14">
        <v>3</v>
      </c>
      <c r="G913" s="14">
        <v>3970</v>
      </c>
      <c r="H913" s="14">
        <v>24.7</v>
      </c>
      <c r="I913" s="14">
        <v>8968.23</v>
      </c>
      <c r="J913" s="12" t="s">
        <v>104</v>
      </c>
      <c r="K913" s="12" t="s">
        <v>111</v>
      </c>
      <c r="L913" s="23" t="str">
        <f>VLOOKUP(D913,Products!$A:$F,3,FALSE)</f>
        <v>Electronics</v>
      </c>
      <c r="M913" s="23" t="str">
        <f>VLOOKUP(E913,Sales_Reps!$A:$E,3,FALSE)</f>
        <v>West</v>
      </c>
      <c r="N913" s="23" t="str">
        <f t="shared" si="42"/>
        <v>May-24</v>
      </c>
      <c r="O913" s="23" t="str">
        <f t="shared" si="43"/>
        <v>Q2 2024</v>
      </c>
      <c r="P913" s="23">
        <f>VLOOKUP(D913,Products!$A:$F,4,FALSE)</f>
        <v>2865</v>
      </c>
      <c r="Q913" s="35">
        <f t="shared" si="44"/>
        <v>0.27833753148614609</v>
      </c>
    </row>
    <row r="914" spans="1:17">
      <c r="A914" s="12" t="s">
        <v>1410</v>
      </c>
      <c r="B914" s="13">
        <v>45355</v>
      </c>
      <c r="C914" s="12" t="s">
        <v>433</v>
      </c>
      <c r="D914" s="12" t="s">
        <v>144</v>
      </c>
      <c r="E914" s="12" t="s">
        <v>145</v>
      </c>
      <c r="F914" s="14">
        <v>4</v>
      </c>
      <c r="G914" s="14">
        <v>970</v>
      </c>
      <c r="H914" s="14">
        <v>0.4</v>
      </c>
      <c r="I914" s="14">
        <v>3864.48</v>
      </c>
      <c r="J914" s="12" t="s">
        <v>104</v>
      </c>
      <c r="K914" s="12" t="s">
        <v>134</v>
      </c>
      <c r="L914" s="23" t="str">
        <f>VLOOKUP(D914,Products!$A:$F,3,FALSE)</f>
        <v>Grocery</v>
      </c>
      <c r="M914" s="23" t="str">
        <f>VLOOKUP(E914,Sales_Reps!$A:$E,3,FALSE)</f>
        <v>West</v>
      </c>
      <c r="N914" s="23" t="str">
        <f t="shared" si="42"/>
        <v>Mar-24</v>
      </c>
      <c r="O914" s="23" t="str">
        <f t="shared" si="43"/>
        <v>Q1 2024</v>
      </c>
      <c r="P914" s="23">
        <f>VLOOKUP(D914,Products!$A:$F,4,FALSE)</f>
        <v>434</v>
      </c>
      <c r="Q914" s="35">
        <f t="shared" si="44"/>
        <v>0.5525773195876289</v>
      </c>
    </row>
    <row r="915" spans="1:17">
      <c r="A915" s="12" t="s">
        <v>1411</v>
      </c>
      <c r="B915" s="13">
        <v>45379</v>
      </c>
      <c r="C915" s="12" t="s">
        <v>316</v>
      </c>
      <c r="D915" s="12" t="s">
        <v>132</v>
      </c>
      <c r="E915" s="12" t="s">
        <v>171</v>
      </c>
      <c r="F915" s="14">
        <v>2</v>
      </c>
      <c r="G915" s="14">
        <v>960</v>
      </c>
      <c r="H915" s="14">
        <v>1.4</v>
      </c>
      <c r="I915" s="14">
        <v>1893.12</v>
      </c>
      <c r="J915" s="12" t="s">
        <v>104</v>
      </c>
      <c r="K915" s="12" t="s">
        <v>150</v>
      </c>
      <c r="L915" s="23" t="str">
        <f>VLOOKUP(D915,Products!$A:$F,3,FALSE)</f>
        <v>Sports</v>
      </c>
      <c r="M915" s="23" t="str">
        <f>VLOOKUP(E915,Sales_Reps!$A:$E,3,FALSE)</f>
        <v>East</v>
      </c>
      <c r="N915" s="23" t="str">
        <f t="shared" si="42"/>
        <v>Mar-24</v>
      </c>
      <c r="O915" s="23" t="str">
        <f t="shared" si="43"/>
        <v>Q1 2024</v>
      </c>
      <c r="P915" s="23">
        <f>VLOOKUP(D915,Products!$A:$F,4,FALSE)</f>
        <v>705</v>
      </c>
      <c r="Q915" s="35">
        <f t="shared" si="44"/>
        <v>0.265625</v>
      </c>
    </row>
    <row r="916" spans="1:17">
      <c r="A916" s="12" t="s">
        <v>1412</v>
      </c>
      <c r="B916" s="13">
        <v>45375</v>
      </c>
      <c r="C916" s="12" t="s">
        <v>177</v>
      </c>
      <c r="D916" s="12" t="s">
        <v>299</v>
      </c>
      <c r="E916" s="12" t="s">
        <v>363</v>
      </c>
      <c r="F916" s="14">
        <v>7</v>
      </c>
      <c r="G916" s="14">
        <v>300</v>
      </c>
      <c r="H916" s="14">
        <v>20.399999999999999</v>
      </c>
      <c r="I916" s="14">
        <v>1671.6</v>
      </c>
      <c r="J916" s="12" t="s">
        <v>104</v>
      </c>
      <c r="K916" s="12" t="s">
        <v>129</v>
      </c>
      <c r="L916" s="23" t="str">
        <f>VLOOKUP(D916,Products!$A:$F,3,FALSE)</f>
        <v>Electronics</v>
      </c>
      <c r="M916" s="23" t="str">
        <f>VLOOKUP(E916,Sales_Reps!$A:$E,3,FALSE)</f>
        <v>South</v>
      </c>
      <c r="N916" s="23" t="str">
        <f t="shared" si="42"/>
        <v>Mar-24</v>
      </c>
      <c r="O916" s="23" t="str">
        <f t="shared" si="43"/>
        <v>Q1 2024</v>
      </c>
      <c r="P916" s="23">
        <f>VLOOKUP(D916,Products!$A:$F,4,FALSE)</f>
        <v>128</v>
      </c>
      <c r="Q916" s="35">
        <f t="shared" si="44"/>
        <v>0.57333333333333336</v>
      </c>
    </row>
    <row r="917" spans="1:17">
      <c r="A917" s="12" t="s">
        <v>1413</v>
      </c>
      <c r="B917" s="13">
        <v>45397</v>
      </c>
      <c r="C917" s="12" t="s">
        <v>329</v>
      </c>
      <c r="D917" s="12" t="s">
        <v>155</v>
      </c>
      <c r="E917" s="12" t="s">
        <v>115</v>
      </c>
      <c r="F917" s="14">
        <v>8</v>
      </c>
      <c r="G917" s="14">
        <v>2600</v>
      </c>
      <c r="H917" s="14">
        <v>2.2000000000000002</v>
      </c>
      <c r="I917" s="14">
        <v>20342.400000000001</v>
      </c>
      <c r="J917" s="12" t="s">
        <v>157</v>
      </c>
      <c r="K917" s="12" t="s">
        <v>150</v>
      </c>
      <c r="L917" s="23" t="str">
        <f>VLOOKUP(D917,Products!$A:$F,3,FALSE)</f>
        <v>Electronics</v>
      </c>
      <c r="M917" s="23" t="str">
        <f>VLOOKUP(E917,Sales_Reps!$A:$E,3,FALSE)</f>
        <v>South</v>
      </c>
      <c r="N917" s="23" t="str">
        <f t="shared" si="42"/>
        <v>Apr-24</v>
      </c>
      <c r="O917" s="23" t="str">
        <f t="shared" si="43"/>
        <v>Q2 2024</v>
      </c>
      <c r="P917" s="23">
        <f>VLOOKUP(D917,Products!$A:$F,4,FALSE)</f>
        <v>1052</v>
      </c>
      <c r="Q917" s="35">
        <f t="shared" si="44"/>
        <v>0.5953846153846154</v>
      </c>
    </row>
    <row r="918" spans="1:17">
      <c r="A918" s="12" t="s">
        <v>1414</v>
      </c>
      <c r="B918" s="13">
        <v>45571</v>
      </c>
      <c r="C918" s="12" t="s">
        <v>502</v>
      </c>
      <c r="D918" s="12" t="s">
        <v>127</v>
      </c>
      <c r="E918" s="12" t="s">
        <v>124</v>
      </c>
      <c r="F918" s="14">
        <v>2</v>
      </c>
      <c r="G918" s="14">
        <v>370</v>
      </c>
      <c r="H918" s="14">
        <v>17.7</v>
      </c>
      <c r="I918" s="14">
        <v>609.02</v>
      </c>
      <c r="J918" s="12" t="s">
        <v>104</v>
      </c>
      <c r="K918" s="12" t="s">
        <v>105</v>
      </c>
      <c r="L918" s="23" t="str">
        <f>VLOOKUP(D918,Products!$A:$F,3,FALSE)</f>
        <v>Home</v>
      </c>
      <c r="M918" s="23" t="str">
        <f>VLOOKUP(E918,Sales_Reps!$A:$E,3,FALSE)</f>
        <v>North</v>
      </c>
      <c r="N918" s="23" t="str">
        <f t="shared" si="42"/>
        <v>Oct-24</v>
      </c>
      <c r="O918" s="23" t="str">
        <f t="shared" si="43"/>
        <v>Q4 2024</v>
      </c>
      <c r="P918" s="23">
        <f>VLOOKUP(D918,Products!$A:$F,4,FALSE)</f>
        <v>288</v>
      </c>
      <c r="Q918" s="35">
        <f t="shared" si="44"/>
        <v>0.22162162162162163</v>
      </c>
    </row>
    <row r="919" spans="1:17">
      <c r="A919" s="12" t="s">
        <v>1415</v>
      </c>
      <c r="B919" s="13">
        <v>45455</v>
      </c>
      <c r="C919" s="12" t="s">
        <v>195</v>
      </c>
      <c r="D919" s="12" t="s">
        <v>174</v>
      </c>
      <c r="E919" s="12" t="s">
        <v>218</v>
      </c>
      <c r="F919" s="14">
        <v>4</v>
      </c>
      <c r="G919" s="14">
        <v>3450</v>
      </c>
      <c r="H919" s="14">
        <v>9.8000000000000007</v>
      </c>
      <c r="I919" s="14">
        <v>12447.6</v>
      </c>
      <c r="J919" s="12" t="s">
        <v>157</v>
      </c>
      <c r="K919" s="12" t="s">
        <v>111</v>
      </c>
      <c r="L919" s="23" t="str">
        <f>VLOOKUP(D919,Products!$A:$F,3,FALSE)</f>
        <v>Beauty</v>
      </c>
      <c r="M919" s="23" t="str">
        <f>VLOOKUP(E919,Sales_Reps!$A:$E,3,FALSE)</f>
        <v>West</v>
      </c>
      <c r="N919" s="23" t="str">
        <f t="shared" si="42"/>
        <v>Jun-24</v>
      </c>
      <c r="O919" s="23" t="str">
        <f t="shared" si="43"/>
        <v>Q2 2024</v>
      </c>
      <c r="P919" s="23">
        <f>VLOOKUP(D919,Products!$A:$F,4,FALSE)</f>
        <v>2420</v>
      </c>
      <c r="Q919" s="35">
        <f t="shared" si="44"/>
        <v>0.29855072463768118</v>
      </c>
    </row>
    <row r="920" spans="1:17">
      <c r="A920" s="12" t="s">
        <v>1416</v>
      </c>
      <c r="B920" s="13">
        <v>45486</v>
      </c>
      <c r="C920" s="12" t="s">
        <v>798</v>
      </c>
      <c r="D920" s="12" t="s">
        <v>184</v>
      </c>
      <c r="E920" s="12" t="s">
        <v>209</v>
      </c>
      <c r="F920" s="14">
        <v>1</v>
      </c>
      <c r="G920" s="14">
        <v>2480</v>
      </c>
      <c r="H920" s="14">
        <v>5.8</v>
      </c>
      <c r="I920" s="14">
        <v>2336.16</v>
      </c>
      <c r="J920" s="12" t="s">
        <v>104</v>
      </c>
      <c r="K920" s="12" t="s">
        <v>116</v>
      </c>
      <c r="L920" s="23" t="str">
        <f>VLOOKUP(D920,Products!$A:$F,3,FALSE)</f>
        <v>Apparel</v>
      </c>
      <c r="M920" s="23" t="str">
        <f>VLOOKUP(E920,Sales_Reps!$A:$E,3,FALSE)</f>
        <v>East</v>
      </c>
      <c r="N920" s="23" t="str">
        <f t="shared" si="42"/>
        <v>Jul-24</v>
      </c>
      <c r="O920" s="23" t="str">
        <f t="shared" si="43"/>
        <v>Q3 2024</v>
      </c>
      <c r="P920" s="23">
        <f>VLOOKUP(D920,Products!$A:$F,4,FALSE)</f>
        <v>1173</v>
      </c>
      <c r="Q920" s="35">
        <f t="shared" si="44"/>
        <v>0.52701612903225803</v>
      </c>
    </row>
    <row r="921" spans="1:17">
      <c r="A921" s="12" t="s">
        <v>1417</v>
      </c>
      <c r="B921" s="13">
        <v>45329</v>
      </c>
      <c r="C921" s="12" t="s">
        <v>568</v>
      </c>
      <c r="D921" s="12" t="s">
        <v>119</v>
      </c>
      <c r="E921" s="12" t="s">
        <v>138</v>
      </c>
      <c r="F921" s="14">
        <v>5</v>
      </c>
      <c r="G921" s="14">
        <v>3660</v>
      </c>
      <c r="H921" s="14">
        <v>4.7</v>
      </c>
      <c r="I921" s="14">
        <v>17439.900000000001</v>
      </c>
      <c r="J921" s="12" t="s">
        <v>110</v>
      </c>
      <c r="K921" s="12" t="s">
        <v>129</v>
      </c>
      <c r="L921" s="23" t="str">
        <f>VLOOKUP(D921,Products!$A:$F,3,FALSE)</f>
        <v>Grocery</v>
      </c>
      <c r="M921" s="23" t="str">
        <f>VLOOKUP(E921,Sales_Reps!$A:$E,3,FALSE)</f>
        <v>East</v>
      </c>
      <c r="N921" s="23" t="str">
        <f t="shared" si="42"/>
        <v>Feb-24</v>
      </c>
      <c r="O921" s="23" t="str">
        <f t="shared" si="43"/>
        <v>Q1 2024</v>
      </c>
      <c r="P921" s="23">
        <f>VLOOKUP(D921,Products!$A:$F,4,FALSE)</f>
        <v>2214</v>
      </c>
      <c r="Q921" s="35">
        <f t="shared" si="44"/>
        <v>0.39508196721311473</v>
      </c>
    </row>
    <row r="922" spans="1:17">
      <c r="A922" s="12" t="s">
        <v>1418</v>
      </c>
      <c r="B922" s="13">
        <v>45315</v>
      </c>
      <c r="C922" s="12" t="s">
        <v>359</v>
      </c>
      <c r="D922" s="12" t="s">
        <v>193</v>
      </c>
      <c r="E922" s="12" t="s">
        <v>171</v>
      </c>
      <c r="F922" s="14">
        <v>7</v>
      </c>
      <c r="G922" s="14">
        <v>1650</v>
      </c>
      <c r="H922" s="14">
        <v>8.6</v>
      </c>
      <c r="I922" s="14">
        <v>10556.7</v>
      </c>
      <c r="J922" s="12" t="s">
        <v>104</v>
      </c>
      <c r="K922" s="12" t="s">
        <v>111</v>
      </c>
      <c r="L922" s="23" t="str">
        <f>VLOOKUP(D922,Products!$A:$F,3,FALSE)</f>
        <v>Beauty</v>
      </c>
      <c r="M922" s="23" t="str">
        <f>VLOOKUP(E922,Sales_Reps!$A:$E,3,FALSE)</f>
        <v>East</v>
      </c>
      <c r="N922" s="23" t="str">
        <f t="shared" si="42"/>
        <v>Jan-24</v>
      </c>
      <c r="O922" s="23" t="str">
        <f t="shared" si="43"/>
        <v>Q1 2024</v>
      </c>
      <c r="P922" s="23">
        <f>VLOOKUP(D922,Products!$A:$F,4,FALSE)</f>
        <v>1222</v>
      </c>
      <c r="Q922" s="35">
        <f t="shared" si="44"/>
        <v>0.2593939393939394</v>
      </c>
    </row>
    <row r="923" spans="1:17">
      <c r="A923" s="12" t="s">
        <v>1419</v>
      </c>
      <c r="B923" s="13">
        <v>45473</v>
      </c>
      <c r="C923" s="12" t="s">
        <v>207</v>
      </c>
      <c r="D923" s="12" t="s">
        <v>164</v>
      </c>
      <c r="E923" s="12" t="s">
        <v>128</v>
      </c>
      <c r="F923" s="14">
        <v>6</v>
      </c>
      <c r="G923" s="14">
        <v>190</v>
      </c>
      <c r="H923" s="14">
        <v>14.6</v>
      </c>
      <c r="I923" s="14">
        <v>973.56</v>
      </c>
      <c r="J923" s="12" t="s">
        <v>104</v>
      </c>
      <c r="K923" s="12" t="s">
        <v>150</v>
      </c>
      <c r="L923" s="23" t="str">
        <f>VLOOKUP(D923,Products!$A:$F,3,FALSE)</f>
        <v>Sports</v>
      </c>
      <c r="M923" s="23" t="str">
        <f>VLOOKUP(E923,Sales_Reps!$A:$E,3,FALSE)</f>
        <v>West</v>
      </c>
      <c r="N923" s="23" t="str">
        <f t="shared" si="42"/>
        <v>Jun-24</v>
      </c>
      <c r="O923" s="23" t="str">
        <f t="shared" si="43"/>
        <v>Q2 2024</v>
      </c>
      <c r="P923" s="23">
        <f>VLOOKUP(D923,Products!$A:$F,4,FALSE)</f>
        <v>147</v>
      </c>
      <c r="Q923" s="35">
        <f t="shared" si="44"/>
        <v>0.22631578947368422</v>
      </c>
    </row>
    <row r="924" spans="1:17">
      <c r="A924" s="12" t="s">
        <v>1420</v>
      </c>
      <c r="B924" s="13">
        <v>45546</v>
      </c>
      <c r="C924" s="12" t="s">
        <v>625</v>
      </c>
      <c r="D924" s="12" t="s">
        <v>262</v>
      </c>
      <c r="E924" s="12" t="s">
        <v>232</v>
      </c>
      <c r="F924" s="14">
        <v>5</v>
      </c>
      <c r="G924" s="14">
        <v>2270</v>
      </c>
      <c r="H924" s="14">
        <v>5.9</v>
      </c>
      <c r="I924" s="14">
        <v>10680.35</v>
      </c>
      <c r="J924" s="12" t="s">
        <v>104</v>
      </c>
      <c r="K924" s="12" t="s">
        <v>105</v>
      </c>
      <c r="L924" s="23" t="str">
        <f>VLOOKUP(D924,Products!$A:$F,3,FALSE)</f>
        <v>Grocery</v>
      </c>
      <c r="M924" s="23" t="str">
        <f>VLOOKUP(E924,Sales_Reps!$A:$E,3,FALSE)</f>
        <v>North</v>
      </c>
      <c r="N924" s="23" t="str">
        <f t="shared" si="42"/>
        <v>Sep-24</v>
      </c>
      <c r="O924" s="23" t="str">
        <f t="shared" si="43"/>
        <v>Q3 2024</v>
      </c>
      <c r="P924" s="23">
        <f>VLOOKUP(D924,Products!$A:$F,4,FALSE)</f>
        <v>1412</v>
      </c>
      <c r="Q924" s="35">
        <f t="shared" si="44"/>
        <v>0.37797356828193834</v>
      </c>
    </row>
    <row r="925" spans="1:17">
      <c r="A925" s="12" t="s">
        <v>1421</v>
      </c>
      <c r="B925" s="13">
        <v>45625</v>
      </c>
      <c r="C925" s="12" t="s">
        <v>1007</v>
      </c>
      <c r="D925" s="12" t="s">
        <v>148</v>
      </c>
      <c r="E925" s="12" t="s">
        <v>290</v>
      </c>
      <c r="F925" s="14">
        <v>1</v>
      </c>
      <c r="G925" s="14">
        <v>2270</v>
      </c>
      <c r="H925" s="14">
        <v>14.9</v>
      </c>
      <c r="I925" s="14">
        <v>1931.77</v>
      </c>
      <c r="J925" s="12" t="s">
        <v>104</v>
      </c>
      <c r="K925" s="12" t="s">
        <v>134</v>
      </c>
      <c r="L925" s="23" t="str">
        <f>VLOOKUP(D925,Products!$A:$F,3,FALSE)</f>
        <v>Grocery</v>
      </c>
      <c r="M925" s="23" t="str">
        <f>VLOOKUP(E925,Sales_Reps!$A:$E,3,FALSE)</f>
        <v>South</v>
      </c>
      <c r="N925" s="23" t="str">
        <f t="shared" si="42"/>
        <v>Nov-24</v>
      </c>
      <c r="O925" s="23" t="str">
        <f t="shared" si="43"/>
        <v>Q4 2024</v>
      </c>
      <c r="P925" s="23">
        <f>VLOOKUP(D925,Products!$A:$F,4,FALSE)</f>
        <v>1203</v>
      </c>
      <c r="Q925" s="35">
        <f t="shared" si="44"/>
        <v>0.47004405286343615</v>
      </c>
    </row>
    <row r="926" spans="1:17">
      <c r="A926" s="12" t="s">
        <v>1422</v>
      </c>
      <c r="B926" s="13">
        <v>45579</v>
      </c>
      <c r="C926" s="12" t="s">
        <v>623</v>
      </c>
      <c r="D926" s="12" t="s">
        <v>469</v>
      </c>
      <c r="E926" s="12" t="s">
        <v>320</v>
      </c>
      <c r="F926" s="14">
        <v>4</v>
      </c>
      <c r="G926" s="14">
        <v>3450</v>
      </c>
      <c r="H926" s="14">
        <v>11.7</v>
      </c>
      <c r="I926" s="14">
        <v>12185.4</v>
      </c>
      <c r="J926" s="12" t="s">
        <v>157</v>
      </c>
      <c r="K926" s="12" t="s">
        <v>129</v>
      </c>
      <c r="L926" s="23" t="str">
        <f>VLOOKUP(D926,Products!$A:$F,3,FALSE)</f>
        <v>Apparel</v>
      </c>
      <c r="M926" s="23" t="str">
        <f>VLOOKUP(E926,Sales_Reps!$A:$E,3,FALSE)</f>
        <v>East</v>
      </c>
      <c r="N926" s="23" t="str">
        <f t="shared" si="42"/>
        <v>Oct-24</v>
      </c>
      <c r="O926" s="23" t="str">
        <f t="shared" si="43"/>
        <v>Q4 2024</v>
      </c>
      <c r="P926" s="23">
        <f>VLOOKUP(D926,Products!$A:$F,4,FALSE)</f>
        <v>1748</v>
      </c>
      <c r="Q926" s="35">
        <f t="shared" si="44"/>
        <v>0.49333333333333335</v>
      </c>
    </row>
    <row r="927" spans="1:17">
      <c r="A927" s="12" t="s">
        <v>1423</v>
      </c>
      <c r="B927" s="13">
        <v>45323</v>
      </c>
      <c r="C927" s="12" t="s">
        <v>545</v>
      </c>
      <c r="D927" s="12" t="s">
        <v>293</v>
      </c>
      <c r="E927" s="12" t="s">
        <v>145</v>
      </c>
      <c r="F927" s="14">
        <v>7</v>
      </c>
      <c r="G927" s="14">
        <v>3020</v>
      </c>
      <c r="H927" s="14">
        <v>18.8</v>
      </c>
      <c r="I927" s="14">
        <v>17165.68</v>
      </c>
      <c r="J927" s="12" t="s">
        <v>104</v>
      </c>
      <c r="K927" s="12" t="s">
        <v>129</v>
      </c>
      <c r="L927" s="23" t="str">
        <f>VLOOKUP(D927,Products!$A:$F,3,FALSE)</f>
        <v>Beauty</v>
      </c>
      <c r="M927" s="23" t="str">
        <f>VLOOKUP(E927,Sales_Reps!$A:$E,3,FALSE)</f>
        <v>West</v>
      </c>
      <c r="N927" s="23" t="str">
        <f t="shared" si="42"/>
        <v>Feb-24</v>
      </c>
      <c r="O927" s="23" t="str">
        <f t="shared" si="43"/>
        <v>Q1 2024</v>
      </c>
      <c r="P927" s="23">
        <f>VLOOKUP(D927,Products!$A:$F,4,FALSE)</f>
        <v>1626</v>
      </c>
      <c r="Q927" s="35">
        <f t="shared" si="44"/>
        <v>0.46158940397350995</v>
      </c>
    </row>
    <row r="928" spans="1:17">
      <c r="A928" s="12" t="s">
        <v>1424</v>
      </c>
      <c r="B928" s="13">
        <v>45613</v>
      </c>
      <c r="C928" s="12" t="s">
        <v>887</v>
      </c>
      <c r="D928" s="12" t="s">
        <v>312</v>
      </c>
      <c r="E928" s="12" t="s">
        <v>363</v>
      </c>
      <c r="F928" s="14">
        <v>4</v>
      </c>
      <c r="G928" s="14">
        <v>2030</v>
      </c>
      <c r="H928" s="14">
        <v>25.7</v>
      </c>
      <c r="I928" s="14">
        <v>6033.16</v>
      </c>
      <c r="J928" s="12" t="s">
        <v>104</v>
      </c>
      <c r="K928" s="12" t="s">
        <v>134</v>
      </c>
      <c r="L928" s="23" t="str">
        <f>VLOOKUP(D928,Products!$A:$F,3,FALSE)</f>
        <v>Home</v>
      </c>
      <c r="M928" s="23" t="str">
        <f>VLOOKUP(E928,Sales_Reps!$A:$E,3,FALSE)</f>
        <v>South</v>
      </c>
      <c r="N928" s="23" t="str">
        <f t="shared" si="42"/>
        <v>Nov-24</v>
      </c>
      <c r="O928" s="23" t="str">
        <f t="shared" si="43"/>
        <v>Q4 2024</v>
      </c>
      <c r="P928" s="23">
        <f>VLOOKUP(D928,Products!$A:$F,4,FALSE)</f>
        <v>1143</v>
      </c>
      <c r="Q928" s="35">
        <f t="shared" si="44"/>
        <v>0.43694581280788175</v>
      </c>
    </row>
    <row r="929" spans="1:17">
      <c r="A929" s="12" t="s">
        <v>1425</v>
      </c>
      <c r="B929" s="13">
        <v>45362</v>
      </c>
      <c r="C929" s="12" t="s">
        <v>306</v>
      </c>
      <c r="D929" s="12" t="s">
        <v>469</v>
      </c>
      <c r="E929" s="12" t="s">
        <v>115</v>
      </c>
      <c r="F929" s="14">
        <v>4</v>
      </c>
      <c r="G929" s="14">
        <v>3450</v>
      </c>
      <c r="H929" s="14">
        <v>3.9</v>
      </c>
      <c r="I929" s="14">
        <v>13261.8</v>
      </c>
      <c r="J929" s="12" t="s">
        <v>104</v>
      </c>
      <c r="K929" s="12" t="s">
        <v>111</v>
      </c>
      <c r="L929" s="23" t="str">
        <f>VLOOKUP(D929,Products!$A:$F,3,FALSE)</f>
        <v>Apparel</v>
      </c>
      <c r="M929" s="23" t="str">
        <f>VLOOKUP(E929,Sales_Reps!$A:$E,3,FALSE)</f>
        <v>South</v>
      </c>
      <c r="N929" s="23" t="str">
        <f t="shared" si="42"/>
        <v>Mar-24</v>
      </c>
      <c r="O929" s="23" t="str">
        <f t="shared" si="43"/>
        <v>Q1 2024</v>
      </c>
      <c r="P929" s="23">
        <f>VLOOKUP(D929,Products!$A:$F,4,FALSE)</f>
        <v>1748</v>
      </c>
      <c r="Q929" s="35">
        <f t="shared" si="44"/>
        <v>0.49333333333333335</v>
      </c>
    </row>
    <row r="930" spans="1:17">
      <c r="A930" s="12" t="s">
        <v>1426</v>
      </c>
      <c r="B930" s="13">
        <v>45347</v>
      </c>
      <c r="C930" s="12" t="s">
        <v>545</v>
      </c>
      <c r="D930" s="12" t="s">
        <v>397</v>
      </c>
      <c r="E930" s="12" t="s">
        <v>145</v>
      </c>
      <c r="F930" s="14">
        <v>5</v>
      </c>
      <c r="G930" s="14">
        <v>960</v>
      </c>
      <c r="H930" s="14">
        <v>8</v>
      </c>
      <c r="I930" s="14">
        <v>4416</v>
      </c>
      <c r="J930" s="12" t="s">
        <v>104</v>
      </c>
      <c r="K930" s="12" t="s">
        <v>129</v>
      </c>
      <c r="L930" s="23" t="str">
        <f>VLOOKUP(D930,Products!$A:$F,3,FALSE)</f>
        <v>Beauty</v>
      </c>
      <c r="M930" s="23" t="str">
        <f>VLOOKUP(E930,Sales_Reps!$A:$E,3,FALSE)</f>
        <v>West</v>
      </c>
      <c r="N930" s="23" t="str">
        <f t="shared" si="42"/>
        <v>Feb-24</v>
      </c>
      <c r="O930" s="23" t="str">
        <f t="shared" si="43"/>
        <v>Q1 2024</v>
      </c>
      <c r="P930" s="23">
        <f>VLOOKUP(D930,Products!$A:$F,4,FALSE)</f>
        <v>675</v>
      </c>
      <c r="Q930" s="35">
        <f t="shared" si="44"/>
        <v>0.296875</v>
      </c>
    </row>
    <row r="931" spans="1:17">
      <c r="A931" s="12" t="s">
        <v>1427</v>
      </c>
      <c r="B931" s="13">
        <v>45550</v>
      </c>
      <c r="C931" s="12" t="s">
        <v>113</v>
      </c>
      <c r="D931" s="12" t="s">
        <v>425</v>
      </c>
      <c r="E931" s="12" t="s">
        <v>232</v>
      </c>
      <c r="F931" s="14">
        <v>7</v>
      </c>
      <c r="G931" s="14">
        <v>3970</v>
      </c>
      <c r="H931" s="14">
        <v>11.7</v>
      </c>
      <c r="I931" s="14">
        <v>24538.57</v>
      </c>
      <c r="J931" s="12" t="s">
        <v>104</v>
      </c>
      <c r="K931" s="12" t="s">
        <v>116</v>
      </c>
      <c r="L931" s="23" t="str">
        <f>VLOOKUP(D931,Products!$A:$F,3,FALSE)</f>
        <v>Electronics</v>
      </c>
      <c r="M931" s="23" t="str">
        <f>VLOOKUP(E931,Sales_Reps!$A:$E,3,FALSE)</f>
        <v>North</v>
      </c>
      <c r="N931" s="23" t="str">
        <f t="shared" si="42"/>
        <v>Sep-24</v>
      </c>
      <c r="O931" s="23" t="str">
        <f t="shared" si="43"/>
        <v>Q3 2024</v>
      </c>
      <c r="P931" s="23">
        <f>VLOOKUP(D931,Products!$A:$F,4,FALSE)</f>
        <v>2865</v>
      </c>
      <c r="Q931" s="35">
        <f t="shared" si="44"/>
        <v>0.27833753148614609</v>
      </c>
    </row>
    <row r="932" spans="1:17">
      <c r="A932" s="12" t="s">
        <v>1428</v>
      </c>
      <c r="B932" s="13">
        <v>45554</v>
      </c>
      <c r="C932" s="12" t="s">
        <v>322</v>
      </c>
      <c r="D932" s="12" t="s">
        <v>377</v>
      </c>
      <c r="E932" s="12" t="s">
        <v>218</v>
      </c>
      <c r="F932" s="14">
        <v>3</v>
      </c>
      <c r="G932" s="14">
        <v>5410</v>
      </c>
      <c r="H932" s="14">
        <v>10</v>
      </c>
      <c r="I932" s="14">
        <v>14607</v>
      </c>
      <c r="J932" s="12" t="s">
        <v>104</v>
      </c>
      <c r="K932" s="12" t="s">
        <v>150</v>
      </c>
      <c r="L932" s="23" t="str">
        <f>VLOOKUP(D932,Products!$A:$F,3,FALSE)</f>
        <v>Sports</v>
      </c>
      <c r="M932" s="23" t="str">
        <f>VLOOKUP(E932,Sales_Reps!$A:$E,3,FALSE)</f>
        <v>West</v>
      </c>
      <c r="N932" s="23" t="str">
        <f t="shared" si="42"/>
        <v>Sep-24</v>
      </c>
      <c r="O932" s="23" t="str">
        <f t="shared" si="43"/>
        <v>Q3 2024</v>
      </c>
      <c r="P932" s="23">
        <f>VLOOKUP(D932,Products!$A:$F,4,FALSE)</f>
        <v>2265</v>
      </c>
      <c r="Q932" s="35">
        <f t="shared" si="44"/>
        <v>0.58133086876155271</v>
      </c>
    </row>
    <row r="933" spans="1:17">
      <c r="A933" s="12" t="s">
        <v>1429</v>
      </c>
      <c r="B933" s="13">
        <v>45428</v>
      </c>
      <c r="C933" s="12" t="s">
        <v>477</v>
      </c>
      <c r="D933" s="12" t="s">
        <v>204</v>
      </c>
      <c r="E933" s="12" t="s">
        <v>103</v>
      </c>
      <c r="F933" s="14">
        <v>8</v>
      </c>
      <c r="G933" s="14">
        <v>3570</v>
      </c>
      <c r="H933" s="14">
        <v>8.5</v>
      </c>
      <c r="I933" s="14">
        <v>26132.400000000001</v>
      </c>
      <c r="J933" s="12" t="s">
        <v>104</v>
      </c>
      <c r="K933" s="12" t="s">
        <v>105</v>
      </c>
      <c r="L933" s="23" t="str">
        <f>VLOOKUP(D933,Products!$A:$F,3,FALSE)</f>
        <v>Electronics</v>
      </c>
      <c r="M933" s="23" t="str">
        <f>VLOOKUP(E933,Sales_Reps!$A:$E,3,FALSE)</f>
        <v>North</v>
      </c>
      <c r="N933" s="23" t="str">
        <f t="shared" si="42"/>
        <v>May-24</v>
      </c>
      <c r="O933" s="23" t="str">
        <f t="shared" si="43"/>
        <v>Q2 2024</v>
      </c>
      <c r="P933" s="23">
        <f>VLOOKUP(D933,Products!$A:$F,4,FALSE)</f>
        <v>1665</v>
      </c>
      <c r="Q933" s="35">
        <f t="shared" si="44"/>
        <v>0.53361344537815125</v>
      </c>
    </row>
    <row r="934" spans="1:17">
      <c r="A934" s="12" t="s">
        <v>1430</v>
      </c>
      <c r="B934" s="13">
        <v>45517</v>
      </c>
      <c r="C934" s="12" t="s">
        <v>245</v>
      </c>
      <c r="D934" s="12" t="s">
        <v>155</v>
      </c>
      <c r="E934" s="12" t="s">
        <v>115</v>
      </c>
      <c r="F934" s="14">
        <v>7</v>
      </c>
      <c r="G934" s="14">
        <v>2600</v>
      </c>
      <c r="H934" s="14">
        <v>27.1</v>
      </c>
      <c r="I934" s="14">
        <v>13267.8</v>
      </c>
      <c r="J934" s="12" t="s">
        <v>104</v>
      </c>
      <c r="K934" s="12" t="s">
        <v>129</v>
      </c>
      <c r="L934" s="23" t="str">
        <f>VLOOKUP(D934,Products!$A:$F,3,FALSE)</f>
        <v>Electronics</v>
      </c>
      <c r="M934" s="23" t="str">
        <f>VLOOKUP(E934,Sales_Reps!$A:$E,3,FALSE)</f>
        <v>South</v>
      </c>
      <c r="N934" s="23" t="str">
        <f t="shared" si="42"/>
        <v>Aug-24</v>
      </c>
      <c r="O934" s="23" t="str">
        <f t="shared" si="43"/>
        <v>Q3 2024</v>
      </c>
      <c r="P934" s="23">
        <f>VLOOKUP(D934,Products!$A:$F,4,FALSE)</f>
        <v>1052</v>
      </c>
      <c r="Q934" s="35">
        <f t="shared" si="44"/>
        <v>0.5953846153846154</v>
      </c>
    </row>
    <row r="935" spans="1:17">
      <c r="A935" s="12" t="s">
        <v>1431</v>
      </c>
      <c r="B935" s="13">
        <v>45442</v>
      </c>
      <c r="C935" s="12" t="s">
        <v>283</v>
      </c>
      <c r="D935" s="12" t="s">
        <v>114</v>
      </c>
      <c r="E935" s="12" t="s">
        <v>218</v>
      </c>
      <c r="F935" s="14">
        <v>6</v>
      </c>
      <c r="G935" s="14">
        <v>470</v>
      </c>
      <c r="H935" s="14">
        <v>2.4</v>
      </c>
      <c r="I935" s="14">
        <v>2752.32</v>
      </c>
      <c r="J935" s="12" t="s">
        <v>110</v>
      </c>
      <c r="K935" s="12" t="s">
        <v>116</v>
      </c>
      <c r="L935" s="23" t="str">
        <f>VLOOKUP(D935,Products!$A:$F,3,FALSE)</f>
        <v>Sports</v>
      </c>
      <c r="M935" s="23" t="str">
        <f>VLOOKUP(E935,Sales_Reps!$A:$E,3,FALSE)</f>
        <v>West</v>
      </c>
      <c r="N935" s="23" t="str">
        <f t="shared" si="42"/>
        <v>May-24</v>
      </c>
      <c r="O935" s="23" t="str">
        <f t="shared" si="43"/>
        <v>Q2 2024</v>
      </c>
      <c r="P935" s="23">
        <f>VLOOKUP(D935,Products!$A:$F,4,FALSE)</f>
        <v>302</v>
      </c>
      <c r="Q935" s="35">
        <f t="shared" si="44"/>
        <v>0.35744680851063831</v>
      </c>
    </row>
    <row r="936" spans="1:17">
      <c r="A936" s="12" t="s">
        <v>1432</v>
      </c>
      <c r="B936" s="13">
        <v>45371</v>
      </c>
      <c r="C936" s="12" t="s">
        <v>776</v>
      </c>
      <c r="D936" s="12" t="s">
        <v>114</v>
      </c>
      <c r="E936" s="12" t="s">
        <v>128</v>
      </c>
      <c r="F936" s="14">
        <v>3</v>
      </c>
      <c r="G936" s="14">
        <v>470</v>
      </c>
      <c r="H936" s="14">
        <v>6.3</v>
      </c>
      <c r="I936" s="14">
        <v>1321.17</v>
      </c>
      <c r="J936" s="12" t="s">
        <v>104</v>
      </c>
      <c r="K936" s="12" t="s">
        <v>134</v>
      </c>
      <c r="L936" s="23" t="str">
        <f>VLOOKUP(D936,Products!$A:$F,3,FALSE)</f>
        <v>Sports</v>
      </c>
      <c r="M936" s="23" t="str">
        <f>VLOOKUP(E936,Sales_Reps!$A:$E,3,FALSE)</f>
        <v>West</v>
      </c>
      <c r="N936" s="23" t="str">
        <f t="shared" si="42"/>
        <v>Mar-24</v>
      </c>
      <c r="O936" s="23" t="str">
        <f t="shared" si="43"/>
        <v>Q1 2024</v>
      </c>
      <c r="P936" s="23">
        <f>VLOOKUP(D936,Products!$A:$F,4,FALSE)</f>
        <v>302</v>
      </c>
      <c r="Q936" s="35">
        <f t="shared" si="44"/>
        <v>0.35744680851063831</v>
      </c>
    </row>
    <row r="937" spans="1:17">
      <c r="A937" s="12" t="s">
        <v>1433</v>
      </c>
      <c r="B937" s="13">
        <v>45540</v>
      </c>
      <c r="C937" s="12" t="s">
        <v>1325</v>
      </c>
      <c r="D937" s="12" t="s">
        <v>478</v>
      </c>
      <c r="E937" s="12" t="s">
        <v>156</v>
      </c>
      <c r="F937" s="14">
        <v>3</v>
      </c>
      <c r="G937" s="14">
        <v>3780</v>
      </c>
      <c r="H937" s="14">
        <v>19.399999999999999</v>
      </c>
      <c r="I937" s="14">
        <v>9140.0400000000009</v>
      </c>
      <c r="J937" s="12" t="s">
        <v>110</v>
      </c>
      <c r="K937" s="12" t="s">
        <v>111</v>
      </c>
      <c r="L937" s="23" t="str">
        <f>VLOOKUP(D937,Products!$A:$F,3,FALSE)</f>
        <v>Sports</v>
      </c>
      <c r="M937" s="23" t="str">
        <f>VLOOKUP(E937,Sales_Reps!$A:$E,3,FALSE)</f>
        <v>North</v>
      </c>
      <c r="N937" s="23" t="str">
        <f t="shared" si="42"/>
        <v>Sep-24</v>
      </c>
      <c r="O937" s="23" t="str">
        <f t="shared" si="43"/>
        <v>Q3 2024</v>
      </c>
      <c r="P937" s="23">
        <f>VLOOKUP(D937,Products!$A:$F,4,FALSE)</f>
        <v>1860</v>
      </c>
      <c r="Q937" s="35">
        <f t="shared" si="44"/>
        <v>0.50793650793650791</v>
      </c>
    </row>
    <row r="938" spans="1:17">
      <c r="A938" s="12" t="s">
        <v>1434</v>
      </c>
      <c r="B938" s="13">
        <v>45392</v>
      </c>
      <c r="C938" s="12" t="s">
        <v>143</v>
      </c>
      <c r="D938" s="12" t="s">
        <v>532</v>
      </c>
      <c r="E938" s="12" t="s">
        <v>138</v>
      </c>
      <c r="F938" s="14">
        <v>5</v>
      </c>
      <c r="G938" s="14">
        <v>6940</v>
      </c>
      <c r="H938" s="14">
        <v>12.6</v>
      </c>
      <c r="I938" s="14">
        <v>30327.8</v>
      </c>
      <c r="J938" s="12" t="s">
        <v>104</v>
      </c>
      <c r="K938" s="12" t="s">
        <v>105</v>
      </c>
      <c r="L938" s="23" t="str">
        <f>VLOOKUP(D938,Products!$A:$F,3,FALSE)</f>
        <v>Sports</v>
      </c>
      <c r="M938" s="23" t="str">
        <f>VLOOKUP(E938,Sales_Reps!$A:$E,3,FALSE)</f>
        <v>East</v>
      </c>
      <c r="N938" s="23" t="str">
        <f t="shared" si="42"/>
        <v>Apr-24</v>
      </c>
      <c r="O938" s="23" t="str">
        <f t="shared" si="43"/>
        <v>Q2 2024</v>
      </c>
      <c r="P938" s="23">
        <f>VLOOKUP(D938,Products!$A:$F,4,FALSE)</f>
        <v>2827</v>
      </c>
      <c r="Q938" s="35">
        <f t="shared" si="44"/>
        <v>0.5926512968299712</v>
      </c>
    </row>
    <row r="939" spans="1:17">
      <c r="A939" s="12" t="s">
        <v>1435</v>
      </c>
      <c r="B939" s="13">
        <v>45386</v>
      </c>
      <c r="C939" s="12" t="s">
        <v>430</v>
      </c>
      <c r="D939" s="12" t="s">
        <v>265</v>
      </c>
      <c r="E939" s="12" t="s">
        <v>187</v>
      </c>
      <c r="F939" s="14">
        <v>2</v>
      </c>
      <c r="G939" s="14">
        <v>3870</v>
      </c>
      <c r="H939" s="14">
        <v>10.5</v>
      </c>
      <c r="I939" s="14">
        <v>6927.3</v>
      </c>
      <c r="J939" s="12" t="s">
        <v>104</v>
      </c>
      <c r="K939" s="12" t="s">
        <v>105</v>
      </c>
      <c r="L939" s="23" t="str">
        <f>VLOOKUP(D939,Products!$A:$F,3,FALSE)</f>
        <v>Electronics</v>
      </c>
      <c r="M939" s="23" t="str">
        <f>VLOOKUP(E939,Sales_Reps!$A:$E,3,FALSE)</f>
        <v>West</v>
      </c>
      <c r="N939" s="23" t="str">
        <f t="shared" si="42"/>
        <v>Apr-24</v>
      </c>
      <c r="O939" s="23" t="str">
        <f t="shared" si="43"/>
        <v>Q2 2024</v>
      </c>
      <c r="P939" s="23">
        <f>VLOOKUP(D939,Products!$A:$F,4,FALSE)</f>
        <v>1559</v>
      </c>
      <c r="Q939" s="35">
        <f t="shared" si="44"/>
        <v>0.59715762273901807</v>
      </c>
    </row>
    <row r="940" spans="1:17">
      <c r="A940" s="12" t="s">
        <v>1436</v>
      </c>
      <c r="B940" s="13">
        <v>45516</v>
      </c>
      <c r="C940" s="12" t="s">
        <v>858</v>
      </c>
      <c r="D940" s="12" t="s">
        <v>377</v>
      </c>
      <c r="E940" s="12" t="s">
        <v>115</v>
      </c>
      <c r="F940" s="14">
        <v>8</v>
      </c>
      <c r="G940" s="14">
        <v>5410</v>
      </c>
      <c r="H940" s="14">
        <v>28.4</v>
      </c>
      <c r="I940" s="14">
        <v>30988.48</v>
      </c>
      <c r="J940" s="12" t="s">
        <v>110</v>
      </c>
      <c r="K940" s="12" t="s">
        <v>134</v>
      </c>
      <c r="L940" s="23" t="str">
        <f>VLOOKUP(D940,Products!$A:$F,3,FALSE)</f>
        <v>Sports</v>
      </c>
      <c r="M940" s="23" t="str">
        <f>VLOOKUP(E940,Sales_Reps!$A:$E,3,FALSE)</f>
        <v>South</v>
      </c>
      <c r="N940" s="23" t="str">
        <f t="shared" si="42"/>
        <v>Aug-24</v>
      </c>
      <c r="O940" s="23" t="str">
        <f t="shared" si="43"/>
        <v>Q3 2024</v>
      </c>
      <c r="P940" s="23">
        <f>VLOOKUP(D940,Products!$A:$F,4,FALSE)</f>
        <v>2265</v>
      </c>
      <c r="Q940" s="35">
        <f t="shared" si="44"/>
        <v>0.58133086876155271</v>
      </c>
    </row>
    <row r="941" spans="1:17">
      <c r="A941" s="12" t="s">
        <v>1437</v>
      </c>
      <c r="B941" s="13">
        <v>45618</v>
      </c>
      <c r="C941" s="12" t="s">
        <v>214</v>
      </c>
      <c r="D941" s="12" t="s">
        <v>425</v>
      </c>
      <c r="E941" s="12" t="s">
        <v>187</v>
      </c>
      <c r="F941" s="14">
        <v>7</v>
      </c>
      <c r="G941" s="14">
        <v>3970</v>
      </c>
      <c r="H941" s="14">
        <v>12.3</v>
      </c>
      <c r="I941" s="14">
        <v>24371.83</v>
      </c>
      <c r="J941" s="12" t="s">
        <v>104</v>
      </c>
      <c r="K941" s="12" t="s">
        <v>105</v>
      </c>
      <c r="L941" s="23" t="str">
        <f>VLOOKUP(D941,Products!$A:$F,3,FALSE)</f>
        <v>Electronics</v>
      </c>
      <c r="M941" s="23" t="str">
        <f>VLOOKUP(E941,Sales_Reps!$A:$E,3,FALSE)</f>
        <v>West</v>
      </c>
      <c r="N941" s="23" t="str">
        <f t="shared" si="42"/>
        <v>Nov-24</v>
      </c>
      <c r="O941" s="23" t="str">
        <f t="shared" si="43"/>
        <v>Q4 2024</v>
      </c>
      <c r="P941" s="23">
        <f>VLOOKUP(D941,Products!$A:$F,4,FALSE)</f>
        <v>2865</v>
      </c>
      <c r="Q941" s="35">
        <f t="shared" si="44"/>
        <v>0.27833753148614609</v>
      </c>
    </row>
    <row r="942" spans="1:17">
      <c r="A942" s="12" t="s">
        <v>1438</v>
      </c>
      <c r="B942" s="13">
        <v>45610</v>
      </c>
      <c r="C942" s="12" t="s">
        <v>632</v>
      </c>
      <c r="D942" s="12" t="s">
        <v>532</v>
      </c>
      <c r="E942" s="12" t="s">
        <v>232</v>
      </c>
      <c r="F942" s="14">
        <v>5</v>
      </c>
      <c r="G942" s="14">
        <v>6940</v>
      </c>
      <c r="H942" s="14">
        <v>1.5</v>
      </c>
      <c r="I942" s="14">
        <v>34179.5</v>
      </c>
      <c r="J942" s="12" t="s">
        <v>104</v>
      </c>
      <c r="K942" s="12" t="s">
        <v>129</v>
      </c>
      <c r="L942" s="23" t="str">
        <f>VLOOKUP(D942,Products!$A:$F,3,FALSE)</f>
        <v>Sports</v>
      </c>
      <c r="M942" s="23" t="str">
        <f>VLOOKUP(E942,Sales_Reps!$A:$E,3,FALSE)</f>
        <v>North</v>
      </c>
      <c r="N942" s="23" t="str">
        <f t="shared" si="42"/>
        <v>Nov-24</v>
      </c>
      <c r="O942" s="23" t="str">
        <f t="shared" si="43"/>
        <v>Q4 2024</v>
      </c>
      <c r="P942" s="23">
        <f>VLOOKUP(D942,Products!$A:$F,4,FALSE)</f>
        <v>2827</v>
      </c>
      <c r="Q942" s="35">
        <f t="shared" si="44"/>
        <v>0.5926512968299712</v>
      </c>
    </row>
    <row r="943" spans="1:17">
      <c r="A943" s="12" t="s">
        <v>1439</v>
      </c>
      <c r="B943" s="13">
        <v>45541</v>
      </c>
      <c r="C943" s="12" t="s">
        <v>1055</v>
      </c>
      <c r="D943" s="12" t="s">
        <v>123</v>
      </c>
      <c r="E943" s="12" t="s">
        <v>120</v>
      </c>
      <c r="F943" s="14">
        <v>7</v>
      </c>
      <c r="G943" s="14">
        <v>3160</v>
      </c>
      <c r="H943" s="14">
        <v>2.4</v>
      </c>
      <c r="I943" s="14">
        <v>21589.119999999999</v>
      </c>
      <c r="J943" s="12" t="s">
        <v>161</v>
      </c>
      <c r="K943" s="12" t="s">
        <v>134</v>
      </c>
      <c r="L943" s="23" t="str">
        <f>VLOOKUP(D943,Products!$A:$F,3,FALSE)</f>
        <v>Apparel</v>
      </c>
      <c r="M943" s="23" t="str">
        <f>VLOOKUP(E943,Sales_Reps!$A:$E,3,FALSE)</f>
        <v>North</v>
      </c>
      <c r="N943" s="23" t="str">
        <f t="shared" si="42"/>
        <v>Sep-24</v>
      </c>
      <c r="O943" s="23" t="str">
        <f t="shared" si="43"/>
        <v>Q3 2024</v>
      </c>
      <c r="P943" s="23">
        <f>VLOOKUP(D943,Products!$A:$F,4,FALSE)</f>
        <v>1886</v>
      </c>
      <c r="Q943" s="35">
        <f t="shared" si="44"/>
        <v>0.4031645569620253</v>
      </c>
    </row>
    <row r="944" spans="1:17">
      <c r="A944" s="12" t="s">
        <v>1440</v>
      </c>
      <c r="B944" s="13">
        <v>45497</v>
      </c>
      <c r="C944" s="12" t="s">
        <v>774</v>
      </c>
      <c r="D944" s="12" t="s">
        <v>108</v>
      </c>
      <c r="E944" s="12" t="s">
        <v>133</v>
      </c>
      <c r="F944" s="14">
        <v>2</v>
      </c>
      <c r="G944" s="14">
        <v>820</v>
      </c>
      <c r="H944" s="14">
        <v>8.1</v>
      </c>
      <c r="I944" s="14">
        <v>1507.16</v>
      </c>
      <c r="J944" s="12" t="s">
        <v>104</v>
      </c>
      <c r="K944" s="12" t="s">
        <v>134</v>
      </c>
      <c r="L944" s="23" t="str">
        <f>VLOOKUP(D944,Products!$A:$F,3,FALSE)</f>
        <v>Apparel</v>
      </c>
      <c r="M944" s="23" t="str">
        <f>VLOOKUP(E944,Sales_Reps!$A:$E,3,FALSE)</f>
        <v>West</v>
      </c>
      <c r="N944" s="23" t="str">
        <f t="shared" si="42"/>
        <v>Jul-24</v>
      </c>
      <c r="O944" s="23" t="str">
        <f t="shared" si="43"/>
        <v>Q3 2024</v>
      </c>
      <c r="P944" s="23">
        <f>VLOOKUP(D944,Products!$A:$F,4,FALSE)</f>
        <v>391</v>
      </c>
      <c r="Q944" s="35">
        <f t="shared" si="44"/>
        <v>0.52317073170731709</v>
      </c>
    </row>
    <row r="945" spans="1:17">
      <c r="A945" s="12" t="s">
        <v>1441</v>
      </c>
      <c r="B945" s="13">
        <v>45567</v>
      </c>
      <c r="C945" s="12" t="s">
        <v>267</v>
      </c>
      <c r="D945" s="12" t="s">
        <v>276</v>
      </c>
      <c r="E945" s="12" t="s">
        <v>187</v>
      </c>
      <c r="F945" s="14">
        <v>2</v>
      </c>
      <c r="G945" s="14">
        <v>1540</v>
      </c>
      <c r="H945" s="14">
        <v>17.7</v>
      </c>
      <c r="I945" s="14">
        <v>2534.84</v>
      </c>
      <c r="J945" s="12" t="s">
        <v>104</v>
      </c>
      <c r="K945" s="12" t="s">
        <v>134</v>
      </c>
      <c r="L945" s="23" t="str">
        <f>VLOOKUP(D945,Products!$A:$F,3,FALSE)</f>
        <v>Beauty</v>
      </c>
      <c r="M945" s="23" t="str">
        <f>VLOOKUP(E945,Sales_Reps!$A:$E,3,FALSE)</f>
        <v>West</v>
      </c>
      <c r="N945" s="23" t="str">
        <f t="shared" si="42"/>
        <v>Oct-24</v>
      </c>
      <c r="O945" s="23" t="str">
        <f t="shared" si="43"/>
        <v>Q4 2024</v>
      </c>
      <c r="P945" s="23">
        <f>VLOOKUP(D945,Products!$A:$F,4,FALSE)</f>
        <v>647</v>
      </c>
      <c r="Q945" s="35">
        <f t="shared" si="44"/>
        <v>0.57987012987012987</v>
      </c>
    </row>
    <row r="946" spans="1:17">
      <c r="A946" s="12" t="s">
        <v>1442</v>
      </c>
      <c r="B946" s="13">
        <v>45451</v>
      </c>
      <c r="C946" s="12" t="s">
        <v>776</v>
      </c>
      <c r="D946" s="12" t="s">
        <v>265</v>
      </c>
      <c r="E946" s="12" t="s">
        <v>232</v>
      </c>
      <c r="F946" s="14">
        <v>10</v>
      </c>
      <c r="G946" s="14">
        <v>3870</v>
      </c>
      <c r="H946" s="14">
        <v>12.2</v>
      </c>
      <c r="I946" s="14">
        <v>33978.6</v>
      </c>
      <c r="J946" s="12" t="s">
        <v>161</v>
      </c>
      <c r="K946" s="12" t="s">
        <v>134</v>
      </c>
      <c r="L946" s="23" t="str">
        <f>VLOOKUP(D946,Products!$A:$F,3,FALSE)</f>
        <v>Electronics</v>
      </c>
      <c r="M946" s="23" t="str">
        <f>VLOOKUP(E946,Sales_Reps!$A:$E,3,FALSE)</f>
        <v>North</v>
      </c>
      <c r="N946" s="23" t="str">
        <f t="shared" si="42"/>
        <v>Jun-24</v>
      </c>
      <c r="O946" s="23" t="str">
        <f t="shared" si="43"/>
        <v>Q2 2024</v>
      </c>
      <c r="P946" s="23">
        <f>VLOOKUP(D946,Products!$A:$F,4,FALSE)</f>
        <v>1559</v>
      </c>
      <c r="Q946" s="35">
        <f t="shared" si="44"/>
        <v>0.59715762273901807</v>
      </c>
    </row>
    <row r="947" spans="1:17">
      <c r="A947" s="12" t="s">
        <v>1443</v>
      </c>
      <c r="B947" s="13">
        <v>45488</v>
      </c>
      <c r="C947" s="12" t="s">
        <v>409</v>
      </c>
      <c r="D947" s="12" t="s">
        <v>296</v>
      </c>
      <c r="E947" s="12" t="s">
        <v>314</v>
      </c>
      <c r="F947" s="14">
        <v>7</v>
      </c>
      <c r="G947" s="14">
        <v>2660</v>
      </c>
      <c r="H947" s="14">
        <v>4.7</v>
      </c>
      <c r="I947" s="14">
        <v>17744.86</v>
      </c>
      <c r="J947" s="12" t="s">
        <v>104</v>
      </c>
      <c r="K947" s="12" t="s">
        <v>129</v>
      </c>
      <c r="L947" s="23" t="str">
        <f>VLOOKUP(D947,Products!$A:$F,3,FALSE)</f>
        <v>Electronics</v>
      </c>
      <c r="M947" s="23" t="str">
        <f>VLOOKUP(E947,Sales_Reps!$A:$E,3,FALSE)</f>
        <v>North</v>
      </c>
      <c r="N947" s="23" t="str">
        <f t="shared" si="42"/>
        <v>Jul-24</v>
      </c>
      <c r="O947" s="23" t="str">
        <f t="shared" si="43"/>
        <v>Q3 2024</v>
      </c>
      <c r="P947" s="23">
        <f>VLOOKUP(D947,Products!$A:$F,4,FALSE)</f>
        <v>1259</v>
      </c>
      <c r="Q947" s="35">
        <f t="shared" si="44"/>
        <v>0.52669172932330832</v>
      </c>
    </row>
    <row r="948" spans="1:17">
      <c r="A948" s="12" t="s">
        <v>1444</v>
      </c>
      <c r="B948" s="13">
        <v>45431</v>
      </c>
      <c r="C948" s="12" t="s">
        <v>418</v>
      </c>
      <c r="D948" s="12" t="s">
        <v>204</v>
      </c>
      <c r="E948" s="12" t="s">
        <v>221</v>
      </c>
      <c r="F948" s="14">
        <v>4</v>
      </c>
      <c r="G948" s="14">
        <v>3570</v>
      </c>
      <c r="H948" s="14">
        <v>19.3</v>
      </c>
      <c r="I948" s="14">
        <v>11523.96</v>
      </c>
      <c r="J948" s="12" t="s">
        <v>104</v>
      </c>
      <c r="K948" s="12" t="s">
        <v>111</v>
      </c>
      <c r="L948" s="23" t="str">
        <f>VLOOKUP(D948,Products!$A:$F,3,FALSE)</f>
        <v>Electronics</v>
      </c>
      <c r="M948" s="23" t="str">
        <f>VLOOKUP(E948,Sales_Reps!$A:$E,3,FALSE)</f>
        <v>South</v>
      </c>
      <c r="N948" s="23" t="str">
        <f t="shared" si="42"/>
        <v>May-24</v>
      </c>
      <c r="O948" s="23" t="str">
        <f t="shared" si="43"/>
        <v>Q2 2024</v>
      </c>
      <c r="P948" s="23">
        <f>VLOOKUP(D948,Products!$A:$F,4,FALSE)</f>
        <v>1665</v>
      </c>
      <c r="Q948" s="35">
        <f t="shared" si="44"/>
        <v>0.53361344537815125</v>
      </c>
    </row>
    <row r="949" spans="1:17">
      <c r="A949" s="12" t="s">
        <v>1445</v>
      </c>
      <c r="B949" s="13">
        <v>45393</v>
      </c>
      <c r="C949" s="12" t="s">
        <v>203</v>
      </c>
      <c r="D949" s="12" t="s">
        <v>312</v>
      </c>
      <c r="E949" s="12" t="s">
        <v>314</v>
      </c>
      <c r="F949" s="14">
        <v>2</v>
      </c>
      <c r="G949" s="14">
        <v>2030</v>
      </c>
      <c r="H949" s="14">
        <v>2.6</v>
      </c>
      <c r="I949" s="14">
        <v>3954.44</v>
      </c>
      <c r="J949" s="12" t="s">
        <v>104</v>
      </c>
      <c r="K949" s="12" t="s">
        <v>111</v>
      </c>
      <c r="L949" s="23" t="str">
        <f>VLOOKUP(D949,Products!$A:$F,3,FALSE)</f>
        <v>Home</v>
      </c>
      <c r="M949" s="23" t="str">
        <f>VLOOKUP(E949,Sales_Reps!$A:$E,3,FALSE)</f>
        <v>North</v>
      </c>
      <c r="N949" s="23" t="str">
        <f t="shared" si="42"/>
        <v>Apr-24</v>
      </c>
      <c r="O949" s="23" t="str">
        <f t="shared" si="43"/>
        <v>Q2 2024</v>
      </c>
      <c r="P949" s="23">
        <f>VLOOKUP(D949,Products!$A:$F,4,FALSE)</f>
        <v>1143</v>
      </c>
      <c r="Q949" s="35">
        <f t="shared" si="44"/>
        <v>0.43694581280788175</v>
      </c>
    </row>
    <row r="950" spans="1:17">
      <c r="A950" s="12" t="s">
        <v>1446</v>
      </c>
      <c r="B950" s="13">
        <v>45427</v>
      </c>
      <c r="C950" s="12" t="s">
        <v>471</v>
      </c>
      <c r="D950" s="12" t="s">
        <v>123</v>
      </c>
      <c r="E950" s="12" t="s">
        <v>269</v>
      </c>
      <c r="F950" s="14">
        <v>6</v>
      </c>
      <c r="G950" s="14">
        <v>3160</v>
      </c>
      <c r="H950" s="14">
        <v>25.8</v>
      </c>
      <c r="I950" s="14">
        <v>14068.32</v>
      </c>
      <c r="J950" s="12" t="s">
        <v>104</v>
      </c>
      <c r="K950" s="12" t="s">
        <v>150</v>
      </c>
      <c r="L950" s="23" t="str">
        <f>VLOOKUP(D950,Products!$A:$F,3,FALSE)</f>
        <v>Apparel</v>
      </c>
      <c r="M950" s="23" t="str">
        <f>VLOOKUP(E950,Sales_Reps!$A:$E,3,FALSE)</f>
        <v>South</v>
      </c>
      <c r="N950" s="23" t="str">
        <f t="shared" si="42"/>
        <v>May-24</v>
      </c>
      <c r="O950" s="23" t="str">
        <f t="shared" si="43"/>
        <v>Q2 2024</v>
      </c>
      <c r="P950" s="23">
        <f>VLOOKUP(D950,Products!$A:$F,4,FALSE)</f>
        <v>1886</v>
      </c>
      <c r="Q950" s="35">
        <f t="shared" si="44"/>
        <v>0.4031645569620253</v>
      </c>
    </row>
    <row r="951" spans="1:17">
      <c r="A951" s="12" t="s">
        <v>1447</v>
      </c>
      <c r="B951" s="13">
        <v>45591</v>
      </c>
      <c r="C951" s="12" t="s">
        <v>539</v>
      </c>
      <c r="D951" s="12" t="s">
        <v>460</v>
      </c>
      <c r="E951" s="12" t="s">
        <v>115</v>
      </c>
      <c r="F951" s="14">
        <v>4</v>
      </c>
      <c r="G951" s="14">
        <v>5080</v>
      </c>
      <c r="H951" s="14">
        <v>2</v>
      </c>
      <c r="I951" s="14">
        <v>19913.599999999999</v>
      </c>
      <c r="J951" s="12" t="s">
        <v>104</v>
      </c>
      <c r="K951" s="12" t="s">
        <v>1448</v>
      </c>
      <c r="L951" s="23" t="str">
        <f>VLOOKUP(D951,Products!$A:$F,3,FALSE)</f>
        <v>Home</v>
      </c>
      <c r="M951" s="23" t="str">
        <f>VLOOKUP(E951,Sales_Reps!$A:$E,3,FALSE)</f>
        <v>South</v>
      </c>
      <c r="N951" s="23" t="str">
        <f t="shared" si="42"/>
        <v>Oct-24</v>
      </c>
      <c r="O951" s="23" t="str">
        <f t="shared" si="43"/>
        <v>Q4 2024</v>
      </c>
      <c r="P951" s="23">
        <f>VLOOKUP(D951,Products!$A:$F,4,FALSE)</f>
        <v>2459</v>
      </c>
      <c r="Q951" s="35">
        <f t="shared" si="44"/>
        <v>0.51594488188976373</v>
      </c>
    </row>
    <row r="952" spans="1:17">
      <c r="A952" s="12" t="s">
        <v>1449</v>
      </c>
      <c r="B952" s="13">
        <v>45327</v>
      </c>
      <c r="C952" s="12" t="s">
        <v>477</v>
      </c>
      <c r="D952" s="12" t="s">
        <v>174</v>
      </c>
      <c r="E952" s="12" t="s">
        <v>149</v>
      </c>
      <c r="F952" s="14">
        <v>6</v>
      </c>
      <c r="G952" s="14">
        <v>3450</v>
      </c>
      <c r="H952" s="14">
        <v>1.8</v>
      </c>
      <c r="I952" s="14">
        <v>20327.400000000001</v>
      </c>
      <c r="J952" s="12" t="s">
        <v>157</v>
      </c>
      <c r="K952" s="12" t="s">
        <v>105</v>
      </c>
      <c r="L952" s="23" t="str">
        <f>VLOOKUP(D952,Products!$A:$F,3,FALSE)</f>
        <v>Beauty</v>
      </c>
      <c r="M952" s="23" t="str">
        <f>VLOOKUP(E952,Sales_Reps!$A:$E,3,FALSE)</f>
        <v>South</v>
      </c>
      <c r="N952" s="23" t="str">
        <f t="shared" si="42"/>
        <v>Feb-24</v>
      </c>
      <c r="O952" s="23" t="str">
        <f t="shared" si="43"/>
        <v>Q1 2024</v>
      </c>
      <c r="P952" s="23">
        <f>VLOOKUP(D952,Products!$A:$F,4,FALSE)</f>
        <v>2420</v>
      </c>
      <c r="Q952" s="35">
        <f t="shared" si="44"/>
        <v>0.29855072463768118</v>
      </c>
    </row>
    <row r="953" spans="1:17">
      <c r="A953" s="12" t="s">
        <v>1450</v>
      </c>
      <c r="B953" s="13">
        <v>45575</v>
      </c>
      <c r="C953" s="12" t="s">
        <v>614</v>
      </c>
      <c r="D953" s="12" t="s">
        <v>178</v>
      </c>
      <c r="E953" s="12" t="s">
        <v>363</v>
      </c>
      <c r="F953" s="14">
        <v>3</v>
      </c>
      <c r="G953" s="14">
        <v>3450</v>
      </c>
      <c r="H953" s="14">
        <v>4.7</v>
      </c>
      <c r="I953" s="14">
        <v>9863.5499999999993</v>
      </c>
      <c r="J953" s="12" t="s">
        <v>110</v>
      </c>
      <c r="K953" s="12" t="s">
        <v>129</v>
      </c>
      <c r="L953" s="23" t="str">
        <f>VLOOKUP(D953,Products!$A:$F,3,FALSE)</f>
        <v>Sports</v>
      </c>
      <c r="M953" s="23" t="str">
        <f>VLOOKUP(E953,Sales_Reps!$A:$E,3,FALSE)</f>
        <v>South</v>
      </c>
      <c r="N953" s="23" t="str">
        <f t="shared" si="42"/>
        <v>Oct-24</v>
      </c>
      <c r="O953" s="23" t="str">
        <f t="shared" si="43"/>
        <v>Q4 2024</v>
      </c>
      <c r="P953" s="23">
        <f>VLOOKUP(D953,Products!$A:$F,4,FALSE)</f>
        <v>2467</v>
      </c>
      <c r="Q953" s="35">
        <f t="shared" si="44"/>
        <v>0.28492753623188405</v>
      </c>
    </row>
    <row r="954" spans="1:17">
      <c r="A954" s="12" t="s">
        <v>1451</v>
      </c>
      <c r="B954" s="13">
        <v>45367</v>
      </c>
      <c r="C954" s="12" t="s">
        <v>225</v>
      </c>
      <c r="D954" s="12" t="s">
        <v>381</v>
      </c>
      <c r="E954" s="12" t="s">
        <v>360</v>
      </c>
      <c r="F954" s="14">
        <v>7</v>
      </c>
      <c r="G954" s="14">
        <v>5330</v>
      </c>
      <c r="H954" s="14">
        <v>16.399999999999999</v>
      </c>
      <c r="I954" s="14">
        <v>31191.16</v>
      </c>
      <c r="J954" s="12" t="s">
        <v>104</v>
      </c>
      <c r="K954" s="12" t="s">
        <v>150</v>
      </c>
      <c r="L954" s="23" t="str">
        <f>VLOOKUP(D954,Products!$A:$F,3,FALSE)</f>
        <v>Electronics</v>
      </c>
      <c r="M954" s="23" t="str">
        <f>VLOOKUP(E954,Sales_Reps!$A:$E,3,FALSE)</f>
        <v>West</v>
      </c>
      <c r="N954" s="23" t="str">
        <f t="shared" si="42"/>
        <v>Mar-24</v>
      </c>
      <c r="O954" s="23" t="str">
        <f t="shared" si="43"/>
        <v>Q1 2024</v>
      </c>
      <c r="P954" s="23">
        <f>VLOOKUP(D954,Products!$A:$F,4,FALSE)</f>
        <v>2405</v>
      </c>
      <c r="Q954" s="35">
        <f t="shared" si="44"/>
        <v>0.54878048780487809</v>
      </c>
    </row>
    <row r="955" spans="1:17">
      <c r="A955" s="12" t="s">
        <v>1452</v>
      </c>
      <c r="B955" s="13">
        <v>45522</v>
      </c>
      <c r="C955" s="12" t="s">
        <v>623</v>
      </c>
      <c r="D955" s="12" t="s">
        <v>355</v>
      </c>
      <c r="E955" s="12" t="s">
        <v>165</v>
      </c>
      <c r="F955" s="14">
        <v>6</v>
      </c>
      <c r="G955" s="14">
        <v>2210</v>
      </c>
      <c r="H955" s="14">
        <v>13.1</v>
      </c>
      <c r="I955" s="14">
        <v>11522.94</v>
      </c>
      <c r="J955" s="12" t="s">
        <v>104</v>
      </c>
      <c r="K955" s="12" t="s">
        <v>129</v>
      </c>
      <c r="L955" s="23" t="str">
        <f>VLOOKUP(D955,Products!$A:$F,3,FALSE)</f>
        <v>Grocery</v>
      </c>
      <c r="M955" s="23" t="str">
        <f>VLOOKUP(E955,Sales_Reps!$A:$E,3,FALSE)</f>
        <v>North</v>
      </c>
      <c r="N955" s="23" t="str">
        <f t="shared" si="42"/>
        <v>Aug-24</v>
      </c>
      <c r="O955" s="23" t="str">
        <f t="shared" si="43"/>
        <v>Q3 2024</v>
      </c>
      <c r="P955" s="23">
        <f>VLOOKUP(D955,Products!$A:$F,4,FALSE)</f>
        <v>1010</v>
      </c>
      <c r="Q955" s="35">
        <f t="shared" si="44"/>
        <v>0.54298642533936647</v>
      </c>
    </row>
    <row r="956" spans="1:17">
      <c r="A956" s="12" t="s">
        <v>1453</v>
      </c>
      <c r="B956" s="13">
        <v>45579</v>
      </c>
      <c r="C956" s="12" t="s">
        <v>464</v>
      </c>
      <c r="D956" s="12" t="s">
        <v>181</v>
      </c>
      <c r="E956" s="12" t="s">
        <v>218</v>
      </c>
      <c r="F956" s="14">
        <v>8</v>
      </c>
      <c r="G956" s="14">
        <v>1080</v>
      </c>
      <c r="H956" s="14">
        <v>8.6999999999999993</v>
      </c>
      <c r="I956" s="14">
        <v>7888.32</v>
      </c>
      <c r="J956" s="12" t="s">
        <v>104</v>
      </c>
      <c r="K956" s="12" t="s">
        <v>129</v>
      </c>
      <c r="L956" s="23" t="str">
        <f>VLOOKUP(D956,Products!$A:$F,3,FALSE)</f>
        <v>Home</v>
      </c>
      <c r="M956" s="23" t="str">
        <f>VLOOKUP(E956,Sales_Reps!$A:$E,3,FALSE)</f>
        <v>West</v>
      </c>
      <c r="N956" s="23" t="str">
        <f t="shared" si="42"/>
        <v>Oct-24</v>
      </c>
      <c r="O956" s="23" t="str">
        <f t="shared" si="43"/>
        <v>Q4 2024</v>
      </c>
      <c r="P956" s="23">
        <f>VLOOKUP(D956,Products!$A:$F,4,FALSE)</f>
        <v>519</v>
      </c>
      <c r="Q956" s="35">
        <f t="shared" si="44"/>
        <v>0.51944444444444449</v>
      </c>
    </row>
    <row r="957" spans="1:17">
      <c r="A957" s="12" t="s">
        <v>1454</v>
      </c>
      <c r="B957" s="13">
        <v>45495</v>
      </c>
      <c r="C957" s="12" t="s">
        <v>393</v>
      </c>
      <c r="D957" s="12" t="s">
        <v>102</v>
      </c>
      <c r="E957" s="12" t="s">
        <v>205</v>
      </c>
      <c r="F957" s="14">
        <v>5</v>
      </c>
      <c r="G957" s="14">
        <v>3620</v>
      </c>
      <c r="H957" s="14">
        <v>16.100000000000001</v>
      </c>
      <c r="I957" s="14">
        <v>15185.9</v>
      </c>
      <c r="J957" s="12" t="s">
        <v>104</v>
      </c>
      <c r="K957" s="12" t="s">
        <v>134</v>
      </c>
      <c r="L957" s="23" t="str">
        <f>VLOOKUP(D957,Products!$A:$F,3,FALSE)</f>
        <v>Apparel</v>
      </c>
      <c r="M957" s="23" t="str">
        <f>VLOOKUP(E957,Sales_Reps!$A:$E,3,FALSE)</f>
        <v>South</v>
      </c>
      <c r="N957" s="23" t="str">
        <f t="shared" si="42"/>
        <v>Jul-24</v>
      </c>
      <c r="O957" s="23" t="str">
        <f t="shared" si="43"/>
        <v>Q3 2024</v>
      </c>
      <c r="P957" s="23">
        <f>VLOOKUP(D957,Products!$A:$F,4,FALSE)</f>
        <v>2509</v>
      </c>
      <c r="Q957" s="35">
        <f t="shared" si="44"/>
        <v>0.3069060773480663</v>
      </c>
    </row>
    <row r="958" spans="1:17">
      <c r="A958" s="12" t="s">
        <v>1455</v>
      </c>
      <c r="B958" s="13">
        <v>45483</v>
      </c>
      <c r="C958" s="12" t="s">
        <v>126</v>
      </c>
      <c r="D958" s="12" t="s">
        <v>676</v>
      </c>
      <c r="E958" s="12" t="s">
        <v>290</v>
      </c>
      <c r="F958" s="14">
        <v>7</v>
      </c>
      <c r="G958" s="14">
        <v>3560</v>
      </c>
      <c r="H958" s="14">
        <v>8.5</v>
      </c>
      <c r="I958" s="14">
        <v>22801.8</v>
      </c>
      <c r="J958" s="12" t="s">
        <v>104</v>
      </c>
      <c r="K958" s="12" t="s">
        <v>129</v>
      </c>
      <c r="L958" s="23" t="str">
        <f>VLOOKUP(D958,Products!$A:$F,3,FALSE)</f>
        <v>Apparel</v>
      </c>
      <c r="M958" s="23" t="str">
        <f>VLOOKUP(E958,Sales_Reps!$A:$E,3,FALSE)</f>
        <v>South</v>
      </c>
      <c r="N958" s="23" t="str">
        <f t="shared" si="42"/>
        <v>Jul-24</v>
      </c>
      <c r="O958" s="23" t="str">
        <f t="shared" si="43"/>
        <v>Q3 2024</v>
      </c>
      <c r="P958" s="23">
        <f>VLOOKUP(D958,Products!$A:$F,4,FALSE)</f>
        <v>2629</v>
      </c>
      <c r="Q958" s="35">
        <f t="shared" si="44"/>
        <v>0.26151685393258428</v>
      </c>
    </row>
    <row r="959" spans="1:17">
      <c r="A959" s="12" t="s">
        <v>1456</v>
      </c>
      <c r="B959" s="13">
        <v>45496</v>
      </c>
      <c r="C959" s="12" t="s">
        <v>318</v>
      </c>
      <c r="D959" s="12" t="s">
        <v>312</v>
      </c>
      <c r="E959" s="12" t="s">
        <v>128</v>
      </c>
      <c r="F959" s="14">
        <v>8</v>
      </c>
      <c r="G959" s="14">
        <v>2030</v>
      </c>
      <c r="H959" s="14">
        <v>18.100000000000001</v>
      </c>
      <c r="I959" s="14">
        <v>13300.56</v>
      </c>
      <c r="J959" s="12" t="s">
        <v>104</v>
      </c>
      <c r="K959" s="12" t="s">
        <v>111</v>
      </c>
      <c r="L959" s="23" t="str">
        <f>VLOOKUP(D959,Products!$A:$F,3,FALSE)</f>
        <v>Home</v>
      </c>
      <c r="M959" s="23" t="str">
        <f>VLOOKUP(E959,Sales_Reps!$A:$E,3,FALSE)</f>
        <v>West</v>
      </c>
      <c r="N959" s="23" t="str">
        <f t="shared" si="42"/>
        <v>Jul-24</v>
      </c>
      <c r="O959" s="23" t="str">
        <f t="shared" si="43"/>
        <v>Q3 2024</v>
      </c>
      <c r="P959" s="23">
        <f>VLOOKUP(D959,Products!$A:$F,4,FALSE)</f>
        <v>1143</v>
      </c>
      <c r="Q959" s="35">
        <f t="shared" si="44"/>
        <v>0.43694581280788175</v>
      </c>
    </row>
    <row r="960" spans="1:17">
      <c r="A960" s="12" t="s">
        <v>1457</v>
      </c>
      <c r="B960" s="13">
        <v>45350</v>
      </c>
      <c r="C960" s="12" t="s">
        <v>1325</v>
      </c>
      <c r="D960" s="12" t="s">
        <v>193</v>
      </c>
      <c r="E960" s="12" t="s">
        <v>290</v>
      </c>
      <c r="F960" s="14">
        <v>10</v>
      </c>
      <c r="G960" s="14">
        <v>1650</v>
      </c>
      <c r="H960" s="14">
        <v>7.1</v>
      </c>
      <c r="I960" s="14">
        <v>15328.5</v>
      </c>
      <c r="J960" s="12" t="s">
        <v>104</v>
      </c>
      <c r="K960" s="12" t="s">
        <v>111</v>
      </c>
      <c r="L960" s="23" t="str">
        <f>VLOOKUP(D960,Products!$A:$F,3,FALSE)</f>
        <v>Beauty</v>
      </c>
      <c r="M960" s="23" t="str">
        <f>VLOOKUP(E960,Sales_Reps!$A:$E,3,FALSE)</f>
        <v>South</v>
      </c>
      <c r="N960" s="23" t="str">
        <f t="shared" si="42"/>
        <v>Feb-24</v>
      </c>
      <c r="O960" s="23" t="str">
        <f t="shared" si="43"/>
        <v>Q1 2024</v>
      </c>
      <c r="P960" s="23">
        <f>VLOOKUP(D960,Products!$A:$F,4,FALSE)</f>
        <v>1222</v>
      </c>
      <c r="Q960" s="35">
        <f t="shared" si="44"/>
        <v>0.2593939393939394</v>
      </c>
    </row>
    <row r="961" spans="1:17">
      <c r="A961" s="12" t="s">
        <v>1458</v>
      </c>
      <c r="B961" s="13">
        <v>45517</v>
      </c>
      <c r="C961" s="12" t="s">
        <v>518</v>
      </c>
      <c r="D961" s="12" t="s">
        <v>217</v>
      </c>
      <c r="E961" s="12" t="s">
        <v>255</v>
      </c>
      <c r="F961" s="14">
        <v>4</v>
      </c>
      <c r="G961" s="14">
        <v>2760</v>
      </c>
      <c r="H961" s="14">
        <v>17.600000000000001</v>
      </c>
      <c r="I961" s="14">
        <v>9096.9599999999991</v>
      </c>
      <c r="J961" s="12" t="s">
        <v>157</v>
      </c>
      <c r="K961" s="12" t="s">
        <v>150</v>
      </c>
      <c r="L961" s="23" t="str">
        <f>VLOOKUP(D961,Products!$A:$F,3,FALSE)</f>
        <v>Grocery</v>
      </c>
      <c r="M961" s="23" t="str">
        <f>VLOOKUP(E961,Sales_Reps!$A:$E,3,FALSE)</f>
        <v>East</v>
      </c>
      <c r="N961" s="23" t="str">
        <f t="shared" si="42"/>
        <v>Aug-24</v>
      </c>
      <c r="O961" s="23" t="str">
        <f t="shared" si="43"/>
        <v>Q3 2024</v>
      </c>
      <c r="P961" s="23">
        <f>VLOOKUP(D961,Products!$A:$F,4,FALSE)</f>
        <v>1435</v>
      </c>
      <c r="Q961" s="35">
        <f t="shared" si="44"/>
        <v>0.48007246376811596</v>
      </c>
    </row>
    <row r="962" spans="1:17">
      <c r="A962" s="12" t="s">
        <v>1459</v>
      </c>
      <c r="B962" s="13">
        <v>45460</v>
      </c>
      <c r="C962" s="12" t="s">
        <v>587</v>
      </c>
      <c r="D962" s="12" t="s">
        <v>425</v>
      </c>
      <c r="E962" s="12" t="s">
        <v>221</v>
      </c>
      <c r="F962" s="14">
        <v>4</v>
      </c>
      <c r="G962" s="14">
        <v>3970</v>
      </c>
      <c r="H962" s="14">
        <v>4.3</v>
      </c>
      <c r="I962" s="14">
        <v>15197.16</v>
      </c>
      <c r="J962" s="12" t="s">
        <v>104</v>
      </c>
      <c r="K962" s="12" t="s">
        <v>116</v>
      </c>
      <c r="L962" s="23" t="str">
        <f>VLOOKUP(D962,Products!$A:$F,3,FALSE)</f>
        <v>Electronics</v>
      </c>
      <c r="M962" s="23" t="str">
        <f>VLOOKUP(E962,Sales_Reps!$A:$E,3,FALSE)</f>
        <v>South</v>
      </c>
      <c r="N962" s="23" t="str">
        <f t="shared" si="42"/>
        <v>Jun-24</v>
      </c>
      <c r="O962" s="23" t="str">
        <f t="shared" si="43"/>
        <v>Q2 2024</v>
      </c>
      <c r="P962" s="23">
        <f>VLOOKUP(D962,Products!$A:$F,4,FALSE)</f>
        <v>2865</v>
      </c>
      <c r="Q962" s="35">
        <f t="shared" si="44"/>
        <v>0.27833753148614609</v>
      </c>
    </row>
    <row r="963" spans="1:17">
      <c r="A963" s="12" t="s">
        <v>1460</v>
      </c>
      <c r="B963" s="13">
        <v>45509</v>
      </c>
      <c r="C963" s="12" t="s">
        <v>496</v>
      </c>
      <c r="D963" s="12" t="s">
        <v>258</v>
      </c>
      <c r="E963" s="12" t="s">
        <v>149</v>
      </c>
      <c r="F963" s="14">
        <v>2</v>
      </c>
      <c r="G963" s="14">
        <v>6080</v>
      </c>
      <c r="H963" s="14">
        <v>23.8</v>
      </c>
      <c r="I963" s="14">
        <v>9265.92</v>
      </c>
      <c r="J963" s="12" t="s">
        <v>104</v>
      </c>
      <c r="K963" s="12" t="s">
        <v>105</v>
      </c>
      <c r="L963" s="23" t="str">
        <f>VLOOKUP(D963,Products!$A:$F,3,FALSE)</f>
        <v>Beauty</v>
      </c>
      <c r="M963" s="23" t="str">
        <f>VLOOKUP(E963,Sales_Reps!$A:$E,3,FALSE)</f>
        <v>South</v>
      </c>
      <c r="N963" s="23" t="str">
        <f t="shared" ref="N963:N1026" si="45">TEXT(B963, "mmm-yy")</f>
        <v>Aug-24</v>
      </c>
      <c r="O963" s="23" t="str">
        <f t="shared" ref="O963:O1026" si="46">"Q" &amp; INT((MONTH(B963)-1)/3)+1 &amp; " " &amp; YEAR(B963)</f>
        <v>Q3 2024</v>
      </c>
      <c r="P963" s="23">
        <f>VLOOKUP(D963,Products!$A:$F,4,FALSE)</f>
        <v>2617</v>
      </c>
      <c r="Q963" s="35">
        <f t="shared" ref="Q963:Q1026" si="47">(G963 - P963) / G963</f>
        <v>0.56957236842105263</v>
      </c>
    </row>
    <row r="964" spans="1:17">
      <c r="A964" s="12" t="s">
        <v>1461</v>
      </c>
      <c r="B964" s="13">
        <v>45602</v>
      </c>
      <c r="C964" s="12" t="s">
        <v>390</v>
      </c>
      <c r="D964" s="12" t="s">
        <v>148</v>
      </c>
      <c r="E964" s="12" t="s">
        <v>156</v>
      </c>
      <c r="F964" s="14">
        <v>4</v>
      </c>
      <c r="G964" s="14">
        <v>2270</v>
      </c>
      <c r="H964" s="14">
        <v>28.9</v>
      </c>
      <c r="I964" s="14">
        <v>6455.88</v>
      </c>
      <c r="J964" s="12" t="s">
        <v>104</v>
      </c>
      <c r="K964" s="12" t="s">
        <v>105</v>
      </c>
      <c r="L964" s="23" t="str">
        <f>VLOOKUP(D964,Products!$A:$F,3,FALSE)</f>
        <v>Grocery</v>
      </c>
      <c r="M964" s="23" t="str">
        <f>VLOOKUP(E964,Sales_Reps!$A:$E,3,FALSE)</f>
        <v>North</v>
      </c>
      <c r="N964" s="23" t="str">
        <f t="shared" si="45"/>
        <v>Nov-24</v>
      </c>
      <c r="O964" s="23" t="str">
        <f t="shared" si="46"/>
        <v>Q4 2024</v>
      </c>
      <c r="P964" s="23">
        <f>VLOOKUP(D964,Products!$A:$F,4,FALSE)</f>
        <v>1203</v>
      </c>
      <c r="Q964" s="35">
        <f t="shared" si="47"/>
        <v>0.47004405286343615</v>
      </c>
    </row>
    <row r="965" spans="1:17">
      <c r="A965" s="12" t="s">
        <v>1462</v>
      </c>
      <c r="B965" s="13">
        <v>45441</v>
      </c>
      <c r="C965" s="12" t="s">
        <v>214</v>
      </c>
      <c r="D965" s="12" t="s">
        <v>425</v>
      </c>
      <c r="E965" s="12" t="s">
        <v>156</v>
      </c>
      <c r="F965" s="14">
        <v>10</v>
      </c>
      <c r="G965" s="14">
        <v>3970</v>
      </c>
      <c r="H965" s="14">
        <v>26.2</v>
      </c>
      <c r="I965" s="14">
        <v>29298.6</v>
      </c>
      <c r="J965" s="12" t="s">
        <v>104</v>
      </c>
      <c r="K965" s="12" t="s">
        <v>105</v>
      </c>
      <c r="L965" s="23" t="str">
        <f>VLOOKUP(D965,Products!$A:$F,3,FALSE)</f>
        <v>Electronics</v>
      </c>
      <c r="M965" s="23" t="str">
        <f>VLOOKUP(E965,Sales_Reps!$A:$E,3,FALSE)</f>
        <v>North</v>
      </c>
      <c r="N965" s="23" t="str">
        <f t="shared" si="45"/>
        <v>May-24</v>
      </c>
      <c r="O965" s="23" t="str">
        <f t="shared" si="46"/>
        <v>Q2 2024</v>
      </c>
      <c r="P965" s="23">
        <f>VLOOKUP(D965,Products!$A:$F,4,FALSE)</f>
        <v>2865</v>
      </c>
      <c r="Q965" s="35">
        <f t="shared" si="47"/>
        <v>0.27833753148614609</v>
      </c>
    </row>
    <row r="966" spans="1:17">
      <c r="A966" s="12" t="s">
        <v>1463</v>
      </c>
      <c r="B966" s="13">
        <v>45378</v>
      </c>
      <c r="C966" s="12" t="s">
        <v>359</v>
      </c>
      <c r="D966" s="12" t="s">
        <v>208</v>
      </c>
      <c r="E966" s="12" t="s">
        <v>269</v>
      </c>
      <c r="F966" s="14">
        <v>4</v>
      </c>
      <c r="G966" s="14">
        <v>5100</v>
      </c>
      <c r="H966" s="14">
        <v>2.1</v>
      </c>
      <c r="I966" s="14">
        <v>19971.599999999999</v>
      </c>
      <c r="J966" s="12" t="s">
        <v>104</v>
      </c>
      <c r="K966" s="12" t="s">
        <v>111</v>
      </c>
      <c r="L966" s="23" t="str">
        <f>VLOOKUP(D966,Products!$A:$F,3,FALSE)</f>
        <v>Beauty</v>
      </c>
      <c r="M966" s="23" t="str">
        <f>VLOOKUP(E966,Sales_Reps!$A:$E,3,FALSE)</f>
        <v>South</v>
      </c>
      <c r="N966" s="23" t="str">
        <f t="shared" si="45"/>
        <v>Mar-24</v>
      </c>
      <c r="O966" s="23" t="str">
        <f t="shared" si="46"/>
        <v>Q1 2024</v>
      </c>
      <c r="P966" s="23">
        <f>VLOOKUP(D966,Products!$A:$F,4,FALSE)</f>
        <v>2237</v>
      </c>
      <c r="Q966" s="35">
        <f t="shared" si="47"/>
        <v>0.56137254901960787</v>
      </c>
    </row>
    <row r="967" spans="1:17">
      <c r="A967" s="12" t="s">
        <v>1464</v>
      </c>
      <c r="B967" s="13">
        <v>45428</v>
      </c>
      <c r="C967" s="12" t="s">
        <v>331</v>
      </c>
      <c r="D967" s="12" t="s">
        <v>293</v>
      </c>
      <c r="E967" s="12" t="s">
        <v>133</v>
      </c>
      <c r="F967" s="14">
        <v>5</v>
      </c>
      <c r="G967" s="14">
        <v>3020</v>
      </c>
      <c r="H967" s="14">
        <v>17.3</v>
      </c>
      <c r="I967" s="14">
        <v>12487.7</v>
      </c>
      <c r="J967" s="12" t="s">
        <v>104</v>
      </c>
      <c r="K967" s="12" t="s">
        <v>105</v>
      </c>
      <c r="L967" s="23" t="str">
        <f>VLOOKUP(D967,Products!$A:$F,3,FALSE)</f>
        <v>Beauty</v>
      </c>
      <c r="M967" s="23" t="str">
        <f>VLOOKUP(E967,Sales_Reps!$A:$E,3,FALSE)</f>
        <v>West</v>
      </c>
      <c r="N967" s="23" t="str">
        <f t="shared" si="45"/>
        <v>May-24</v>
      </c>
      <c r="O967" s="23" t="str">
        <f t="shared" si="46"/>
        <v>Q2 2024</v>
      </c>
      <c r="P967" s="23">
        <f>VLOOKUP(D967,Products!$A:$F,4,FALSE)</f>
        <v>1626</v>
      </c>
      <c r="Q967" s="35">
        <f t="shared" si="47"/>
        <v>0.46158940397350995</v>
      </c>
    </row>
    <row r="968" spans="1:17">
      <c r="A968" s="12" t="s">
        <v>1465</v>
      </c>
      <c r="B968" s="13">
        <v>45521</v>
      </c>
      <c r="C968" s="12" t="s">
        <v>919</v>
      </c>
      <c r="D968" s="12" t="s">
        <v>132</v>
      </c>
      <c r="E968" s="12" t="s">
        <v>363</v>
      </c>
      <c r="F968" s="14">
        <v>8</v>
      </c>
      <c r="G968" s="14">
        <v>960</v>
      </c>
      <c r="H968" s="14">
        <v>1.3</v>
      </c>
      <c r="I968" s="14">
        <v>7580.16</v>
      </c>
      <c r="J968" s="12" t="s">
        <v>157</v>
      </c>
      <c r="K968" s="12" t="s">
        <v>129</v>
      </c>
      <c r="L968" s="23" t="str">
        <f>VLOOKUP(D968,Products!$A:$F,3,FALSE)</f>
        <v>Sports</v>
      </c>
      <c r="M968" s="23" t="str">
        <f>VLOOKUP(E968,Sales_Reps!$A:$E,3,FALSE)</f>
        <v>South</v>
      </c>
      <c r="N968" s="23" t="str">
        <f t="shared" si="45"/>
        <v>Aug-24</v>
      </c>
      <c r="O968" s="23" t="str">
        <f t="shared" si="46"/>
        <v>Q3 2024</v>
      </c>
      <c r="P968" s="23">
        <f>VLOOKUP(D968,Products!$A:$F,4,FALSE)</f>
        <v>705</v>
      </c>
      <c r="Q968" s="35">
        <f t="shared" si="47"/>
        <v>0.265625</v>
      </c>
    </row>
    <row r="969" spans="1:17">
      <c r="A969" s="12" t="s">
        <v>1466</v>
      </c>
      <c r="B969" s="13">
        <v>45612</v>
      </c>
      <c r="C969" s="12" t="s">
        <v>976</v>
      </c>
      <c r="D969" s="12" t="s">
        <v>184</v>
      </c>
      <c r="E969" s="12" t="s">
        <v>124</v>
      </c>
      <c r="F969" s="14">
        <v>9</v>
      </c>
      <c r="G969" s="14">
        <v>2480</v>
      </c>
      <c r="H969" s="14">
        <v>15.6</v>
      </c>
      <c r="I969" s="14">
        <v>18838.080000000002</v>
      </c>
      <c r="J969" s="12" t="s">
        <v>104</v>
      </c>
      <c r="K969" s="12" t="s">
        <v>129</v>
      </c>
      <c r="L969" s="23" t="str">
        <f>VLOOKUP(D969,Products!$A:$F,3,FALSE)</f>
        <v>Apparel</v>
      </c>
      <c r="M969" s="23" t="str">
        <f>VLOOKUP(E969,Sales_Reps!$A:$E,3,FALSE)</f>
        <v>North</v>
      </c>
      <c r="N969" s="23" t="str">
        <f t="shared" si="45"/>
        <v>Nov-24</v>
      </c>
      <c r="O969" s="23" t="str">
        <f t="shared" si="46"/>
        <v>Q4 2024</v>
      </c>
      <c r="P969" s="23">
        <f>VLOOKUP(D969,Products!$A:$F,4,FALSE)</f>
        <v>1173</v>
      </c>
      <c r="Q969" s="35">
        <f t="shared" si="47"/>
        <v>0.52701612903225803</v>
      </c>
    </row>
    <row r="970" spans="1:17">
      <c r="A970" s="12" t="s">
        <v>1467</v>
      </c>
      <c r="B970" s="13">
        <v>45566</v>
      </c>
      <c r="C970" s="12" t="s">
        <v>1468</v>
      </c>
      <c r="D970" s="12" t="s">
        <v>144</v>
      </c>
      <c r="E970" s="12" t="s">
        <v>342</v>
      </c>
      <c r="F970" s="14">
        <v>1</v>
      </c>
      <c r="G970" s="14">
        <v>970</v>
      </c>
      <c r="H970" s="14">
        <v>24.9</v>
      </c>
      <c r="I970" s="14">
        <v>728.47</v>
      </c>
      <c r="J970" s="12" t="s">
        <v>104</v>
      </c>
      <c r="K970" s="12" t="s">
        <v>134</v>
      </c>
      <c r="L970" s="23" t="str">
        <f>VLOOKUP(D970,Products!$A:$F,3,FALSE)</f>
        <v>Grocery</v>
      </c>
      <c r="M970" s="23" t="str">
        <f>VLOOKUP(E970,Sales_Reps!$A:$E,3,FALSE)</f>
        <v>South</v>
      </c>
      <c r="N970" s="23" t="str">
        <f t="shared" si="45"/>
        <v>Oct-24</v>
      </c>
      <c r="O970" s="23" t="str">
        <f t="shared" si="46"/>
        <v>Q4 2024</v>
      </c>
      <c r="P970" s="23">
        <f>VLOOKUP(D970,Products!$A:$F,4,FALSE)</f>
        <v>434</v>
      </c>
      <c r="Q970" s="35">
        <f t="shared" si="47"/>
        <v>0.5525773195876289</v>
      </c>
    </row>
    <row r="971" spans="1:17">
      <c r="A971" s="12" t="s">
        <v>1469</v>
      </c>
      <c r="B971" s="13">
        <v>45606</v>
      </c>
      <c r="C971" s="12" t="s">
        <v>424</v>
      </c>
      <c r="D971" s="12" t="s">
        <v>384</v>
      </c>
      <c r="E971" s="12" t="s">
        <v>302</v>
      </c>
      <c r="F971" s="14">
        <v>4</v>
      </c>
      <c r="G971" s="14">
        <v>2380</v>
      </c>
      <c r="H971" s="14">
        <v>9.5</v>
      </c>
      <c r="I971" s="14">
        <v>8615.6</v>
      </c>
      <c r="J971" s="12" t="s">
        <v>157</v>
      </c>
      <c r="K971" s="12" t="s">
        <v>105</v>
      </c>
      <c r="L971" s="23" t="str">
        <f>VLOOKUP(D971,Products!$A:$F,3,FALSE)</f>
        <v>Grocery</v>
      </c>
      <c r="M971" s="23" t="str">
        <f>VLOOKUP(E971,Sales_Reps!$A:$E,3,FALSE)</f>
        <v>East</v>
      </c>
      <c r="N971" s="23" t="str">
        <f t="shared" si="45"/>
        <v>Nov-24</v>
      </c>
      <c r="O971" s="23" t="str">
        <f t="shared" si="46"/>
        <v>Q4 2024</v>
      </c>
      <c r="P971" s="23">
        <f>VLOOKUP(D971,Products!$A:$F,4,FALSE)</f>
        <v>1182</v>
      </c>
      <c r="Q971" s="35">
        <f t="shared" si="47"/>
        <v>0.50336134453781511</v>
      </c>
    </row>
    <row r="972" spans="1:17">
      <c r="A972" s="12" t="s">
        <v>1470</v>
      </c>
      <c r="B972" s="13">
        <v>45423</v>
      </c>
      <c r="C972" s="12" t="s">
        <v>147</v>
      </c>
      <c r="D972" s="12" t="s">
        <v>377</v>
      </c>
      <c r="E972" s="12" t="s">
        <v>109</v>
      </c>
      <c r="F972" s="14">
        <v>4</v>
      </c>
      <c r="G972" s="14">
        <v>5410</v>
      </c>
      <c r="H972" s="14">
        <v>18.7</v>
      </c>
      <c r="I972" s="14">
        <v>17593.32</v>
      </c>
      <c r="J972" s="12" t="s">
        <v>104</v>
      </c>
      <c r="K972" s="12" t="s">
        <v>150</v>
      </c>
      <c r="L972" s="23" t="str">
        <f>VLOOKUP(D972,Products!$A:$F,3,FALSE)</f>
        <v>Sports</v>
      </c>
      <c r="M972" s="23" t="str">
        <f>VLOOKUP(E972,Sales_Reps!$A:$E,3,FALSE)</f>
        <v>North</v>
      </c>
      <c r="N972" s="23" t="str">
        <f t="shared" si="45"/>
        <v>May-24</v>
      </c>
      <c r="O972" s="23" t="str">
        <f t="shared" si="46"/>
        <v>Q2 2024</v>
      </c>
      <c r="P972" s="23">
        <f>VLOOKUP(D972,Products!$A:$F,4,FALSE)</f>
        <v>2265</v>
      </c>
      <c r="Q972" s="35">
        <f t="shared" si="47"/>
        <v>0.58133086876155271</v>
      </c>
    </row>
    <row r="973" spans="1:17">
      <c r="A973" s="12" t="s">
        <v>1471</v>
      </c>
      <c r="B973" s="13">
        <v>45573</v>
      </c>
      <c r="C973" s="12" t="s">
        <v>301</v>
      </c>
      <c r="D973" s="12" t="s">
        <v>460</v>
      </c>
      <c r="E973" s="12" t="s">
        <v>302</v>
      </c>
      <c r="F973" s="14">
        <v>7</v>
      </c>
      <c r="G973" s="14">
        <v>5080</v>
      </c>
      <c r="H973" s="14">
        <v>6.5</v>
      </c>
      <c r="I973" s="14">
        <v>33248.6</v>
      </c>
      <c r="J973" s="12" t="s">
        <v>104</v>
      </c>
      <c r="K973" s="12" t="s">
        <v>111</v>
      </c>
      <c r="L973" s="23" t="str">
        <f>VLOOKUP(D973,Products!$A:$F,3,FALSE)</f>
        <v>Home</v>
      </c>
      <c r="M973" s="23" t="str">
        <f>VLOOKUP(E973,Sales_Reps!$A:$E,3,FALSE)</f>
        <v>East</v>
      </c>
      <c r="N973" s="23" t="str">
        <f t="shared" si="45"/>
        <v>Oct-24</v>
      </c>
      <c r="O973" s="23" t="str">
        <f t="shared" si="46"/>
        <v>Q4 2024</v>
      </c>
      <c r="P973" s="23">
        <f>VLOOKUP(D973,Products!$A:$F,4,FALSE)</f>
        <v>2459</v>
      </c>
      <c r="Q973" s="35">
        <f t="shared" si="47"/>
        <v>0.51594488188976373</v>
      </c>
    </row>
    <row r="974" spans="1:17">
      <c r="A974" s="12" t="s">
        <v>1472</v>
      </c>
      <c r="B974" s="13">
        <v>45339</v>
      </c>
      <c r="C974" s="12" t="s">
        <v>1189</v>
      </c>
      <c r="D974" s="12" t="s">
        <v>137</v>
      </c>
      <c r="E974" s="12" t="s">
        <v>128</v>
      </c>
      <c r="F974" s="14">
        <v>5</v>
      </c>
      <c r="G974" s="14">
        <v>1430</v>
      </c>
      <c r="H974" s="14">
        <v>19.8</v>
      </c>
      <c r="I974" s="14">
        <v>5734.3</v>
      </c>
      <c r="J974" s="12" t="s">
        <v>104</v>
      </c>
      <c r="K974" s="12" t="s">
        <v>105</v>
      </c>
      <c r="L974" s="23" t="str">
        <f>VLOOKUP(D974,Products!$A:$F,3,FALSE)</f>
        <v>Electronics</v>
      </c>
      <c r="M974" s="23" t="str">
        <f>VLOOKUP(E974,Sales_Reps!$A:$E,3,FALSE)</f>
        <v>West</v>
      </c>
      <c r="N974" s="23" t="str">
        <f t="shared" si="45"/>
        <v>Feb-24</v>
      </c>
      <c r="O974" s="23" t="str">
        <f t="shared" si="46"/>
        <v>Q1 2024</v>
      </c>
      <c r="P974" s="23">
        <f>VLOOKUP(D974,Products!$A:$F,4,FALSE)</f>
        <v>861</v>
      </c>
      <c r="Q974" s="35">
        <f t="shared" si="47"/>
        <v>0.39790209790209791</v>
      </c>
    </row>
    <row r="975" spans="1:17">
      <c r="A975" s="12" t="s">
        <v>1473</v>
      </c>
      <c r="B975" s="13">
        <v>45611</v>
      </c>
      <c r="C975" s="12" t="s">
        <v>885</v>
      </c>
      <c r="D975" s="12" t="s">
        <v>220</v>
      </c>
      <c r="E975" s="12" t="s">
        <v>290</v>
      </c>
      <c r="F975" s="14">
        <v>7</v>
      </c>
      <c r="G975" s="14">
        <v>660</v>
      </c>
      <c r="H975" s="14">
        <v>17.3</v>
      </c>
      <c r="I975" s="14">
        <v>3820.74</v>
      </c>
      <c r="J975" s="12" t="s">
        <v>104</v>
      </c>
      <c r="K975" s="12" t="s">
        <v>116</v>
      </c>
      <c r="L975" s="23" t="str">
        <f>VLOOKUP(D975,Products!$A:$F,3,FALSE)</f>
        <v>Home</v>
      </c>
      <c r="M975" s="23" t="str">
        <f>VLOOKUP(E975,Sales_Reps!$A:$E,3,FALSE)</f>
        <v>South</v>
      </c>
      <c r="N975" s="23" t="str">
        <f t="shared" si="45"/>
        <v>Nov-24</v>
      </c>
      <c r="O975" s="23" t="str">
        <f t="shared" si="46"/>
        <v>Q4 2024</v>
      </c>
      <c r="P975" s="23">
        <f>VLOOKUP(D975,Products!$A:$F,4,FALSE)</f>
        <v>329</v>
      </c>
      <c r="Q975" s="35">
        <f t="shared" si="47"/>
        <v>0.50151515151515147</v>
      </c>
    </row>
    <row r="976" spans="1:17">
      <c r="A976" s="12" t="s">
        <v>1474</v>
      </c>
      <c r="B976" s="13">
        <v>45505</v>
      </c>
      <c r="C976" s="12" t="s">
        <v>833</v>
      </c>
      <c r="D976" s="12" t="s">
        <v>276</v>
      </c>
      <c r="E976" s="12" t="s">
        <v>156</v>
      </c>
      <c r="F976" s="14">
        <v>10</v>
      </c>
      <c r="G976" s="14">
        <v>1540</v>
      </c>
      <c r="H976" s="14">
        <v>17.5</v>
      </c>
      <c r="I976" s="14">
        <v>12705</v>
      </c>
      <c r="J976" s="12" t="s">
        <v>104</v>
      </c>
      <c r="K976" s="12" t="s">
        <v>105</v>
      </c>
      <c r="L976" s="23" t="str">
        <f>VLOOKUP(D976,Products!$A:$F,3,FALSE)</f>
        <v>Beauty</v>
      </c>
      <c r="M976" s="23" t="str">
        <f>VLOOKUP(E976,Sales_Reps!$A:$E,3,FALSE)</f>
        <v>North</v>
      </c>
      <c r="N976" s="23" t="str">
        <f t="shared" si="45"/>
        <v>Aug-24</v>
      </c>
      <c r="O976" s="23" t="str">
        <f t="shared" si="46"/>
        <v>Q3 2024</v>
      </c>
      <c r="P976" s="23">
        <f>VLOOKUP(D976,Products!$A:$F,4,FALSE)</f>
        <v>647</v>
      </c>
      <c r="Q976" s="35">
        <f t="shared" si="47"/>
        <v>0.57987012987012987</v>
      </c>
    </row>
    <row r="977" spans="1:17">
      <c r="A977" s="12" t="s">
        <v>1475</v>
      </c>
      <c r="B977" s="13">
        <v>45358</v>
      </c>
      <c r="C977" s="12" t="s">
        <v>550</v>
      </c>
      <c r="D977" s="12" t="s">
        <v>355</v>
      </c>
      <c r="E977" s="12" t="s">
        <v>165</v>
      </c>
      <c r="F977" s="14">
        <v>10</v>
      </c>
      <c r="G977" s="14">
        <v>2210</v>
      </c>
      <c r="H977" s="14">
        <v>24.1</v>
      </c>
      <c r="I977" s="14">
        <v>16773.900000000001</v>
      </c>
      <c r="J977" s="12" t="s">
        <v>110</v>
      </c>
      <c r="K977" s="12" t="s">
        <v>116</v>
      </c>
      <c r="L977" s="23" t="str">
        <f>VLOOKUP(D977,Products!$A:$F,3,FALSE)</f>
        <v>Grocery</v>
      </c>
      <c r="M977" s="23" t="str">
        <f>VLOOKUP(E977,Sales_Reps!$A:$E,3,FALSE)</f>
        <v>North</v>
      </c>
      <c r="N977" s="23" t="str">
        <f t="shared" si="45"/>
        <v>Mar-24</v>
      </c>
      <c r="O977" s="23" t="str">
        <f t="shared" si="46"/>
        <v>Q1 2024</v>
      </c>
      <c r="P977" s="23">
        <f>VLOOKUP(D977,Products!$A:$F,4,FALSE)</f>
        <v>1010</v>
      </c>
      <c r="Q977" s="35">
        <f t="shared" si="47"/>
        <v>0.54298642533936647</v>
      </c>
    </row>
    <row r="978" spans="1:17">
      <c r="A978" s="12" t="s">
        <v>1476</v>
      </c>
      <c r="B978" s="13">
        <v>45519</v>
      </c>
      <c r="C978" s="12" t="s">
        <v>545</v>
      </c>
      <c r="D978" s="12" t="s">
        <v>132</v>
      </c>
      <c r="E978" s="12" t="s">
        <v>302</v>
      </c>
      <c r="F978" s="14">
        <v>4</v>
      </c>
      <c r="G978" s="14">
        <v>960</v>
      </c>
      <c r="H978" s="14">
        <v>13.4</v>
      </c>
      <c r="I978" s="14">
        <v>3325.44</v>
      </c>
      <c r="J978" s="12" t="s">
        <v>104</v>
      </c>
      <c r="K978" s="12" t="s">
        <v>129</v>
      </c>
      <c r="L978" s="23" t="str">
        <f>VLOOKUP(D978,Products!$A:$F,3,FALSE)</f>
        <v>Sports</v>
      </c>
      <c r="M978" s="23" t="str">
        <f>VLOOKUP(E978,Sales_Reps!$A:$E,3,FALSE)</f>
        <v>East</v>
      </c>
      <c r="N978" s="23" t="str">
        <f t="shared" si="45"/>
        <v>Aug-24</v>
      </c>
      <c r="O978" s="23" t="str">
        <f t="shared" si="46"/>
        <v>Q3 2024</v>
      </c>
      <c r="P978" s="23">
        <f>VLOOKUP(D978,Products!$A:$F,4,FALSE)</f>
        <v>705</v>
      </c>
      <c r="Q978" s="35">
        <f t="shared" si="47"/>
        <v>0.265625</v>
      </c>
    </row>
    <row r="979" spans="1:17">
      <c r="A979" s="12" t="s">
        <v>1477</v>
      </c>
      <c r="B979" s="13">
        <v>45628</v>
      </c>
      <c r="C979" s="12" t="s">
        <v>1367</v>
      </c>
      <c r="D979" s="12" t="s">
        <v>174</v>
      </c>
      <c r="E979" s="12" t="s">
        <v>302</v>
      </c>
      <c r="F979" s="14">
        <v>8</v>
      </c>
      <c r="G979" s="14">
        <v>3450</v>
      </c>
      <c r="H979" s="14">
        <v>3.7</v>
      </c>
      <c r="I979" s="14">
        <v>26578.799999999999</v>
      </c>
      <c r="J979" s="12" t="s">
        <v>104</v>
      </c>
      <c r="K979" s="12" t="s">
        <v>129</v>
      </c>
      <c r="L979" s="23" t="str">
        <f>VLOOKUP(D979,Products!$A:$F,3,FALSE)</f>
        <v>Beauty</v>
      </c>
      <c r="M979" s="23" t="str">
        <f>VLOOKUP(E979,Sales_Reps!$A:$E,3,FALSE)</f>
        <v>East</v>
      </c>
      <c r="N979" s="23" t="str">
        <f t="shared" si="45"/>
        <v>Dec-24</v>
      </c>
      <c r="O979" s="23" t="str">
        <f t="shared" si="46"/>
        <v>Q4 2024</v>
      </c>
      <c r="P979" s="23">
        <f>VLOOKUP(D979,Products!$A:$F,4,FALSE)</f>
        <v>2420</v>
      </c>
      <c r="Q979" s="35">
        <f t="shared" si="47"/>
        <v>0.29855072463768118</v>
      </c>
    </row>
    <row r="980" spans="1:17">
      <c r="A980" s="12" t="s">
        <v>1478</v>
      </c>
      <c r="B980" s="13">
        <v>45481</v>
      </c>
      <c r="C980" s="12" t="s">
        <v>1479</v>
      </c>
      <c r="D980" s="12" t="s">
        <v>312</v>
      </c>
      <c r="E980" s="12" t="s">
        <v>109</v>
      </c>
      <c r="F980" s="14">
        <v>6</v>
      </c>
      <c r="G980" s="14">
        <v>2030</v>
      </c>
      <c r="H980" s="14">
        <v>9.5</v>
      </c>
      <c r="I980" s="14">
        <v>11022.9</v>
      </c>
      <c r="J980" s="12" t="s">
        <v>104</v>
      </c>
      <c r="K980" s="12" t="s">
        <v>129</v>
      </c>
      <c r="L980" s="23" t="str">
        <f>VLOOKUP(D980,Products!$A:$F,3,FALSE)</f>
        <v>Home</v>
      </c>
      <c r="M980" s="23" t="str">
        <f>VLOOKUP(E980,Sales_Reps!$A:$E,3,FALSE)</f>
        <v>North</v>
      </c>
      <c r="N980" s="23" t="str">
        <f t="shared" si="45"/>
        <v>Jul-24</v>
      </c>
      <c r="O980" s="23" t="str">
        <f t="shared" si="46"/>
        <v>Q3 2024</v>
      </c>
      <c r="P980" s="23">
        <f>VLOOKUP(D980,Products!$A:$F,4,FALSE)</f>
        <v>1143</v>
      </c>
      <c r="Q980" s="35">
        <f t="shared" si="47"/>
        <v>0.43694581280788175</v>
      </c>
    </row>
    <row r="981" spans="1:17">
      <c r="A981" s="12" t="s">
        <v>1480</v>
      </c>
      <c r="B981" s="13">
        <v>45399</v>
      </c>
      <c r="C981" s="12" t="s">
        <v>580</v>
      </c>
      <c r="D981" s="12" t="s">
        <v>469</v>
      </c>
      <c r="E981" s="12" t="s">
        <v>221</v>
      </c>
      <c r="F981" s="14">
        <v>7</v>
      </c>
      <c r="G981" s="14">
        <v>3450</v>
      </c>
      <c r="H981" s="14">
        <v>28.2</v>
      </c>
      <c r="I981" s="14">
        <v>17339.7</v>
      </c>
      <c r="J981" s="12" t="s">
        <v>104</v>
      </c>
      <c r="K981" s="12" t="s">
        <v>105</v>
      </c>
      <c r="L981" s="23" t="str">
        <f>VLOOKUP(D981,Products!$A:$F,3,FALSE)</f>
        <v>Apparel</v>
      </c>
      <c r="M981" s="23" t="str">
        <f>VLOOKUP(E981,Sales_Reps!$A:$E,3,FALSE)</f>
        <v>South</v>
      </c>
      <c r="N981" s="23" t="str">
        <f t="shared" si="45"/>
        <v>Apr-24</v>
      </c>
      <c r="O981" s="23" t="str">
        <f t="shared" si="46"/>
        <v>Q2 2024</v>
      </c>
      <c r="P981" s="23">
        <f>VLOOKUP(D981,Products!$A:$F,4,FALSE)</f>
        <v>1748</v>
      </c>
      <c r="Q981" s="35">
        <f t="shared" si="47"/>
        <v>0.49333333333333335</v>
      </c>
    </row>
    <row r="982" spans="1:17">
      <c r="A982" s="12" t="s">
        <v>1481</v>
      </c>
      <c r="B982" s="13">
        <v>45531</v>
      </c>
      <c r="C982" s="12" t="s">
        <v>502</v>
      </c>
      <c r="D982" s="12" t="s">
        <v>251</v>
      </c>
      <c r="E982" s="12" t="s">
        <v>290</v>
      </c>
      <c r="F982" s="14">
        <v>7</v>
      </c>
      <c r="G982" s="14">
        <v>3780</v>
      </c>
      <c r="H982" s="14">
        <v>15.1</v>
      </c>
      <c r="I982" s="14">
        <v>22464.54</v>
      </c>
      <c r="J982" s="12" t="s">
        <v>104</v>
      </c>
      <c r="K982" s="12" t="s">
        <v>105</v>
      </c>
      <c r="L982" s="23" t="str">
        <f>VLOOKUP(D982,Products!$A:$F,3,FALSE)</f>
        <v>Grocery</v>
      </c>
      <c r="M982" s="23" t="str">
        <f>VLOOKUP(E982,Sales_Reps!$A:$E,3,FALSE)</f>
        <v>South</v>
      </c>
      <c r="N982" s="23" t="str">
        <f t="shared" si="45"/>
        <v>Aug-24</v>
      </c>
      <c r="O982" s="23" t="str">
        <f t="shared" si="46"/>
        <v>Q3 2024</v>
      </c>
      <c r="P982" s="23">
        <f>VLOOKUP(D982,Products!$A:$F,4,FALSE)</f>
        <v>2436</v>
      </c>
      <c r="Q982" s="35">
        <f t="shared" si="47"/>
        <v>0.35555555555555557</v>
      </c>
    </row>
    <row r="983" spans="1:17">
      <c r="A983" s="12" t="s">
        <v>1444</v>
      </c>
      <c r="B983" s="13">
        <v>45417</v>
      </c>
      <c r="C983" s="12" t="s">
        <v>189</v>
      </c>
      <c r="D983" s="12" t="s">
        <v>217</v>
      </c>
      <c r="E983" s="12" t="s">
        <v>314</v>
      </c>
      <c r="F983" s="14">
        <v>4</v>
      </c>
      <c r="G983" s="14">
        <v>2760</v>
      </c>
      <c r="H983" s="14">
        <v>14.8</v>
      </c>
      <c r="I983" s="14">
        <v>9406.08</v>
      </c>
      <c r="J983" s="12" t="s">
        <v>104</v>
      </c>
      <c r="K983" s="12" t="s">
        <v>105</v>
      </c>
      <c r="L983" s="23" t="str">
        <f>VLOOKUP(D983,Products!$A:$F,3,FALSE)</f>
        <v>Grocery</v>
      </c>
      <c r="M983" s="23" t="str">
        <f>VLOOKUP(E983,Sales_Reps!$A:$E,3,FALSE)</f>
        <v>North</v>
      </c>
      <c r="N983" s="23" t="str">
        <f t="shared" si="45"/>
        <v>May-24</v>
      </c>
      <c r="O983" s="23" t="str">
        <f t="shared" si="46"/>
        <v>Q2 2024</v>
      </c>
      <c r="P983" s="23">
        <f>VLOOKUP(D983,Products!$A:$F,4,FALSE)</f>
        <v>1435</v>
      </c>
      <c r="Q983" s="35">
        <f t="shared" si="47"/>
        <v>0.48007246376811596</v>
      </c>
    </row>
    <row r="984" spans="1:17">
      <c r="A984" s="12" t="s">
        <v>1482</v>
      </c>
      <c r="B984" s="13">
        <v>45327</v>
      </c>
      <c r="C984" s="12" t="s">
        <v>802</v>
      </c>
      <c r="D984" s="12" t="s">
        <v>276</v>
      </c>
      <c r="E984" s="12" t="s">
        <v>246</v>
      </c>
      <c r="F984" s="14">
        <v>4</v>
      </c>
      <c r="G984" s="14">
        <v>1540</v>
      </c>
      <c r="H984" s="14">
        <v>13.9</v>
      </c>
      <c r="I984" s="14">
        <v>5303.76</v>
      </c>
      <c r="J984" s="12" t="s">
        <v>104</v>
      </c>
      <c r="K984" s="12" t="s">
        <v>105</v>
      </c>
      <c r="L984" s="23" t="str">
        <f>VLOOKUP(D984,Products!$A:$F,3,FALSE)</f>
        <v>Beauty</v>
      </c>
      <c r="M984" s="23" t="str">
        <f>VLOOKUP(E984,Sales_Reps!$A:$E,3,FALSE)</f>
        <v>West</v>
      </c>
      <c r="N984" s="23" t="str">
        <f t="shared" si="45"/>
        <v>Feb-24</v>
      </c>
      <c r="O984" s="23" t="str">
        <f t="shared" si="46"/>
        <v>Q1 2024</v>
      </c>
      <c r="P984" s="23">
        <f>VLOOKUP(D984,Products!$A:$F,4,FALSE)</f>
        <v>647</v>
      </c>
      <c r="Q984" s="35">
        <f t="shared" si="47"/>
        <v>0.57987012987012987</v>
      </c>
    </row>
    <row r="985" spans="1:17">
      <c r="A985" s="12" t="s">
        <v>1483</v>
      </c>
      <c r="B985" s="13">
        <v>45438</v>
      </c>
      <c r="C985" s="12" t="s">
        <v>796</v>
      </c>
      <c r="D985" s="12" t="s">
        <v>243</v>
      </c>
      <c r="E985" s="12" t="s">
        <v>103</v>
      </c>
      <c r="F985" s="14">
        <v>2</v>
      </c>
      <c r="G985" s="14">
        <v>3730</v>
      </c>
      <c r="H985" s="14">
        <v>15.7</v>
      </c>
      <c r="I985" s="14">
        <v>6288.78</v>
      </c>
      <c r="J985" s="12" t="s">
        <v>157</v>
      </c>
      <c r="K985" s="12" t="s">
        <v>134</v>
      </c>
      <c r="L985" s="23" t="str">
        <f>VLOOKUP(D985,Products!$A:$F,3,FALSE)</f>
        <v>Home</v>
      </c>
      <c r="M985" s="23" t="str">
        <f>VLOOKUP(E985,Sales_Reps!$A:$E,3,FALSE)</f>
        <v>North</v>
      </c>
      <c r="N985" s="23" t="str">
        <f t="shared" si="45"/>
        <v>May-24</v>
      </c>
      <c r="O985" s="23" t="str">
        <f t="shared" si="46"/>
        <v>Q2 2024</v>
      </c>
      <c r="P985" s="23">
        <f>VLOOKUP(D985,Products!$A:$F,4,FALSE)</f>
        <v>2135</v>
      </c>
      <c r="Q985" s="35">
        <f t="shared" si="47"/>
        <v>0.42761394101876676</v>
      </c>
    </row>
    <row r="986" spans="1:17">
      <c r="A986" s="12" t="s">
        <v>1484</v>
      </c>
      <c r="B986" s="13">
        <v>45577</v>
      </c>
      <c r="C986" s="12" t="s">
        <v>852</v>
      </c>
      <c r="D986" s="12" t="s">
        <v>243</v>
      </c>
      <c r="E986" s="12" t="s">
        <v>360</v>
      </c>
      <c r="F986" s="14">
        <v>4</v>
      </c>
      <c r="G986" s="14">
        <v>3730</v>
      </c>
      <c r="H986" s="14">
        <v>2.1</v>
      </c>
      <c r="I986" s="14">
        <v>14606.68</v>
      </c>
      <c r="J986" s="12" t="s">
        <v>104</v>
      </c>
      <c r="K986" s="12" t="s">
        <v>134</v>
      </c>
      <c r="L986" s="23" t="str">
        <f>VLOOKUP(D986,Products!$A:$F,3,FALSE)</f>
        <v>Home</v>
      </c>
      <c r="M986" s="23" t="str">
        <f>VLOOKUP(E986,Sales_Reps!$A:$E,3,FALSE)</f>
        <v>West</v>
      </c>
      <c r="N986" s="23" t="str">
        <f t="shared" si="45"/>
        <v>Oct-24</v>
      </c>
      <c r="O986" s="23" t="str">
        <f t="shared" si="46"/>
        <v>Q4 2024</v>
      </c>
      <c r="P986" s="23">
        <f>VLOOKUP(D986,Products!$A:$F,4,FALSE)</f>
        <v>2135</v>
      </c>
      <c r="Q986" s="35">
        <f t="shared" si="47"/>
        <v>0.42761394101876676</v>
      </c>
    </row>
    <row r="987" spans="1:17">
      <c r="A987" s="12" t="s">
        <v>1485</v>
      </c>
      <c r="B987" s="13">
        <v>45457</v>
      </c>
      <c r="C987" s="12" t="s">
        <v>576</v>
      </c>
      <c r="D987" s="12" t="s">
        <v>123</v>
      </c>
      <c r="E987" s="12" t="s">
        <v>269</v>
      </c>
      <c r="F987" s="14">
        <v>1</v>
      </c>
      <c r="G987" s="14">
        <v>3160</v>
      </c>
      <c r="H987" s="14">
        <v>29.8</v>
      </c>
      <c r="I987" s="14">
        <v>2218.3200000000002</v>
      </c>
      <c r="J987" s="12" t="s">
        <v>104</v>
      </c>
      <c r="K987" s="12" t="s">
        <v>105</v>
      </c>
      <c r="L987" s="23" t="str">
        <f>VLOOKUP(D987,Products!$A:$F,3,FALSE)</f>
        <v>Apparel</v>
      </c>
      <c r="M987" s="23" t="str">
        <f>VLOOKUP(E987,Sales_Reps!$A:$E,3,FALSE)</f>
        <v>South</v>
      </c>
      <c r="N987" s="23" t="str">
        <f t="shared" si="45"/>
        <v>Jun-24</v>
      </c>
      <c r="O987" s="23" t="str">
        <f t="shared" si="46"/>
        <v>Q2 2024</v>
      </c>
      <c r="P987" s="23">
        <f>VLOOKUP(D987,Products!$A:$F,4,FALSE)</f>
        <v>1886</v>
      </c>
      <c r="Q987" s="35">
        <f t="shared" si="47"/>
        <v>0.4031645569620253</v>
      </c>
    </row>
    <row r="988" spans="1:17">
      <c r="A988" s="12" t="s">
        <v>1486</v>
      </c>
      <c r="B988" s="13">
        <v>45544</v>
      </c>
      <c r="C988" s="12" t="s">
        <v>632</v>
      </c>
      <c r="D988" s="12" t="s">
        <v>403</v>
      </c>
      <c r="E988" s="12" t="s">
        <v>302</v>
      </c>
      <c r="F988" s="14">
        <v>9</v>
      </c>
      <c r="G988" s="14">
        <v>2290</v>
      </c>
      <c r="H988" s="14">
        <v>8.3000000000000007</v>
      </c>
      <c r="I988" s="14">
        <v>18899.37</v>
      </c>
      <c r="J988" s="12" t="s">
        <v>110</v>
      </c>
      <c r="K988" s="12" t="s">
        <v>129</v>
      </c>
      <c r="L988" s="23" t="str">
        <f>VLOOKUP(D988,Products!$A:$F,3,FALSE)</f>
        <v>Beauty</v>
      </c>
      <c r="M988" s="23" t="str">
        <f>VLOOKUP(E988,Sales_Reps!$A:$E,3,FALSE)</f>
        <v>East</v>
      </c>
      <c r="N988" s="23" t="str">
        <f t="shared" si="45"/>
        <v>Sep-24</v>
      </c>
      <c r="O988" s="23" t="str">
        <f t="shared" si="46"/>
        <v>Q3 2024</v>
      </c>
      <c r="P988" s="23">
        <f>VLOOKUP(D988,Products!$A:$F,4,FALSE)</f>
        <v>1219</v>
      </c>
      <c r="Q988" s="35">
        <f t="shared" si="47"/>
        <v>0.46768558951965067</v>
      </c>
    </row>
    <row r="989" spans="1:17">
      <c r="A989" s="12" t="s">
        <v>1487</v>
      </c>
      <c r="B989" s="13">
        <v>45632</v>
      </c>
      <c r="C989" s="12" t="s">
        <v>444</v>
      </c>
      <c r="D989" s="12" t="s">
        <v>265</v>
      </c>
      <c r="E989" s="12" t="s">
        <v>269</v>
      </c>
      <c r="F989" s="14">
        <v>2</v>
      </c>
      <c r="G989" s="14">
        <v>3870</v>
      </c>
      <c r="H989" s="14">
        <v>5.2</v>
      </c>
      <c r="I989" s="14">
        <v>7337.52</v>
      </c>
      <c r="J989" s="12" t="s">
        <v>104</v>
      </c>
      <c r="K989" s="12" t="s">
        <v>105</v>
      </c>
      <c r="L989" s="23" t="str">
        <f>VLOOKUP(D989,Products!$A:$F,3,FALSE)</f>
        <v>Electronics</v>
      </c>
      <c r="M989" s="23" t="str">
        <f>VLOOKUP(E989,Sales_Reps!$A:$E,3,FALSE)</f>
        <v>South</v>
      </c>
      <c r="N989" s="23" t="str">
        <f t="shared" si="45"/>
        <v>Dec-24</v>
      </c>
      <c r="O989" s="23" t="str">
        <f t="shared" si="46"/>
        <v>Q4 2024</v>
      </c>
      <c r="P989" s="23">
        <f>VLOOKUP(D989,Products!$A:$F,4,FALSE)</f>
        <v>1559</v>
      </c>
      <c r="Q989" s="35">
        <f t="shared" si="47"/>
        <v>0.59715762273901807</v>
      </c>
    </row>
    <row r="990" spans="1:17">
      <c r="A990" s="12" t="s">
        <v>1488</v>
      </c>
      <c r="B990" s="13">
        <v>45465</v>
      </c>
      <c r="C990" s="12" t="s">
        <v>446</v>
      </c>
      <c r="D990" s="12" t="s">
        <v>204</v>
      </c>
      <c r="E990" s="12" t="s">
        <v>103</v>
      </c>
      <c r="F990" s="14">
        <v>5</v>
      </c>
      <c r="G990" s="14">
        <v>3570</v>
      </c>
      <c r="H990" s="14">
        <v>19.899999999999999</v>
      </c>
      <c r="I990" s="14">
        <v>14297.85</v>
      </c>
      <c r="J990" s="12" t="s">
        <v>104</v>
      </c>
      <c r="K990" s="12" t="s">
        <v>134</v>
      </c>
      <c r="L990" s="23" t="str">
        <f>VLOOKUP(D990,Products!$A:$F,3,FALSE)</f>
        <v>Electronics</v>
      </c>
      <c r="M990" s="23" t="str">
        <f>VLOOKUP(E990,Sales_Reps!$A:$E,3,FALSE)</f>
        <v>North</v>
      </c>
      <c r="N990" s="23" t="str">
        <f t="shared" si="45"/>
        <v>Jun-24</v>
      </c>
      <c r="O990" s="23" t="str">
        <f t="shared" si="46"/>
        <v>Q2 2024</v>
      </c>
      <c r="P990" s="23">
        <f>VLOOKUP(D990,Products!$A:$F,4,FALSE)</f>
        <v>1665</v>
      </c>
      <c r="Q990" s="35">
        <f t="shared" si="47"/>
        <v>0.53361344537815125</v>
      </c>
    </row>
    <row r="991" spans="1:17">
      <c r="A991" s="12" t="s">
        <v>1489</v>
      </c>
      <c r="B991" s="13">
        <v>45342</v>
      </c>
      <c r="C991" s="12" t="s">
        <v>306</v>
      </c>
      <c r="D991" s="12" t="s">
        <v>199</v>
      </c>
      <c r="E991" s="12" t="s">
        <v>232</v>
      </c>
      <c r="F991" s="14">
        <v>5</v>
      </c>
      <c r="G991" s="14">
        <v>1010</v>
      </c>
      <c r="H991" s="14">
        <v>2.2000000000000002</v>
      </c>
      <c r="I991" s="14">
        <v>4938.8999999999996</v>
      </c>
      <c r="J991" s="12" t="s">
        <v>104</v>
      </c>
      <c r="K991" s="12" t="s">
        <v>111</v>
      </c>
      <c r="L991" s="23" t="str">
        <f>VLOOKUP(D991,Products!$A:$F,3,FALSE)</f>
        <v>Sports</v>
      </c>
      <c r="M991" s="23" t="str">
        <f>VLOOKUP(E991,Sales_Reps!$A:$E,3,FALSE)</f>
        <v>North</v>
      </c>
      <c r="N991" s="23" t="str">
        <f t="shared" si="45"/>
        <v>Feb-24</v>
      </c>
      <c r="O991" s="23" t="str">
        <f t="shared" si="46"/>
        <v>Q1 2024</v>
      </c>
      <c r="P991" s="23">
        <f>VLOOKUP(D991,Products!$A:$F,4,FALSE)</f>
        <v>516</v>
      </c>
      <c r="Q991" s="35">
        <f t="shared" si="47"/>
        <v>0.4891089108910891</v>
      </c>
    </row>
    <row r="992" spans="1:17">
      <c r="A992" s="12" t="s">
        <v>1490</v>
      </c>
      <c r="B992" s="13">
        <v>45309</v>
      </c>
      <c r="C992" s="12" t="s">
        <v>379</v>
      </c>
      <c r="D992" s="12" t="s">
        <v>403</v>
      </c>
      <c r="E992" s="12" t="s">
        <v>156</v>
      </c>
      <c r="F992" s="14">
        <v>10</v>
      </c>
      <c r="G992" s="14">
        <v>2290</v>
      </c>
      <c r="H992" s="14">
        <v>16.8</v>
      </c>
      <c r="I992" s="14">
        <v>19052.8</v>
      </c>
      <c r="J992" s="12" t="s">
        <v>157</v>
      </c>
      <c r="K992" s="12" t="s">
        <v>111</v>
      </c>
      <c r="L992" s="23" t="str">
        <f>VLOOKUP(D992,Products!$A:$F,3,FALSE)</f>
        <v>Beauty</v>
      </c>
      <c r="M992" s="23" t="str">
        <f>VLOOKUP(E992,Sales_Reps!$A:$E,3,FALSE)</f>
        <v>North</v>
      </c>
      <c r="N992" s="23" t="str">
        <f t="shared" si="45"/>
        <v>Jan-24</v>
      </c>
      <c r="O992" s="23" t="str">
        <f t="shared" si="46"/>
        <v>Q1 2024</v>
      </c>
      <c r="P992" s="23">
        <f>VLOOKUP(D992,Products!$A:$F,4,FALSE)</f>
        <v>1219</v>
      </c>
      <c r="Q992" s="35">
        <f t="shared" si="47"/>
        <v>0.46768558951965067</v>
      </c>
    </row>
    <row r="993" spans="1:17">
      <c r="A993" s="12" t="s">
        <v>1491</v>
      </c>
      <c r="B993" s="13">
        <v>45493</v>
      </c>
      <c r="C993" s="12" t="s">
        <v>499</v>
      </c>
      <c r="D993" s="12" t="s">
        <v>287</v>
      </c>
      <c r="E993" s="12" t="s">
        <v>138</v>
      </c>
      <c r="F993" s="14">
        <v>3</v>
      </c>
      <c r="G993" s="14">
        <v>4610</v>
      </c>
      <c r="H993" s="14">
        <v>13.2</v>
      </c>
      <c r="I993" s="14">
        <v>12004.44</v>
      </c>
      <c r="J993" s="12" t="s">
        <v>110</v>
      </c>
      <c r="K993" s="12" t="s">
        <v>150</v>
      </c>
      <c r="L993" s="23" t="str">
        <f>VLOOKUP(D993,Products!$A:$F,3,FALSE)</f>
        <v>Home</v>
      </c>
      <c r="M993" s="23" t="str">
        <f>VLOOKUP(E993,Sales_Reps!$A:$E,3,FALSE)</f>
        <v>East</v>
      </c>
      <c r="N993" s="23" t="str">
        <f t="shared" si="45"/>
        <v>Jul-24</v>
      </c>
      <c r="O993" s="23" t="str">
        <f t="shared" si="46"/>
        <v>Q3 2024</v>
      </c>
      <c r="P993" s="23">
        <f>VLOOKUP(D993,Products!$A:$F,4,FALSE)</f>
        <v>1850</v>
      </c>
      <c r="Q993" s="35">
        <f t="shared" si="47"/>
        <v>0.59869848156182215</v>
      </c>
    </row>
    <row r="994" spans="1:17">
      <c r="A994" s="12" t="s">
        <v>1492</v>
      </c>
      <c r="B994" s="13">
        <v>45356</v>
      </c>
      <c r="C994" s="12" t="s">
        <v>477</v>
      </c>
      <c r="D994" s="12" t="s">
        <v>372</v>
      </c>
      <c r="E994" s="12" t="s">
        <v>165</v>
      </c>
      <c r="F994" s="14">
        <v>1</v>
      </c>
      <c r="G994" s="14">
        <v>2510</v>
      </c>
      <c r="H994" s="14">
        <v>16.899999999999999</v>
      </c>
      <c r="I994" s="14">
        <v>2085.81</v>
      </c>
      <c r="J994" s="12" t="s">
        <v>104</v>
      </c>
      <c r="K994" s="12" t="s">
        <v>105</v>
      </c>
      <c r="L994" s="23" t="str">
        <f>VLOOKUP(D994,Products!$A:$F,3,FALSE)</f>
        <v>Apparel</v>
      </c>
      <c r="M994" s="23" t="str">
        <f>VLOOKUP(E994,Sales_Reps!$A:$E,3,FALSE)</f>
        <v>North</v>
      </c>
      <c r="N994" s="23" t="str">
        <f t="shared" si="45"/>
        <v>Mar-24</v>
      </c>
      <c r="O994" s="23" t="str">
        <f t="shared" si="46"/>
        <v>Q1 2024</v>
      </c>
      <c r="P994" s="23">
        <f>VLOOKUP(D994,Products!$A:$F,4,FALSE)</f>
        <v>1075</v>
      </c>
      <c r="Q994" s="35">
        <f t="shared" si="47"/>
        <v>0.57171314741035861</v>
      </c>
    </row>
    <row r="995" spans="1:17">
      <c r="A995" s="12" t="s">
        <v>1493</v>
      </c>
      <c r="B995" s="13">
        <v>45367</v>
      </c>
      <c r="C995" s="12" t="s">
        <v>660</v>
      </c>
      <c r="D995" s="12" t="s">
        <v>293</v>
      </c>
      <c r="E995" s="12" t="s">
        <v>221</v>
      </c>
      <c r="F995" s="14">
        <v>1</v>
      </c>
      <c r="G995" s="14">
        <v>3020</v>
      </c>
      <c r="H995" s="14">
        <v>26.7</v>
      </c>
      <c r="I995" s="14">
        <v>2213.66</v>
      </c>
      <c r="J995" s="12" t="s">
        <v>104</v>
      </c>
      <c r="K995" s="12" t="s">
        <v>129</v>
      </c>
      <c r="L995" s="23" t="str">
        <f>VLOOKUP(D995,Products!$A:$F,3,FALSE)</f>
        <v>Beauty</v>
      </c>
      <c r="M995" s="23" t="str">
        <f>VLOOKUP(E995,Sales_Reps!$A:$E,3,FALSE)</f>
        <v>South</v>
      </c>
      <c r="N995" s="23" t="str">
        <f t="shared" si="45"/>
        <v>Mar-24</v>
      </c>
      <c r="O995" s="23" t="str">
        <f t="shared" si="46"/>
        <v>Q1 2024</v>
      </c>
      <c r="P995" s="23">
        <f>VLOOKUP(D995,Products!$A:$F,4,FALSE)</f>
        <v>1626</v>
      </c>
      <c r="Q995" s="35">
        <f t="shared" si="47"/>
        <v>0.46158940397350995</v>
      </c>
    </row>
    <row r="996" spans="1:17">
      <c r="A996" s="12" t="s">
        <v>1494</v>
      </c>
      <c r="B996" s="13">
        <v>45313</v>
      </c>
      <c r="C996" s="12" t="s">
        <v>576</v>
      </c>
      <c r="D996" s="12" t="s">
        <v>164</v>
      </c>
      <c r="E996" s="12" t="s">
        <v>342</v>
      </c>
      <c r="F996" s="14">
        <v>6</v>
      </c>
      <c r="G996" s="14">
        <v>190</v>
      </c>
      <c r="H996" s="14">
        <v>7.1</v>
      </c>
      <c r="I996" s="14">
        <v>1059.06</v>
      </c>
      <c r="J996" s="12" t="s">
        <v>104</v>
      </c>
      <c r="K996" s="12" t="s">
        <v>105</v>
      </c>
      <c r="L996" s="23" t="str">
        <f>VLOOKUP(D996,Products!$A:$F,3,FALSE)</f>
        <v>Sports</v>
      </c>
      <c r="M996" s="23" t="str">
        <f>VLOOKUP(E996,Sales_Reps!$A:$E,3,FALSE)</f>
        <v>South</v>
      </c>
      <c r="N996" s="23" t="str">
        <f t="shared" si="45"/>
        <v>Jan-24</v>
      </c>
      <c r="O996" s="23" t="str">
        <f t="shared" si="46"/>
        <v>Q1 2024</v>
      </c>
      <c r="P996" s="23">
        <f>VLOOKUP(D996,Products!$A:$F,4,FALSE)</f>
        <v>147</v>
      </c>
      <c r="Q996" s="35">
        <f t="shared" si="47"/>
        <v>0.22631578947368422</v>
      </c>
    </row>
    <row r="997" spans="1:17">
      <c r="A997" s="12" t="s">
        <v>1495</v>
      </c>
      <c r="B997" s="13">
        <v>45529</v>
      </c>
      <c r="C997" s="12" t="s">
        <v>1208</v>
      </c>
      <c r="D997" s="12" t="s">
        <v>312</v>
      </c>
      <c r="E997" s="12" t="s">
        <v>314</v>
      </c>
      <c r="F997" s="14">
        <v>6</v>
      </c>
      <c r="G997" s="14">
        <v>2030</v>
      </c>
      <c r="H997" s="14">
        <v>13.5</v>
      </c>
      <c r="I997" s="14">
        <v>10535.7</v>
      </c>
      <c r="J997" s="12" t="s">
        <v>157</v>
      </c>
      <c r="K997" s="12" t="s">
        <v>134</v>
      </c>
      <c r="L997" s="23" t="str">
        <f>VLOOKUP(D997,Products!$A:$F,3,FALSE)</f>
        <v>Home</v>
      </c>
      <c r="M997" s="23" t="str">
        <f>VLOOKUP(E997,Sales_Reps!$A:$E,3,FALSE)</f>
        <v>North</v>
      </c>
      <c r="N997" s="23" t="str">
        <f t="shared" si="45"/>
        <v>Aug-24</v>
      </c>
      <c r="O997" s="23" t="str">
        <f t="shared" si="46"/>
        <v>Q3 2024</v>
      </c>
      <c r="P997" s="23">
        <f>VLOOKUP(D997,Products!$A:$F,4,FALSE)</f>
        <v>1143</v>
      </c>
      <c r="Q997" s="35">
        <f t="shared" si="47"/>
        <v>0.43694581280788175</v>
      </c>
    </row>
    <row r="998" spans="1:17">
      <c r="A998" s="12" t="s">
        <v>1496</v>
      </c>
      <c r="B998" s="13">
        <v>45547</v>
      </c>
      <c r="C998" s="12" t="s">
        <v>845</v>
      </c>
      <c r="D998" s="12" t="s">
        <v>160</v>
      </c>
      <c r="E998" s="12" t="s">
        <v>342</v>
      </c>
      <c r="F998" s="14">
        <v>10</v>
      </c>
      <c r="G998" s="14">
        <v>3250</v>
      </c>
      <c r="H998" s="14">
        <v>8.6999999999999993</v>
      </c>
      <c r="I998" s="14">
        <v>29672.5</v>
      </c>
      <c r="J998" s="12" t="s">
        <v>104</v>
      </c>
      <c r="K998" s="12" t="s">
        <v>150</v>
      </c>
      <c r="L998" s="23" t="str">
        <f>VLOOKUP(D998,Products!$A:$F,3,FALSE)</f>
        <v>Home</v>
      </c>
      <c r="M998" s="23" t="str">
        <f>VLOOKUP(E998,Sales_Reps!$A:$E,3,FALSE)</f>
        <v>South</v>
      </c>
      <c r="N998" s="23" t="str">
        <f t="shared" si="45"/>
        <v>Sep-24</v>
      </c>
      <c r="O998" s="23" t="str">
        <f t="shared" si="46"/>
        <v>Q3 2024</v>
      </c>
      <c r="P998" s="23">
        <f>VLOOKUP(D998,Products!$A:$F,4,FALSE)</f>
        <v>1556</v>
      </c>
      <c r="Q998" s="35">
        <f t="shared" si="47"/>
        <v>0.52123076923076928</v>
      </c>
    </row>
    <row r="999" spans="1:17">
      <c r="A999" s="12" t="s">
        <v>1497</v>
      </c>
      <c r="B999" s="13">
        <v>45299</v>
      </c>
      <c r="C999" s="12" t="s">
        <v>459</v>
      </c>
      <c r="D999" s="12" t="s">
        <v>312</v>
      </c>
      <c r="E999" s="12" t="s">
        <v>246</v>
      </c>
      <c r="F999" s="14">
        <v>9</v>
      </c>
      <c r="G999" s="14">
        <v>2030</v>
      </c>
      <c r="H999" s="14">
        <v>29.3</v>
      </c>
      <c r="I999" s="14">
        <v>12916.89</v>
      </c>
      <c r="J999" s="12" t="s">
        <v>104</v>
      </c>
      <c r="K999" s="12" t="s">
        <v>105</v>
      </c>
      <c r="L999" s="23" t="str">
        <f>VLOOKUP(D999,Products!$A:$F,3,FALSE)</f>
        <v>Home</v>
      </c>
      <c r="M999" s="23" t="str">
        <f>VLOOKUP(E999,Sales_Reps!$A:$E,3,FALSE)</f>
        <v>West</v>
      </c>
      <c r="N999" s="23" t="str">
        <f t="shared" si="45"/>
        <v>Jan-24</v>
      </c>
      <c r="O999" s="23" t="str">
        <f t="shared" si="46"/>
        <v>Q1 2024</v>
      </c>
      <c r="P999" s="23">
        <f>VLOOKUP(D999,Products!$A:$F,4,FALSE)</f>
        <v>1143</v>
      </c>
      <c r="Q999" s="35">
        <f t="shared" si="47"/>
        <v>0.43694581280788175</v>
      </c>
    </row>
    <row r="1000" spans="1:17">
      <c r="A1000" s="12" t="s">
        <v>1498</v>
      </c>
      <c r="B1000" s="13">
        <v>45380</v>
      </c>
      <c r="C1000" s="12" t="s">
        <v>1044</v>
      </c>
      <c r="D1000" s="12" t="s">
        <v>384</v>
      </c>
      <c r="E1000" s="12" t="s">
        <v>128</v>
      </c>
      <c r="F1000" s="14">
        <v>1</v>
      </c>
      <c r="G1000" s="14">
        <v>2380</v>
      </c>
      <c r="H1000" s="14">
        <v>12.9</v>
      </c>
      <c r="I1000" s="14">
        <v>2072.98</v>
      </c>
      <c r="J1000" s="12" t="s">
        <v>104</v>
      </c>
      <c r="K1000" s="12" t="s">
        <v>129</v>
      </c>
      <c r="L1000" s="23" t="str">
        <f>VLOOKUP(D1000,Products!$A:$F,3,FALSE)</f>
        <v>Grocery</v>
      </c>
      <c r="M1000" s="23" t="str">
        <f>VLOOKUP(E1000,Sales_Reps!$A:$E,3,FALSE)</f>
        <v>West</v>
      </c>
      <c r="N1000" s="23" t="str">
        <f t="shared" si="45"/>
        <v>Mar-24</v>
      </c>
      <c r="O1000" s="23" t="str">
        <f t="shared" si="46"/>
        <v>Q1 2024</v>
      </c>
      <c r="P1000" s="23">
        <f>VLOOKUP(D1000,Products!$A:$F,4,FALSE)</f>
        <v>1182</v>
      </c>
      <c r="Q1000" s="35">
        <f t="shared" si="47"/>
        <v>0.50336134453781511</v>
      </c>
    </row>
    <row r="1001" spans="1:17">
      <c r="A1001" s="12" t="s">
        <v>1499</v>
      </c>
      <c r="B1001" s="13">
        <v>45521</v>
      </c>
      <c r="C1001" s="12" t="s">
        <v>556</v>
      </c>
      <c r="D1001" s="12" t="s">
        <v>469</v>
      </c>
      <c r="E1001" s="12" t="s">
        <v>133</v>
      </c>
      <c r="F1001" s="14">
        <v>10</v>
      </c>
      <c r="G1001" s="14">
        <v>3450</v>
      </c>
      <c r="H1001" s="14">
        <v>18.5</v>
      </c>
      <c r="I1001" s="14">
        <v>28117.5</v>
      </c>
      <c r="J1001" s="12" t="s">
        <v>104</v>
      </c>
      <c r="K1001" s="12" t="s">
        <v>150</v>
      </c>
      <c r="L1001" s="23" t="str">
        <f>VLOOKUP(D1001,Products!$A:$F,3,FALSE)</f>
        <v>Apparel</v>
      </c>
      <c r="M1001" s="23" t="str">
        <f>VLOOKUP(E1001,Sales_Reps!$A:$E,3,FALSE)</f>
        <v>West</v>
      </c>
      <c r="N1001" s="23" t="str">
        <f t="shared" si="45"/>
        <v>Aug-24</v>
      </c>
      <c r="O1001" s="23" t="str">
        <f t="shared" si="46"/>
        <v>Q3 2024</v>
      </c>
      <c r="P1001" s="23">
        <f>VLOOKUP(D1001,Products!$A:$F,4,FALSE)</f>
        <v>1748</v>
      </c>
      <c r="Q1001" s="35">
        <f t="shared" si="47"/>
        <v>0.49333333333333335</v>
      </c>
    </row>
    <row r="1002" spans="1:17">
      <c r="A1002" s="12" t="s">
        <v>1500</v>
      </c>
      <c r="B1002" s="13">
        <v>45500</v>
      </c>
      <c r="C1002" s="12" t="s">
        <v>295</v>
      </c>
      <c r="D1002" s="12" t="s">
        <v>123</v>
      </c>
      <c r="E1002" s="12" t="s">
        <v>314</v>
      </c>
      <c r="F1002" s="14">
        <v>10</v>
      </c>
      <c r="G1002" s="14">
        <v>3160</v>
      </c>
      <c r="H1002" s="14">
        <v>26.3</v>
      </c>
      <c r="I1002" s="14">
        <v>23289.200000000001</v>
      </c>
      <c r="J1002" s="12" t="s">
        <v>104</v>
      </c>
      <c r="K1002" s="12" t="s">
        <v>150</v>
      </c>
      <c r="L1002" s="23" t="str">
        <f>VLOOKUP(D1002,Products!$A:$F,3,FALSE)</f>
        <v>Apparel</v>
      </c>
      <c r="M1002" s="23" t="str">
        <f>VLOOKUP(E1002,Sales_Reps!$A:$E,3,FALSE)</f>
        <v>North</v>
      </c>
      <c r="N1002" s="23" t="str">
        <f t="shared" si="45"/>
        <v>Jul-24</v>
      </c>
      <c r="O1002" s="23" t="str">
        <f t="shared" si="46"/>
        <v>Q3 2024</v>
      </c>
      <c r="P1002" s="23">
        <f>VLOOKUP(D1002,Products!$A:$F,4,FALSE)</f>
        <v>1886</v>
      </c>
      <c r="Q1002" s="35">
        <f t="shared" si="47"/>
        <v>0.4031645569620253</v>
      </c>
    </row>
    <row r="1003" spans="1:17">
      <c r="A1003" s="12" t="s">
        <v>1501</v>
      </c>
      <c r="B1003" s="13">
        <v>45531</v>
      </c>
      <c r="C1003" s="12" t="s">
        <v>370</v>
      </c>
      <c r="D1003" s="12" t="s">
        <v>141</v>
      </c>
      <c r="E1003" s="12" t="s">
        <v>218</v>
      </c>
      <c r="F1003" s="14">
        <v>10</v>
      </c>
      <c r="G1003" s="14">
        <v>5490</v>
      </c>
      <c r="H1003" s="14">
        <v>22.7</v>
      </c>
      <c r="I1003" s="14">
        <v>42437.7</v>
      </c>
      <c r="J1003" s="12" t="s">
        <v>104</v>
      </c>
      <c r="K1003" s="12" t="s">
        <v>111</v>
      </c>
      <c r="L1003" s="23" t="str">
        <f>VLOOKUP(D1003,Products!$A:$F,3,FALSE)</f>
        <v>Home</v>
      </c>
      <c r="M1003" s="23" t="str">
        <f>VLOOKUP(E1003,Sales_Reps!$A:$E,3,FALSE)</f>
        <v>West</v>
      </c>
      <c r="N1003" s="23" t="str">
        <f t="shared" si="45"/>
        <v>Aug-24</v>
      </c>
      <c r="O1003" s="23" t="str">
        <f t="shared" si="46"/>
        <v>Q3 2024</v>
      </c>
      <c r="P1003" s="23">
        <f>VLOOKUP(D1003,Products!$A:$F,4,FALSE)</f>
        <v>2549</v>
      </c>
      <c r="Q1003" s="35">
        <f t="shared" si="47"/>
        <v>0.53570127504553733</v>
      </c>
    </row>
    <row r="1004" spans="1:17">
      <c r="A1004" s="12" t="s">
        <v>1502</v>
      </c>
      <c r="B1004" s="13">
        <v>45563</v>
      </c>
      <c r="C1004" s="12" t="s">
        <v>717</v>
      </c>
      <c r="D1004" s="12" t="s">
        <v>212</v>
      </c>
      <c r="E1004" s="12" t="s">
        <v>120</v>
      </c>
      <c r="F1004" s="14">
        <v>8</v>
      </c>
      <c r="G1004" s="14">
        <v>2860</v>
      </c>
      <c r="H1004" s="14">
        <v>14.3</v>
      </c>
      <c r="I1004" s="14">
        <v>19608.16</v>
      </c>
      <c r="J1004" s="12" t="s">
        <v>104</v>
      </c>
      <c r="K1004" s="12" t="s">
        <v>111</v>
      </c>
      <c r="L1004" s="23" t="str">
        <f>VLOOKUP(D1004,Products!$A:$F,3,FALSE)</f>
        <v>Sports</v>
      </c>
      <c r="M1004" s="23" t="str">
        <f>VLOOKUP(E1004,Sales_Reps!$A:$E,3,FALSE)</f>
        <v>North</v>
      </c>
      <c r="N1004" s="23" t="str">
        <f t="shared" si="45"/>
        <v>Sep-24</v>
      </c>
      <c r="O1004" s="23" t="str">
        <f t="shared" si="46"/>
        <v>Q3 2024</v>
      </c>
      <c r="P1004" s="23">
        <f>VLOOKUP(D1004,Products!$A:$F,4,FALSE)</f>
        <v>2028</v>
      </c>
      <c r="Q1004" s="35">
        <f t="shared" si="47"/>
        <v>0.29090909090909089</v>
      </c>
    </row>
    <row r="1005" spans="1:17">
      <c r="A1005" s="12" t="s">
        <v>1503</v>
      </c>
      <c r="B1005" s="13">
        <v>45416</v>
      </c>
      <c r="C1005" s="12" t="s">
        <v>264</v>
      </c>
      <c r="D1005" s="12" t="s">
        <v>397</v>
      </c>
      <c r="E1005" s="12" t="s">
        <v>290</v>
      </c>
      <c r="F1005" s="14">
        <v>1</v>
      </c>
      <c r="G1005" s="14">
        <v>960</v>
      </c>
      <c r="H1005" s="14">
        <v>11.9</v>
      </c>
      <c r="I1005" s="14">
        <v>845.76</v>
      </c>
      <c r="J1005" s="12" t="s">
        <v>104</v>
      </c>
      <c r="K1005" s="12" t="s">
        <v>134</v>
      </c>
      <c r="L1005" s="23" t="str">
        <f>VLOOKUP(D1005,Products!$A:$F,3,FALSE)</f>
        <v>Beauty</v>
      </c>
      <c r="M1005" s="23" t="str">
        <f>VLOOKUP(E1005,Sales_Reps!$A:$E,3,FALSE)</f>
        <v>South</v>
      </c>
      <c r="N1005" s="23" t="str">
        <f t="shared" si="45"/>
        <v>May-24</v>
      </c>
      <c r="O1005" s="23" t="str">
        <f t="shared" si="46"/>
        <v>Q2 2024</v>
      </c>
      <c r="P1005" s="23">
        <f>VLOOKUP(D1005,Products!$A:$F,4,FALSE)</f>
        <v>675</v>
      </c>
      <c r="Q1005" s="35">
        <f t="shared" si="47"/>
        <v>0.296875</v>
      </c>
    </row>
    <row r="1006" spans="1:17">
      <c r="A1006" s="12" t="s">
        <v>1504</v>
      </c>
      <c r="B1006" s="13">
        <v>45430</v>
      </c>
      <c r="C1006" s="12" t="s">
        <v>769</v>
      </c>
      <c r="D1006" s="12" t="s">
        <v>181</v>
      </c>
      <c r="E1006" s="12" t="s">
        <v>103</v>
      </c>
      <c r="F1006" s="14">
        <v>3</v>
      </c>
      <c r="G1006" s="14">
        <v>1080</v>
      </c>
      <c r="H1006" s="14">
        <v>26</v>
      </c>
      <c r="I1006" s="14">
        <v>2397.6</v>
      </c>
      <c r="J1006" s="12" t="s">
        <v>104</v>
      </c>
      <c r="K1006" s="12" t="s">
        <v>134</v>
      </c>
      <c r="L1006" s="23" t="str">
        <f>VLOOKUP(D1006,Products!$A:$F,3,FALSE)</f>
        <v>Home</v>
      </c>
      <c r="M1006" s="23" t="str">
        <f>VLOOKUP(E1006,Sales_Reps!$A:$E,3,FALSE)</f>
        <v>North</v>
      </c>
      <c r="N1006" s="23" t="str">
        <f t="shared" si="45"/>
        <v>May-24</v>
      </c>
      <c r="O1006" s="23" t="str">
        <f t="shared" si="46"/>
        <v>Q2 2024</v>
      </c>
      <c r="P1006" s="23">
        <f>VLOOKUP(D1006,Products!$A:$F,4,FALSE)</f>
        <v>519</v>
      </c>
      <c r="Q1006" s="35">
        <f t="shared" si="47"/>
        <v>0.51944444444444449</v>
      </c>
    </row>
    <row r="1007" spans="1:17">
      <c r="A1007" s="12" t="s">
        <v>1505</v>
      </c>
      <c r="B1007" s="13">
        <v>45585</v>
      </c>
      <c r="C1007" s="12" t="s">
        <v>407</v>
      </c>
      <c r="D1007" s="12" t="s">
        <v>212</v>
      </c>
      <c r="E1007" s="12" t="s">
        <v>232</v>
      </c>
      <c r="F1007" s="14">
        <v>10</v>
      </c>
      <c r="G1007" s="14">
        <v>2860</v>
      </c>
      <c r="H1007" s="14">
        <v>13.1</v>
      </c>
      <c r="I1007" s="14">
        <v>24853.4</v>
      </c>
      <c r="J1007" s="12" t="s">
        <v>161</v>
      </c>
      <c r="K1007" s="12" t="s">
        <v>105</v>
      </c>
      <c r="L1007" s="23" t="str">
        <f>VLOOKUP(D1007,Products!$A:$F,3,FALSE)</f>
        <v>Sports</v>
      </c>
      <c r="M1007" s="23" t="str">
        <f>VLOOKUP(E1007,Sales_Reps!$A:$E,3,FALSE)</f>
        <v>North</v>
      </c>
      <c r="N1007" s="23" t="str">
        <f t="shared" si="45"/>
        <v>Oct-24</v>
      </c>
      <c r="O1007" s="23" t="str">
        <f t="shared" si="46"/>
        <v>Q4 2024</v>
      </c>
      <c r="P1007" s="23">
        <f>VLOOKUP(D1007,Products!$A:$F,4,FALSE)</f>
        <v>2028</v>
      </c>
      <c r="Q1007" s="35">
        <f t="shared" si="47"/>
        <v>0.29090909090909089</v>
      </c>
    </row>
    <row r="1008" spans="1:17">
      <c r="A1008" s="12" t="s">
        <v>1506</v>
      </c>
      <c r="B1008" s="13">
        <v>45630</v>
      </c>
      <c r="C1008" s="12" t="s">
        <v>1378</v>
      </c>
      <c r="D1008" s="12" t="s">
        <v>254</v>
      </c>
      <c r="E1008" s="12" t="s">
        <v>232</v>
      </c>
      <c r="F1008" s="14">
        <v>3</v>
      </c>
      <c r="G1008" s="14">
        <v>3640</v>
      </c>
      <c r="H1008" s="14">
        <v>18.2</v>
      </c>
      <c r="I1008" s="14">
        <v>8932.56</v>
      </c>
      <c r="J1008" s="12" t="s">
        <v>104</v>
      </c>
      <c r="K1008" s="12" t="s">
        <v>111</v>
      </c>
      <c r="L1008" s="23" t="str">
        <f>VLOOKUP(D1008,Products!$A:$F,3,FALSE)</f>
        <v>Apparel</v>
      </c>
      <c r="M1008" s="23" t="str">
        <f>VLOOKUP(E1008,Sales_Reps!$A:$E,3,FALSE)</f>
        <v>North</v>
      </c>
      <c r="N1008" s="23" t="str">
        <f t="shared" si="45"/>
        <v>Dec-24</v>
      </c>
      <c r="O1008" s="23" t="str">
        <f t="shared" si="46"/>
        <v>Q4 2024</v>
      </c>
      <c r="P1008" s="23">
        <f>VLOOKUP(D1008,Products!$A:$F,4,FALSE)</f>
        <v>2611</v>
      </c>
      <c r="Q1008" s="35">
        <f t="shared" si="47"/>
        <v>0.28269230769230769</v>
      </c>
    </row>
    <row r="1009" spans="1:17">
      <c r="A1009" s="12" t="s">
        <v>1507</v>
      </c>
      <c r="B1009" s="13">
        <v>45405</v>
      </c>
      <c r="C1009" s="12" t="s">
        <v>223</v>
      </c>
      <c r="D1009" s="12" t="s">
        <v>190</v>
      </c>
      <c r="E1009" s="12" t="s">
        <v>320</v>
      </c>
      <c r="F1009" s="14">
        <v>3</v>
      </c>
      <c r="G1009" s="14">
        <v>2720</v>
      </c>
      <c r="H1009" s="14">
        <v>3.6</v>
      </c>
      <c r="I1009" s="14">
        <v>7866.24</v>
      </c>
      <c r="J1009" s="12" t="s">
        <v>104</v>
      </c>
      <c r="K1009" s="12" t="s">
        <v>150</v>
      </c>
      <c r="L1009" s="23" t="str">
        <f>VLOOKUP(D1009,Products!$A:$F,3,FALSE)</f>
        <v>Apparel</v>
      </c>
      <c r="M1009" s="23" t="str">
        <f>VLOOKUP(E1009,Sales_Reps!$A:$E,3,FALSE)</f>
        <v>East</v>
      </c>
      <c r="N1009" s="23" t="str">
        <f t="shared" si="45"/>
        <v>Apr-24</v>
      </c>
      <c r="O1009" s="23" t="str">
        <f t="shared" si="46"/>
        <v>Q2 2024</v>
      </c>
      <c r="P1009" s="23">
        <f>VLOOKUP(D1009,Products!$A:$F,4,FALSE)</f>
        <v>1962</v>
      </c>
      <c r="Q1009" s="35">
        <f t="shared" si="47"/>
        <v>0.2786764705882353</v>
      </c>
    </row>
    <row r="1010" spans="1:17">
      <c r="A1010" s="12" t="s">
        <v>1508</v>
      </c>
      <c r="B1010" s="13">
        <v>45630</v>
      </c>
      <c r="C1010" s="12" t="s">
        <v>554</v>
      </c>
      <c r="D1010" s="12" t="s">
        <v>148</v>
      </c>
      <c r="E1010" s="12" t="s">
        <v>124</v>
      </c>
      <c r="F1010" s="14">
        <v>4</v>
      </c>
      <c r="G1010" s="14">
        <v>2270</v>
      </c>
      <c r="H1010" s="14">
        <v>18.399999999999999</v>
      </c>
      <c r="I1010" s="14">
        <v>7409.28</v>
      </c>
      <c r="J1010" s="12" t="s">
        <v>104</v>
      </c>
      <c r="K1010" s="12" t="s">
        <v>150</v>
      </c>
      <c r="L1010" s="23" t="str">
        <f>VLOOKUP(D1010,Products!$A:$F,3,FALSE)</f>
        <v>Grocery</v>
      </c>
      <c r="M1010" s="23" t="str">
        <f>VLOOKUP(E1010,Sales_Reps!$A:$E,3,FALSE)</f>
        <v>North</v>
      </c>
      <c r="N1010" s="23" t="str">
        <f t="shared" si="45"/>
        <v>Dec-24</v>
      </c>
      <c r="O1010" s="23" t="str">
        <f t="shared" si="46"/>
        <v>Q4 2024</v>
      </c>
      <c r="P1010" s="23">
        <f>VLOOKUP(D1010,Products!$A:$F,4,FALSE)</f>
        <v>1203</v>
      </c>
      <c r="Q1010" s="35">
        <f t="shared" si="47"/>
        <v>0.47004405286343615</v>
      </c>
    </row>
    <row r="1011" spans="1:17">
      <c r="A1011" s="12" t="s">
        <v>1509</v>
      </c>
      <c r="B1011" s="13">
        <v>45483</v>
      </c>
      <c r="C1011" s="12" t="s">
        <v>1210</v>
      </c>
      <c r="D1011" s="12" t="s">
        <v>284</v>
      </c>
      <c r="E1011" s="12" t="s">
        <v>246</v>
      </c>
      <c r="F1011" s="14">
        <v>5</v>
      </c>
      <c r="G1011" s="14">
        <v>1220</v>
      </c>
      <c r="H1011" s="14">
        <v>13.9</v>
      </c>
      <c r="I1011" s="14">
        <v>5252.1</v>
      </c>
      <c r="J1011" s="12" t="s">
        <v>104</v>
      </c>
      <c r="K1011" s="12" t="s">
        <v>150</v>
      </c>
      <c r="L1011" s="23" t="str">
        <f>VLOOKUP(D1011,Products!$A:$F,3,FALSE)</f>
        <v>Electronics</v>
      </c>
      <c r="M1011" s="23" t="str">
        <f>VLOOKUP(E1011,Sales_Reps!$A:$E,3,FALSE)</f>
        <v>West</v>
      </c>
      <c r="N1011" s="23" t="str">
        <f t="shared" si="45"/>
        <v>Jul-24</v>
      </c>
      <c r="O1011" s="23" t="str">
        <f t="shared" si="46"/>
        <v>Q3 2024</v>
      </c>
      <c r="P1011" s="23">
        <f>VLOOKUP(D1011,Products!$A:$F,4,FALSE)</f>
        <v>517</v>
      </c>
      <c r="Q1011" s="35">
        <f t="shared" si="47"/>
        <v>0.57622950819672136</v>
      </c>
    </row>
    <row r="1012" spans="1:17">
      <c r="A1012" s="12" t="s">
        <v>1510</v>
      </c>
      <c r="B1012" s="13">
        <v>45530</v>
      </c>
      <c r="C1012" s="12" t="s">
        <v>316</v>
      </c>
      <c r="D1012" s="12" t="s">
        <v>152</v>
      </c>
      <c r="E1012" s="12" t="s">
        <v>205</v>
      </c>
      <c r="F1012" s="14">
        <v>8</v>
      </c>
      <c r="G1012" s="14">
        <v>2640</v>
      </c>
      <c r="H1012" s="14">
        <v>17.3</v>
      </c>
      <c r="I1012" s="14">
        <v>17466.240000000002</v>
      </c>
      <c r="J1012" s="12" t="s">
        <v>104</v>
      </c>
      <c r="K1012" s="12" t="s">
        <v>150</v>
      </c>
      <c r="L1012" s="23" t="str">
        <f>VLOOKUP(D1012,Products!$A:$F,3,FALSE)</f>
        <v>Electronics</v>
      </c>
      <c r="M1012" s="23" t="str">
        <f>VLOOKUP(E1012,Sales_Reps!$A:$E,3,FALSE)</f>
        <v>South</v>
      </c>
      <c r="N1012" s="23" t="str">
        <f t="shared" si="45"/>
        <v>Aug-24</v>
      </c>
      <c r="O1012" s="23" t="str">
        <f t="shared" si="46"/>
        <v>Q3 2024</v>
      </c>
      <c r="P1012" s="23">
        <f>VLOOKUP(D1012,Products!$A:$F,4,FALSE)</f>
        <v>1149</v>
      </c>
      <c r="Q1012" s="35">
        <f t="shared" si="47"/>
        <v>0.56477272727272732</v>
      </c>
    </row>
    <row r="1013" spans="1:17">
      <c r="A1013" s="12" t="s">
        <v>1511</v>
      </c>
      <c r="B1013" s="13">
        <v>45500</v>
      </c>
      <c r="C1013" s="12" t="s">
        <v>393</v>
      </c>
      <c r="D1013" s="12" t="s">
        <v>144</v>
      </c>
      <c r="E1013" s="12" t="s">
        <v>205</v>
      </c>
      <c r="F1013" s="14">
        <v>1</v>
      </c>
      <c r="G1013" s="14">
        <v>970</v>
      </c>
      <c r="H1013" s="14">
        <v>28</v>
      </c>
      <c r="I1013" s="14">
        <v>698.4</v>
      </c>
      <c r="J1013" s="12" t="s">
        <v>157</v>
      </c>
      <c r="K1013" s="12" t="s">
        <v>134</v>
      </c>
      <c r="L1013" s="23" t="str">
        <f>VLOOKUP(D1013,Products!$A:$F,3,FALSE)</f>
        <v>Grocery</v>
      </c>
      <c r="M1013" s="23" t="str">
        <f>VLOOKUP(E1013,Sales_Reps!$A:$E,3,FALSE)</f>
        <v>South</v>
      </c>
      <c r="N1013" s="23" t="str">
        <f t="shared" si="45"/>
        <v>Jul-24</v>
      </c>
      <c r="O1013" s="23" t="str">
        <f t="shared" si="46"/>
        <v>Q3 2024</v>
      </c>
      <c r="P1013" s="23">
        <f>VLOOKUP(D1013,Products!$A:$F,4,FALSE)</f>
        <v>434</v>
      </c>
      <c r="Q1013" s="35">
        <f t="shared" si="47"/>
        <v>0.5525773195876289</v>
      </c>
    </row>
    <row r="1014" spans="1:17">
      <c r="A1014" s="12" t="s">
        <v>1512</v>
      </c>
      <c r="B1014" s="13">
        <v>45358</v>
      </c>
      <c r="C1014" s="12" t="s">
        <v>292</v>
      </c>
      <c r="D1014" s="12" t="s">
        <v>243</v>
      </c>
      <c r="E1014" s="12" t="s">
        <v>128</v>
      </c>
      <c r="F1014" s="14">
        <v>8</v>
      </c>
      <c r="G1014" s="14">
        <v>3730</v>
      </c>
      <c r="H1014" s="14">
        <v>2.1</v>
      </c>
      <c r="I1014" s="14">
        <v>29213.360000000001</v>
      </c>
      <c r="J1014" s="12" t="s">
        <v>161</v>
      </c>
      <c r="K1014" s="12" t="s">
        <v>105</v>
      </c>
      <c r="L1014" s="23" t="str">
        <f>VLOOKUP(D1014,Products!$A:$F,3,FALSE)</f>
        <v>Home</v>
      </c>
      <c r="M1014" s="23" t="str">
        <f>VLOOKUP(E1014,Sales_Reps!$A:$E,3,FALSE)</f>
        <v>West</v>
      </c>
      <c r="N1014" s="23" t="str">
        <f t="shared" si="45"/>
        <v>Mar-24</v>
      </c>
      <c r="O1014" s="23" t="str">
        <f t="shared" si="46"/>
        <v>Q1 2024</v>
      </c>
      <c r="P1014" s="23">
        <f>VLOOKUP(D1014,Products!$A:$F,4,FALSE)</f>
        <v>2135</v>
      </c>
      <c r="Q1014" s="35">
        <f t="shared" si="47"/>
        <v>0.42761394101876676</v>
      </c>
    </row>
    <row r="1015" spans="1:17">
      <c r="A1015" s="12" t="s">
        <v>1513</v>
      </c>
      <c r="B1015" s="13">
        <v>45598</v>
      </c>
      <c r="C1015" s="12" t="s">
        <v>802</v>
      </c>
      <c r="D1015" s="12" t="s">
        <v>144</v>
      </c>
      <c r="E1015" s="12" t="s">
        <v>133</v>
      </c>
      <c r="F1015" s="14">
        <v>7</v>
      </c>
      <c r="G1015" s="14">
        <v>970</v>
      </c>
      <c r="H1015" s="14">
        <v>25.5</v>
      </c>
      <c r="I1015" s="14">
        <v>5058.55</v>
      </c>
      <c r="J1015" s="12" t="s">
        <v>104</v>
      </c>
      <c r="K1015" s="12" t="s">
        <v>105</v>
      </c>
      <c r="L1015" s="23" t="str">
        <f>VLOOKUP(D1015,Products!$A:$F,3,FALSE)</f>
        <v>Grocery</v>
      </c>
      <c r="M1015" s="23" t="str">
        <f>VLOOKUP(E1015,Sales_Reps!$A:$E,3,FALSE)</f>
        <v>West</v>
      </c>
      <c r="N1015" s="23" t="str">
        <f t="shared" si="45"/>
        <v>Nov-24</v>
      </c>
      <c r="O1015" s="23" t="str">
        <f t="shared" si="46"/>
        <v>Q4 2024</v>
      </c>
      <c r="P1015" s="23">
        <f>VLOOKUP(D1015,Products!$A:$F,4,FALSE)</f>
        <v>434</v>
      </c>
      <c r="Q1015" s="35">
        <f t="shared" si="47"/>
        <v>0.5525773195876289</v>
      </c>
    </row>
    <row r="1016" spans="1:17">
      <c r="A1016" s="12" t="s">
        <v>1514</v>
      </c>
      <c r="B1016" s="13">
        <v>45318</v>
      </c>
      <c r="C1016" s="12" t="s">
        <v>376</v>
      </c>
      <c r="D1016" s="12" t="s">
        <v>204</v>
      </c>
      <c r="E1016" s="12" t="s">
        <v>302</v>
      </c>
      <c r="F1016" s="14">
        <v>6</v>
      </c>
      <c r="G1016" s="14">
        <v>3570</v>
      </c>
      <c r="H1016" s="14">
        <v>9.9</v>
      </c>
      <c r="I1016" s="14">
        <v>19299.419999999998</v>
      </c>
      <c r="J1016" s="12" t="s">
        <v>104</v>
      </c>
      <c r="K1016" s="12" t="s">
        <v>116</v>
      </c>
      <c r="L1016" s="23" t="str">
        <f>VLOOKUP(D1016,Products!$A:$F,3,FALSE)</f>
        <v>Electronics</v>
      </c>
      <c r="M1016" s="23" t="str">
        <f>VLOOKUP(E1016,Sales_Reps!$A:$E,3,FALSE)</f>
        <v>East</v>
      </c>
      <c r="N1016" s="23" t="str">
        <f t="shared" si="45"/>
        <v>Jan-24</v>
      </c>
      <c r="O1016" s="23" t="str">
        <f t="shared" si="46"/>
        <v>Q1 2024</v>
      </c>
      <c r="P1016" s="23">
        <f>VLOOKUP(D1016,Products!$A:$F,4,FALSE)</f>
        <v>1665</v>
      </c>
      <c r="Q1016" s="35">
        <f t="shared" si="47"/>
        <v>0.53361344537815125</v>
      </c>
    </row>
    <row r="1017" spans="1:17">
      <c r="A1017" s="12" t="s">
        <v>1515</v>
      </c>
      <c r="B1017" s="13">
        <v>45524</v>
      </c>
      <c r="C1017" s="12" t="s">
        <v>1516</v>
      </c>
      <c r="D1017" s="12" t="s">
        <v>144</v>
      </c>
      <c r="E1017" s="12" t="s">
        <v>363</v>
      </c>
      <c r="F1017" s="14">
        <v>6</v>
      </c>
      <c r="G1017" s="14">
        <v>970</v>
      </c>
      <c r="H1017" s="14">
        <v>19.600000000000001</v>
      </c>
      <c r="I1017" s="14">
        <v>4679.28</v>
      </c>
      <c r="J1017" s="12" t="s">
        <v>104</v>
      </c>
      <c r="K1017" s="12" t="s">
        <v>111</v>
      </c>
      <c r="L1017" s="23" t="str">
        <f>VLOOKUP(D1017,Products!$A:$F,3,FALSE)</f>
        <v>Grocery</v>
      </c>
      <c r="M1017" s="23" t="str">
        <f>VLOOKUP(E1017,Sales_Reps!$A:$E,3,FALSE)</f>
        <v>South</v>
      </c>
      <c r="N1017" s="23" t="str">
        <f t="shared" si="45"/>
        <v>Aug-24</v>
      </c>
      <c r="O1017" s="23" t="str">
        <f t="shared" si="46"/>
        <v>Q3 2024</v>
      </c>
      <c r="P1017" s="23">
        <f>VLOOKUP(D1017,Products!$A:$F,4,FALSE)</f>
        <v>434</v>
      </c>
      <c r="Q1017" s="35">
        <f t="shared" si="47"/>
        <v>0.5525773195876289</v>
      </c>
    </row>
    <row r="1018" spans="1:17">
      <c r="A1018" s="12" t="s">
        <v>1517</v>
      </c>
      <c r="B1018" s="13">
        <v>45554</v>
      </c>
      <c r="C1018" s="12" t="s">
        <v>236</v>
      </c>
      <c r="D1018" s="12" t="s">
        <v>478</v>
      </c>
      <c r="E1018" s="12" t="s">
        <v>290</v>
      </c>
      <c r="F1018" s="14">
        <v>8</v>
      </c>
      <c r="G1018" s="14">
        <v>3780</v>
      </c>
      <c r="H1018" s="14">
        <v>26.5</v>
      </c>
      <c r="I1018" s="14">
        <v>22226.400000000001</v>
      </c>
      <c r="J1018" s="12" t="s">
        <v>104</v>
      </c>
      <c r="K1018" s="12" t="s">
        <v>116</v>
      </c>
      <c r="L1018" s="23" t="str">
        <f>VLOOKUP(D1018,Products!$A:$F,3,FALSE)</f>
        <v>Sports</v>
      </c>
      <c r="M1018" s="23" t="str">
        <f>VLOOKUP(E1018,Sales_Reps!$A:$E,3,FALSE)</f>
        <v>South</v>
      </c>
      <c r="N1018" s="23" t="str">
        <f t="shared" si="45"/>
        <v>Sep-24</v>
      </c>
      <c r="O1018" s="23" t="str">
        <f t="shared" si="46"/>
        <v>Q3 2024</v>
      </c>
      <c r="P1018" s="23">
        <f>VLOOKUP(D1018,Products!$A:$F,4,FALSE)</f>
        <v>1860</v>
      </c>
      <c r="Q1018" s="35">
        <f t="shared" si="47"/>
        <v>0.50793650793650791</v>
      </c>
    </row>
    <row r="1019" spans="1:17">
      <c r="A1019" s="12" t="s">
        <v>1518</v>
      </c>
      <c r="B1019" s="13">
        <v>45528</v>
      </c>
      <c r="C1019" s="12" t="s">
        <v>938</v>
      </c>
      <c r="D1019" s="12" t="s">
        <v>168</v>
      </c>
      <c r="E1019" s="12" t="s">
        <v>290</v>
      </c>
      <c r="F1019" s="14">
        <v>6</v>
      </c>
      <c r="G1019" s="14">
        <v>2400</v>
      </c>
      <c r="H1019" s="14">
        <v>1.4</v>
      </c>
      <c r="I1019" s="14">
        <v>14198.4</v>
      </c>
      <c r="J1019" s="12" t="s">
        <v>104</v>
      </c>
      <c r="K1019" s="12" t="s">
        <v>134</v>
      </c>
      <c r="L1019" s="23" t="str">
        <f>VLOOKUP(D1019,Products!$A:$F,3,FALSE)</f>
        <v>Sports</v>
      </c>
      <c r="M1019" s="23" t="str">
        <f>VLOOKUP(E1019,Sales_Reps!$A:$E,3,FALSE)</f>
        <v>South</v>
      </c>
      <c r="N1019" s="23" t="str">
        <f t="shared" si="45"/>
        <v>Aug-24</v>
      </c>
      <c r="O1019" s="23" t="str">
        <f t="shared" si="46"/>
        <v>Q3 2024</v>
      </c>
      <c r="P1019" s="23">
        <f>VLOOKUP(D1019,Products!$A:$F,4,FALSE)</f>
        <v>974</v>
      </c>
      <c r="Q1019" s="35">
        <f t="shared" si="47"/>
        <v>0.59416666666666662</v>
      </c>
    </row>
    <row r="1020" spans="1:17">
      <c r="A1020" s="12" t="s">
        <v>1519</v>
      </c>
      <c r="B1020" s="13">
        <v>45486</v>
      </c>
      <c r="C1020" s="12" t="s">
        <v>374</v>
      </c>
      <c r="D1020" s="12" t="s">
        <v>160</v>
      </c>
      <c r="E1020" s="12" t="s">
        <v>175</v>
      </c>
      <c r="F1020" s="14">
        <v>10</v>
      </c>
      <c r="G1020" s="14">
        <v>3250</v>
      </c>
      <c r="H1020" s="14">
        <v>19.3</v>
      </c>
      <c r="I1020" s="14">
        <v>26227.5</v>
      </c>
      <c r="J1020" s="12" t="s">
        <v>104</v>
      </c>
      <c r="K1020" s="12" t="s">
        <v>116</v>
      </c>
      <c r="L1020" s="23" t="str">
        <f>VLOOKUP(D1020,Products!$A:$F,3,FALSE)</f>
        <v>Home</v>
      </c>
      <c r="M1020" s="23" t="str">
        <f>VLOOKUP(E1020,Sales_Reps!$A:$E,3,FALSE)</f>
        <v>East</v>
      </c>
      <c r="N1020" s="23" t="str">
        <f t="shared" si="45"/>
        <v>Jul-24</v>
      </c>
      <c r="O1020" s="23" t="str">
        <f t="shared" si="46"/>
        <v>Q3 2024</v>
      </c>
      <c r="P1020" s="23">
        <f>VLOOKUP(D1020,Products!$A:$F,4,FALSE)</f>
        <v>1556</v>
      </c>
      <c r="Q1020" s="35">
        <f t="shared" si="47"/>
        <v>0.52123076923076928</v>
      </c>
    </row>
    <row r="1021" spans="1:17">
      <c r="A1021" s="12" t="s">
        <v>1520</v>
      </c>
      <c r="B1021" s="13">
        <v>45336</v>
      </c>
      <c r="C1021" s="12" t="s">
        <v>405</v>
      </c>
      <c r="D1021" s="12" t="s">
        <v>217</v>
      </c>
      <c r="E1021" s="12" t="s">
        <v>115</v>
      </c>
      <c r="F1021" s="14">
        <v>7</v>
      </c>
      <c r="G1021" s="14">
        <v>2760</v>
      </c>
      <c r="H1021" s="14">
        <v>23.6</v>
      </c>
      <c r="I1021" s="14">
        <v>14760.48</v>
      </c>
      <c r="J1021" s="12" t="s">
        <v>110</v>
      </c>
      <c r="K1021" s="12" t="s">
        <v>150</v>
      </c>
      <c r="L1021" s="23" t="str">
        <f>VLOOKUP(D1021,Products!$A:$F,3,FALSE)</f>
        <v>Grocery</v>
      </c>
      <c r="M1021" s="23" t="str">
        <f>VLOOKUP(E1021,Sales_Reps!$A:$E,3,FALSE)</f>
        <v>South</v>
      </c>
      <c r="N1021" s="23" t="str">
        <f t="shared" si="45"/>
        <v>Feb-24</v>
      </c>
      <c r="O1021" s="23" t="str">
        <f t="shared" si="46"/>
        <v>Q1 2024</v>
      </c>
      <c r="P1021" s="23">
        <f>VLOOKUP(D1021,Products!$A:$F,4,FALSE)</f>
        <v>1435</v>
      </c>
      <c r="Q1021" s="35">
        <f t="shared" si="47"/>
        <v>0.48007246376811596</v>
      </c>
    </row>
    <row r="1022" spans="1:17">
      <c r="A1022" s="12" t="s">
        <v>1521</v>
      </c>
      <c r="B1022" s="13">
        <v>45463</v>
      </c>
      <c r="C1022" s="12" t="s">
        <v>248</v>
      </c>
      <c r="D1022" s="12" t="s">
        <v>204</v>
      </c>
      <c r="E1022" s="12" t="s">
        <v>232</v>
      </c>
      <c r="F1022" s="14">
        <v>3</v>
      </c>
      <c r="G1022" s="14">
        <v>3570</v>
      </c>
      <c r="H1022" s="14">
        <v>26.3</v>
      </c>
      <c r="I1022" s="14">
        <v>7893.27</v>
      </c>
      <c r="J1022" s="12" t="s">
        <v>104</v>
      </c>
      <c r="K1022" s="12" t="s">
        <v>134</v>
      </c>
      <c r="L1022" s="23" t="str">
        <f>VLOOKUP(D1022,Products!$A:$F,3,FALSE)</f>
        <v>Electronics</v>
      </c>
      <c r="M1022" s="23" t="str">
        <f>VLOOKUP(E1022,Sales_Reps!$A:$E,3,FALSE)</f>
        <v>North</v>
      </c>
      <c r="N1022" s="23" t="str">
        <f t="shared" si="45"/>
        <v>Jun-24</v>
      </c>
      <c r="O1022" s="23" t="str">
        <f t="shared" si="46"/>
        <v>Q2 2024</v>
      </c>
      <c r="P1022" s="23">
        <f>VLOOKUP(D1022,Products!$A:$F,4,FALSE)</f>
        <v>1665</v>
      </c>
      <c r="Q1022" s="35">
        <f t="shared" si="47"/>
        <v>0.53361344537815125</v>
      </c>
    </row>
    <row r="1023" spans="1:17">
      <c r="A1023" s="12" t="s">
        <v>1522</v>
      </c>
      <c r="B1023" s="13">
        <v>45392</v>
      </c>
      <c r="C1023" s="12" t="s">
        <v>602</v>
      </c>
      <c r="D1023" s="12" t="s">
        <v>251</v>
      </c>
      <c r="E1023" s="12" t="s">
        <v>205</v>
      </c>
      <c r="F1023" s="14">
        <v>4</v>
      </c>
      <c r="G1023" s="14">
        <v>3780</v>
      </c>
      <c r="H1023" s="14">
        <v>10.1</v>
      </c>
      <c r="I1023" s="14">
        <v>13592.88</v>
      </c>
      <c r="J1023" s="12" t="s">
        <v>104</v>
      </c>
      <c r="K1023" s="12" t="s">
        <v>111</v>
      </c>
      <c r="L1023" s="23" t="str">
        <f>VLOOKUP(D1023,Products!$A:$F,3,FALSE)</f>
        <v>Grocery</v>
      </c>
      <c r="M1023" s="23" t="str">
        <f>VLOOKUP(E1023,Sales_Reps!$A:$E,3,FALSE)</f>
        <v>South</v>
      </c>
      <c r="N1023" s="23" t="str">
        <f t="shared" si="45"/>
        <v>Apr-24</v>
      </c>
      <c r="O1023" s="23" t="str">
        <f t="shared" si="46"/>
        <v>Q2 2024</v>
      </c>
      <c r="P1023" s="23">
        <f>VLOOKUP(D1023,Products!$A:$F,4,FALSE)</f>
        <v>2436</v>
      </c>
      <c r="Q1023" s="35">
        <f t="shared" si="47"/>
        <v>0.35555555555555557</v>
      </c>
    </row>
    <row r="1024" spans="1:17">
      <c r="A1024" s="12" t="s">
        <v>1523</v>
      </c>
      <c r="B1024" s="13">
        <v>45600</v>
      </c>
      <c r="C1024" s="12" t="s">
        <v>619</v>
      </c>
      <c r="D1024" s="12" t="s">
        <v>137</v>
      </c>
      <c r="E1024" s="12" t="s">
        <v>138</v>
      </c>
      <c r="F1024" s="14">
        <v>10</v>
      </c>
      <c r="G1024" s="14">
        <v>1430</v>
      </c>
      <c r="H1024" s="14">
        <v>3.7</v>
      </c>
      <c r="I1024" s="14">
        <v>13770.9</v>
      </c>
      <c r="J1024" s="12" t="s">
        <v>104</v>
      </c>
      <c r="K1024" s="12" t="s">
        <v>111</v>
      </c>
      <c r="L1024" s="23" t="str">
        <f>VLOOKUP(D1024,Products!$A:$F,3,FALSE)</f>
        <v>Electronics</v>
      </c>
      <c r="M1024" s="23" t="str">
        <f>VLOOKUP(E1024,Sales_Reps!$A:$E,3,FALSE)</f>
        <v>East</v>
      </c>
      <c r="N1024" s="23" t="str">
        <f t="shared" si="45"/>
        <v>Nov-24</v>
      </c>
      <c r="O1024" s="23" t="str">
        <f t="shared" si="46"/>
        <v>Q4 2024</v>
      </c>
      <c r="P1024" s="23">
        <f>VLOOKUP(D1024,Products!$A:$F,4,FALSE)</f>
        <v>861</v>
      </c>
      <c r="Q1024" s="35">
        <f t="shared" si="47"/>
        <v>0.39790209790209791</v>
      </c>
    </row>
    <row r="1025" spans="1:17">
      <c r="A1025" s="12" t="s">
        <v>1524</v>
      </c>
      <c r="B1025" s="13">
        <v>45411</v>
      </c>
      <c r="C1025" s="12" t="s">
        <v>758</v>
      </c>
      <c r="D1025" s="12" t="s">
        <v>262</v>
      </c>
      <c r="E1025" s="12" t="s">
        <v>290</v>
      </c>
      <c r="F1025" s="14">
        <v>6</v>
      </c>
      <c r="G1025" s="14">
        <v>2270</v>
      </c>
      <c r="H1025" s="14">
        <v>7.9</v>
      </c>
      <c r="I1025" s="14">
        <v>12544.02</v>
      </c>
      <c r="J1025" s="12" t="s">
        <v>161</v>
      </c>
      <c r="K1025" s="12" t="s">
        <v>150</v>
      </c>
      <c r="L1025" s="23" t="str">
        <f>VLOOKUP(D1025,Products!$A:$F,3,FALSE)</f>
        <v>Grocery</v>
      </c>
      <c r="M1025" s="23" t="str">
        <f>VLOOKUP(E1025,Sales_Reps!$A:$E,3,FALSE)</f>
        <v>South</v>
      </c>
      <c r="N1025" s="23" t="str">
        <f t="shared" si="45"/>
        <v>Apr-24</v>
      </c>
      <c r="O1025" s="23" t="str">
        <f t="shared" si="46"/>
        <v>Q2 2024</v>
      </c>
      <c r="P1025" s="23">
        <f>VLOOKUP(D1025,Products!$A:$F,4,FALSE)</f>
        <v>1412</v>
      </c>
      <c r="Q1025" s="35">
        <f t="shared" si="47"/>
        <v>0.37797356828193834</v>
      </c>
    </row>
    <row r="1026" spans="1:17">
      <c r="A1026" s="12" t="s">
        <v>1525</v>
      </c>
      <c r="B1026" s="13">
        <v>45406</v>
      </c>
      <c r="C1026" s="12" t="s">
        <v>499</v>
      </c>
      <c r="D1026" s="12" t="s">
        <v>199</v>
      </c>
      <c r="E1026" s="12" t="s">
        <v>269</v>
      </c>
      <c r="F1026" s="14">
        <v>1</v>
      </c>
      <c r="G1026" s="14">
        <v>1010</v>
      </c>
      <c r="H1026" s="14">
        <v>6.9</v>
      </c>
      <c r="I1026" s="14">
        <v>940.31</v>
      </c>
      <c r="J1026" s="12" t="s">
        <v>110</v>
      </c>
      <c r="K1026" s="12" t="s">
        <v>150</v>
      </c>
      <c r="L1026" s="23" t="str">
        <f>VLOOKUP(D1026,Products!$A:$F,3,FALSE)</f>
        <v>Sports</v>
      </c>
      <c r="M1026" s="23" t="str">
        <f>VLOOKUP(E1026,Sales_Reps!$A:$E,3,FALSE)</f>
        <v>South</v>
      </c>
      <c r="N1026" s="23" t="str">
        <f t="shared" si="45"/>
        <v>Apr-24</v>
      </c>
      <c r="O1026" s="23" t="str">
        <f t="shared" si="46"/>
        <v>Q2 2024</v>
      </c>
      <c r="P1026" s="23">
        <f>VLOOKUP(D1026,Products!$A:$F,4,FALSE)</f>
        <v>516</v>
      </c>
      <c r="Q1026" s="35">
        <f t="shared" si="47"/>
        <v>0.4891089108910891</v>
      </c>
    </row>
    <row r="1027" spans="1:17">
      <c r="A1027" s="12" t="s">
        <v>1526</v>
      </c>
      <c r="B1027" s="13">
        <v>45411</v>
      </c>
      <c r="C1027" s="12" t="s">
        <v>192</v>
      </c>
      <c r="D1027" s="12" t="s">
        <v>212</v>
      </c>
      <c r="E1027" s="12" t="s">
        <v>115</v>
      </c>
      <c r="F1027" s="14">
        <v>2</v>
      </c>
      <c r="G1027" s="14">
        <v>2860</v>
      </c>
      <c r="H1027" s="14">
        <v>20.100000000000001</v>
      </c>
      <c r="I1027" s="14">
        <v>4570.28</v>
      </c>
      <c r="J1027" s="12" t="s">
        <v>104</v>
      </c>
      <c r="K1027" s="12" t="s">
        <v>150</v>
      </c>
      <c r="L1027" s="23" t="str">
        <f>VLOOKUP(D1027,Products!$A:$F,3,FALSE)</f>
        <v>Sports</v>
      </c>
      <c r="M1027" s="23" t="str">
        <f>VLOOKUP(E1027,Sales_Reps!$A:$E,3,FALSE)</f>
        <v>South</v>
      </c>
      <c r="N1027" s="23" t="str">
        <f t="shared" ref="N1027:N1090" si="48">TEXT(B1027, "mmm-yy")</f>
        <v>Apr-24</v>
      </c>
      <c r="O1027" s="23" t="str">
        <f t="shared" ref="O1027:O1090" si="49">"Q" &amp; INT((MONTH(B1027)-1)/3)+1 &amp; " " &amp; YEAR(B1027)</f>
        <v>Q2 2024</v>
      </c>
      <c r="P1027" s="23">
        <f>VLOOKUP(D1027,Products!$A:$F,4,FALSE)</f>
        <v>2028</v>
      </c>
      <c r="Q1027" s="35">
        <f t="shared" ref="Q1027:Q1090" si="50">(G1027 - P1027) / G1027</f>
        <v>0.29090909090909089</v>
      </c>
    </row>
    <row r="1028" spans="1:17">
      <c r="A1028" s="12" t="s">
        <v>1527</v>
      </c>
      <c r="B1028" s="13">
        <v>45461</v>
      </c>
      <c r="C1028" s="12" t="s">
        <v>903</v>
      </c>
      <c r="D1028" s="12" t="s">
        <v>155</v>
      </c>
      <c r="E1028" s="12" t="s">
        <v>138</v>
      </c>
      <c r="F1028" s="14">
        <v>9</v>
      </c>
      <c r="G1028" s="14">
        <v>2600</v>
      </c>
      <c r="H1028" s="14">
        <v>15.9</v>
      </c>
      <c r="I1028" s="14">
        <v>19679.400000000001</v>
      </c>
      <c r="J1028" s="12" t="s">
        <v>157</v>
      </c>
      <c r="K1028" s="12" t="s">
        <v>111</v>
      </c>
      <c r="L1028" s="23" t="str">
        <f>VLOOKUP(D1028,Products!$A:$F,3,FALSE)</f>
        <v>Electronics</v>
      </c>
      <c r="M1028" s="23" t="str">
        <f>VLOOKUP(E1028,Sales_Reps!$A:$E,3,FALSE)</f>
        <v>East</v>
      </c>
      <c r="N1028" s="23" t="str">
        <f t="shared" si="48"/>
        <v>Jun-24</v>
      </c>
      <c r="O1028" s="23" t="str">
        <f t="shared" si="49"/>
        <v>Q2 2024</v>
      </c>
      <c r="P1028" s="23">
        <f>VLOOKUP(D1028,Products!$A:$F,4,FALSE)</f>
        <v>1052</v>
      </c>
      <c r="Q1028" s="35">
        <f t="shared" si="50"/>
        <v>0.5953846153846154</v>
      </c>
    </row>
    <row r="1029" spans="1:17">
      <c r="A1029" s="12" t="s">
        <v>1528</v>
      </c>
      <c r="B1029" s="13">
        <v>45409</v>
      </c>
      <c r="C1029" s="12" t="s">
        <v>510</v>
      </c>
      <c r="D1029" s="12" t="s">
        <v>114</v>
      </c>
      <c r="E1029" s="12" t="s">
        <v>133</v>
      </c>
      <c r="F1029" s="14">
        <v>10</v>
      </c>
      <c r="G1029" s="14">
        <v>470</v>
      </c>
      <c r="H1029" s="14">
        <v>23.1</v>
      </c>
      <c r="I1029" s="14">
        <v>3614.3</v>
      </c>
      <c r="J1029" s="12" t="s">
        <v>110</v>
      </c>
      <c r="K1029" s="12" t="s">
        <v>105</v>
      </c>
      <c r="L1029" s="23" t="str">
        <f>VLOOKUP(D1029,Products!$A:$F,3,FALSE)</f>
        <v>Sports</v>
      </c>
      <c r="M1029" s="23" t="str">
        <f>VLOOKUP(E1029,Sales_Reps!$A:$E,3,FALSE)</f>
        <v>West</v>
      </c>
      <c r="N1029" s="23" t="str">
        <f t="shared" si="48"/>
        <v>Apr-24</v>
      </c>
      <c r="O1029" s="23" t="str">
        <f t="shared" si="49"/>
        <v>Q2 2024</v>
      </c>
      <c r="P1029" s="23">
        <f>VLOOKUP(D1029,Products!$A:$F,4,FALSE)</f>
        <v>302</v>
      </c>
      <c r="Q1029" s="35">
        <f t="shared" si="50"/>
        <v>0.35744680851063831</v>
      </c>
    </row>
    <row r="1030" spans="1:17">
      <c r="A1030" s="12" t="s">
        <v>1529</v>
      </c>
      <c r="B1030" s="13">
        <v>45495</v>
      </c>
      <c r="C1030" s="12" t="s">
        <v>183</v>
      </c>
      <c r="D1030" s="12" t="s">
        <v>220</v>
      </c>
      <c r="E1030" s="12" t="s">
        <v>269</v>
      </c>
      <c r="F1030" s="14">
        <v>10</v>
      </c>
      <c r="G1030" s="14">
        <v>660</v>
      </c>
      <c r="H1030" s="14">
        <v>9.4</v>
      </c>
      <c r="I1030" s="14">
        <v>5979.6</v>
      </c>
      <c r="J1030" s="12" t="s">
        <v>104</v>
      </c>
      <c r="K1030" s="12" t="s">
        <v>150</v>
      </c>
      <c r="L1030" s="23" t="str">
        <f>VLOOKUP(D1030,Products!$A:$F,3,FALSE)</f>
        <v>Home</v>
      </c>
      <c r="M1030" s="23" t="str">
        <f>VLOOKUP(E1030,Sales_Reps!$A:$E,3,FALSE)</f>
        <v>South</v>
      </c>
      <c r="N1030" s="23" t="str">
        <f t="shared" si="48"/>
        <v>Jul-24</v>
      </c>
      <c r="O1030" s="23" t="str">
        <f t="shared" si="49"/>
        <v>Q3 2024</v>
      </c>
      <c r="P1030" s="23">
        <f>VLOOKUP(D1030,Products!$A:$F,4,FALSE)</f>
        <v>329</v>
      </c>
      <c r="Q1030" s="35">
        <f t="shared" si="50"/>
        <v>0.50151515151515147</v>
      </c>
    </row>
    <row r="1031" spans="1:17">
      <c r="A1031" s="12" t="s">
        <v>1530</v>
      </c>
      <c r="B1031" s="13">
        <v>45307</v>
      </c>
      <c r="C1031" s="12" t="s">
        <v>496</v>
      </c>
      <c r="D1031" s="12" t="s">
        <v>284</v>
      </c>
      <c r="E1031" s="12" t="s">
        <v>171</v>
      </c>
      <c r="F1031" s="14">
        <v>5</v>
      </c>
      <c r="G1031" s="14">
        <v>1220</v>
      </c>
      <c r="H1031" s="14">
        <v>23.3</v>
      </c>
      <c r="I1031" s="14">
        <v>4678.7</v>
      </c>
      <c r="J1031" s="12" t="s">
        <v>104</v>
      </c>
      <c r="K1031" s="12" t="s">
        <v>105</v>
      </c>
      <c r="L1031" s="23" t="str">
        <f>VLOOKUP(D1031,Products!$A:$F,3,FALSE)</f>
        <v>Electronics</v>
      </c>
      <c r="M1031" s="23" t="str">
        <f>VLOOKUP(E1031,Sales_Reps!$A:$E,3,FALSE)</f>
        <v>East</v>
      </c>
      <c r="N1031" s="23" t="str">
        <f t="shared" si="48"/>
        <v>Jan-24</v>
      </c>
      <c r="O1031" s="23" t="str">
        <f t="shared" si="49"/>
        <v>Q1 2024</v>
      </c>
      <c r="P1031" s="23">
        <f>VLOOKUP(D1031,Products!$A:$F,4,FALSE)</f>
        <v>517</v>
      </c>
      <c r="Q1031" s="35">
        <f t="shared" si="50"/>
        <v>0.57622950819672136</v>
      </c>
    </row>
    <row r="1032" spans="1:17">
      <c r="A1032" s="12" t="s">
        <v>1531</v>
      </c>
      <c r="B1032" s="13">
        <v>45294</v>
      </c>
      <c r="C1032" s="12" t="s">
        <v>612</v>
      </c>
      <c r="D1032" s="12" t="s">
        <v>160</v>
      </c>
      <c r="E1032" s="12" t="s">
        <v>290</v>
      </c>
      <c r="F1032" s="14">
        <v>9</v>
      </c>
      <c r="G1032" s="14">
        <v>3250</v>
      </c>
      <c r="H1032" s="14">
        <v>19.600000000000001</v>
      </c>
      <c r="I1032" s="14">
        <v>23517</v>
      </c>
      <c r="J1032" s="12" t="s">
        <v>110</v>
      </c>
      <c r="K1032" s="12" t="s">
        <v>116</v>
      </c>
      <c r="L1032" s="23" t="str">
        <f>VLOOKUP(D1032,Products!$A:$F,3,FALSE)</f>
        <v>Home</v>
      </c>
      <c r="M1032" s="23" t="str">
        <f>VLOOKUP(E1032,Sales_Reps!$A:$E,3,FALSE)</f>
        <v>South</v>
      </c>
      <c r="N1032" s="23" t="str">
        <f t="shared" si="48"/>
        <v>Jan-24</v>
      </c>
      <c r="O1032" s="23" t="str">
        <f t="shared" si="49"/>
        <v>Q1 2024</v>
      </c>
      <c r="P1032" s="23">
        <f>VLOOKUP(D1032,Products!$A:$F,4,FALSE)</f>
        <v>1556</v>
      </c>
      <c r="Q1032" s="35">
        <f t="shared" si="50"/>
        <v>0.52123076923076928</v>
      </c>
    </row>
    <row r="1033" spans="1:17">
      <c r="A1033" s="12" t="s">
        <v>1532</v>
      </c>
      <c r="B1033" s="13">
        <v>45542</v>
      </c>
      <c r="C1033" s="12" t="s">
        <v>1208</v>
      </c>
      <c r="D1033" s="12" t="s">
        <v>309</v>
      </c>
      <c r="E1033" s="12" t="s">
        <v>320</v>
      </c>
      <c r="F1033" s="14">
        <v>7</v>
      </c>
      <c r="G1033" s="14">
        <v>620</v>
      </c>
      <c r="H1033" s="14">
        <v>29</v>
      </c>
      <c r="I1033" s="14">
        <v>3081.4</v>
      </c>
      <c r="J1033" s="12" t="s">
        <v>104</v>
      </c>
      <c r="K1033" s="12" t="s">
        <v>134</v>
      </c>
      <c r="L1033" s="23" t="str">
        <f>VLOOKUP(D1033,Products!$A:$F,3,FALSE)</f>
        <v>Apparel</v>
      </c>
      <c r="M1033" s="23" t="str">
        <f>VLOOKUP(E1033,Sales_Reps!$A:$E,3,FALSE)</f>
        <v>East</v>
      </c>
      <c r="N1033" s="23" t="str">
        <f t="shared" si="48"/>
        <v>Sep-24</v>
      </c>
      <c r="O1033" s="23" t="str">
        <f t="shared" si="49"/>
        <v>Q3 2024</v>
      </c>
      <c r="P1033" s="23">
        <f>VLOOKUP(D1033,Products!$A:$F,4,FALSE)</f>
        <v>396</v>
      </c>
      <c r="Q1033" s="35">
        <f t="shared" si="50"/>
        <v>0.36129032258064514</v>
      </c>
    </row>
    <row r="1034" spans="1:17">
      <c r="A1034" s="12" t="s">
        <v>1533</v>
      </c>
      <c r="B1034" s="13">
        <v>45453</v>
      </c>
      <c r="C1034" s="12" t="s">
        <v>180</v>
      </c>
      <c r="D1034" s="12" t="s">
        <v>281</v>
      </c>
      <c r="E1034" s="12" t="s">
        <v>120</v>
      </c>
      <c r="F1034" s="14">
        <v>9</v>
      </c>
      <c r="G1034" s="14">
        <v>4070</v>
      </c>
      <c r="H1034" s="14">
        <v>16.2</v>
      </c>
      <c r="I1034" s="14">
        <v>30695.94</v>
      </c>
      <c r="J1034" s="12" t="s">
        <v>104</v>
      </c>
      <c r="K1034" s="12" t="s">
        <v>111</v>
      </c>
      <c r="L1034" s="23" t="str">
        <f>VLOOKUP(D1034,Products!$A:$F,3,FALSE)</f>
        <v>Grocery</v>
      </c>
      <c r="M1034" s="23" t="str">
        <f>VLOOKUP(E1034,Sales_Reps!$A:$E,3,FALSE)</f>
        <v>North</v>
      </c>
      <c r="N1034" s="23" t="str">
        <f t="shared" si="48"/>
        <v>Jun-24</v>
      </c>
      <c r="O1034" s="23" t="str">
        <f t="shared" si="49"/>
        <v>Q2 2024</v>
      </c>
      <c r="P1034" s="23">
        <f>VLOOKUP(D1034,Products!$A:$F,4,FALSE)</f>
        <v>2027</v>
      </c>
      <c r="Q1034" s="35">
        <f t="shared" si="50"/>
        <v>0.50196560196560192</v>
      </c>
    </row>
    <row r="1035" spans="1:17">
      <c r="A1035" s="12" t="s">
        <v>1534</v>
      </c>
      <c r="B1035" s="13">
        <v>45351</v>
      </c>
      <c r="C1035" s="12" t="s">
        <v>1017</v>
      </c>
      <c r="D1035" s="12" t="s">
        <v>123</v>
      </c>
      <c r="E1035" s="12" t="s">
        <v>103</v>
      </c>
      <c r="F1035" s="14">
        <v>8</v>
      </c>
      <c r="G1035" s="14">
        <v>3160</v>
      </c>
      <c r="H1035" s="14">
        <v>23.8</v>
      </c>
      <c r="I1035" s="14">
        <v>19263.36</v>
      </c>
      <c r="J1035" s="12" t="s">
        <v>104</v>
      </c>
      <c r="K1035" s="12" t="s">
        <v>134</v>
      </c>
      <c r="L1035" s="23" t="str">
        <f>VLOOKUP(D1035,Products!$A:$F,3,FALSE)</f>
        <v>Apparel</v>
      </c>
      <c r="M1035" s="23" t="str">
        <f>VLOOKUP(E1035,Sales_Reps!$A:$E,3,FALSE)</f>
        <v>North</v>
      </c>
      <c r="N1035" s="23" t="str">
        <f t="shared" si="48"/>
        <v>Feb-24</v>
      </c>
      <c r="O1035" s="23" t="str">
        <f t="shared" si="49"/>
        <v>Q1 2024</v>
      </c>
      <c r="P1035" s="23">
        <f>VLOOKUP(D1035,Products!$A:$F,4,FALSE)</f>
        <v>1886</v>
      </c>
      <c r="Q1035" s="35">
        <f t="shared" si="50"/>
        <v>0.4031645569620253</v>
      </c>
    </row>
    <row r="1036" spans="1:17">
      <c r="A1036" s="12" t="s">
        <v>1535</v>
      </c>
      <c r="B1036" s="13">
        <v>45422</v>
      </c>
      <c r="C1036" s="12" t="s">
        <v>122</v>
      </c>
      <c r="D1036" s="12" t="s">
        <v>355</v>
      </c>
      <c r="E1036" s="12" t="s">
        <v>302</v>
      </c>
      <c r="F1036" s="14">
        <v>3</v>
      </c>
      <c r="G1036" s="14">
        <v>2210</v>
      </c>
      <c r="H1036" s="14">
        <v>29.7</v>
      </c>
      <c r="I1036" s="14">
        <v>4660.8900000000003</v>
      </c>
      <c r="J1036" s="12" t="s">
        <v>104</v>
      </c>
      <c r="K1036" s="12" t="s">
        <v>111</v>
      </c>
      <c r="L1036" s="23" t="str">
        <f>VLOOKUP(D1036,Products!$A:$F,3,FALSE)</f>
        <v>Grocery</v>
      </c>
      <c r="M1036" s="23" t="str">
        <f>VLOOKUP(E1036,Sales_Reps!$A:$E,3,FALSE)</f>
        <v>East</v>
      </c>
      <c r="N1036" s="23" t="str">
        <f t="shared" si="48"/>
        <v>May-24</v>
      </c>
      <c r="O1036" s="23" t="str">
        <f t="shared" si="49"/>
        <v>Q2 2024</v>
      </c>
      <c r="P1036" s="23">
        <f>VLOOKUP(D1036,Products!$A:$F,4,FALSE)</f>
        <v>1010</v>
      </c>
      <c r="Q1036" s="35">
        <f t="shared" si="50"/>
        <v>0.54298642533936647</v>
      </c>
    </row>
    <row r="1037" spans="1:17">
      <c r="A1037" s="12" t="s">
        <v>1536</v>
      </c>
      <c r="B1037" s="13">
        <v>45361</v>
      </c>
      <c r="C1037" s="12" t="s">
        <v>619</v>
      </c>
      <c r="D1037" s="12" t="s">
        <v>114</v>
      </c>
      <c r="E1037" s="12" t="s">
        <v>128</v>
      </c>
      <c r="F1037" s="14">
        <v>9</v>
      </c>
      <c r="G1037" s="14">
        <v>470</v>
      </c>
      <c r="H1037" s="14">
        <v>27.1</v>
      </c>
      <c r="I1037" s="14">
        <v>3083.67</v>
      </c>
      <c r="J1037" s="12" t="s">
        <v>104</v>
      </c>
      <c r="K1037" s="12" t="s">
        <v>111</v>
      </c>
      <c r="L1037" s="23" t="str">
        <f>VLOOKUP(D1037,Products!$A:$F,3,FALSE)</f>
        <v>Sports</v>
      </c>
      <c r="M1037" s="23" t="str">
        <f>VLOOKUP(E1037,Sales_Reps!$A:$E,3,FALSE)</f>
        <v>West</v>
      </c>
      <c r="N1037" s="23" t="str">
        <f t="shared" si="48"/>
        <v>Mar-24</v>
      </c>
      <c r="O1037" s="23" t="str">
        <f t="shared" si="49"/>
        <v>Q1 2024</v>
      </c>
      <c r="P1037" s="23">
        <f>VLOOKUP(D1037,Products!$A:$F,4,FALSE)</f>
        <v>302</v>
      </c>
      <c r="Q1037" s="35">
        <f t="shared" si="50"/>
        <v>0.35744680851063831</v>
      </c>
    </row>
    <row r="1038" spans="1:17">
      <c r="A1038" s="12" t="s">
        <v>1537</v>
      </c>
      <c r="B1038" s="13">
        <v>45622</v>
      </c>
      <c r="C1038" s="12" t="s">
        <v>306</v>
      </c>
      <c r="D1038" s="12" t="s">
        <v>127</v>
      </c>
      <c r="E1038" s="12" t="s">
        <v>209</v>
      </c>
      <c r="F1038" s="14">
        <v>6</v>
      </c>
      <c r="G1038" s="14">
        <v>370</v>
      </c>
      <c r="H1038" s="14">
        <v>5.4</v>
      </c>
      <c r="I1038" s="14">
        <v>2100.12</v>
      </c>
      <c r="J1038" s="12" t="s">
        <v>104</v>
      </c>
      <c r="K1038" s="12" t="s">
        <v>111</v>
      </c>
      <c r="L1038" s="23" t="str">
        <f>VLOOKUP(D1038,Products!$A:$F,3,FALSE)</f>
        <v>Home</v>
      </c>
      <c r="M1038" s="23" t="str">
        <f>VLOOKUP(E1038,Sales_Reps!$A:$E,3,FALSE)</f>
        <v>East</v>
      </c>
      <c r="N1038" s="23" t="str">
        <f t="shared" si="48"/>
        <v>Nov-24</v>
      </c>
      <c r="O1038" s="23" t="str">
        <f t="shared" si="49"/>
        <v>Q4 2024</v>
      </c>
      <c r="P1038" s="23">
        <f>VLOOKUP(D1038,Products!$A:$F,4,FALSE)</f>
        <v>288</v>
      </c>
      <c r="Q1038" s="35">
        <f t="shared" si="50"/>
        <v>0.22162162162162163</v>
      </c>
    </row>
    <row r="1039" spans="1:17">
      <c r="A1039" s="12" t="s">
        <v>1538</v>
      </c>
      <c r="B1039" s="13">
        <v>45496</v>
      </c>
      <c r="C1039" s="12" t="s">
        <v>630</v>
      </c>
      <c r="D1039" s="12" t="s">
        <v>478</v>
      </c>
      <c r="E1039" s="12" t="s">
        <v>320</v>
      </c>
      <c r="F1039" s="14">
        <v>10</v>
      </c>
      <c r="G1039" s="14">
        <v>3780</v>
      </c>
      <c r="H1039" s="14">
        <v>21.5</v>
      </c>
      <c r="I1039" s="14">
        <v>29673</v>
      </c>
      <c r="J1039" s="12" t="s">
        <v>110</v>
      </c>
      <c r="K1039" s="12" t="s">
        <v>129</v>
      </c>
      <c r="L1039" s="23" t="str">
        <f>VLOOKUP(D1039,Products!$A:$F,3,FALSE)</f>
        <v>Sports</v>
      </c>
      <c r="M1039" s="23" t="str">
        <f>VLOOKUP(E1039,Sales_Reps!$A:$E,3,FALSE)</f>
        <v>East</v>
      </c>
      <c r="N1039" s="23" t="str">
        <f t="shared" si="48"/>
        <v>Jul-24</v>
      </c>
      <c r="O1039" s="23" t="str">
        <f t="shared" si="49"/>
        <v>Q3 2024</v>
      </c>
      <c r="P1039" s="23">
        <f>VLOOKUP(D1039,Products!$A:$F,4,FALSE)</f>
        <v>1860</v>
      </c>
      <c r="Q1039" s="35">
        <f t="shared" si="50"/>
        <v>0.50793650793650791</v>
      </c>
    </row>
    <row r="1040" spans="1:17">
      <c r="A1040" s="12" t="s">
        <v>1539</v>
      </c>
      <c r="B1040" s="13">
        <v>45578</v>
      </c>
      <c r="C1040" s="12" t="s">
        <v>507</v>
      </c>
      <c r="D1040" s="12" t="s">
        <v>532</v>
      </c>
      <c r="E1040" s="12" t="s">
        <v>221</v>
      </c>
      <c r="F1040" s="14">
        <v>4</v>
      </c>
      <c r="G1040" s="14">
        <v>6940</v>
      </c>
      <c r="H1040" s="14">
        <v>3.9</v>
      </c>
      <c r="I1040" s="14">
        <v>26677.360000000001</v>
      </c>
      <c r="J1040" s="12" t="s">
        <v>157</v>
      </c>
      <c r="K1040" s="12" t="s">
        <v>116</v>
      </c>
      <c r="L1040" s="23" t="str">
        <f>VLOOKUP(D1040,Products!$A:$F,3,FALSE)</f>
        <v>Sports</v>
      </c>
      <c r="M1040" s="23" t="str">
        <f>VLOOKUP(E1040,Sales_Reps!$A:$E,3,FALSE)</f>
        <v>South</v>
      </c>
      <c r="N1040" s="23" t="str">
        <f t="shared" si="48"/>
        <v>Oct-24</v>
      </c>
      <c r="O1040" s="23" t="str">
        <f t="shared" si="49"/>
        <v>Q4 2024</v>
      </c>
      <c r="P1040" s="23">
        <f>VLOOKUP(D1040,Products!$A:$F,4,FALSE)</f>
        <v>2827</v>
      </c>
      <c r="Q1040" s="35">
        <f t="shared" si="50"/>
        <v>0.5926512968299712</v>
      </c>
    </row>
    <row r="1041" spans="1:17">
      <c r="A1041" s="12" t="s">
        <v>1540</v>
      </c>
      <c r="B1041" s="13">
        <v>45476</v>
      </c>
      <c r="C1041" s="12" t="s">
        <v>550</v>
      </c>
      <c r="D1041" s="12" t="s">
        <v>243</v>
      </c>
      <c r="E1041" s="12" t="s">
        <v>302</v>
      </c>
      <c r="F1041" s="14">
        <v>3</v>
      </c>
      <c r="G1041" s="14">
        <v>3730</v>
      </c>
      <c r="H1041" s="14">
        <v>20.7</v>
      </c>
      <c r="I1041" s="14">
        <v>8873.67</v>
      </c>
      <c r="J1041" s="12" t="s">
        <v>104</v>
      </c>
      <c r="K1041" s="12" t="s">
        <v>116</v>
      </c>
      <c r="L1041" s="23" t="str">
        <f>VLOOKUP(D1041,Products!$A:$F,3,FALSE)</f>
        <v>Home</v>
      </c>
      <c r="M1041" s="23" t="str">
        <f>VLOOKUP(E1041,Sales_Reps!$A:$E,3,FALSE)</f>
        <v>East</v>
      </c>
      <c r="N1041" s="23" t="str">
        <f t="shared" si="48"/>
        <v>Jul-24</v>
      </c>
      <c r="O1041" s="23" t="str">
        <f t="shared" si="49"/>
        <v>Q3 2024</v>
      </c>
      <c r="P1041" s="23">
        <f>VLOOKUP(D1041,Products!$A:$F,4,FALSE)</f>
        <v>2135</v>
      </c>
      <c r="Q1041" s="35">
        <f t="shared" si="50"/>
        <v>0.42761394101876676</v>
      </c>
    </row>
    <row r="1042" spans="1:17">
      <c r="A1042" s="12" t="s">
        <v>1541</v>
      </c>
      <c r="B1042" s="13">
        <v>45300</v>
      </c>
      <c r="C1042" s="12" t="s">
        <v>1072</v>
      </c>
      <c r="D1042" s="12" t="s">
        <v>460</v>
      </c>
      <c r="E1042" s="12" t="s">
        <v>128</v>
      </c>
      <c r="F1042" s="14">
        <v>8</v>
      </c>
      <c r="G1042" s="14">
        <v>5080</v>
      </c>
      <c r="H1042" s="14">
        <v>6.2</v>
      </c>
      <c r="I1042" s="14">
        <v>38120.32</v>
      </c>
      <c r="J1042" s="12" t="s">
        <v>104</v>
      </c>
      <c r="K1042" s="12" t="s">
        <v>129</v>
      </c>
      <c r="L1042" s="23" t="str">
        <f>VLOOKUP(D1042,Products!$A:$F,3,FALSE)</f>
        <v>Home</v>
      </c>
      <c r="M1042" s="23" t="str">
        <f>VLOOKUP(E1042,Sales_Reps!$A:$E,3,FALSE)</f>
        <v>West</v>
      </c>
      <c r="N1042" s="23" t="str">
        <f t="shared" si="48"/>
        <v>Jan-24</v>
      </c>
      <c r="O1042" s="23" t="str">
        <f t="shared" si="49"/>
        <v>Q1 2024</v>
      </c>
      <c r="P1042" s="23">
        <f>VLOOKUP(D1042,Products!$A:$F,4,FALSE)</f>
        <v>2459</v>
      </c>
      <c r="Q1042" s="35">
        <f t="shared" si="50"/>
        <v>0.51594488188976373</v>
      </c>
    </row>
    <row r="1043" spans="1:17">
      <c r="A1043" s="12" t="s">
        <v>1542</v>
      </c>
      <c r="B1043" s="13">
        <v>45455</v>
      </c>
      <c r="C1043" s="12" t="s">
        <v>183</v>
      </c>
      <c r="D1043" s="12" t="s">
        <v>377</v>
      </c>
      <c r="E1043" s="12" t="s">
        <v>232</v>
      </c>
      <c r="F1043" s="14">
        <v>5</v>
      </c>
      <c r="G1043" s="14">
        <v>5410</v>
      </c>
      <c r="H1043" s="14">
        <v>5.2</v>
      </c>
      <c r="I1043" s="14">
        <v>25643.4</v>
      </c>
      <c r="J1043" s="12" t="s">
        <v>104</v>
      </c>
      <c r="K1043" s="12" t="s">
        <v>150</v>
      </c>
      <c r="L1043" s="23" t="str">
        <f>VLOOKUP(D1043,Products!$A:$F,3,FALSE)</f>
        <v>Sports</v>
      </c>
      <c r="M1043" s="23" t="str">
        <f>VLOOKUP(E1043,Sales_Reps!$A:$E,3,FALSE)</f>
        <v>North</v>
      </c>
      <c r="N1043" s="23" t="str">
        <f t="shared" si="48"/>
        <v>Jun-24</v>
      </c>
      <c r="O1043" s="23" t="str">
        <f t="shared" si="49"/>
        <v>Q2 2024</v>
      </c>
      <c r="P1043" s="23">
        <f>VLOOKUP(D1043,Products!$A:$F,4,FALSE)</f>
        <v>2265</v>
      </c>
      <c r="Q1043" s="35">
        <f t="shared" si="50"/>
        <v>0.58133086876155271</v>
      </c>
    </row>
    <row r="1044" spans="1:17">
      <c r="A1044" s="12" t="s">
        <v>1543</v>
      </c>
      <c r="B1044" s="13">
        <v>45404</v>
      </c>
      <c r="C1044" s="12" t="s">
        <v>437</v>
      </c>
      <c r="D1044" s="12" t="s">
        <v>190</v>
      </c>
      <c r="E1044" s="12" t="s">
        <v>218</v>
      </c>
      <c r="F1044" s="14">
        <v>6</v>
      </c>
      <c r="G1044" s="14">
        <v>2720</v>
      </c>
      <c r="H1044" s="14">
        <v>29.8</v>
      </c>
      <c r="I1044" s="14">
        <v>11456.64</v>
      </c>
      <c r="J1044" s="12" t="s">
        <v>110</v>
      </c>
      <c r="K1044" s="12" t="s">
        <v>116</v>
      </c>
      <c r="L1044" s="23" t="str">
        <f>VLOOKUP(D1044,Products!$A:$F,3,FALSE)</f>
        <v>Apparel</v>
      </c>
      <c r="M1044" s="23" t="str">
        <f>VLOOKUP(E1044,Sales_Reps!$A:$E,3,FALSE)</f>
        <v>West</v>
      </c>
      <c r="N1044" s="23" t="str">
        <f t="shared" si="48"/>
        <v>Apr-24</v>
      </c>
      <c r="O1044" s="23" t="str">
        <f t="shared" si="49"/>
        <v>Q2 2024</v>
      </c>
      <c r="P1044" s="23">
        <f>VLOOKUP(D1044,Products!$A:$F,4,FALSE)</f>
        <v>1962</v>
      </c>
      <c r="Q1044" s="35">
        <f t="shared" si="50"/>
        <v>0.2786764705882353</v>
      </c>
    </row>
    <row r="1045" spans="1:17">
      <c r="A1045" s="12" t="s">
        <v>1544</v>
      </c>
      <c r="B1045" s="13">
        <v>45468</v>
      </c>
      <c r="C1045" s="12" t="s">
        <v>393</v>
      </c>
      <c r="D1045" s="12" t="s">
        <v>284</v>
      </c>
      <c r="E1045" s="12" t="s">
        <v>149</v>
      </c>
      <c r="F1045" s="14">
        <v>1</v>
      </c>
      <c r="G1045" s="14">
        <v>1220</v>
      </c>
      <c r="H1045" s="14">
        <v>22.6</v>
      </c>
      <c r="I1045" s="14">
        <v>944.28</v>
      </c>
      <c r="J1045" s="12" t="s">
        <v>104</v>
      </c>
      <c r="K1045" s="12" t="s">
        <v>134</v>
      </c>
      <c r="L1045" s="23" t="str">
        <f>VLOOKUP(D1045,Products!$A:$F,3,FALSE)</f>
        <v>Electronics</v>
      </c>
      <c r="M1045" s="23" t="str">
        <f>VLOOKUP(E1045,Sales_Reps!$A:$E,3,FALSE)</f>
        <v>South</v>
      </c>
      <c r="N1045" s="23" t="str">
        <f t="shared" si="48"/>
        <v>Jun-24</v>
      </c>
      <c r="O1045" s="23" t="str">
        <f t="shared" si="49"/>
        <v>Q2 2024</v>
      </c>
      <c r="P1045" s="23">
        <f>VLOOKUP(D1045,Products!$A:$F,4,FALSE)</f>
        <v>517</v>
      </c>
      <c r="Q1045" s="35">
        <f t="shared" si="50"/>
        <v>0.57622950819672136</v>
      </c>
    </row>
    <row r="1046" spans="1:17">
      <c r="A1046" s="12" t="s">
        <v>1545</v>
      </c>
      <c r="B1046" s="13">
        <v>45640</v>
      </c>
      <c r="C1046" s="12" t="s">
        <v>1546</v>
      </c>
      <c r="D1046" s="12" t="s">
        <v>201</v>
      </c>
      <c r="E1046" s="12" t="s">
        <v>124</v>
      </c>
      <c r="F1046" s="14">
        <v>10</v>
      </c>
      <c r="G1046" s="14">
        <v>4880</v>
      </c>
      <c r="H1046" s="14">
        <v>7.3</v>
      </c>
      <c r="I1046" s="14">
        <v>45237.599999999999</v>
      </c>
      <c r="J1046" s="12" t="s">
        <v>104</v>
      </c>
      <c r="K1046" s="12" t="s">
        <v>111</v>
      </c>
      <c r="L1046" s="23" t="str">
        <f>VLOOKUP(D1046,Products!$A:$F,3,FALSE)</f>
        <v>Beauty</v>
      </c>
      <c r="M1046" s="23" t="str">
        <f>VLOOKUP(E1046,Sales_Reps!$A:$E,3,FALSE)</f>
        <v>North</v>
      </c>
      <c r="N1046" s="23" t="str">
        <f t="shared" si="48"/>
        <v>Dec-24</v>
      </c>
      <c r="O1046" s="23" t="str">
        <f t="shared" si="49"/>
        <v>Q4 2024</v>
      </c>
      <c r="P1046" s="23">
        <f>VLOOKUP(D1046,Products!$A:$F,4,FALSE)</f>
        <v>2768</v>
      </c>
      <c r="Q1046" s="35">
        <f t="shared" si="50"/>
        <v>0.43278688524590164</v>
      </c>
    </row>
    <row r="1047" spans="1:17">
      <c r="A1047" s="12" t="s">
        <v>1547</v>
      </c>
      <c r="B1047" s="13">
        <v>45450</v>
      </c>
      <c r="C1047" s="12" t="s">
        <v>889</v>
      </c>
      <c r="D1047" s="12" t="s">
        <v>262</v>
      </c>
      <c r="E1047" s="12" t="s">
        <v>175</v>
      </c>
      <c r="F1047" s="14">
        <v>10</v>
      </c>
      <c r="G1047" s="14">
        <v>2270</v>
      </c>
      <c r="H1047" s="14">
        <v>1.6</v>
      </c>
      <c r="I1047" s="14">
        <v>22336.799999999999</v>
      </c>
      <c r="J1047" s="12" t="s">
        <v>104</v>
      </c>
      <c r="K1047" s="12" t="s">
        <v>129</v>
      </c>
      <c r="L1047" s="23" t="str">
        <f>VLOOKUP(D1047,Products!$A:$F,3,FALSE)</f>
        <v>Grocery</v>
      </c>
      <c r="M1047" s="23" t="str">
        <f>VLOOKUP(E1047,Sales_Reps!$A:$E,3,FALSE)</f>
        <v>East</v>
      </c>
      <c r="N1047" s="23" t="str">
        <f t="shared" si="48"/>
        <v>Jun-24</v>
      </c>
      <c r="O1047" s="23" t="str">
        <f t="shared" si="49"/>
        <v>Q2 2024</v>
      </c>
      <c r="P1047" s="23">
        <f>VLOOKUP(D1047,Products!$A:$F,4,FALSE)</f>
        <v>1412</v>
      </c>
      <c r="Q1047" s="35">
        <f t="shared" si="50"/>
        <v>0.37797356828193834</v>
      </c>
    </row>
    <row r="1048" spans="1:17">
      <c r="A1048" s="12" t="s">
        <v>1548</v>
      </c>
      <c r="B1048" s="13">
        <v>45589</v>
      </c>
      <c r="C1048" s="12" t="s">
        <v>424</v>
      </c>
      <c r="D1048" s="12" t="s">
        <v>144</v>
      </c>
      <c r="E1048" s="12" t="s">
        <v>165</v>
      </c>
      <c r="F1048" s="14">
        <v>8</v>
      </c>
      <c r="G1048" s="14">
        <v>970</v>
      </c>
      <c r="H1048" s="14">
        <v>13.1</v>
      </c>
      <c r="I1048" s="14">
        <v>6743.44</v>
      </c>
      <c r="J1048" s="12" t="s">
        <v>104</v>
      </c>
      <c r="K1048" s="12" t="s">
        <v>105</v>
      </c>
      <c r="L1048" s="23" t="str">
        <f>VLOOKUP(D1048,Products!$A:$F,3,FALSE)</f>
        <v>Grocery</v>
      </c>
      <c r="M1048" s="23" t="str">
        <f>VLOOKUP(E1048,Sales_Reps!$A:$E,3,FALSE)</f>
        <v>North</v>
      </c>
      <c r="N1048" s="23" t="str">
        <f t="shared" si="48"/>
        <v>Oct-24</v>
      </c>
      <c r="O1048" s="23" t="str">
        <f t="shared" si="49"/>
        <v>Q4 2024</v>
      </c>
      <c r="P1048" s="23">
        <f>VLOOKUP(D1048,Products!$A:$F,4,FALSE)</f>
        <v>434</v>
      </c>
      <c r="Q1048" s="35">
        <f t="shared" si="50"/>
        <v>0.5525773195876289</v>
      </c>
    </row>
    <row r="1049" spans="1:17">
      <c r="A1049" s="12" t="s">
        <v>1549</v>
      </c>
      <c r="B1049" s="13">
        <v>45646</v>
      </c>
      <c r="C1049" s="12" t="s">
        <v>399</v>
      </c>
      <c r="D1049" s="12" t="s">
        <v>384</v>
      </c>
      <c r="E1049" s="12" t="s">
        <v>342</v>
      </c>
      <c r="F1049" s="14">
        <v>7</v>
      </c>
      <c r="G1049" s="14">
        <v>2380</v>
      </c>
      <c r="H1049" s="14">
        <v>10.6</v>
      </c>
      <c r="I1049" s="14">
        <v>14894.04</v>
      </c>
      <c r="J1049" s="12" t="s">
        <v>157</v>
      </c>
      <c r="K1049" s="12" t="s">
        <v>116</v>
      </c>
      <c r="L1049" s="23" t="str">
        <f>VLOOKUP(D1049,Products!$A:$F,3,FALSE)</f>
        <v>Grocery</v>
      </c>
      <c r="M1049" s="23" t="str">
        <f>VLOOKUP(E1049,Sales_Reps!$A:$E,3,FALSE)</f>
        <v>South</v>
      </c>
      <c r="N1049" s="23" t="str">
        <f t="shared" si="48"/>
        <v>Dec-24</v>
      </c>
      <c r="O1049" s="23" t="str">
        <f t="shared" si="49"/>
        <v>Q4 2024</v>
      </c>
      <c r="P1049" s="23">
        <f>VLOOKUP(D1049,Products!$A:$F,4,FALSE)</f>
        <v>1182</v>
      </c>
      <c r="Q1049" s="35">
        <f t="shared" si="50"/>
        <v>0.50336134453781511</v>
      </c>
    </row>
    <row r="1050" spans="1:17">
      <c r="A1050" s="12" t="s">
        <v>1550</v>
      </c>
      <c r="B1050" s="13">
        <v>45488</v>
      </c>
      <c r="C1050" s="12" t="s">
        <v>1551</v>
      </c>
      <c r="D1050" s="12" t="s">
        <v>102</v>
      </c>
      <c r="E1050" s="12" t="s">
        <v>363</v>
      </c>
      <c r="F1050" s="14">
        <v>6</v>
      </c>
      <c r="G1050" s="14">
        <v>3620</v>
      </c>
      <c r="H1050" s="14">
        <v>21.3</v>
      </c>
      <c r="I1050" s="14">
        <v>17093.64</v>
      </c>
      <c r="J1050" s="12" t="s">
        <v>157</v>
      </c>
      <c r="K1050" s="12" t="s">
        <v>150</v>
      </c>
      <c r="L1050" s="23" t="str">
        <f>VLOOKUP(D1050,Products!$A:$F,3,FALSE)</f>
        <v>Apparel</v>
      </c>
      <c r="M1050" s="23" t="str">
        <f>VLOOKUP(E1050,Sales_Reps!$A:$E,3,FALSE)</f>
        <v>South</v>
      </c>
      <c r="N1050" s="23" t="str">
        <f t="shared" si="48"/>
        <v>Jul-24</v>
      </c>
      <c r="O1050" s="23" t="str">
        <f t="shared" si="49"/>
        <v>Q3 2024</v>
      </c>
      <c r="P1050" s="23">
        <f>VLOOKUP(D1050,Products!$A:$F,4,FALSE)</f>
        <v>2509</v>
      </c>
      <c r="Q1050" s="35">
        <f t="shared" si="50"/>
        <v>0.3069060773480663</v>
      </c>
    </row>
    <row r="1051" spans="1:17">
      <c r="A1051" s="12" t="s">
        <v>1552</v>
      </c>
      <c r="B1051" s="13">
        <v>45555</v>
      </c>
      <c r="C1051" s="12" t="s">
        <v>507</v>
      </c>
      <c r="D1051" s="12" t="s">
        <v>281</v>
      </c>
      <c r="E1051" s="12" t="s">
        <v>360</v>
      </c>
      <c r="F1051" s="14">
        <v>3</v>
      </c>
      <c r="G1051" s="14">
        <v>4070</v>
      </c>
      <c r="H1051" s="14">
        <v>8.1999999999999993</v>
      </c>
      <c r="I1051" s="14">
        <v>11208.78</v>
      </c>
      <c r="J1051" s="12" t="s">
        <v>157</v>
      </c>
      <c r="K1051" s="12" t="s">
        <v>116</v>
      </c>
      <c r="L1051" s="23" t="str">
        <f>VLOOKUP(D1051,Products!$A:$F,3,FALSE)</f>
        <v>Grocery</v>
      </c>
      <c r="M1051" s="23" t="str">
        <f>VLOOKUP(E1051,Sales_Reps!$A:$E,3,FALSE)</f>
        <v>West</v>
      </c>
      <c r="N1051" s="23" t="str">
        <f t="shared" si="48"/>
        <v>Sep-24</v>
      </c>
      <c r="O1051" s="23" t="str">
        <f t="shared" si="49"/>
        <v>Q3 2024</v>
      </c>
      <c r="P1051" s="23">
        <f>VLOOKUP(D1051,Products!$A:$F,4,FALSE)</f>
        <v>2027</v>
      </c>
      <c r="Q1051" s="35">
        <f t="shared" si="50"/>
        <v>0.50196560196560192</v>
      </c>
    </row>
    <row r="1052" spans="1:17">
      <c r="A1052" s="12" t="s">
        <v>1553</v>
      </c>
      <c r="B1052" s="13">
        <v>45578</v>
      </c>
      <c r="C1052" s="12" t="s">
        <v>471</v>
      </c>
      <c r="D1052" s="12" t="s">
        <v>208</v>
      </c>
      <c r="E1052" s="12" t="s">
        <v>218</v>
      </c>
      <c r="F1052" s="14">
        <v>8</v>
      </c>
      <c r="G1052" s="14">
        <v>5100</v>
      </c>
      <c r="H1052" s="14">
        <v>26.9</v>
      </c>
      <c r="I1052" s="14">
        <v>29824.799999999999</v>
      </c>
      <c r="J1052" s="12" t="s">
        <v>104</v>
      </c>
      <c r="K1052" s="12" t="s">
        <v>150</v>
      </c>
      <c r="L1052" s="23" t="str">
        <f>VLOOKUP(D1052,Products!$A:$F,3,FALSE)</f>
        <v>Beauty</v>
      </c>
      <c r="M1052" s="23" t="str">
        <f>VLOOKUP(E1052,Sales_Reps!$A:$E,3,FALSE)</f>
        <v>West</v>
      </c>
      <c r="N1052" s="23" t="str">
        <f t="shared" si="48"/>
        <v>Oct-24</v>
      </c>
      <c r="O1052" s="23" t="str">
        <f t="shared" si="49"/>
        <v>Q4 2024</v>
      </c>
      <c r="P1052" s="23">
        <f>VLOOKUP(D1052,Products!$A:$F,4,FALSE)</f>
        <v>2237</v>
      </c>
      <c r="Q1052" s="35">
        <f t="shared" si="50"/>
        <v>0.56137254901960787</v>
      </c>
    </row>
    <row r="1053" spans="1:17">
      <c r="A1053" s="12" t="s">
        <v>1305</v>
      </c>
      <c r="B1053" s="13">
        <v>45296</v>
      </c>
      <c r="C1053" s="12" t="s">
        <v>889</v>
      </c>
      <c r="D1053" s="12" t="s">
        <v>293</v>
      </c>
      <c r="E1053" s="12" t="s">
        <v>255</v>
      </c>
      <c r="F1053" s="14">
        <v>3</v>
      </c>
      <c r="G1053" s="14">
        <v>3020</v>
      </c>
      <c r="H1053" s="14">
        <v>18.5</v>
      </c>
      <c r="I1053" s="14">
        <v>7383.9</v>
      </c>
      <c r="J1053" s="12" t="s">
        <v>157</v>
      </c>
      <c r="K1053" s="12" t="s">
        <v>129</v>
      </c>
      <c r="L1053" s="23" t="str">
        <f>VLOOKUP(D1053,Products!$A:$F,3,FALSE)</f>
        <v>Beauty</v>
      </c>
      <c r="M1053" s="23" t="str">
        <f>VLOOKUP(E1053,Sales_Reps!$A:$E,3,FALSE)</f>
        <v>East</v>
      </c>
      <c r="N1053" s="23" t="str">
        <f t="shared" si="48"/>
        <v>Jan-24</v>
      </c>
      <c r="O1053" s="23" t="str">
        <f t="shared" si="49"/>
        <v>Q1 2024</v>
      </c>
      <c r="P1053" s="23">
        <f>VLOOKUP(D1053,Products!$A:$F,4,FALSE)</f>
        <v>1626</v>
      </c>
      <c r="Q1053" s="35">
        <f t="shared" si="50"/>
        <v>0.46158940397350995</v>
      </c>
    </row>
    <row r="1054" spans="1:17">
      <c r="A1054" s="12" t="s">
        <v>1554</v>
      </c>
      <c r="B1054" s="13">
        <v>45564</v>
      </c>
      <c r="C1054" s="12" t="s">
        <v>1113</v>
      </c>
      <c r="D1054" s="12" t="s">
        <v>397</v>
      </c>
      <c r="E1054" s="12" t="s">
        <v>314</v>
      </c>
      <c r="F1054" s="14">
        <v>8</v>
      </c>
      <c r="G1054" s="14">
        <v>960</v>
      </c>
      <c r="H1054" s="14">
        <v>7.1</v>
      </c>
      <c r="I1054" s="14">
        <v>7134.72</v>
      </c>
      <c r="J1054" s="12" t="s">
        <v>104</v>
      </c>
      <c r="K1054" s="12" t="s">
        <v>105</v>
      </c>
      <c r="L1054" s="23" t="str">
        <f>VLOOKUP(D1054,Products!$A:$F,3,FALSE)</f>
        <v>Beauty</v>
      </c>
      <c r="M1054" s="23" t="str">
        <f>VLOOKUP(E1054,Sales_Reps!$A:$E,3,FALSE)</f>
        <v>North</v>
      </c>
      <c r="N1054" s="23" t="str">
        <f t="shared" si="48"/>
        <v>Sep-24</v>
      </c>
      <c r="O1054" s="23" t="str">
        <f t="shared" si="49"/>
        <v>Q3 2024</v>
      </c>
      <c r="P1054" s="23">
        <f>VLOOKUP(D1054,Products!$A:$F,4,FALSE)</f>
        <v>675</v>
      </c>
      <c r="Q1054" s="35">
        <f t="shared" si="50"/>
        <v>0.296875</v>
      </c>
    </row>
    <row r="1055" spans="1:17">
      <c r="A1055" s="12" t="s">
        <v>1555</v>
      </c>
      <c r="B1055" s="13">
        <v>45383</v>
      </c>
      <c r="C1055" s="12" t="s">
        <v>619</v>
      </c>
      <c r="D1055" s="12" t="s">
        <v>460</v>
      </c>
      <c r="E1055" s="12" t="s">
        <v>205</v>
      </c>
      <c r="F1055" s="14">
        <v>8</v>
      </c>
      <c r="G1055" s="14">
        <v>5080</v>
      </c>
      <c r="H1055" s="14">
        <v>6.2</v>
      </c>
      <c r="I1055" s="14">
        <v>38120.32</v>
      </c>
      <c r="J1055" s="12" t="s">
        <v>104</v>
      </c>
      <c r="K1055" s="12" t="s">
        <v>111</v>
      </c>
      <c r="L1055" s="23" t="str">
        <f>VLOOKUP(D1055,Products!$A:$F,3,FALSE)</f>
        <v>Home</v>
      </c>
      <c r="M1055" s="23" t="str">
        <f>VLOOKUP(E1055,Sales_Reps!$A:$E,3,FALSE)</f>
        <v>South</v>
      </c>
      <c r="N1055" s="23" t="str">
        <f t="shared" si="48"/>
        <v>Apr-24</v>
      </c>
      <c r="O1055" s="23" t="str">
        <f t="shared" si="49"/>
        <v>Q2 2024</v>
      </c>
      <c r="P1055" s="23">
        <f>VLOOKUP(D1055,Products!$A:$F,4,FALSE)</f>
        <v>2459</v>
      </c>
      <c r="Q1055" s="35">
        <f t="shared" si="50"/>
        <v>0.51594488188976373</v>
      </c>
    </row>
    <row r="1056" spans="1:17">
      <c r="A1056" s="12" t="s">
        <v>1556</v>
      </c>
      <c r="B1056" s="13">
        <v>45436</v>
      </c>
      <c r="C1056" s="12" t="s">
        <v>558</v>
      </c>
      <c r="D1056" s="12" t="s">
        <v>258</v>
      </c>
      <c r="E1056" s="12" t="s">
        <v>149</v>
      </c>
      <c r="F1056" s="14">
        <v>6</v>
      </c>
      <c r="G1056" s="14">
        <v>6080</v>
      </c>
      <c r="H1056" s="14">
        <v>25.8</v>
      </c>
      <c r="I1056" s="14">
        <v>27068.16</v>
      </c>
      <c r="J1056" s="12" t="s">
        <v>104</v>
      </c>
      <c r="K1056" s="12" t="s">
        <v>111</v>
      </c>
      <c r="L1056" s="23" t="str">
        <f>VLOOKUP(D1056,Products!$A:$F,3,FALSE)</f>
        <v>Beauty</v>
      </c>
      <c r="M1056" s="23" t="str">
        <f>VLOOKUP(E1056,Sales_Reps!$A:$E,3,FALSE)</f>
        <v>South</v>
      </c>
      <c r="N1056" s="23" t="str">
        <f t="shared" si="48"/>
        <v>May-24</v>
      </c>
      <c r="O1056" s="23" t="str">
        <f t="shared" si="49"/>
        <v>Q2 2024</v>
      </c>
      <c r="P1056" s="23">
        <f>VLOOKUP(D1056,Products!$A:$F,4,FALSE)</f>
        <v>2617</v>
      </c>
      <c r="Q1056" s="35">
        <f t="shared" si="50"/>
        <v>0.56957236842105263</v>
      </c>
    </row>
    <row r="1057" spans="1:17">
      <c r="A1057" s="12" t="s">
        <v>1557</v>
      </c>
      <c r="B1057" s="13">
        <v>45544</v>
      </c>
      <c r="C1057" s="12" t="s">
        <v>556</v>
      </c>
      <c r="D1057" s="12" t="s">
        <v>276</v>
      </c>
      <c r="E1057" s="12" t="s">
        <v>149</v>
      </c>
      <c r="F1057" s="14">
        <v>5</v>
      </c>
      <c r="G1057" s="14">
        <v>1540</v>
      </c>
      <c r="H1057" s="14">
        <v>24.6</v>
      </c>
      <c r="I1057" s="14">
        <v>5805.8</v>
      </c>
      <c r="J1057" s="12" t="s">
        <v>104</v>
      </c>
      <c r="K1057" s="12" t="s">
        <v>150</v>
      </c>
      <c r="L1057" s="23" t="str">
        <f>VLOOKUP(D1057,Products!$A:$F,3,FALSE)</f>
        <v>Beauty</v>
      </c>
      <c r="M1057" s="23" t="str">
        <f>VLOOKUP(E1057,Sales_Reps!$A:$E,3,FALSE)</f>
        <v>South</v>
      </c>
      <c r="N1057" s="23" t="str">
        <f t="shared" si="48"/>
        <v>Sep-24</v>
      </c>
      <c r="O1057" s="23" t="str">
        <f t="shared" si="49"/>
        <v>Q3 2024</v>
      </c>
      <c r="P1057" s="23">
        <f>VLOOKUP(D1057,Products!$A:$F,4,FALSE)</f>
        <v>647</v>
      </c>
      <c r="Q1057" s="35">
        <f t="shared" si="50"/>
        <v>0.57987012987012987</v>
      </c>
    </row>
    <row r="1058" spans="1:17">
      <c r="A1058" s="12" t="s">
        <v>1558</v>
      </c>
      <c r="B1058" s="13">
        <v>45404</v>
      </c>
      <c r="C1058" s="12" t="s">
        <v>796</v>
      </c>
      <c r="D1058" s="12" t="s">
        <v>199</v>
      </c>
      <c r="E1058" s="12" t="s">
        <v>133</v>
      </c>
      <c r="F1058" s="14">
        <v>4</v>
      </c>
      <c r="G1058" s="14">
        <v>1010</v>
      </c>
      <c r="H1058" s="14">
        <v>2.9</v>
      </c>
      <c r="I1058" s="14">
        <v>3922.84</v>
      </c>
      <c r="J1058" s="12" t="s">
        <v>110</v>
      </c>
      <c r="K1058" s="12" t="s">
        <v>134</v>
      </c>
      <c r="L1058" s="23" t="str">
        <f>VLOOKUP(D1058,Products!$A:$F,3,FALSE)</f>
        <v>Sports</v>
      </c>
      <c r="M1058" s="23" t="str">
        <f>VLOOKUP(E1058,Sales_Reps!$A:$E,3,FALSE)</f>
        <v>West</v>
      </c>
      <c r="N1058" s="23" t="str">
        <f t="shared" si="48"/>
        <v>Apr-24</v>
      </c>
      <c r="O1058" s="23" t="str">
        <f t="shared" si="49"/>
        <v>Q2 2024</v>
      </c>
      <c r="P1058" s="23">
        <f>VLOOKUP(D1058,Products!$A:$F,4,FALSE)</f>
        <v>516</v>
      </c>
      <c r="Q1058" s="35">
        <f t="shared" si="50"/>
        <v>0.4891089108910891</v>
      </c>
    </row>
    <row r="1059" spans="1:17">
      <c r="A1059" s="12" t="s">
        <v>1559</v>
      </c>
      <c r="B1059" s="13">
        <v>45586</v>
      </c>
      <c r="C1059" s="12" t="s">
        <v>550</v>
      </c>
      <c r="D1059" s="12" t="s">
        <v>397</v>
      </c>
      <c r="E1059" s="12" t="s">
        <v>218</v>
      </c>
      <c r="F1059" s="14">
        <v>5</v>
      </c>
      <c r="G1059" s="14">
        <v>960</v>
      </c>
      <c r="H1059" s="14">
        <v>11.4</v>
      </c>
      <c r="I1059" s="14">
        <v>4252.8</v>
      </c>
      <c r="J1059" s="12" t="s">
        <v>104</v>
      </c>
      <c r="K1059" s="12" t="s">
        <v>116</v>
      </c>
      <c r="L1059" s="23" t="str">
        <f>VLOOKUP(D1059,Products!$A:$F,3,FALSE)</f>
        <v>Beauty</v>
      </c>
      <c r="M1059" s="23" t="str">
        <f>VLOOKUP(E1059,Sales_Reps!$A:$E,3,FALSE)</f>
        <v>West</v>
      </c>
      <c r="N1059" s="23" t="str">
        <f t="shared" si="48"/>
        <v>Oct-24</v>
      </c>
      <c r="O1059" s="23" t="str">
        <f t="shared" si="49"/>
        <v>Q4 2024</v>
      </c>
      <c r="P1059" s="23">
        <f>VLOOKUP(D1059,Products!$A:$F,4,FALSE)</f>
        <v>675</v>
      </c>
      <c r="Q1059" s="35">
        <f t="shared" si="50"/>
        <v>0.296875</v>
      </c>
    </row>
    <row r="1060" spans="1:17">
      <c r="A1060" s="12" t="s">
        <v>1560</v>
      </c>
      <c r="B1060" s="13">
        <v>45524</v>
      </c>
      <c r="C1060" s="12" t="s">
        <v>248</v>
      </c>
      <c r="D1060" s="12" t="s">
        <v>276</v>
      </c>
      <c r="E1060" s="12" t="s">
        <v>149</v>
      </c>
      <c r="F1060" s="14">
        <v>1</v>
      </c>
      <c r="G1060" s="14">
        <v>1540</v>
      </c>
      <c r="H1060" s="14">
        <v>5.6</v>
      </c>
      <c r="I1060" s="14">
        <v>1453.76</v>
      </c>
      <c r="J1060" s="12" t="s">
        <v>104</v>
      </c>
      <c r="K1060" s="12" t="s">
        <v>134</v>
      </c>
      <c r="L1060" s="23" t="str">
        <f>VLOOKUP(D1060,Products!$A:$F,3,FALSE)</f>
        <v>Beauty</v>
      </c>
      <c r="M1060" s="23" t="str">
        <f>VLOOKUP(E1060,Sales_Reps!$A:$E,3,FALSE)</f>
        <v>South</v>
      </c>
      <c r="N1060" s="23" t="str">
        <f t="shared" si="48"/>
        <v>Aug-24</v>
      </c>
      <c r="O1060" s="23" t="str">
        <f t="shared" si="49"/>
        <v>Q3 2024</v>
      </c>
      <c r="P1060" s="23">
        <f>VLOOKUP(D1060,Products!$A:$F,4,FALSE)</f>
        <v>647</v>
      </c>
      <c r="Q1060" s="35">
        <f t="shared" si="50"/>
        <v>0.57987012987012987</v>
      </c>
    </row>
    <row r="1061" spans="1:17">
      <c r="A1061" s="12" t="s">
        <v>1561</v>
      </c>
      <c r="B1061" s="13">
        <v>45397</v>
      </c>
      <c r="C1061" s="12" t="s">
        <v>1020</v>
      </c>
      <c r="D1061" s="12" t="s">
        <v>196</v>
      </c>
      <c r="E1061" s="12" t="s">
        <v>138</v>
      </c>
      <c r="F1061" s="14">
        <v>9</v>
      </c>
      <c r="G1061" s="14">
        <v>3350</v>
      </c>
      <c r="H1061" s="14">
        <v>2.1</v>
      </c>
      <c r="I1061" s="14">
        <v>29516.85</v>
      </c>
      <c r="J1061" s="12" t="s">
        <v>104</v>
      </c>
      <c r="K1061" s="12" t="s">
        <v>116</v>
      </c>
      <c r="L1061" s="23" t="str">
        <f>VLOOKUP(D1061,Products!$A:$F,3,FALSE)</f>
        <v>Beauty</v>
      </c>
      <c r="M1061" s="23" t="str">
        <f>VLOOKUP(E1061,Sales_Reps!$A:$E,3,FALSE)</f>
        <v>East</v>
      </c>
      <c r="N1061" s="23" t="str">
        <f t="shared" si="48"/>
        <v>Apr-24</v>
      </c>
      <c r="O1061" s="23" t="str">
        <f t="shared" si="49"/>
        <v>Q2 2024</v>
      </c>
      <c r="P1061" s="23">
        <f>VLOOKUP(D1061,Products!$A:$F,4,FALSE)</f>
        <v>1728</v>
      </c>
      <c r="Q1061" s="35">
        <f t="shared" si="50"/>
        <v>0.48417910447761192</v>
      </c>
    </row>
    <row r="1062" spans="1:17">
      <c r="A1062" s="12" t="s">
        <v>1562</v>
      </c>
      <c r="B1062" s="13">
        <v>45336</v>
      </c>
      <c r="C1062" s="12" t="s">
        <v>925</v>
      </c>
      <c r="D1062" s="12" t="s">
        <v>178</v>
      </c>
      <c r="E1062" s="12" t="s">
        <v>175</v>
      </c>
      <c r="F1062" s="14">
        <v>7</v>
      </c>
      <c r="G1062" s="14">
        <v>3450</v>
      </c>
      <c r="H1062" s="14">
        <v>4.7</v>
      </c>
      <c r="I1062" s="14">
        <v>23014.95</v>
      </c>
      <c r="J1062" s="12" t="s">
        <v>104</v>
      </c>
      <c r="K1062" s="12" t="s">
        <v>150</v>
      </c>
      <c r="L1062" s="23" t="str">
        <f>VLOOKUP(D1062,Products!$A:$F,3,FALSE)</f>
        <v>Sports</v>
      </c>
      <c r="M1062" s="23" t="str">
        <f>VLOOKUP(E1062,Sales_Reps!$A:$E,3,FALSE)</f>
        <v>East</v>
      </c>
      <c r="N1062" s="23" t="str">
        <f t="shared" si="48"/>
        <v>Feb-24</v>
      </c>
      <c r="O1062" s="23" t="str">
        <f t="shared" si="49"/>
        <v>Q1 2024</v>
      </c>
      <c r="P1062" s="23">
        <f>VLOOKUP(D1062,Products!$A:$F,4,FALSE)</f>
        <v>2467</v>
      </c>
      <c r="Q1062" s="35">
        <f t="shared" si="50"/>
        <v>0.28492753623188405</v>
      </c>
    </row>
    <row r="1063" spans="1:17">
      <c r="A1063" s="12" t="s">
        <v>1563</v>
      </c>
      <c r="B1063" s="13">
        <v>45594</v>
      </c>
      <c r="C1063" s="12" t="s">
        <v>311</v>
      </c>
      <c r="D1063" s="12" t="s">
        <v>132</v>
      </c>
      <c r="E1063" s="12" t="s">
        <v>138</v>
      </c>
      <c r="F1063" s="14">
        <v>10</v>
      </c>
      <c r="G1063" s="14">
        <v>960</v>
      </c>
      <c r="H1063" s="14">
        <v>17.899999999999999</v>
      </c>
      <c r="I1063" s="14">
        <v>7881.6</v>
      </c>
      <c r="J1063" s="12" t="s">
        <v>104</v>
      </c>
      <c r="K1063" s="12" t="s">
        <v>150</v>
      </c>
      <c r="L1063" s="23" t="str">
        <f>VLOOKUP(D1063,Products!$A:$F,3,FALSE)</f>
        <v>Sports</v>
      </c>
      <c r="M1063" s="23" t="str">
        <f>VLOOKUP(E1063,Sales_Reps!$A:$E,3,FALSE)</f>
        <v>East</v>
      </c>
      <c r="N1063" s="23" t="str">
        <f t="shared" si="48"/>
        <v>Oct-24</v>
      </c>
      <c r="O1063" s="23" t="str">
        <f t="shared" si="49"/>
        <v>Q4 2024</v>
      </c>
      <c r="P1063" s="23">
        <f>VLOOKUP(D1063,Products!$A:$F,4,FALSE)</f>
        <v>705</v>
      </c>
      <c r="Q1063" s="35">
        <f t="shared" si="50"/>
        <v>0.265625</v>
      </c>
    </row>
    <row r="1064" spans="1:17">
      <c r="A1064" s="12" t="s">
        <v>1564</v>
      </c>
      <c r="B1064" s="13">
        <v>45617</v>
      </c>
      <c r="C1064" s="12" t="s">
        <v>446</v>
      </c>
      <c r="D1064" s="12" t="s">
        <v>254</v>
      </c>
      <c r="E1064" s="12" t="s">
        <v>115</v>
      </c>
      <c r="F1064" s="14">
        <v>1</v>
      </c>
      <c r="G1064" s="14">
        <v>3640</v>
      </c>
      <c r="H1064" s="14">
        <v>8.8000000000000007</v>
      </c>
      <c r="I1064" s="14">
        <v>3319.68</v>
      </c>
      <c r="J1064" s="12" t="s">
        <v>104</v>
      </c>
      <c r="K1064" s="12" t="s">
        <v>134</v>
      </c>
      <c r="L1064" s="23" t="str">
        <f>VLOOKUP(D1064,Products!$A:$F,3,FALSE)</f>
        <v>Apparel</v>
      </c>
      <c r="M1064" s="23" t="str">
        <f>VLOOKUP(E1064,Sales_Reps!$A:$E,3,FALSE)</f>
        <v>South</v>
      </c>
      <c r="N1064" s="23" t="str">
        <f t="shared" si="48"/>
        <v>Nov-24</v>
      </c>
      <c r="O1064" s="23" t="str">
        <f t="shared" si="49"/>
        <v>Q4 2024</v>
      </c>
      <c r="P1064" s="23">
        <f>VLOOKUP(D1064,Products!$A:$F,4,FALSE)</f>
        <v>2611</v>
      </c>
      <c r="Q1064" s="35">
        <f t="shared" si="50"/>
        <v>0.28269230769230769</v>
      </c>
    </row>
    <row r="1065" spans="1:17">
      <c r="A1065" s="12" t="s">
        <v>1565</v>
      </c>
      <c r="B1065" s="13">
        <v>45378</v>
      </c>
      <c r="C1065" s="12" t="s">
        <v>796</v>
      </c>
      <c r="D1065" s="12" t="s">
        <v>355</v>
      </c>
      <c r="E1065" s="12" t="s">
        <v>255</v>
      </c>
      <c r="F1065" s="14">
        <v>1</v>
      </c>
      <c r="G1065" s="14">
        <v>2210</v>
      </c>
      <c r="H1065" s="14">
        <v>10.7</v>
      </c>
      <c r="I1065" s="14">
        <v>1973.53</v>
      </c>
      <c r="J1065" s="12" t="s">
        <v>104</v>
      </c>
      <c r="K1065" s="12" t="s">
        <v>134</v>
      </c>
      <c r="L1065" s="23" t="str">
        <f>VLOOKUP(D1065,Products!$A:$F,3,FALSE)</f>
        <v>Grocery</v>
      </c>
      <c r="M1065" s="23" t="str">
        <f>VLOOKUP(E1065,Sales_Reps!$A:$E,3,FALSE)</f>
        <v>East</v>
      </c>
      <c r="N1065" s="23" t="str">
        <f t="shared" si="48"/>
        <v>Mar-24</v>
      </c>
      <c r="O1065" s="23" t="str">
        <f t="shared" si="49"/>
        <v>Q1 2024</v>
      </c>
      <c r="P1065" s="23">
        <f>VLOOKUP(D1065,Products!$A:$F,4,FALSE)</f>
        <v>1010</v>
      </c>
      <c r="Q1065" s="35">
        <f t="shared" si="50"/>
        <v>0.54298642533936647</v>
      </c>
    </row>
    <row r="1066" spans="1:17">
      <c r="A1066" s="12" t="s">
        <v>1566</v>
      </c>
      <c r="B1066" s="13">
        <v>45318</v>
      </c>
      <c r="C1066" s="12" t="s">
        <v>118</v>
      </c>
      <c r="D1066" s="12" t="s">
        <v>243</v>
      </c>
      <c r="E1066" s="12" t="s">
        <v>109</v>
      </c>
      <c r="F1066" s="14">
        <v>2</v>
      </c>
      <c r="G1066" s="14">
        <v>3730</v>
      </c>
      <c r="H1066" s="14">
        <v>13.9</v>
      </c>
      <c r="I1066" s="14">
        <v>6423.06</v>
      </c>
      <c r="J1066" s="12" t="s">
        <v>104</v>
      </c>
      <c r="K1066" s="12" t="s">
        <v>116</v>
      </c>
      <c r="L1066" s="23" t="str">
        <f>VLOOKUP(D1066,Products!$A:$F,3,FALSE)</f>
        <v>Home</v>
      </c>
      <c r="M1066" s="23" t="str">
        <f>VLOOKUP(E1066,Sales_Reps!$A:$E,3,FALSE)</f>
        <v>North</v>
      </c>
      <c r="N1066" s="23" t="str">
        <f t="shared" si="48"/>
        <v>Jan-24</v>
      </c>
      <c r="O1066" s="23" t="str">
        <f t="shared" si="49"/>
        <v>Q1 2024</v>
      </c>
      <c r="P1066" s="23">
        <f>VLOOKUP(D1066,Products!$A:$F,4,FALSE)</f>
        <v>2135</v>
      </c>
      <c r="Q1066" s="35">
        <f t="shared" si="50"/>
        <v>0.42761394101876676</v>
      </c>
    </row>
    <row r="1067" spans="1:17">
      <c r="A1067" s="12" t="s">
        <v>1567</v>
      </c>
      <c r="B1067" s="13">
        <v>45542</v>
      </c>
      <c r="C1067" s="12" t="s">
        <v>444</v>
      </c>
      <c r="D1067" s="12" t="s">
        <v>377</v>
      </c>
      <c r="E1067" s="12" t="s">
        <v>149</v>
      </c>
      <c r="F1067" s="14">
        <v>7</v>
      </c>
      <c r="G1067" s="14">
        <v>5410</v>
      </c>
      <c r="H1067" s="14">
        <v>23.6</v>
      </c>
      <c r="I1067" s="14">
        <v>28932.68</v>
      </c>
      <c r="J1067" s="12" t="s">
        <v>104</v>
      </c>
      <c r="K1067" s="12" t="s">
        <v>105</v>
      </c>
      <c r="L1067" s="23" t="str">
        <f>VLOOKUP(D1067,Products!$A:$F,3,FALSE)</f>
        <v>Sports</v>
      </c>
      <c r="M1067" s="23" t="str">
        <f>VLOOKUP(E1067,Sales_Reps!$A:$E,3,FALSE)</f>
        <v>South</v>
      </c>
      <c r="N1067" s="23" t="str">
        <f t="shared" si="48"/>
        <v>Sep-24</v>
      </c>
      <c r="O1067" s="23" t="str">
        <f t="shared" si="49"/>
        <v>Q3 2024</v>
      </c>
      <c r="P1067" s="23">
        <f>VLOOKUP(D1067,Products!$A:$F,4,FALSE)</f>
        <v>2265</v>
      </c>
      <c r="Q1067" s="35">
        <f t="shared" si="50"/>
        <v>0.58133086876155271</v>
      </c>
    </row>
    <row r="1068" spans="1:17">
      <c r="A1068" s="12" t="s">
        <v>1568</v>
      </c>
      <c r="B1068" s="13">
        <v>45618</v>
      </c>
      <c r="C1068" s="12" t="s">
        <v>889</v>
      </c>
      <c r="D1068" s="12" t="s">
        <v>251</v>
      </c>
      <c r="E1068" s="12" t="s">
        <v>320</v>
      </c>
      <c r="F1068" s="14">
        <v>7</v>
      </c>
      <c r="G1068" s="14">
        <v>3780</v>
      </c>
      <c r="H1068" s="14">
        <v>8.5</v>
      </c>
      <c r="I1068" s="14">
        <v>24210.9</v>
      </c>
      <c r="J1068" s="12" t="s">
        <v>157</v>
      </c>
      <c r="K1068" s="12" t="s">
        <v>129</v>
      </c>
      <c r="L1068" s="23" t="str">
        <f>VLOOKUP(D1068,Products!$A:$F,3,FALSE)</f>
        <v>Grocery</v>
      </c>
      <c r="M1068" s="23" t="str">
        <f>VLOOKUP(E1068,Sales_Reps!$A:$E,3,FALSE)</f>
        <v>East</v>
      </c>
      <c r="N1068" s="23" t="str">
        <f t="shared" si="48"/>
        <v>Nov-24</v>
      </c>
      <c r="O1068" s="23" t="str">
        <f t="shared" si="49"/>
        <v>Q4 2024</v>
      </c>
      <c r="P1068" s="23">
        <f>VLOOKUP(D1068,Products!$A:$F,4,FALSE)</f>
        <v>2436</v>
      </c>
      <c r="Q1068" s="35">
        <f t="shared" si="50"/>
        <v>0.35555555555555557</v>
      </c>
    </row>
    <row r="1069" spans="1:17">
      <c r="A1069" s="12" t="s">
        <v>1569</v>
      </c>
      <c r="B1069" s="13">
        <v>45555</v>
      </c>
      <c r="C1069" s="12" t="s">
        <v>275</v>
      </c>
      <c r="D1069" s="12" t="s">
        <v>287</v>
      </c>
      <c r="E1069" s="12" t="s">
        <v>363</v>
      </c>
      <c r="F1069" s="14">
        <v>9</v>
      </c>
      <c r="G1069" s="14">
        <v>4610</v>
      </c>
      <c r="H1069" s="14">
        <v>26.6</v>
      </c>
      <c r="I1069" s="14">
        <v>30453.66</v>
      </c>
      <c r="J1069" s="12" t="s">
        <v>104</v>
      </c>
      <c r="K1069" s="12" t="s">
        <v>116</v>
      </c>
      <c r="L1069" s="23" t="str">
        <f>VLOOKUP(D1069,Products!$A:$F,3,FALSE)</f>
        <v>Home</v>
      </c>
      <c r="M1069" s="23" t="str">
        <f>VLOOKUP(E1069,Sales_Reps!$A:$E,3,FALSE)</f>
        <v>South</v>
      </c>
      <c r="N1069" s="23" t="str">
        <f t="shared" si="48"/>
        <v>Sep-24</v>
      </c>
      <c r="O1069" s="23" t="str">
        <f t="shared" si="49"/>
        <v>Q3 2024</v>
      </c>
      <c r="P1069" s="23">
        <f>VLOOKUP(D1069,Products!$A:$F,4,FALSE)</f>
        <v>1850</v>
      </c>
      <c r="Q1069" s="35">
        <f t="shared" si="50"/>
        <v>0.59869848156182215</v>
      </c>
    </row>
    <row r="1070" spans="1:17">
      <c r="A1070" s="12" t="s">
        <v>1570</v>
      </c>
      <c r="B1070" s="13">
        <v>45373</v>
      </c>
      <c r="C1070" s="12" t="s">
        <v>619</v>
      </c>
      <c r="D1070" s="12" t="s">
        <v>152</v>
      </c>
      <c r="E1070" s="12" t="s">
        <v>128</v>
      </c>
      <c r="F1070" s="14">
        <v>5</v>
      </c>
      <c r="G1070" s="14">
        <v>2640</v>
      </c>
      <c r="H1070" s="14">
        <v>1.5</v>
      </c>
      <c r="I1070" s="14">
        <v>13002</v>
      </c>
      <c r="J1070" s="12" t="s">
        <v>104</v>
      </c>
      <c r="K1070" s="12" t="s">
        <v>111</v>
      </c>
      <c r="L1070" s="23" t="str">
        <f>VLOOKUP(D1070,Products!$A:$F,3,FALSE)</f>
        <v>Electronics</v>
      </c>
      <c r="M1070" s="23" t="str">
        <f>VLOOKUP(E1070,Sales_Reps!$A:$E,3,FALSE)</f>
        <v>West</v>
      </c>
      <c r="N1070" s="23" t="str">
        <f t="shared" si="48"/>
        <v>Mar-24</v>
      </c>
      <c r="O1070" s="23" t="str">
        <f t="shared" si="49"/>
        <v>Q1 2024</v>
      </c>
      <c r="P1070" s="23">
        <f>VLOOKUP(D1070,Products!$A:$F,4,FALSE)</f>
        <v>1149</v>
      </c>
      <c r="Q1070" s="35">
        <f t="shared" si="50"/>
        <v>0.56477272727272732</v>
      </c>
    </row>
    <row r="1071" spans="1:17">
      <c r="A1071" s="12" t="s">
        <v>1571</v>
      </c>
      <c r="B1071" s="13">
        <v>45515</v>
      </c>
      <c r="C1071" s="12" t="s">
        <v>240</v>
      </c>
      <c r="D1071" s="12" t="s">
        <v>102</v>
      </c>
      <c r="E1071" s="12" t="s">
        <v>149</v>
      </c>
      <c r="F1071" s="14">
        <v>3</v>
      </c>
      <c r="G1071" s="14">
        <v>3620</v>
      </c>
      <c r="H1071" s="14">
        <v>3.1</v>
      </c>
      <c r="I1071" s="14">
        <v>10523.34</v>
      </c>
      <c r="J1071" s="12" t="s">
        <v>104</v>
      </c>
      <c r="K1071" s="12" t="s">
        <v>116</v>
      </c>
      <c r="L1071" s="23" t="str">
        <f>VLOOKUP(D1071,Products!$A:$F,3,FALSE)</f>
        <v>Apparel</v>
      </c>
      <c r="M1071" s="23" t="str">
        <f>VLOOKUP(E1071,Sales_Reps!$A:$E,3,FALSE)</f>
        <v>South</v>
      </c>
      <c r="N1071" s="23" t="str">
        <f t="shared" si="48"/>
        <v>Aug-24</v>
      </c>
      <c r="O1071" s="23" t="str">
        <f t="shared" si="49"/>
        <v>Q3 2024</v>
      </c>
      <c r="P1071" s="23">
        <f>VLOOKUP(D1071,Products!$A:$F,4,FALSE)</f>
        <v>2509</v>
      </c>
      <c r="Q1071" s="35">
        <f t="shared" si="50"/>
        <v>0.3069060773480663</v>
      </c>
    </row>
    <row r="1072" spans="1:17">
      <c r="A1072" s="12" t="s">
        <v>1572</v>
      </c>
      <c r="B1072" s="13">
        <v>45530</v>
      </c>
      <c r="C1072" s="12" t="s">
        <v>814</v>
      </c>
      <c r="D1072" s="12" t="s">
        <v>114</v>
      </c>
      <c r="E1072" s="12" t="s">
        <v>320</v>
      </c>
      <c r="F1072" s="14">
        <v>5</v>
      </c>
      <c r="G1072" s="14">
        <v>470</v>
      </c>
      <c r="H1072" s="14">
        <v>10.6</v>
      </c>
      <c r="I1072" s="14">
        <v>2100.9</v>
      </c>
      <c r="J1072" s="12" t="s">
        <v>157</v>
      </c>
      <c r="K1072" s="12" t="s">
        <v>116</v>
      </c>
      <c r="L1072" s="23" t="str">
        <f>VLOOKUP(D1072,Products!$A:$F,3,FALSE)</f>
        <v>Sports</v>
      </c>
      <c r="M1072" s="23" t="str">
        <f>VLOOKUP(E1072,Sales_Reps!$A:$E,3,FALSE)</f>
        <v>East</v>
      </c>
      <c r="N1072" s="23" t="str">
        <f t="shared" si="48"/>
        <v>Aug-24</v>
      </c>
      <c r="O1072" s="23" t="str">
        <f t="shared" si="49"/>
        <v>Q3 2024</v>
      </c>
      <c r="P1072" s="23">
        <f>VLOOKUP(D1072,Products!$A:$F,4,FALSE)</f>
        <v>302</v>
      </c>
      <c r="Q1072" s="35">
        <f t="shared" si="50"/>
        <v>0.35744680851063831</v>
      </c>
    </row>
    <row r="1073" spans="1:17">
      <c r="A1073" s="12" t="s">
        <v>1573</v>
      </c>
      <c r="B1073" s="13">
        <v>45463</v>
      </c>
      <c r="C1073" s="12" t="s">
        <v>278</v>
      </c>
      <c r="D1073" s="12" t="s">
        <v>381</v>
      </c>
      <c r="E1073" s="12" t="s">
        <v>221</v>
      </c>
      <c r="F1073" s="14">
        <v>7</v>
      </c>
      <c r="G1073" s="14">
        <v>5330</v>
      </c>
      <c r="H1073" s="14">
        <v>25</v>
      </c>
      <c r="I1073" s="14">
        <v>27982.5</v>
      </c>
      <c r="J1073" s="12" t="s">
        <v>157</v>
      </c>
      <c r="K1073" s="12" t="s">
        <v>116</v>
      </c>
      <c r="L1073" s="23" t="str">
        <f>VLOOKUP(D1073,Products!$A:$F,3,FALSE)</f>
        <v>Electronics</v>
      </c>
      <c r="M1073" s="23" t="str">
        <f>VLOOKUP(E1073,Sales_Reps!$A:$E,3,FALSE)</f>
        <v>South</v>
      </c>
      <c r="N1073" s="23" t="str">
        <f t="shared" si="48"/>
        <v>Jun-24</v>
      </c>
      <c r="O1073" s="23" t="str">
        <f t="shared" si="49"/>
        <v>Q2 2024</v>
      </c>
      <c r="P1073" s="23">
        <f>VLOOKUP(D1073,Products!$A:$F,4,FALSE)</f>
        <v>2405</v>
      </c>
      <c r="Q1073" s="35">
        <f t="shared" si="50"/>
        <v>0.54878048780487809</v>
      </c>
    </row>
    <row r="1074" spans="1:17">
      <c r="A1074" s="12" t="s">
        <v>1574</v>
      </c>
      <c r="B1074" s="13">
        <v>45292</v>
      </c>
      <c r="C1074" s="12" t="s">
        <v>819</v>
      </c>
      <c r="D1074" s="12" t="s">
        <v>258</v>
      </c>
      <c r="E1074" s="12" t="s">
        <v>115</v>
      </c>
      <c r="F1074" s="14">
        <v>1</v>
      </c>
      <c r="G1074" s="14">
        <v>6080</v>
      </c>
      <c r="H1074" s="14">
        <v>27.8</v>
      </c>
      <c r="I1074" s="14">
        <v>4389.76</v>
      </c>
      <c r="J1074" s="12" t="s">
        <v>104</v>
      </c>
      <c r="K1074" s="12" t="s">
        <v>111</v>
      </c>
      <c r="L1074" s="23" t="str">
        <f>VLOOKUP(D1074,Products!$A:$F,3,FALSE)</f>
        <v>Beauty</v>
      </c>
      <c r="M1074" s="23" t="str">
        <f>VLOOKUP(E1074,Sales_Reps!$A:$E,3,FALSE)</f>
        <v>South</v>
      </c>
      <c r="N1074" s="23" t="str">
        <f t="shared" si="48"/>
        <v>Jan-24</v>
      </c>
      <c r="O1074" s="23" t="str">
        <f t="shared" si="49"/>
        <v>Q1 2024</v>
      </c>
      <c r="P1074" s="23">
        <f>VLOOKUP(D1074,Products!$A:$F,4,FALSE)</f>
        <v>2617</v>
      </c>
      <c r="Q1074" s="35">
        <f t="shared" si="50"/>
        <v>0.56957236842105263</v>
      </c>
    </row>
    <row r="1075" spans="1:17">
      <c r="A1075" s="12" t="s">
        <v>1575</v>
      </c>
      <c r="B1075" s="13">
        <v>45347</v>
      </c>
      <c r="C1075" s="12" t="s">
        <v>223</v>
      </c>
      <c r="D1075" s="12" t="s">
        <v>196</v>
      </c>
      <c r="E1075" s="12" t="s">
        <v>133</v>
      </c>
      <c r="F1075" s="14">
        <v>6</v>
      </c>
      <c r="G1075" s="14">
        <v>3350</v>
      </c>
      <c r="H1075" s="14">
        <v>12</v>
      </c>
      <c r="I1075" s="14">
        <v>17688</v>
      </c>
      <c r="J1075" s="12" t="s">
        <v>104</v>
      </c>
      <c r="K1075" s="12" t="s">
        <v>150</v>
      </c>
      <c r="L1075" s="23" t="str">
        <f>VLOOKUP(D1075,Products!$A:$F,3,FALSE)</f>
        <v>Beauty</v>
      </c>
      <c r="M1075" s="23" t="str">
        <f>VLOOKUP(E1075,Sales_Reps!$A:$E,3,FALSE)</f>
        <v>West</v>
      </c>
      <c r="N1075" s="23" t="str">
        <f t="shared" si="48"/>
        <v>Feb-24</v>
      </c>
      <c r="O1075" s="23" t="str">
        <f t="shared" si="49"/>
        <v>Q1 2024</v>
      </c>
      <c r="P1075" s="23">
        <f>VLOOKUP(D1075,Products!$A:$F,4,FALSE)</f>
        <v>1728</v>
      </c>
      <c r="Q1075" s="35">
        <f t="shared" si="50"/>
        <v>0.48417910447761192</v>
      </c>
    </row>
    <row r="1076" spans="1:17">
      <c r="A1076" s="12" t="s">
        <v>1576</v>
      </c>
      <c r="B1076" s="13">
        <v>45592</v>
      </c>
      <c r="C1076" s="12" t="s">
        <v>1577</v>
      </c>
      <c r="D1076" s="12" t="s">
        <v>532</v>
      </c>
      <c r="E1076" s="12" t="s">
        <v>360</v>
      </c>
      <c r="F1076" s="14">
        <v>6</v>
      </c>
      <c r="G1076" s="14">
        <v>6940</v>
      </c>
      <c r="H1076" s="14">
        <v>20</v>
      </c>
      <c r="I1076" s="14">
        <v>33312</v>
      </c>
      <c r="J1076" s="12" t="s">
        <v>104</v>
      </c>
      <c r="K1076" s="12" t="s">
        <v>111</v>
      </c>
      <c r="L1076" s="23" t="str">
        <f>VLOOKUP(D1076,Products!$A:$F,3,FALSE)</f>
        <v>Sports</v>
      </c>
      <c r="M1076" s="23" t="str">
        <f>VLOOKUP(E1076,Sales_Reps!$A:$E,3,FALSE)</f>
        <v>West</v>
      </c>
      <c r="N1076" s="23" t="str">
        <f t="shared" si="48"/>
        <v>Oct-24</v>
      </c>
      <c r="O1076" s="23" t="str">
        <f t="shared" si="49"/>
        <v>Q4 2024</v>
      </c>
      <c r="P1076" s="23">
        <f>VLOOKUP(D1076,Products!$A:$F,4,FALSE)</f>
        <v>2827</v>
      </c>
      <c r="Q1076" s="35">
        <f t="shared" si="50"/>
        <v>0.5926512968299712</v>
      </c>
    </row>
    <row r="1077" spans="1:17">
      <c r="A1077" s="12" t="s">
        <v>1578</v>
      </c>
      <c r="B1077" s="13">
        <v>45636</v>
      </c>
      <c r="C1077" s="12" t="s">
        <v>322</v>
      </c>
      <c r="D1077" s="12" t="s">
        <v>127</v>
      </c>
      <c r="E1077" s="12" t="s">
        <v>103</v>
      </c>
      <c r="F1077" s="14">
        <v>1</v>
      </c>
      <c r="G1077" s="14">
        <v>370</v>
      </c>
      <c r="H1077" s="14">
        <v>10</v>
      </c>
      <c r="I1077" s="14">
        <v>333</v>
      </c>
      <c r="J1077" s="12" t="s">
        <v>104</v>
      </c>
      <c r="K1077" s="12" t="s">
        <v>150</v>
      </c>
      <c r="L1077" s="23" t="str">
        <f>VLOOKUP(D1077,Products!$A:$F,3,FALSE)</f>
        <v>Home</v>
      </c>
      <c r="M1077" s="23" t="str">
        <f>VLOOKUP(E1077,Sales_Reps!$A:$E,3,FALSE)</f>
        <v>North</v>
      </c>
      <c r="N1077" s="23" t="str">
        <f t="shared" si="48"/>
        <v>Dec-24</v>
      </c>
      <c r="O1077" s="23" t="str">
        <f t="shared" si="49"/>
        <v>Q4 2024</v>
      </c>
      <c r="P1077" s="23">
        <f>VLOOKUP(D1077,Products!$A:$F,4,FALSE)</f>
        <v>288</v>
      </c>
      <c r="Q1077" s="35">
        <f t="shared" si="50"/>
        <v>0.22162162162162163</v>
      </c>
    </row>
    <row r="1078" spans="1:17">
      <c r="A1078" s="12" t="s">
        <v>1579</v>
      </c>
      <c r="B1078" s="13">
        <v>45432</v>
      </c>
      <c r="C1078" s="12" t="s">
        <v>1033</v>
      </c>
      <c r="D1078" s="12" t="s">
        <v>141</v>
      </c>
      <c r="E1078" s="12" t="s">
        <v>209</v>
      </c>
      <c r="F1078" s="14">
        <v>2</v>
      </c>
      <c r="G1078" s="14">
        <v>5490</v>
      </c>
      <c r="H1078" s="14">
        <v>27.9</v>
      </c>
      <c r="I1078" s="14">
        <v>7916.58</v>
      </c>
      <c r="J1078" s="12" t="s">
        <v>104</v>
      </c>
      <c r="K1078" s="12" t="s">
        <v>134</v>
      </c>
      <c r="L1078" s="23" t="str">
        <f>VLOOKUP(D1078,Products!$A:$F,3,FALSE)</f>
        <v>Home</v>
      </c>
      <c r="M1078" s="23" t="str">
        <f>VLOOKUP(E1078,Sales_Reps!$A:$E,3,FALSE)</f>
        <v>East</v>
      </c>
      <c r="N1078" s="23" t="str">
        <f t="shared" si="48"/>
        <v>May-24</v>
      </c>
      <c r="O1078" s="23" t="str">
        <f t="shared" si="49"/>
        <v>Q2 2024</v>
      </c>
      <c r="P1078" s="23">
        <f>VLOOKUP(D1078,Products!$A:$F,4,FALSE)</f>
        <v>2549</v>
      </c>
      <c r="Q1078" s="35">
        <f t="shared" si="50"/>
        <v>0.53570127504553733</v>
      </c>
    </row>
    <row r="1079" spans="1:17">
      <c r="A1079" s="12" t="s">
        <v>1580</v>
      </c>
      <c r="B1079" s="13">
        <v>45479</v>
      </c>
      <c r="C1079" s="12" t="s">
        <v>1053</v>
      </c>
      <c r="D1079" s="12" t="s">
        <v>119</v>
      </c>
      <c r="E1079" s="12" t="s">
        <v>221</v>
      </c>
      <c r="F1079" s="14">
        <v>5</v>
      </c>
      <c r="G1079" s="14">
        <v>3660</v>
      </c>
      <c r="H1079" s="14">
        <v>4.5999999999999996</v>
      </c>
      <c r="I1079" s="14">
        <v>17458.2</v>
      </c>
      <c r="J1079" s="12" t="s">
        <v>104</v>
      </c>
      <c r="K1079" s="12" t="s">
        <v>129</v>
      </c>
      <c r="L1079" s="23" t="str">
        <f>VLOOKUP(D1079,Products!$A:$F,3,FALSE)</f>
        <v>Grocery</v>
      </c>
      <c r="M1079" s="23" t="str">
        <f>VLOOKUP(E1079,Sales_Reps!$A:$E,3,FALSE)</f>
        <v>South</v>
      </c>
      <c r="N1079" s="23" t="str">
        <f t="shared" si="48"/>
        <v>Jul-24</v>
      </c>
      <c r="O1079" s="23" t="str">
        <f t="shared" si="49"/>
        <v>Q3 2024</v>
      </c>
      <c r="P1079" s="23">
        <f>VLOOKUP(D1079,Products!$A:$F,4,FALSE)</f>
        <v>2214</v>
      </c>
      <c r="Q1079" s="35">
        <f t="shared" si="50"/>
        <v>0.39508196721311473</v>
      </c>
    </row>
    <row r="1080" spans="1:17">
      <c r="A1080" s="12" t="s">
        <v>1581</v>
      </c>
      <c r="B1080" s="13">
        <v>45563</v>
      </c>
      <c r="C1080" s="12" t="s">
        <v>189</v>
      </c>
      <c r="D1080" s="12" t="s">
        <v>299</v>
      </c>
      <c r="E1080" s="12" t="s">
        <v>246</v>
      </c>
      <c r="F1080" s="14">
        <v>6</v>
      </c>
      <c r="G1080" s="14">
        <v>300</v>
      </c>
      <c r="H1080" s="14">
        <v>9</v>
      </c>
      <c r="I1080" s="14">
        <v>1638</v>
      </c>
      <c r="J1080" s="12" t="s">
        <v>104</v>
      </c>
      <c r="K1080" s="12" t="s">
        <v>105</v>
      </c>
      <c r="L1080" s="23" t="str">
        <f>VLOOKUP(D1080,Products!$A:$F,3,FALSE)</f>
        <v>Electronics</v>
      </c>
      <c r="M1080" s="23" t="str">
        <f>VLOOKUP(E1080,Sales_Reps!$A:$E,3,FALSE)</f>
        <v>West</v>
      </c>
      <c r="N1080" s="23" t="str">
        <f t="shared" si="48"/>
        <v>Sep-24</v>
      </c>
      <c r="O1080" s="23" t="str">
        <f t="shared" si="49"/>
        <v>Q3 2024</v>
      </c>
      <c r="P1080" s="23">
        <f>VLOOKUP(D1080,Products!$A:$F,4,FALSE)</f>
        <v>128</v>
      </c>
      <c r="Q1080" s="35">
        <f t="shared" si="50"/>
        <v>0.57333333333333336</v>
      </c>
    </row>
    <row r="1081" spans="1:17">
      <c r="A1081" s="12" t="s">
        <v>1582</v>
      </c>
      <c r="B1081" s="13">
        <v>45523</v>
      </c>
      <c r="C1081" s="12" t="s">
        <v>167</v>
      </c>
      <c r="D1081" s="12" t="s">
        <v>299</v>
      </c>
      <c r="E1081" s="12" t="s">
        <v>342</v>
      </c>
      <c r="F1081" s="14">
        <v>3</v>
      </c>
      <c r="G1081" s="14">
        <v>300</v>
      </c>
      <c r="H1081" s="14">
        <v>19.2</v>
      </c>
      <c r="I1081" s="14">
        <v>727.2</v>
      </c>
      <c r="J1081" s="12" t="s">
        <v>104</v>
      </c>
      <c r="K1081" s="12" t="s">
        <v>105</v>
      </c>
      <c r="L1081" s="23" t="str">
        <f>VLOOKUP(D1081,Products!$A:$F,3,FALSE)</f>
        <v>Electronics</v>
      </c>
      <c r="M1081" s="23" t="str">
        <f>VLOOKUP(E1081,Sales_Reps!$A:$E,3,FALSE)</f>
        <v>South</v>
      </c>
      <c r="N1081" s="23" t="str">
        <f t="shared" si="48"/>
        <v>Aug-24</v>
      </c>
      <c r="O1081" s="23" t="str">
        <f t="shared" si="49"/>
        <v>Q3 2024</v>
      </c>
      <c r="P1081" s="23">
        <f>VLOOKUP(D1081,Products!$A:$F,4,FALSE)</f>
        <v>128</v>
      </c>
      <c r="Q1081" s="35">
        <f t="shared" si="50"/>
        <v>0.57333333333333336</v>
      </c>
    </row>
    <row r="1082" spans="1:17">
      <c r="A1082" s="12" t="s">
        <v>1583</v>
      </c>
      <c r="B1082" s="13">
        <v>45537</v>
      </c>
      <c r="C1082" s="12" t="s">
        <v>107</v>
      </c>
      <c r="D1082" s="12" t="s">
        <v>397</v>
      </c>
      <c r="E1082" s="12" t="s">
        <v>115</v>
      </c>
      <c r="F1082" s="14">
        <v>6</v>
      </c>
      <c r="G1082" s="14">
        <v>960</v>
      </c>
      <c r="H1082" s="14">
        <v>29.3</v>
      </c>
      <c r="I1082" s="14">
        <v>4072.32</v>
      </c>
      <c r="J1082" s="12" t="s">
        <v>157</v>
      </c>
      <c r="K1082" s="12" t="s">
        <v>111</v>
      </c>
      <c r="L1082" s="23" t="str">
        <f>VLOOKUP(D1082,Products!$A:$F,3,FALSE)</f>
        <v>Beauty</v>
      </c>
      <c r="M1082" s="23" t="str">
        <f>VLOOKUP(E1082,Sales_Reps!$A:$E,3,FALSE)</f>
        <v>South</v>
      </c>
      <c r="N1082" s="23" t="str">
        <f t="shared" si="48"/>
        <v>Sep-24</v>
      </c>
      <c r="O1082" s="23" t="str">
        <f t="shared" si="49"/>
        <v>Q3 2024</v>
      </c>
      <c r="P1082" s="23">
        <f>VLOOKUP(D1082,Products!$A:$F,4,FALSE)</f>
        <v>675</v>
      </c>
      <c r="Q1082" s="35">
        <f t="shared" si="50"/>
        <v>0.296875</v>
      </c>
    </row>
    <row r="1083" spans="1:17">
      <c r="A1083" s="12" t="s">
        <v>1584</v>
      </c>
      <c r="B1083" s="13">
        <v>45383</v>
      </c>
      <c r="C1083" s="12" t="s">
        <v>464</v>
      </c>
      <c r="D1083" s="12" t="s">
        <v>262</v>
      </c>
      <c r="E1083" s="12" t="s">
        <v>128</v>
      </c>
      <c r="F1083" s="14">
        <v>1</v>
      </c>
      <c r="G1083" s="14">
        <v>2270</v>
      </c>
      <c r="H1083" s="14">
        <v>12.4</v>
      </c>
      <c r="I1083" s="14">
        <v>1988.52</v>
      </c>
      <c r="J1083" s="12" t="s">
        <v>104</v>
      </c>
      <c r="K1083" s="12" t="s">
        <v>129</v>
      </c>
      <c r="L1083" s="23" t="str">
        <f>VLOOKUP(D1083,Products!$A:$F,3,FALSE)</f>
        <v>Grocery</v>
      </c>
      <c r="M1083" s="23" t="str">
        <f>VLOOKUP(E1083,Sales_Reps!$A:$E,3,FALSE)</f>
        <v>West</v>
      </c>
      <c r="N1083" s="23" t="str">
        <f t="shared" si="48"/>
        <v>Apr-24</v>
      </c>
      <c r="O1083" s="23" t="str">
        <f t="shared" si="49"/>
        <v>Q2 2024</v>
      </c>
      <c r="P1083" s="23">
        <f>VLOOKUP(D1083,Products!$A:$F,4,FALSE)</f>
        <v>1412</v>
      </c>
      <c r="Q1083" s="35">
        <f t="shared" si="50"/>
        <v>0.37797356828193834</v>
      </c>
    </row>
    <row r="1084" spans="1:17">
      <c r="A1084" s="12" t="s">
        <v>1585</v>
      </c>
      <c r="B1084" s="13">
        <v>45541</v>
      </c>
      <c r="C1084" s="12" t="s">
        <v>348</v>
      </c>
      <c r="D1084" s="12" t="s">
        <v>312</v>
      </c>
      <c r="E1084" s="12" t="s">
        <v>360</v>
      </c>
      <c r="F1084" s="14">
        <v>10</v>
      </c>
      <c r="G1084" s="14">
        <v>2030</v>
      </c>
      <c r="H1084" s="14">
        <v>4</v>
      </c>
      <c r="I1084" s="14">
        <v>19488</v>
      </c>
      <c r="J1084" s="12" t="s">
        <v>104</v>
      </c>
      <c r="K1084" s="12" t="s">
        <v>134</v>
      </c>
      <c r="L1084" s="23" t="str">
        <f>VLOOKUP(D1084,Products!$A:$F,3,FALSE)</f>
        <v>Home</v>
      </c>
      <c r="M1084" s="23" t="str">
        <f>VLOOKUP(E1084,Sales_Reps!$A:$E,3,FALSE)</f>
        <v>West</v>
      </c>
      <c r="N1084" s="23" t="str">
        <f t="shared" si="48"/>
        <v>Sep-24</v>
      </c>
      <c r="O1084" s="23" t="str">
        <f t="shared" si="49"/>
        <v>Q3 2024</v>
      </c>
      <c r="P1084" s="23">
        <f>VLOOKUP(D1084,Products!$A:$F,4,FALSE)</f>
        <v>1143</v>
      </c>
      <c r="Q1084" s="35">
        <f t="shared" si="50"/>
        <v>0.43694581280788175</v>
      </c>
    </row>
    <row r="1085" spans="1:17">
      <c r="A1085" s="12" t="s">
        <v>1586</v>
      </c>
      <c r="B1085" s="13">
        <v>45609</v>
      </c>
      <c r="C1085" s="12" t="s">
        <v>919</v>
      </c>
      <c r="D1085" s="12" t="s">
        <v>181</v>
      </c>
      <c r="E1085" s="12" t="s">
        <v>175</v>
      </c>
      <c r="F1085" s="14">
        <v>9</v>
      </c>
      <c r="G1085" s="14">
        <v>1080</v>
      </c>
      <c r="H1085" s="14">
        <v>19.2</v>
      </c>
      <c r="I1085" s="14">
        <v>7853.76</v>
      </c>
      <c r="J1085" s="12" t="s">
        <v>110</v>
      </c>
      <c r="K1085" s="12" t="s">
        <v>129</v>
      </c>
      <c r="L1085" s="23" t="str">
        <f>VLOOKUP(D1085,Products!$A:$F,3,FALSE)</f>
        <v>Home</v>
      </c>
      <c r="M1085" s="23" t="str">
        <f>VLOOKUP(E1085,Sales_Reps!$A:$E,3,FALSE)</f>
        <v>East</v>
      </c>
      <c r="N1085" s="23" t="str">
        <f t="shared" si="48"/>
        <v>Nov-24</v>
      </c>
      <c r="O1085" s="23" t="str">
        <f t="shared" si="49"/>
        <v>Q4 2024</v>
      </c>
      <c r="P1085" s="23">
        <f>VLOOKUP(D1085,Products!$A:$F,4,FALSE)</f>
        <v>519</v>
      </c>
      <c r="Q1085" s="35">
        <f t="shared" si="50"/>
        <v>0.51944444444444449</v>
      </c>
    </row>
    <row r="1086" spans="1:17">
      <c r="A1086" s="12" t="s">
        <v>1587</v>
      </c>
      <c r="B1086" s="13">
        <v>45463</v>
      </c>
      <c r="C1086" s="12" t="s">
        <v>189</v>
      </c>
      <c r="D1086" s="12" t="s">
        <v>212</v>
      </c>
      <c r="E1086" s="12" t="s">
        <v>128</v>
      </c>
      <c r="F1086" s="14">
        <v>5</v>
      </c>
      <c r="G1086" s="14">
        <v>2860</v>
      </c>
      <c r="H1086" s="14">
        <v>25</v>
      </c>
      <c r="I1086" s="14">
        <v>10725</v>
      </c>
      <c r="J1086" s="12" t="s">
        <v>110</v>
      </c>
      <c r="K1086" s="12" t="s">
        <v>105</v>
      </c>
      <c r="L1086" s="23" t="str">
        <f>VLOOKUP(D1086,Products!$A:$F,3,FALSE)</f>
        <v>Sports</v>
      </c>
      <c r="M1086" s="23" t="str">
        <f>VLOOKUP(E1086,Sales_Reps!$A:$E,3,FALSE)</f>
        <v>West</v>
      </c>
      <c r="N1086" s="23" t="str">
        <f t="shared" si="48"/>
        <v>Jun-24</v>
      </c>
      <c r="O1086" s="23" t="str">
        <f t="shared" si="49"/>
        <v>Q2 2024</v>
      </c>
      <c r="P1086" s="23">
        <f>VLOOKUP(D1086,Products!$A:$F,4,FALSE)</f>
        <v>2028</v>
      </c>
      <c r="Q1086" s="35">
        <f t="shared" si="50"/>
        <v>0.29090909090909089</v>
      </c>
    </row>
    <row r="1087" spans="1:17">
      <c r="A1087" s="12" t="s">
        <v>1588</v>
      </c>
      <c r="B1087" s="13">
        <v>45588</v>
      </c>
      <c r="C1087" s="12" t="s">
        <v>118</v>
      </c>
      <c r="D1087" s="12" t="s">
        <v>148</v>
      </c>
      <c r="E1087" s="12" t="s">
        <v>342</v>
      </c>
      <c r="F1087" s="14">
        <v>6</v>
      </c>
      <c r="G1087" s="14">
        <v>2270</v>
      </c>
      <c r="H1087" s="14">
        <v>9.3000000000000007</v>
      </c>
      <c r="I1087" s="14">
        <v>12353.34</v>
      </c>
      <c r="J1087" s="12" t="s">
        <v>104</v>
      </c>
      <c r="K1087" s="12" t="s">
        <v>116</v>
      </c>
      <c r="L1087" s="23" t="str">
        <f>VLOOKUP(D1087,Products!$A:$F,3,FALSE)</f>
        <v>Grocery</v>
      </c>
      <c r="M1087" s="23" t="str">
        <f>VLOOKUP(E1087,Sales_Reps!$A:$E,3,FALSE)</f>
        <v>South</v>
      </c>
      <c r="N1087" s="23" t="str">
        <f t="shared" si="48"/>
        <v>Oct-24</v>
      </c>
      <c r="O1087" s="23" t="str">
        <f t="shared" si="49"/>
        <v>Q4 2024</v>
      </c>
      <c r="P1087" s="23">
        <f>VLOOKUP(D1087,Products!$A:$F,4,FALSE)</f>
        <v>1203</v>
      </c>
      <c r="Q1087" s="35">
        <f t="shared" si="50"/>
        <v>0.47004405286343615</v>
      </c>
    </row>
    <row r="1088" spans="1:17">
      <c r="A1088" s="12" t="s">
        <v>1589</v>
      </c>
      <c r="B1088" s="13">
        <v>45328</v>
      </c>
      <c r="C1088" s="12" t="s">
        <v>652</v>
      </c>
      <c r="D1088" s="12" t="s">
        <v>190</v>
      </c>
      <c r="E1088" s="12" t="s">
        <v>133</v>
      </c>
      <c r="F1088" s="14">
        <v>1</v>
      </c>
      <c r="G1088" s="14">
        <v>2720</v>
      </c>
      <c r="H1088" s="14">
        <v>15.2</v>
      </c>
      <c r="I1088" s="14">
        <v>2306.56</v>
      </c>
      <c r="J1088" s="12" t="s">
        <v>104</v>
      </c>
      <c r="K1088" s="12" t="s">
        <v>116</v>
      </c>
      <c r="L1088" s="23" t="str">
        <f>VLOOKUP(D1088,Products!$A:$F,3,FALSE)</f>
        <v>Apparel</v>
      </c>
      <c r="M1088" s="23" t="str">
        <f>VLOOKUP(E1088,Sales_Reps!$A:$E,3,FALSE)</f>
        <v>West</v>
      </c>
      <c r="N1088" s="23" t="str">
        <f t="shared" si="48"/>
        <v>Feb-24</v>
      </c>
      <c r="O1088" s="23" t="str">
        <f t="shared" si="49"/>
        <v>Q1 2024</v>
      </c>
      <c r="P1088" s="23">
        <f>VLOOKUP(D1088,Products!$A:$F,4,FALSE)</f>
        <v>1962</v>
      </c>
      <c r="Q1088" s="35">
        <f t="shared" si="50"/>
        <v>0.2786764705882353</v>
      </c>
    </row>
    <row r="1089" spans="1:17">
      <c r="A1089" s="12" t="s">
        <v>1590</v>
      </c>
      <c r="B1089" s="13">
        <v>45638</v>
      </c>
      <c r="C1089" s="12" t="s">
        <v>1055</v>
      </c>
      <c r="D1089" s="12" t="s">
        <v>265</v>
      </c>
      <c r="E1089" s="12" t="s">
        <v>109</v>
      </c>
      <c r="F1089" s="14">
        <v>10</v>
      </c>
      <c r="G1089" s="14">
        <v>3870</v>
      </c>
      <c r="H1089" s="14">
        <v>4.9000000000000004</v>
      </c>
      <c r="I1089" s="14">
        <v>36803.699999999997</v>
      </c>
      <c r="J1089" s="12" t="s">
        <v>157</v>
      </c>
      <c r="K1089" s="12" t="s">
        <v>134</v>
      </c>
      <c r="L1089" s="23" t="str">
        <f>VLOOKUP(D1089,Products!$A:$F,3,FALSE)</f>
        <v>Electronics</v>
      </c>
      <c r="M1089" s="23" t="str">
        <f>VLOOKUP(E1089,Sales_Reps!$A:$E,3,FALSE)</f>
        <v>North</v>
      </c>
      <c r="N1089" s="23" t="str">
        <f t="shared" si="48"/>
        <v>Dec-24</v>
      </c>
      <c r="O1089" s="23" t="str">
        <f t="shared" si="49"/>
        <v>Q4 2024</v>
      </c>
      <c r="P1089" s="23">
        <f>VLOOKUP(D1089,Products!$A:$F,4,FALSE)</f>
        <v>1559</v>
      </c>
      <c r="Q1089" s="35">
        <f t="shared" si="50"/>
        <v>0.59715762273901807</v>
      </c>
    </row>
    <row r="1090" spans="1:17">
      <c r="A1090" s="12" t="s">
        <v>1591</v>
      </c>
      <c r="B1090" s="13">
        <v>45332</v>
      </c>
      <c r="C1090" s="12" t="s">
        <v>1592</v>
      </c>
      <c r="D1090" s="12" t="s">
        <v>469</v>
      </c>
      <c r="E1090" s="12" t="s">
        <v>138</v>
      </c>
      <c r="F1090" s="14">
        <v>8</v>
      </c>
      <c r="G1090" s="14">
        <v>3450</v>
      </c>
      <c r="H1090" s="14">
        <v>20.6</v>
      </c>
      <c r="I1090" s="14">
        <v>21914.400000000001</v>
      </c>
      <c r="J1090" s="12" t="s">
        <v>104</v>
      </c>
      <c r="K1090" s="12" t="s">
        <v>150</v>
      </c>
      <c r="L1090" s="23" t="str">
        <f>VLOOKUP(D1090,Products!$A:$F,3,FALSE)</f>
        <v>Apparel</v>
      </c>
      <c r="M1090" s="23" t="str">
        <f>VLOOKUP(E1090,Sales_Reps!$A:$E,3,FALSE)</f>
        <v>East</v>
      </c>
      <c r="N1090" s="23" t="str">
        <f t="shared" si="48"/>
        <v>Feb-24</v>
      </c>
      <c r="O1090" s="23" t="str">
        <f t="shared" si="49"/>
        <v>Q1 2024</v>
      </c>
      <c r="P1090" s="23">
        <f>VLOOKUP(D1090,Products!$A:$F,4,FALSE)</f>
        <v>1748</v>
      </c>
      <c r="Q1090" s="35">
        <f t="shared" si="50"/>
        <v>0.49333333333333335</v>
      </c>
    </row>
    <row r="1091" spans="1:17">
      <c r="A1091" s="12" t="s">
        <v>1593</v>
      </c>
      <c r="B1091" s="13">
        <v>45406</v>
      </c>
      <c r="C1091" s="12" t="s">
        <v>286</v>
      </c>
      <c r="D1091" s="12" t="s">
        <v>114</v>
      </c>
      <c r="E1091" s="12" t="s">
        <v>314</v>
      </c>
      <c r="F1091" s="14">
        <v>1</v>
      </c>
      <c r="G1091" s="14">
        <v>470</v>
      </c>
      <c r="H1091" s="14">
        <v>5.4</v>
      </c>
      <c r="I1091" s="14">
        <v>444.62</v>
      </c>
      <c r="J1091" s="12" t="s">
        <v>161</v>
      </c>
      <c r="K1091" s="12" t="s">
        <v>129</v>
      </c>
      <c r="L1091" s="23" t="str">
        <f>VLOOKUP(D1091,Products!$A:$F,3,FALSE)</f>
        <v>Sports</v>
      </c>
      <c r="M1091" s="23" t="str">
        <f>VLOOKUP(E1091,Sales_Reps!$A:$E,3,FALSE)</f>
        <v>North</v>
      </c>
      <c r="N1091" s="23" t="str">
        <f t="shared" ref="N1091:N1154" si="51">TEXT(B1091, "mmm-yy")</f>
        <v>Apr-24</v>
      </c>
      <c r="O1091" s="23" t="str">
        <f t="shared" ref="O1091:O1154" si="52">"Q" &amp; INT((MONTH(B1091)-1)/3)+1 &amp; " " &amp; YEAR(B1091)</f>
        <v>Q2 2024</v>
      </c>
      <c r="P1091" s="23">
        <f>VLOOKUP(D1091,Products!$A:$F,4,FALSE)</f>
        <v>302</v>
      </c>
      <c r="Q1091" s="35">
        <f t="shared" ref="Q1091:Q1154" si="53">(G1091 - P1091) / G1091</f>
        <v>0.35744680851063831</v>
      </c>
    </row>
    <row r="1092" spans="1:17">
      <c r="A1092" s="12" t="s">
        <v>1594</v>
      </c>
      <c r="B1092" s="13">
        <v>45405</v>
      </c>
      <c r="C1092" s="12" t="s">
        <v>341</v>
      </c>
      <c r="D1092" s="12" t="s">
        <v>425</v>
      </c>
      <c r="E1092" s="12" t="s">
        <v>221</v>
      </c>
      <c r="F1092" s="14">
        <v>5</v>
      </c>
      <c r="G1092" s="14">
        <v>3970</v>
      </c>
      <c r="H1092" s="14">
        <v>5.8</v>
      </c>
      <c r="I1092" s="14">
        <v>18698.7</v>
      </c>
      <c r="J1092" s="12" t="s">
        <v>104</v>
      </c>
      <c r="K1092" s="12" t="s">
        <v>150</v>
      </c>
      <c r="L1092" s="23" t="str">
        <f>VLOOKUP(D1092,Products!$A:$F,3,FALSE)</f>
        <v>Electronics</v>
      </c>
      <c r="M1092" s="23" t="str">
        <f>VLOOKUP(E1092,Sales_Reps!$A:$E,3,FALSE)</f>
        <v>South</v>
      </c>
      <c r="N1092" s="23" t="str">
        <f t="shared" si="51"/>
        <v>Apr-24</v>
      </c>
      <c r="O1092" s="23" t="str">
        <f t="shared" si="52"/>
        <v>Q2 2024</v>
      </c>
      <c r="P1092" s="23">
        <f>VLOOKUP(D1092,Products!$A:$F,4,FALSE)</f>
        <v>2865</v>
      </c>
      <c r="Q1092" s="35">
        <f t="shared" si="53"/>
        <v>0.27833753148614609</v>
      </c>
    </row>
    <row r="1093" spans="1:17">
      <c r="A1093" s="12" t="s">
        <v>1595</v>
      </c>
      <c r="B1093" s="13">
        <v>45469</v>
      </c>
      <c r="C1093" s="12" t="s">
        <v>1023</v>
      </c>
      <c r="D1093" s="12" t="s">
        <v>208</v>
      </c>
      <c r="E1093" s="12" t="s">
        <v>342</v>
      </c>
      <c r="F1093" s="14">
        <v>2</v>
      </c>
      <c r="G1093" s="14">
        <v>5100</v>
      </c>
      <c r="H1093" s="14">
        <v>19.899999999999999</v>
      </c>
      <c r="I1093" s="14">
        <v>8170.2</v>
      </c>
      <c r="J1093" s="12" t="s">
        <v>104</v>
      </c>
      <c r="K1093" s="12" t="s">
        <v>134</v>
      </c>
      <c r="L1093" s="23" t="str">
        <f>VLOOKUP(D1093,Products!$A:$F,3,FALSE)</f>
        <v>Beauty</v>
      </c>
      <c r="M1093" s="23" t="str">
        <f>VLOOKUP(E1093,Sales_Reps!$A:$E,3,FALSE)</f>
        <v>South</v>
      </c>
      <c r="N1093" s="23" t="str">
        <f t="shared" si="51"/>
        <v>Jun-24</v>
      </c>
      <c r="O1093" s="23" t="str">
        <f t="shared" si="52"/>
        <v>Q2 2024</v>
      </c>
      <c r="P1093" s="23">
        <f>VLOOKUP(D1093,Products!$A:$F,4,FALSE)</f>
        <v>2237</v>
      </c>
      <c r="Q1093" s="35">
        <f t="shared" si="53"/>
        <v>0.56137254901960787</v>
      </c>
    </row>
    <row r="1094" spans="1:17">
      <c r="A1094" s="12" t="s">
        <v>1596</v>
      </c>
      <c r="B1094" s="13">
        <v>45656</v>
      </c>
      <c r="C1094" s="12" t="s">
        <v>510</v>
      </c>
      <c r="D1094" s="12" t="s">
        <v>174</v>
      </c>
      <c r="E1094" s="12" t="s">
        <v>232</v>
      </c>
      <c r="F1094" s="14">
        <v>6</v>
      </c>
      <c r="G1094" s="14">
        <v>3450</v>
      </c>
      <c r="H1094" s="14">
        <v>13</v>
      </c>
      <c r="I1094" s="14">
        <v>18009</v>
      </c>
      <c r="J1094" s="12" t="s">
        <v>104</v>
      </c>
      <c r="K1094" s="12" t="s">
        <v>105</v>
      </c>
      <c r="L1094" s="23" t="str">
        <f>VLOOKUP(D1094,Products!$A:$F,3,FALSE)</f>
        <v>Beauty</v>
      </c>
      <c r="M1094" s="23" t="str">
        <f>VLOOKUP(E1094,Sales_Reps!$A:$E,3,FALSE)</f>
        <v>North</v>
      </c>
      <c r="N1094" s="23" t="str">
        <f t="shared" si="51"/>
        <v>Dec-24</v>
      </c>
      <c r="O1094" s="23" t="str">
        <f t="shared" si="52"/>
        <v>Q4 2024</v>
      </c>
      <c r="P1094" s="23">
        <f>VLOOKUP(D1094,Products!$A:$F,4,FALSE)</f>
        <v>2420</v>
      </c>
      <c r="Q1094" s="35">
        <f t="shared" si="53"/>
        <v>0.29855072463768118</v>
      </c>
    </row>
    <row r="1095" spans="1:17">
      <c r="A1095" s="12" t="s">
        <v>1597</v>
      </c>
      <c r="B1095" s="13">
        <v>45653</v>
      </c>
      <c r="C1095" s="12" t="s">
        <v>1516</v>
      </c>
      <c r="D1095" s="12" t="s">
        <v>243</v>
      </c>
      <c r="E1095" s="12" t="s">
        <v>342</v>
      </c>
      <c r="F1095" s="14">
        <v>9</v>
      </c>
      <c r="G1095" s="14">
        <v>3730</v>
      </c>
      <c r="H1095" s="14">
        <v>15.5</v>
      </c>
      <c r="I1095" s="14">
        <v>28366.65</v>
      </c>
      <c r="J1095" s="12" t="s">
        <v>104</v>
      </c>
      <c r="K1095" s="12" t="s">
        <v>111</v>
      </c>
      <c r="L1095" s="23" t="str">
        <f>VLOOKUP(D1095,Products!$A:$F,3,FALSE)</f>
        <v>Home</v>
      </c>
      <c r="M1095" s="23" t="str">
        <f>VLOOKUP(E1095,Sales_Reps!$A:$E,3,FALSE)</f>
        <v>South</v>
      </c>
      <c r="N1095" s="23" t="str">
        <f t="shared" si="51"/>
        <v>Dec-24</v>
      </c>
      <c r="O1095" s="23" t="str">
        <f t="shared" si="52"/>
        <v>Q4 2024</v>
      </c>
      <c r="P1095" s="23">
        <f>VLOOKUP(D1095,Products!$A:$F,4,FALSE)</f>
        <v>2135</v>
      </c>
      <c r="Q1095" s="35">
        <f t="shared" si="53"/>
        <v>0.42761394101876676</v>
      </c>
    </row>
    <row r="1096" spans="1:17">
      <c r="A1096" s="12" t="s">
        <v>1598</v>
      </c>
      <c r="B1096" s="13">
        <v>45440</v>
      </c>
      <c r="C1096" s="12" t="s">
        <v>1592</v>
      </c>
      <c r="D1096" s="12" t="s">
        <v>397</v>
      </c>
      <c r="E1096" s="12" t="s">
        <v>209</v>
      </c>
      <c r="F1096" s="14">
        <v>5</v>
      </c>
      <c r="G1096" s="14">
        <v>960</v>
      </c>
      <c r="H1096" s="14">
        <v>9.3000000000000007</v>
      </c>
      <c r="I1096" s="14">
        <v>4353.6000000000004</v>
      </c>
      <c r="J1096" s="12" t="s">
        <v>104</v>
      </c>
      <c r="K1096" s="12" t="s">
        <v>150</v>
      </c>
      <c r="L1096" s="23" t="str">
        <f>VLOOKUP(D1096,Products!$A:$F,3,FALSE)</f>
        <v>Beauty</v>
      </c>
      <c r="M1096" s="23" t="str">
        <f>VLOOKUP(E1096,Sales_Reps!$A:$E,3,FALSE)</f>
        <v>East</v>
      </c>
      <c r="N1096" s="23" t="str">
        <f t="shared" si="51"/>
        <v>May-24</v>
      </c>
      <c r="O1096" s="23" t="str">
        <f t="shared" si="52"/>
        <v>Q2 2024</v>
      </c>
      <c r="P1096" s="23">
        <f>VLOOKUP(D1096,Products!$A:$F,4,FALSE)</f>
        <v>675</v>
      </c>
      <c r="Q1096" s="35">
        <f t="shared" si="53"/>
        <v>0.296875</v>
      </c>
    </row>
    <row r="1097" spans="1:17">
      <c r="A1097" s="12" t="s">
        <v>1599</v>
      </c>
      <c r="B1097" s="13">
        <v>45511</v>
      </c>
      <c r="C1097" s="12" t="s">
        <v>798</v>
      </c>
      <c r="D1097" s="12" t="s">
        <v>460</v>
      </c>
      <c r="E1097" s="12" t="s">
        <v>124</v>
      </c>
      <c r="F1097" s="14">
        <v>3</v>
      </c>
      <c r="G1097" s="14">
        <v>5080</v>
      </c>
      <c r="H1097" s="14">
        <v>17.399999999999999</v>
      </c>
      <c r="I1097" s="14">
        <v>12588.24</v>
      </c>
      <c r="J1097" s="12" t="s">
        <v>157</v>
      </c>
      <c r="K1097" s="12" t="s">
        <v>116</v>
      </c>
      <c r="L1097" s="23" t="str">
        <f>VLOOKUP(D1097,Products!$A:$F,3,FALSE)</f>
        <v>Home</v>
      </c>
      <c r="M1097" s="23" t="str">
        <f>VLOOKUP(E1097,Sales_Reps!$A:$E,3,FALSE)</f>
        <v>North</v>
      </c>
      <c r="N1097" s="23" t="str">
        <f t="shared" si="51"/>
        <v>Aug-24</v>
      </c>
      <c r="O1097" s="23" t="str">
        <f t="shared" si="52"/>
        <v>Q3 2024</v>
      </c>
      <c r="P1097" s="23">
        <f>VLOOKUP(D1097,Products!$A:$F,4,FALSE)</f>
        <v>2459</v>
      </c>
      <c r="Q1097" s="35">
        <f t="shared" si="53"/>
        <v>0.51594488188976373</v>
      </c>
    </row>
    <row r="1098" spans="1:17">
      <c r="A1098" s="12" t="s">
        <v>1600</v>
      </c>
      <c r="B1098" s="13">
        <v>45300</v>
      </c>
      <c r="C1098" s="12" t="s">
        <v>965</v>
      </c>
      <c r="D1098" s="12" t="s">
        <v>265</v>
      </c>
      <c r="E1098" s="12" t="s">
        <v>165</v>
      </c>
      <c r="F1098" s="14">
        <v>4</v>
      </c>
      <c r="G1098" s="14">
        <v>3870</v>
      </c>
      <c r="H1098" s="14">
        <v>20.5</v>
      </c>
      <c r="I1098" s="14">
        <v>12306.6</v>
      </c>
      <c r="J1098" s="12" t="s">
        <v>110</v>
      </c>
      <c r="K1098" s="12" t="s">
        <v>738</v>
      </c>
      <c r="L1098" s="23" t="str">
        <f>VLOOKUP(D1098,Products!$A:$F,3,FALSE)</f>
        <v>Electronics</v>
      </c>
      <c r="M1098" s="23" t="str">
        <f>VLOOKUP(E1098,Sales_Reps!$A:$E,3,FALSE)</f>
        <v>North</v>
      </c>
      <c r="N1098" s="23" t="str">
        <f t="shared" si="51"/>
        <v>Jan-24</v>
      </c>
      <c r="O1098" s="23" t="str">
        <f t="shared" si="52"/>
        <v>Q1 2024</v>
      </c>
      <c r="P1098" s="23">
        <f>VLOOKUP(D1098,Products!$A:$F,4,FALSE)</f>
        <v>1559</v>
      </c>
      <c r="Q1098" s="35">
        <f t="shared" si="53"/>
        <v>0.59715762273901807</v>
      </c>
    </row>
    <row r="1099" spans="1:17">
      <c r="A1099" s="12" t="s">
        <v>1601</v>
      </c>
      <c r="B1099" s="13">
        <v>45528</v>
      </c>
      <c r="C1099" s="12" t="s">
        <v>444</v>
      </c>
      <c r="D1099" s="12" t="s">
        <v>478</v>
      </c>
      <c r="E1099" s="12" t="s">
        <v>133</v>
      </c>
      <c r="F1099" s="14">
        <v>1</v>
      </c>
      <c r="G1099" s="14">
        <v>3780</v>
      </c>
      <c r="H1099" s="14">
        <v>21.5</v>
      </c>
      <c r="I1099" s="14">
        <v>2967.3</v>
      </c>
      <c r="J1099" s="12" t="s">
        <v>104</v>
      </c>
      <c r="K1099" s="12" t="s">
        <v>105</v>
      </c>
      <c r="L1099" s="23" t="str">
        <f>VLOOKUP(D1099,Products!$A:$F,3,FALSE)</f>
        <v>Sports</v>
      </c>
      <c r="M1099" s="23" t="str">
        <f>VLOOKUP(E1099,Sales_Reps!$A:$E,3,FALSE)</f>
        <v>West</v>
      </c>
      <c r="N1099" s="23" t="str">
        <f t="shared" si="51"/>
        <v>Aug-24</v>
      </c>
      <c r="O1099" s="23" t="str">
        <f t="shared" si="52"/>
        <v>Q3 2024</v>
      </c>
      <c r="P1099" s="23">
        <f>VLOOKUP(D1099,Products!$A:$F,4,FALSE)</f>
        <v>1860</v>
      </c>
      <c r="Q1099" s="35">
        <f t="shared" si="53"/>
        <v>0.50793650793650791</v>
      </c>
    </row>
    <row r="1100" spans="1:17">
      <c r="A1100" s="12" t="s">
        <v>1602</v>
      </c>
      <c r="B1100" s="13">
        <v>45622</v>
      </c>
      <c r="C1100" s="12" t="s">
        <v>131</v>
      </c>
      <c r="D1100" s="12" t="s">
        <v>265</v>
      </c>
      <c r="E1100" s="12" t="s">
        <v>255</v>
      </c>
      <c r="F1100" s="14">
        <v>3</v>
      </c>
      <c r="G1100" s="14">
        <v>3870</v>
      </c>
      <c r="H1100" s="14">
        <v>21.9</v>
      </c>
      <c r="I1100" s="14">
        <v>9067.41</v>
      </c>
      <c r="J1100" s="12" t="s">
        <v>110</v>
      </c>
      <c r="K1100" s="12" t="s">
        <v>134</v>
      </c>
      <c r="L1100" s="23" t="str">
        <f>VLOOKUP(D1100,Products!$A:$F,3,FALSE)</f>
        <v>Electronics</v>
      </c>
      <c r="M1100" s="23" t="str">
        <f>VLOOKUP(E1100,Sales_Reps!$A:$E,3,FALSE)</f>
        <v>East</v>
      </c>
      <c r="N1100" s="23" t="str">
        <f t="shared" si="51"/>
        <v>Nov-24</v>
      </c>
      <c r="O1100" s="23" t="str">
        <f t="shared" si="52"/>
        <v>Q4 2024</v>
      </c>
      <c r="P1100" s="23">
        <f>VLOOKUP(D1100,Products!$A:$F,4,FALSE)</f>
        <v>1559</v>
      </c>
      <c r="Q1100" s="35">
        <f t="shared" si="53"/>
        <v>0.59715762273901807</v>
      </c>
    </row>
    <row r="1101" spans="1:17">
      <c r="A1101" s="12" t="s">
        <v>1603</v>
      </c>
      <c r="B1101" s="13">
        <v>45463</v>
      </c>
      <c r="C1101" s="12" t="s">
        <v>250</v>
      </c>
      <c r="D1101" s="12" t="s">
        <v>312</v>
      </c>
      <c r="E1101" s="12" t="s">
        <v>221</v>
      </c>
      <c r="F1101" s="14">
        <v>4</v>
      </c>
      <c r="G1101" s="14">
        <v>2030</v>
      </c>
      <c r="H1101" s="14">
        <v>23.4</v>
      </c>
      <c r="I1101" s="14">
        <v>6219.92</v>
      </c>
      <c r="J1101" s="12" t="s">
        <v>104</v>
      </c>
      <c r="K1101" s="12" t="s">
        <v>105</v>
      </c>
      <c r="L1101" s="23" t="str">
        <f>VLOOKUP(D1101,Products!$A:$F,3,FALSE)</f>
        <v>Home</v>
      </c>
      <c r="M1101" s="23" t="str">
        <f>VLOOKUP(E1101,Sales_Reps!$A:$E,3,FALSE)</f>
        <v>South</v>
      </c>
      <c r="N1101" s="23" t="str">
        <f t="shared" si="51"/>
        <v>Jun-24</v>
      </c>
      <c r="O1101" s="23" t="str">
        <f t="shared" si="52"/>
        <v>Q2 2024</v>
      </c>
      <c r="P1101" s="23">
        <f>VLOOKUP(D1101,Products!$A:$F,4,FALSE)</f>
        <v>1143</v>
      </c>
      <c r="Q1101" s="35">
        <f t="shared" si="53"/>
        <v>0.43694581280788175</v>
      </c>
    </row>
    <row r="1102" spans="1:17">
      <c r="A1102" s="12" t="s">
        <v>1604</v>
      </c>
      <c r="B1102" s="13">
        <v>45407</v>
      </c>
      <c r="C1102" s="12" t="s">
        <v>612</v>
      </c>
      <c r="D1102" s="12" t="s">
        <v>355</v>
      </c>
      <c r="E1102" s="12" t="s">
        <v>165</v>
      </c>
      <c r="F1102" s="14">
        <v>6</v>
      </c>
      <c r="G1102" s="14">
        <v>2210</v>
      </c>
      <c r="H1102" s="14">
        <v>9.1</v>
      </c>
      <c r="I1102" s="14">
        <v>12053.34</v>
      </c>
      <c r="J1102" s="12" t="s">
        <v>104</v>
      </c>
      <c r="K1102" s="12" t="s">
        <v>116</v>
      </c>
      <c r="L1102" s="23" t="str">
        <f>VLOOKUP(D1102,Products!$A:$F,3,FALSE)</f>
        <v>Grocery</v>
      </c>
      <c r="M1102" s="23" t="str">
        <f>VLOOKUP(E1102,Sales_Reps!$A:$E,3,FALSE)</f>
        <v>North</v>
      </c>
      <c r="N1102" s="23" t="str">
        <f t="shared" si="51"/>
        <v>Apr-24</v>
      </c>
      <c r="O1102" s="23" t="str">
        <f t="shared" si="52"/>
        <v>Q2 2024</v>
      </c>
      <c r="P1102" s="23">
        <f>VLOOKUP(D1102,Products!$A:$F,4,FALSE)</f>
        <v>1010</v>
      </c>
      <c r="Q1102" s="35">
        <f t="shared" si="53"/>
        <v>0.54298642533936647</v>
      </c>
    </row>
    <row r="1103" spans="1:17">
      <c r="A1103" s="12" t="s">
        <v>1605</v>
      </c>
      <c r="B1103" s="13">
        <v>45627</v>
      </c>
      <c r="C1103" s="12" t="s">
        <v>903</v>
      </c>
      <c r="D1103" s="12" t="s">
        <v>276</v>
      </c>
      <c r="E1103" s="12" t="s">
        <v>255</v>
      </c>
      <c r="F1103" s="14">
        <v>5</v>
      </c>
      <c r="G1103" s="14">
        <v>1540</v>
      </c>
      <c r="H1103" s="14">
        <v>18.100000000000001</v>
      </c>
      <c r="I1103" s="14">
        <v>6306.3</v>
      </c>
      <c r="J1103" s="12" t="s">
        <v>104</v>
      </c>
      <c r="K1103" s="12" t="s">
        <v>111</v>
      </c>
      <c r="L1103" s="23" t="str">
        <f>VLOOKUP(D1103,Products!$A:$F,3,FALSE)</f>
        <v>Beauty</v>
      </c>
      <c r="M1103" s="23" t="str">
        <f>VLOOKUP(E1103,Sales_Reps!$A:$E,3,FALSE)</f>
        <v>East</v>
      </c>
      <c r="N1103" s="23" t="str">
        <f t="shared" si="51"/>
        <v>Dec-24</v>
      </c>
      <c r="O1103" s="23" t="str">
        <f t="shared" si="52"/>
        <v>Q4 2024</v>
      </c>
      <c r="P1103" s="23">
        <f>VLOOKUP(D1103,Products!$A:$F,4,FALSE)</f>
        <v>647</v>
      </c>
      <c r="Q1103" s="35">
        <f t="shared" si="53"/>
        <v>0.57987012987012987</v>
      </c>
    </row>
    <row r="1104" spans="1:17">
      <c r="A1104" s="12" t="s">
        <v>1606</v>
      </c>
      <c r="B1104" s="13">
        <v>45393</v>
      </c>
      <c r="C1104" s="12" t="s">
        <v>655</v>
      </c>
      <c r="D1104" s="12" t="s">
        <v>199</v>
      </c>
      <c r="E1104" s="12" t="s">
        <v>290</v>
      </c>
      <c r="F1104" s="14">
        <v>1</v>
      </c>
      <c r="G1104" s="14">
        <v>1010</v>
      </c>
      <c r="H1104" s="14">
        <v>7.3</v>
      </c>
      <c r="I1104" s="14">
        <v>936.27</v>
      </c>
      <c r="J1104" s="12" t="s">
        <v>104</v>
      </c>
      <c r="K1104" s="12" t="s">
        <v>116</v>
      </c>
      <c r="L1104" s="23" t="str">
        <f>VLOOKUP(D1104,Products!$A:$F,3,FALSE)</f>
        <v>Sports</v>
      </c>
      <c r="M1104" s="23" t="str">
        <f>VLOOKUP(E1104,Sales_Reps!$A:$E,3,FALSE)</f>
        <v>South</v>
      </c>
      <c r="N1104" s="23" t="str">
        <f t="shared" si="51"/>
        <v>Apr-24</v>
      </c>
      <c r="O1104" s="23" t="str">
        <f t="shared" si="52"/>
        <v>Q2 2024</v>
      </c>
      <c r="P1104" s="23">
        <f>VLOOKUP(D1104,Products!$A:$F,4,FALSE)</f>
        <v>516</v>
      </c>
      <c r="Q1104" s="35">
        <f t="shared" si="53"/>
        <v>0.4891089108910891</v>
      </c>
    </row>
    <row r="1105" spans="1:17">
      <c r="A1105" s="12" t="s">
        <v>1607</v>
      </c>
      <c r="B1105" s="13">
        <v>45360</v>
      </c>
      <c r="C1105" s="12" t="s">
        <v>693</v>
      </c>
      <c r="D1105" s="12" t="s">
        <v>381</v>
      </c>
      <c r="E1105" s="12" t="s">
        <v>205</v>
      </c>
      <c r="F1105" s="14">
        <v>10</v>
      </c>
      <c r="G1105" s="14">
        <v>5330</v>
      </c>
      <c r="H1105" s="14">
        <v>27.3</v>
      </c>
      <c r="I1105" s="14">
        <v>38749.1</v>
      </c>
      <c r="J1105" s="12" t="s">
        <v>104</v>
      </c>
      <c r="K1105" s="12" t="s">
        <v>105</v>
      </c>
      <c r="L1105" s="23" t="str">
        <f>VLOOKUP(D1105,Products!$A:$F,3,FALSE)</f>
        <v>Electronics</v>
      </c>
      <c r="M1105" s="23" t="str">
        <f>VLOOKUP(E1105,Sales_Reps!$A:$E,3,FALSE)</f>
        <v>South</v>
      </c>
      <c r="N1105" s="23" t="str">
        <f t="shared" si="51"/>
        <v>Mar-24</v>
      </c>
      <c r="O1105" s="23" t="str">
        <f t="shared" si="52"/>
        <v>Q1 2024</v>
      </c>
      <c r="P1105" s="23">
        <f>VLOOKUP(D1105,Products!$A:$F,4,FALSE)</f>
        <v>2405</v>
      </c>
      <c r="Q1105" s="35">
        <f t="shared" si="53"/>
        <v>0.54878048780487809</v>
      </c>
    </row>
    <row r="1106" spans="1:17">
      <c r="A1106" s="12" t="s">
        <v>1608</v>
      </c>
      <c r="B1106" s="13">
        <v>45548</v>
      </c>
      <c r="C1106" s="12" t="s">
        <v>422</v>
      </c>
      <c r="D1106" s="12" t="s">
        <v>204</v>
      </c>
      <c r="E1106" s="12" t="s">
        <v>302</v>
      </c>
      <c r="F1106" s="14">
        <v>7</v>
      </c>
      <c r="G1106" s="14">
        <v>3570</v>
      </c>
      <c r="H1106" s="14">
        <v>24.3</v>
      </c>
      <c r="I1106" s="14">
        <v>18917.43</v>
      </c>
      <c r="J1106" s="12" t="s">
        <v>104</v>
      </c>
      <c r="K1106" s="12" t="s">
        <v>111</v>
      </c>
      <c r="L1106" s="23" t="str">
        <f>VLOOKUP(D1106,Products!$A:$F,3,FALSE)</f>
        <v>Electronics</v>
      </c>
      <c r="M1106" s="23" t="str">
        <f>VLOOKUP(E1106,Sales_Reps!$A:$E,3,FALSE)</f>
        <v>East</v>
      </c>
      <c r="N1106" s="23" t="str">
        <f t="shared" si="51"/>
        <v>Sep-24</v>
      </c>
      <c r="O1106" s="23" t="str">
        <f t="shared" si="52"/>
        <v>Q3 2024</v>
      </c>
      <c r="P1106" s="23">
        <f>VLOOKUP(D1106,Products!$A:$F,4,FALSE)</f>
        <v>1665</v>
      </c>
      <c r="Q1106" s="35">
        <f t="shared" si="53"/>
        <v>0.53361344537815125</v>
      </c>
    </row>
    <row r="1107" spans="1:17">
      <c r="A1107" s="12" t="s">
        <v>1609</v>
      </c>
      <c r="B1107" s="13">
        <v>45569</v>
      </c>
      <c r="C1107" s="12" t="s">
        <v>386</v>
      </c>
      <c r="D1107" s="12" t="s">
        <v>196</v>
      </c>
      <c r="E1107" s="12" t="s">
        <v>255</v>
      </c>
      <c r="F1107" s="14">
        <v>1</v>
      </c>
      <c r="G1107" s="14">
        <v>3350</v>
      </c>
      <c r="H1107" s="14">
        <v>14.9</v>
      </c>
      <c r="I1107" s="14">
        <v>2850.85</v>
      </c>
      <c r="J1107" s="12" t="s">
        <v>104</v>
      </c>
      <c r="K1107" s="12" t="s">
        <v>111</v>
      </c>
      <c r="L1107" s="23" t="str">
        <f>VLOOKUP(D1107,Products!$A:$F,3,FALSE)</f>
        <v>Beauty</v>
      </c>
      <c r="M1107" s="23" t="str">
        <f>VLOOKUP(E1107,Sales_Reps!$A:$E,3,FALSE)</f>
        <v>East</v>
      </c>
      <c r="N1107" s="23" t="str">
        <f t="shared" si="51"/>
        <v>Oct-24</v>
      </c>
      <c r="O1107" s="23" t="str">
        <f t="shared" si="52"/>
        <v>Q4 2024</v>
      </c>
      <c r="P1107" s="23">
        <f>VLOOKUP(D1107,Products!$A:$F,4,FALSE)</f>
        <v>1728</v>
      </c>
      <c r="Q1107" s="35">
        <f t="shared" si="53"/>
        <v>0.48417910447761192</v>
      </c>
    </row>
    <row r="1108" spans="1:17">
      <c r="A1108" s="12" t="s">
        <v>1610</v>
      </c>
      <c r="B1108" s="13">
        <v>45541</v>
      </c>
      <c r="C1108" s="12" t="s">
        <v>632</v>
      </c>
      <c r="D1108" s="12" t="s">
        <v>372</v>
      </c>
      <c r="E1108" s="12" t="s">
        <v>171</v>
      </c>
      <c r="F1108" s="14">
        <v>2</v>
      </c>
      <c r="G1108" s="14">
        <v>2510</v>
      </c>
      <c r="H1108" s="14">
        <v>10.6</v>
      </c>
      <c r="I1108" s="14">
        <v>4487.88</v>
      </c>
      <c r="J1108" s="12" t="s">
        <v>104</v>
      </c>
      <c r="K1108" s="12" t="s">
        <v>129</v>
      </c>
      <c r="L1108" s="23" t="str">
        <f>VLOOKUP(D1108,Products!$A:$F,3,FALSE)</f>
        <v>Apparel</v>
      </c>
      <c r="M1108" s="23" t="str">
        <f>VLOOKUP(E1108,Sales_Reps!$A:$E,3,FALSE)</f>
        <v>East</v>
      </c>
      <c r="N1108" s="23" t="str">
        <f t="shared" si="51"/>
        <v>Sep-24</v>
      </c>
      <c r="O1108" s="23" t="str">
        <f t="shared" si="52"/>
        <v>Q3 2024</v>
      </c>
      <c r="P1108" s="23">
        <f>VLOOKUP(D1108,Products!$A:$F,4,FALSE)</f>
        <v>1075</v>
      </c>
      <c r="Q1108" s="35">
        <f t="shared" si="53"/>
        <v>0.57171314741035861</v>
      </c>
    </row>
    <row r="1109" spans="1:17">
      <c r="A1109" s="12" t="s">
        <v>1611</v>
      </c>
      <c r="B1109" s="13">
        <v>45369</v>
      </c>
      <c r="C1109" s="12" t="s">
        <v>177</v>
      </c>
      <c r="D1109" s="12" t="s">
        <v>144</v>
      </c>
      <c r="E1109" s="12" t="s">
        <v>128</v>
      </c>
      <c r="F1109" s="14">
        <v>5</v>
      </c>
      <c r="G1109" s="14">
        <v>970</v>
      </c>
      <c r="H1109" s="14">
        <v>6.8</v>
      </c>
      <c r="I1109" s="14">
        <v>4520.2</v>
      </c>
      <c r="J1109" s="12" t="s">
        <v>110</v>
      </c>
      <c r="K1109" s="12" t="s">
        <v>129</v>
      </c>
      <c r="L1109" s="23" t="str">
        <f>VLOOKUP(D1109,Products!$A:$F,3,FALSE)</f>
        <v>Grocery</v>
      </c>
      <c r="M1109" s="23" t="str">
        <f>VLOOKUP(E1109,Sales_Reps!$A:$E,3,FALSE)</f>
        <v>West</v>
      </c>
      <c r="N1109" s="23" t="str">
        <f t="shared" si="51"/>
        <v>Mar-24</v>
      </c>
      <c r="O1109" s="23" t="str">
        <f t="shared" si="52"/>
        <v>Q1 2024</v>
      </c>
      <c r="P1109" s="23">
        <f>VLOOKUP(D1109,Products!$A:$F,4,FALSE)</f>
        <v>434</v>
      </c>
      <c r="Q1109" s="35">
        <f t="shared" si="53"/>
        <v>0.5525773195876289</v>
      </c>
    </row>
    <row r="1110" spans="1:17">
      <c r="A1110" s="12" t="s">
        <v>1612</v>
      </c>
      <c r="B1110" s="13">
        <v>45519</v>
      </c>
      <c r="C1110" s="12" t="s">
        <v>248</v>
      </c>
      <c r="D1110" s="12" t="s">
        <v>251</v>
      </c>
      <c r="E1110" s="12" t="s">
        <v>314</v>
      </c>
      <c r="F1110" s="14">
        <v>5</v>
      </c>
      <c r="G1110" s="14">
        <v>3780</v>
      </c>
      <c r="H1110" s="14">
        <v>16.600000000000001</v>
      </c>
      <c r="I1110" s="14">
        <v>15762.6</v>
      </c>
      <c r="J1110" s="12" t="s">
        <v>104</v>
      </c>
      <c r="K1110" s="12" t="s">
        <v>134</v>
      </c>
      <c r="L1110" s="23" t="str">
        <f>VLOOKUP(D1110,Products!$A:$F,3,FALSE)</f>
        <v>Grocery</v>
      </c>
      <c r="M1110" s="23" t="str">
        <f>VLOOKUP(E1110,Sales_Reps!$A:$E,3,FALSE)</f>
        <v>North</v>
      </c>
      <c r="N1110" s="23" t="str">
        <f t="shared" si="51"/>
        <v>Aug-24</v>
      </c>
      <c r="O1110" s="23" t="str">
        <f t="shared" si="52"/>
        <v>Q3 2024</v>
      </c>
      <c r="P1110" s="23">
        <f>VLOOKUP(D1110,Products!$A:$F,4,FALSE)</f>
        <v>2436</v>
      </c>
      <c r="Q1110" s="35">
        <f t="shared" si="53"/>
        <v>0.35555555555555557</v>
      </c>
    </row>
    <row r="1111" spans="1:17">
      <c r="A1111" s="12" t="s">
        <v>1613</v>
      </c>
      <c r="B1111" s="13">
        <v>45379</v>
      </c>
      <c r="C1111" s="12" t="s">
        <v>693</v>
      </c>
      <c r="D1111" s="12" t="s">
        <v>372</v>
      </c>
      <c r="E1111" s="12" t="s">
        <v>103</v>
      </c>
      <c r="F1111" s="14">
        <v>3</v>
      </c>
      <c r="G1111" s="14">
        <v>2510</v>
      </c>
      <c r="H1111" s="14">
        <v>24.9</v>
      </c>
      <c r="I1111" s="14">
        <v>5655.03</v>
      </c>
      <c r="J1111" s="12" t="s">
        <v>157</v>
      </c>
      <c r="K1111" s="12" t="s">
        <v>105</v>
      </c>
      <c r="L1111" s="23" t="str">
        <f>VLOOKUP(D1111,Products!$A:$F,3,FALSE)</f>
        <v>Apparel</v>
      </c>
      <c r="M1111" s="23" t="str">
        <f>VLOOKUP(E1111,Sales_Reps!$A:$E,3,FALSE)</f>
        <v>North</v>
      </c>
      <c r="N1111" s="23" t="str">
        <f t="shared" si="51"/>
        <v>Mar-24</v>
      </c>
      <c r="O1111" s="23" t="str">
        <f t="shared" si="52"/>
        <v>Q1 2024</v>
      </c>
      <c r="P1111" s="23">
        <f>VLOOKUP(D1111,Products!$A:$F,4,FALSE)</f>
        <v>1075</v>
      </c>
      <c r="Q1111" s="35">
        <f t="shared" si="53"/>
        <v>0.57171314741035861</v>
      </c>
    </row>
    <row r="1112" spans="1:17">
      <c r="A1112" s="12" t="s">
        <v>1614</v>
      </c>
      <c r="B1112" s="13">
        <v>45548</v>
      </c>
      <c r="C1112" s="12" t="s">
        <v>1378</v>
      </c>
      <c r="D1112" s="12" t="s">
        <v>312</v>
      </c>
      <c r="E1112" s="12" t="s">
        <v>124</v>
      </c>
      <c r="F1112" s="14">
        <v>3</v>
      </c>
      <c r="G1112" s="14">
        <v>2030</v>
      </c>
      <c r="H1112" s="14">
        <v>3.8</v>
      </c>
      <c r="I1112" s="14">
        <v>5858.58</v>
      </c>
      <c r="J1112" s="12" t="s">
        <v>104</v>
      </c>
      <c r="K1112" s="12" t="s">
        <v>111</v>
      </c>
      <c r="L1112" s="23" t="str">
        <f>VLOOKUP(D1112,Products!$A:$F,3,FALSE)</f>
        <v>Home</v>
      </c>
      <c r="M1112" s="23" t="str">
        <f>VLOOKUP(E1112,Sales_Reps!$A:$E,3,FALSE)</f>
        <v>North</v>
      </c>
      <c r="N1112" s="23" t="str">
        <f t="shared" si="51"/>
        <v>Sep-24</v>
      </c>
      <c r="O1112" s="23" t="str">
        <f t="shared" si="52"/>
        <v>Q3 2024</v>
      </c>
      <c r="P1112" s="23">
        <f>VLOOKUP(D1112,Products!$A:$F,4,FALSE)</f>
        <v>1143</v>
      </c>
      <c r="Q1112" s="35">
        <f t="shared" si="53"/>
        <v>0.43694581280788175</v>
      </c>
    </row>
    <row r="1113" spans="1:17">
      <c r="A1113" s="12" t="s">
        <v>1615</v>
      </c>
      <c r="B1113" s="13">
        <v>45478</v>
      </c>
      <c r="C1113" s="12" t="s">
        <v>987</v>
      </c>
      <c r="D1113" s="12" t="s">
        <v>164</v>
      </c>
      <c r="E1113" s="12" t="s">
        <v>115</v>
      </c>
      <c r="F1113" s="14">
        <v>9</v>
      </c>
      <c r="G1113" s="14">
        <v>190</v>
      </c>
      <c r="H1113" s="14">
        <v>5.4</v>
      </c>
      <c r="I1113" s="14">
        <v>1617.66</v>
      </c>
      <c r="J1113" s="12" t="s">
        <v>104</v>
      </c>
      <c r="K1113" s="12" t="s">
        <v>129</v>
      </c>
      <c r="L1113" s="23" t="str">
        <f>VLOOKUP(D1113,Products!$A:$F,3,FALSE)</f>
        <v>Sports</v>
      </c>
      <c r="M1113" s="23" t="str">
        <f>VLOOKUP(E1113,Sales_Reps!$A:$E,3,FALSE)</f>
        <v>South</v>
      </c>
      <c r="N1113" s="23" t="str">
        <f t="shared" si="51"/>
        <v>Jul-24</v>
      </c>
      <c r="O1113" s="23" t="str">
        <f t="shared" si="52"/>
        <v>Q3 2024</v>
      </c>
      <c r="P1113" s="23">
        <f>VLOOKUP(D1113,Products!$A:$F,4,FALSE)</f>
        <v>147</v>
      </c>
      <c r="Q1113" s="35">
        <f t="shared" si="53"/>
        <v>0.22631578947368422</v>
      </c>
    </row>
    <row r="1114" spans="1:17">
      <c r="A1114" s="12" t="s">
        <v>1616</v>
      </c>
      <c r="B1114" s="13">
        <v>45338</v>
      </c>
      <c r="C1114" s="12" t="s">
        <v>362</v>
      </c>
      <c r="D1114" s="12" t="s">
        <v>355</v>
      </c>
      <c r="E1114" s="12" t="s">
        <v>209</v>
      </c>
      <c r="F1114" s="14">
        <v>6</v>
      </c>
      <c r="G1114" s="14">
        <v>2210</v>
      </c>
      <c r="H1114" s="14">
        <v>29.4</v>
      </c>
      <c r="I1114" s="14">
        <v>9361.56</v>
      </c>
      <c r="J1114" s="12" t="s">
        <v>104</v>
      </c>
      <c r="K1114" s="12" t="s">
        <v>111</v>
      </c>
      <c r="L1114" s="23" t="str">
        <f>VLOOKUP(D1114,Products!$A:$F,3,FALSE)</f>
        <v>Grocery</v>
      </c>
      <c r="M1114" s="23" t="str">
        <f>VLOOKUP(E1114,Sales_Reps!$A:$E,3,FALSE)</f>
        <v>East</v>
      </c>
      <c r="N1114" s="23" t="str">
        <f t="shared" si="51"/>
        <v>Feb-24</v>
      </c>
      <c r="O1114" s="23" t="str">
        <f t="shared" si="52"/>
        <v>Q1 2024</v>
      </c>
      <c r="P1114" s="23">
        <f>VLOOKUP(D1114,Products!$A:$F,4,FALSE)</f>
        <v>1010</v>
      </c>
      <c r="Q1114" s="35">
        <f t="shared" si="53"/>
        <v>0.54298642533936647</v>
      </c>
    </row>
    <row r="1115" spans="1:17">
      <c r="A1115" s="12" t="s">
        <v>1617</v>
      </c>
      <c r="B1115" s="13">
        <v>45546</v>
      </c>
      <c r="C1115" s="12" t="s">
        <v>437</v>
      </c>
      <c r="D1115" s="12" t="s">
        <v>254</v>
      </c>
      <c r="E1115" s="12" t="s">
        <v>109</v>
      </c>
      <c r="F1115" s="14">
        <v>4</v>
      </c>
      <c r="G1115" s="14">
        <v>3640</v>
      </c>
      <c r="H1115" s="14">
        <v>0.6</v>
      </c>
      <c r="I1115" s="14">
        <v>14472.64</v>
      </c>
      <c r="J1115" s="12" t="s">
        <v>104</v>
      </c>
      <c r="K1115" s="12" t="s">
        <v>116</v>
      </c>
      <c r="L1115" s="23" t="str">
        <f>VLOOKUP(D1115,Products!$A:$F,3,FALSE)</f>
        <v>Apparel</v>
      </c>
      <c r="M1115" s="23" t="str">
        <f>VLOOKUP(E1115,Sales_Reps!$A:$E,3,FALSE)</f>
        <v>North</v>
      </c>
      <c r="N1115" s="23" t="str">
        <f t="shared" si="51"/>
        <v>Sep-24</v>
      </c>
      <c r="O1115" s="23" t="str">
        <f t="shared" si="52"/>
        <v>Q3 2024</v>
      </c>
      <c r="P1115" s="23">
        <f>VLOOKUP(D1115,Products!$A:$F,4,FALSE)</f>
        <v>2611</v>
      </c>
      <c r="Q1115" s="35">
        <f t="shared" si="53"/>
        <v>0.28269230769230769</v>
      </c>
    </row>
    <row r="1116" spans="1:17">
      <c r="A1116" s="12" t="s">
        <v>1618</v>
      </c>
      <c r="B1116" s="13">
        <v>45626</v>
      </c>
      <c r="C1116" s="12" t="s">
        <v>917</v>
      </c>
      <c r="D1116" s="12" t="s">
        <v>284</v>
      </c>
      <c r="E1116" s="12" t="s">
        <v>221</v>
      </c>
      <c r="F1116" s="14">
        <v>9</v>
      </c>
      <c r="G1116" s="14">
        <v>1220</v>
      </c>
      <c r="H1116" s="14">
        <v>24.1</v>
      </c>
      <c r="I1116" s="14">
        <v>8333.82</v>
      </c>
      <c r="J1116" s="12" t="s">
        <v>104</v>
      </c>
      <c r="K1116" s="12" t="s">
        <v>134</v>
      </c>
      <c r="L1116" s="23" t="str">
        <f>VLOOKUP(D1116,Products!$A:$F,3,FALSE)</f>
        <v>Electronics</v>
      </c>
      <c r="M1116" s="23" t="str">
        <f>VLOOKUP(E1116,Sales_Reps!$A:$E,3,FALSE)</f>
        <v>South</v>
      </c>
      <c r="N1116" s="23" t="str">
        <f t="shared" si="51"/>
        <v>Nov-24</v>
      </c>
      <c r="O1116" s="23" t="str">
        <f t="shared" si="52"/>
        <v>Q4 2024</v>
      </c>
      <c r="P1116" s="23">
        <f>VLOOKUP(D1116,Products!$A:$F,4,FALSE)</f>
        <v>517</v>
      </c>
      <c r="Q1116" s="35">
        <f t="shared" si="53"/>
        <v>0.57622950819672136</v>
      </c>
    </row>
    <row r="1117" spans="1:17">
      <c r="A1117" s="12" t="s">
        <v>1619</v>
      </c>
      <c r="B1117" s="13">
        <v>45402</v>
      </c>
      <c r="C1117" s="12" t="s">
        <v>602</v>
      </c>
      <c r="D1117" s="12" t="s">
        <v>532</v>
      </c>
      <c r="E1117" s="12" t="s">
        <v>221</v>
      </c>
      <c r="F1117" s="14">
        <v>2</v>
      </c>
      <c r="G1117" s="14">
        <v>6940</v>
      </c>
      <c r="H1117" s="14">
        <v>27</v>
      </c>
      <c r="I1117" s="14">
        <v>10132.4</v>
      </c>
      <c r="J1117" s="12" t="s">
        <v>104</v>
      </c>
      <c r="K1117" s="12" t="s">
        <v>111</v>
      </c>
      <c r="L1117" s="23" t="str">
        <f>VLOOKUP(D1117,Products!$A:$F,3,FALSE)</f>
        <v>Sports</v>
      </c>
      <c r="M1117" s="23" t="str">
        <f>VLOOKUP(E1117,Sales_Reps!$A:$E,3,FALSE)</f>
        <v>South</v>
      </c>
      <c r="N1117" s="23" t="str">
        <f t="shared" si="51"/>
        <v>Apr-24</v>
      </c>
      <c r="O1117" s="23" t="str">
        <f t="shared" si="52"/>
        <v>Q2 2024</v>
      </c>
      <c r="P1117" s="23">
        <f>VLOOKUP(D1117,Products!$A:$F,4,FALSE)</f>
        <v>2827</v>
      </c>
      <c r="Q1117" s="35">
        <f t="shared" si="53"/>
        <v>0.5926512968299712</v>
      </c>
    </row>
    <row r="1118" spans="1:17">
      <c r="A1118" s="12" t="s">
        <v>1620</v>
      </c>
      <c r="B1118" s="13">
        <v>45604</v>
      </c>
      <c r="C1118" s="12" t="s">
        <v>374</v>
      </c>
      <c r="D1118" s="12" t="s">
        <v>212</v>
      </c>
      <c r="E1118" s="12" t="s">
        <v>149</v>
      </c>
      <c r="F1118" s="14">
        <v>6</v>
      </c>
      <c r="G1118" s="14">
        <v>2860</v>
      </c>
      <c r="H1118" s="14">
        <v>6.6</v>
      </c>
      <c r="I1118" s="14">
        <v>16027.44</v>
      </c>
      <c r="J1118" s="12" t="s">
        <v>104</v>
      </c>
      <c r="K1118" s="12" t="s">
        <v>116</v>
      </c>
      <c r="L1118" s="23" t="str">
        <f>VLOOKUP(D1118,Products!$A:$F,3,FALSE)</f>
        <v>Sports</v>
      </c>
      <c r="M1118" s="23" t="str">
        <f>VLOOKUP(E1118,Sales_Reps!$A:$E,3,FALSE)</f>
        <v>South</v>
      </c>
      <c r="N1118" s="23" t="str">
        <f t="shared" si="51"/>
        <v>Nov-24</v>
      </c>
      <c r="O1118" s="23" t="str">
        <f t="shared" si="52"/>
        <v>Q4 2024</v>
      </c>
      <c r="P1118" s="23">
        <f>VLOOKUP(D1118,Products!$A:$F,4,FALSE)</f>
        <v>2028</v>
      </c>
      <c r="Q1118" s="35">
        <f t="shared" si="53"/>
        <v>0.29090909090909089</v>
      </c>
    </row>
    <row r="1119" spans="1:17">
      <c r="A1119" s="12" t="s">
        <v>1621</v>
      </c>
      <c r="B1119" s="13">
        <v>45545</v>
      </c>
      <c r="C1119" s="12" t="s">
        <v>203</v>
      </c>
      <c r="D1119" s="12" t="s">
        <v>190</v>
      </c>
      <c r="E1119" s="12" t="s">
        <v>320</v>
      </c>
      <c r="F1119" s="14">
        <v>5</v>
      </c>
      <c r="G1119" s="14">
        <v>2720</v>
      </c>
      <c r="H1119" s="14">
        <v>21.4</v>
      </c>
      <c r="I1119" s="14">
        <v>10689.6</v>
      </c>
      <c r="J1119" s="12" t="s">
        <v>104</v>
      </c>
      <c r="K1119" s="12" t="s">
        <v>111</v>
      </c>
      <c r="L1119" s="23" t="str">
        <f>VLOOKUP(D1119,Products!$A:$F,3,FALSE)</f>
        <v>Apparel</v>
      </c>
      <c r="M1119" s="23" t="str">
        <f>VLOOKUP(E1119,Sales_Reps!$A:$E,3,FALSE)</f>
        <v>East</v>
      </c>
      <c r="N1119" s="23" t="str">
        <f t="shared" si="51"/>
        <v>Sep-24</v>
      </c>
      <c r="O1119" s="23" t="str">
        <f t="shared" si="52"/>
        <v>Q3 2024</v>
      </c>
      <c r="P1119" s="23">
        <f>VLOOKUP(D1119,Products!$A:$F,4,FALSE)</f>
        <v>1962</v>
      </c>
      <c r="Q1119" s="35">
        <f t="shared" si="53"/>
        <v>0.2786764705882353</v>
      </c>
    </row>
    <row r="1120" spans="1:17">
      <c r="A1120" s="12" t="s">
        <v>1622</v>
      </c>
      <c r="B1120" s="13">
        <v>45445</v>
      </c>
      <c r="C1120" s="12" t="s">
        <v>286</v>
      </c>
      <c r="D1120" s="12" t="s">
        <v>108</v>
      </c>
      <c r="E1120" s="12" t="s">
        <v>120</v>
      </c>
      <c r="F1120" s="14">
        <v>5</v>
      </c>
      <c r="G1120" s="14">
        <v>820</v>
      </c>
      <c r="H1120" s="14">
        <v>28.6</v>
      </c>
      <c r="I1120" s="14">
        <v>2927.4</v>
      </c>
      <c r="J1120" s="12" t="s">
        <v>104</v>
      </c>
      <c r="K1120" s="12" t="s">
        <v>129</v>
      </c>
      <c r="L1120" s="23" t="str">
        <f>VLOOKUP(D1120,Products!$A:$F,3,FALSE)</f>
        <v>Apparel</v>
      </c>
      <c r="M1120" s="23" t="str">
        <f>VLOOKUP(E1120,Sales_Reps!$A:$E,3,FALSE)</f>
        <v>North</v>
      </c>
      <c r="N1120" s="23" t="str">
        <f t="shared" si="51"/>
        <v>Jun-24</v>
      </c>
      <c r="O1120" s="23" t="str">
        <f t="shared" si="52"/>
        <v>Q2 2024</v>
      </c>
      <c r="P1120" s="23">
        <f>VLOOKUP(D1120,Products!$A:$F,4,FALSE)</f>
        <v>391</v>
      </c>
      <c r="Q1120" s="35">
        <f t="shared" si="53"/>
        <v>0.52317073170731709</v>
      </c>
    </row>
    <row r="1121" spans="1:17">
      <c r="A1121" s="12" t="s">
        <v>1623</v>
      </c>
      <c r="B1121" s="13">
        <v>45489</v>
      </c>
      <c r="C1121" s="12" t="s">
        <v>1325</v>
      </c>
      <c r="D1121" s="12" t="s">
        <v>403</v>
      </c>
      <c r="E1121" s="12" t="s">
        <v>302</v>
      </c>
      <c r="F1121" s="14">
        <v>6</v>
      </c>
      <c r="G1121" s="14">
        <v>2290</v>
      </c>
      <c r="H1121" s="14">
        <v>18.8</v>
      </c>
      <c r="I1121" s="14">
        <v>11156.88</v>
      </c>
      <c r="J1121" s="12" t="s">
        <v>104</v>
      </c>
      <c r="K1121" s="12" t="s">
        <v>111</v>
      </c>
      <c r="L1121" s="23" t="str">
        <f>VLOOKUP(D1121,Products!$A:$F,3,FALSE)</f>
        <v>Beauty</v>
      </c>
      <c r="M1121" s="23" t="str">
        <f>VLOOKUP(E1121,Sales_Reps!$A:$E,3,FALSE)</f>
        <v>East</v>
      </c>
      <c r="N1121" s="23" t="str">
        <f t="shared" si="51"/>
        <v>Jul-24</v>
      </c>
      <c r="O1121" s="23" t="str">
        <f t="shared" si="52"/>
        <v>Q3 2024</v>
      </c>
      <c r="P1121" s="23">
        <f>VLOOKUP(D1121,Products!$A:$F,4,FALSE)</f>
        <v>1219</v>
      </c>
      <c r="Q1121" s="35">
        <f t="shared" si="53"/>
        <v>0.46768558951965067</v>
      </c>
    </row>
    <row r="1122" spans="1:17">
      <c r="A1122" s="12" t="s">
        <v>1624</v>
      </c>
      <c r="B1122" s="13">
        <v>45394</v>
      </c>
      <c r="C1122" s="12" t="s">
        <v>706</v>
      </c>
      <c r="D1122" s="12" t="s">
        <v>174</v>
      </c>
      <c r="E1122" s="12" t="s">
        <v>175</v>
      </c>
      <c r="F1122" s="14">
        <v>6</v>
      </c>
      <c r="G1122" s="14">
        <v>3450</v>
      </c>
      <c r="H1122" s="14">
        <v>28.4</v>
      </c>
      <c r="I1122" s="14">
        <v>14821.2</v>
      </c>
      <c r="J1122" s="12" t="s">
        <v>104</v>
      </c>
      <c r="K1122" s="12" t="s">
        <v>150</v>
      </c>
      <c r="L1122" s="23" t="str">
        <f>VLOOKUP(D1122,Products!$A:$F,3,FALSE)</f>
        <v>Beauty</v>
      </c>
      <c r="M1122" s="23" t="str">
        <f>VLOOKUP(E1122,Sales_Reps!$A:$E,3,FALSE)</f>
        <v>East</v>
      </c>
      <c r="N1122" s="23" t="str">
        <f t="shared" si="51"/>
        <v>Apr-24</v>
      </c>
      <c r="O1122" s="23" t="str">
        <f t="shared" si="52"/>
        <v>Q2 2024</v>
      </c>
      <c r="P1122" s="23">
        <f>VLOOKUP(D1122,Products!$A:$F,4,FALSE)</f>
        <v>2420</v>
      </c>
      <c r="Q1122" s="35">
        <f t="shared" si="53"/>
        <v>0.29855072463768118</v>
      </c>
    </row>
    <row r="1123" spans="1:17">
      <c r="A1123" s="12" t="s">
        <v>1625</v>
      </c>
      <c r="B1123" s="13">
        <v>45340</v>
      </c>
      <c r="C1123" s="12" t="s">
        <v>140</v>
      </c>
      <c r="D1123" s="12" t="s">
        <v>312</v>
      </c>
      <c r="E1123" s="12" t="s">
        <v>314</v>
      </c>
      <c r="F1123" s="14">
        <v>10</v>
      </c>
      <c r="G1123" s="14">
        <v>2030</v>
      </c>
      <c r="H1123" s="14">
        <v>8</v>
      </c>
      <c r="I1123" s="14">
        <v>18676</v>
      </c>
      <c r="J1123" s="12" t="s">
        <v>104</v>
      </c>
      <c r="K1123" s="12" t="s">
        <v>134</v>
      </c>
      <c r="L1123" s="23" t="str">
        <f>VLOOKUP(D1123,Products!$A:$F,3,FALSE)</f>
        <v>Home</v>
      </c>
      <c r="M1123" s="23" t="str">
        <f>VLOOKUP(E1123,Sales_Reps!$A:$E,3,FALSE)</f>
        <v>North</v>
      </c>
      <c r="N1123" s="23" t="str">
        <f t="shared" si="51"/>
        <v>Feb-24</v>
      </c>
      <c r="O1123" s="23" t="str">
        <f t="shared" si="52"/>
        <v>Q1 2024</v>
      </c>
      <c r="P1123" s="23">
        <f>VLOOKUP(D1123,Products!$A:$F,4,FALSE)</f>
        <v>1143</v>
      </c>
      <c r="Q1123" s="35">
        <f t="shared" si="53"/>
        <v>0.43694581280788175</v>
      </c>
    </row>
    <row r="1124" spans="1:17">
      <c r="A1124" s="12" t="s">
        <v>1626</v>
      </c>
      <c r="B1124" s="13">
        <v>45378</v>
      </c>
      <c r="C1124" s="12" t="s">
        <v>976</v>
      </c>
      <c r="D1124" s="12" t="s">
        <v>168</v>
      </c>
      <c r="E1124" s="12" t="s">
        <v>302</v>
      </c>
      <c r="F1124" s="14">
        <v>1</v>
      </c>
      <c r="G1124" s="14">
        <v>2400</v>
      </c>
      <c r="H1124" s="14">
        <v>9.6999999999999993</v>
      </c>
      <c r="I1124" s="14">
        <v>2167.1999999999998</v>
      </c>
      <c r="J1124" s="12" t="s">
        <v>104</v>
      </c>
      <c r="K1124" s="12" t="s">
        <v>129</v>
      </c>
      <c r="L1124" s="23" t="str">
        <f>VLOOKUP(D1124,Products!$A:$F,3,FALSE)</f>
        <v>Sports</v>
      </c>
      <c r="M1124" s="23" t="str">
        <f>VLOOKUP(E1124,Sales_Reps!$A:$E,3,FALSE)</f>
        <v>East</v>
      </c>
      <c r="N1124" s="23" t="str">
        <f t="shared" si="51"/>
        <v>Mar-24</v>
      </c>
      <c r="O1124" s="23" t="str">
        <f t="shared" si="52"/>
        <v>Q1 2024</v>
      </c>
      <c r="P1124" s="23">
        <f>VLOOKUP(D1124,Products!$A:$F,4,FALSE)</f>
        <v>974</v>
      </c>
      <c r="Q1124" s="35">
        <f t="shared" si="53"/>
        <v>0.59416666666666662</v>
      </c>
    </row>
    <row r="1125" spans="1:17">
      <c r="A1125" s="12" t="s">
        <v>1627</v>
      </c>
      <c r="B1125" s="13">
        <v>45369</v>
      </c>
      <c r="C1125" s="12" t="s">
        <v>660</v>
      </c>
      <c r="D1125" s="12" t="s">
        <v>312</v>
      </c>
      <c r="E1125" s="12" t="s">
        <v>115</v>
      </c>
      <c r="F1125" s="14">
        <v>4</v>
      </c>
      <c r="G1125" s="14">
        <v>2030</v>
      </c>
      <c r="H1125" s="14">
        <v>24.8</v>
      </c>
      <c r="I1125" s="14">
        <v>6106.24</v>
      </c>
      <c r="J1125" s="12" t="s">
        <v>110</v>
      </c>
      <c r="K1125" s="12" t="s">
        <v>129</v>
      </c>
      <c r="L1125" s="23" t="str">
        <f>VLOOKUP(D1125,Products!$A:$F,3,FALSE)</f>
        <v>Home</v>
      </c>
      <c r="M1125" s="23" t="str">
        <f>VLOOKUP(E1125,Sales_Reps!$A:$E,3,FALSE)</f>
        <v>South</v>
      </c>
      <c r="N1125" s="23" t="str">
        <f t="shared" si="51"/>
        <v>Mar-24</v>
      </c>
      <c r="O1125" s="23" t="str">
        <f t="shared" si="52"/>
        <v>Q1 2024</v>
      </c>
      <c r="P1125" s="23">
        <f>VLOOKUP(D1125,Products!$A:$F,4,FALSE)</f>
        <v>1143</v>
      </c>
      <c r="Q1125" s="35">
        <f t="shared" si="53"/>
        <v>0.43694581280788175</v>
      </c>
    </row>
    <row r="1126" spans="1:17">
      <c r="A1126" s="12" t="s">
        <v>1628</v>
      </c>
      <c r="B1126" s="13">
        <v>45513</v>
      </c>
      <c r="C1126" s="12" t="s">
        <v>195</v>
      </c>
      <c r="D1126" s="12" t="s">
        <v>368</v>
      </c>
      <c r="E1126" s="12" t="s">
        <v>314</v>
      </c>
      <c r="F1126" s="14">
        <v>5</v>
      </c>
      <c r="G1126" s="14">
        <v>4060</v>
      </c>
      <c r="H1126" s="14">
        <v>9.1</v>
      </c>
      <c r="I1126" s="14">
        <v>18452.7</v>
      </c>
      <c r="J1126" s="12" t="s">
        <v>110</v>
      </c>
      <c r="K1126" s="12" t="s">
        <v>111</v>
      </c>
      <c r="L1126" s="23" t="str">
        <f>VLOOKUP(D1126,Products!$A:$F,3,FALSE)</f>
        <v>Grocery</v>
      </c>
      <c r="M1126" s="23" t="str">
        <f>VLOOKUP(E1126,Sales_Reps!$A:$E,3,FALSE)</f>
        <v>North</v>
      </c>
      <c r="N1126" s="23" t="str">
        <f t="shared" si="51"/>
        <v>Aug-24</v>
      </c>
      <c r="O1126" s="23" t="str">
        <f t="shared" si="52"/>
        <v>Q3 2024</v>
      </c>
      <c r="P1126" s="23">
        <f>VLOOKUP(D1126,Products!$A:$F,4,FALSE)</f>
        <v>2911</v>
      </c>
      <c r="Q1126" s="35">
        <f t="shared" si="53"/>
        <v>0.28300492610837441</v>
      </c>
    </row>
    <row r="1127" spans="1:17">
      <c r="A1127" s="12" t="s">
        <v>1629</v>
      </c>
      <c r="B1127" s="13">
        <v>45438</v>
      </c>
      <c r="C1127" s="12" t="s">
        <v>424</v>
      </c>
      <c r="D1127" s="12" t="s">
        <v>312</v>
      </c>
      <c r="E1127" s="12" t="s">
        <v>269</v>
      </c>
      <c r="F1127" s="14">
        <v>9</v>
      </c>
      <c r="G1127" s="14">
        <v>2030</v>
      </c>
      <c r="H1127" s="14">
        <v>15.9</v>
      </c>
      <c r="I1127" s="14">
        <v>15365.07</v>
      </c>
      <c r="J1127" s="12" t="s">
        <v>110</v>
      </c>
      <c r="K1127" s="12" t="s">
        <v>105</v>
      </c>
      <c r="L1127" s="23" t="str">
        <f>VLOOKUP(D1127,Products!$A:$F,3,FALSE)</f>
        <v>Home</v>
      </c>
      <c r="M1127" s="23" t="str">
        <f>VLOOKUP(E1127,Sales_Reps!$A:$E,3,FALSE)</f>
        <v>South</v>
      </c>
      <c r="N1127" s="23" t="str">
        <f t="shared" si="51"/>
        <v>May-24</v>
      </c>
      <c r="O1127" s="23" t="str">
        <f t="shared" si="52"/>
        <v>Q2 2024</v>
      </c>
      <c r="P1127" s="23">
        <f>VLOOKUP(D1127,Products!$A:$F,4,FALSE)</f>
        <v>1143</v>
      </c>
      <c r="Q1127" s="35">
        <f t="shared" si="53"/>
        <v>0.43694581280788175</v>
      </c>
    </row>
    <row r="1128" spans="1:17">
      <c r="A1128" s="12" t="s">
        <v>1630</v>
      </c>
      <c r="B1128" s="13">
        <v>45529</v>
      </c>
      <c r="C1128" s="12" t="s">
        <v>755</v>
      </c>
      <c r="D1128" s="12" t="s">
        <v>196</v>
      </c>
      <c r="E1128" s="12" t="s">
        <v>115</v>
      </c>
      <c r="F1128" s="14">
        <v>1</v>
      </c>
      <c r="G1128" s="14">
        <v>3350</v>
      </c>
      <c r="H1128" s="14">
        <v>23.2</v>
      </c>
      <c r="I1128" s="14">
        <v>2572.8000000000002</v>
      </c>
      <c r="J1128" s="12" t="s">
        <v>161</v>
      </c>
      <c r="K1128" s="12" t="s">
        <v>105</v>
      </c>
      <c r="L1128" s="23" t="str">
        <f>VLOOKUP(D1128,Products!$A:$F,3,FALSE)</f>
        <v>Beauty</v>
      </c>
      <c r="M1128" s="23" t="str">
        <f>VLOOKUP(E1128,Sales_Reps!$A:$E,3,FALSE)</f>
        <v>South</v>
      </c>
      <c r="N1128" s="23" t="str">
        <f t="shared" si="51"/>
        <v>Aug-24</v>
      </c>
      <c r="O1128" s="23" t="str">
        <f t="shared" si="52"/>
        <v>Q3 2024</v>
      </c>
      <c r="P1128" s="23">
        <f>VLOOKUP(D1128,Products!$A:$F,4,FALSE)</f>
        <v>1728</v>
      </c>
      <c r="Q1128" s="35">
        <f t="shared" si="53"/>
        <v>0.48417910447761192</v>
      </c>
    </row>
    <row r="1129" spans="1:17">
      <c r="A1129" s="12" t="s">
        <v>1631</v>
      </c>
      <c r="B1129" s="13">
        <v>45634</v>
      </c>
      <c r="C1129" s="12" t="s">
        <v>471</v>
      </c>
      <c r="D1129" s="12" t="s">
        <v>220</v>
      </c>
      <c r="E1129" s="12" t="s">
        <v>120</v>
      </c>
      <c r="F1129" s="14">
        <v>4</v>
      </c>
      <c r="G1129" s="14">
        <v>660</v>
      </c>
      <c r="H1129" s="14">
        <v>27.1</v>
      </c>
      <c r="I1129" s="14">
        <v>1924.56</v>
      </c>
      <c r="J1129" s="12" t="s">
        <v>104</v>
      </c>
      <c r="K1129" s="12" t="s">
        <v>150</v>
      </c>
      <c r="L1129" s="23" t="str">
        <f>VLOOKUP(D1129,Products!$A:$F,3,FALSE)</f>
        <v>Home</v>
      </c>
      <c r="M1129" s="23" t="str">
        <f>VLOOKUP(E1129,Sales_Reps!$A:$E,3,FALSE)</f>
        <v>North</v>
      </c>
      <c r="N1129" s="23" t="str">
        <f t="shared" si="51"/>
        <v>Dec-24</v>
      </c>
      <c r="O1129" s="23" t="str">
        <f t="shared" si="52"/>
        <v>Q4 2024</v>
      </c>
      <c r="P1129" s="23">
        <f>VLOOKUP(D1129,Products!$A:$F,4,FALSE)</f>
        <v>329</v>
      </c>
      <c r="Q1129" s="35">
        <f t="shared" si="53"/>
        <v>0.50151515151515147</v>
      </c>
    </row>
    <row r="1130" spans="1:17">
      <c r="A1130" s="12" t="s">
        <v>1632</v>
      </c>
      <c r="B1130" s="13">
        <v>45441</v>
      </c>
      <c r="C1130" s="12" t="s">
        <v>278</v>
      </c>
      <c r="D1130" s="12" t="s">
        <v>293</v>
      </c>
      <c r="E1130" s="12" t="s">
        <v>115</v>
      </c>
      <c r="F1130" s="14">
        <v>3</v>
      </c>
      <c r="G1130" s="14">
        <v>3020</v>
      </c>
      <c r="H1130" s="14">
        <v>7.2</v>
      </c>
      <c r="I1130" s="14">
        <v>8407.68</v>
      </c>
      <c r="J1130" s="12" t="s">
        <v>104</v>
      </c>
      <c r="K1130" s="12" t="s">
        <v>116</v>
      </c>
      <c r="L1130" s="23" t="str">
        <f>VLOOKUP(D1130,Products!$A:$F,3,FALSE)</f>
        <v>Beauty</v>
      </c>
      <c r="M1130" s="23" t="str">
        <f>VLOOKUP(E1130,Sales_Reps!$A:$E,3,FALSE)</f>
        <v>South</v>
      </c>
      <c r="N1130" s="23" t="str">
        <f t="shared" si="51"/>
        <v>May-24</v>
      </c>
      <c r="O1130" s="23" t="str">
        <f t="shared" si="52"/>
        <v>Q2 2024</v>
      </c>
      <c r="P1130" s="23">
        <f>VLOOKUP(D1130,Products!$A:$F,4,FALSE)</f>
        <v>1626</v>
      </c>
      <c r="Q1130" s="35">
        <f t="shared" si="53"/>
        <v>0.46158940397350995</v>
      </c>
    </row>
    <row r="1131" spans="1:17">
      <c r="A1131" s="12" t="s">
        <v>1633</v>
      </c>
      <c r="B1131" s="13">
        <v>45409</v>
      </c>
      <c r="C1131" s="12" t="s">
        <v>582</v>
      </c>
      <c r="D1131" s="12" t="s">
        <v>296</v>
      </c>
      <c r="E1131" s="12" t="s">
        <v>120</v>
      </c>
      <c r="F1131" s="14">
        <v>3</v>
      </c>
      <c r="G1131" s="14">
        <v>2660</v>
      </c>
      <c r="H1131" s="14">
        <v>0.2</v>
      </c>
      <c r="I1131" s="14">
        <v>7964.04</v>
      </c>
      <c r="J1131" s="12" t="s">
        <v>104</v>
      </c>
      <c r="K1131" s="12" t="s">
        <v>129</v>
      </c>
      <c r="L1131" s="23" t="str">
        <f>VLOOKUP(D1131,Products!$A:$F,3,FALSE)</f>
        <v>Electronics</v>
      </c>
      <c r="M1131" s="23" t="str">
        <f>VLOOKUP(E1131,Sales_Reps!$A:$E,3,FALSE)</f>
        <v>North</v>
      </c>
      <c r="N1131" s="23" t="str">
        <f t="shared" si="51"/>
        <v>Apr-24</v>
      </c>
      <c r="O1131" s="23" t="str">
        <f t="shared" si="52"/>
        <v>Q2 2024</v>
      </c>
      <c r="P1131" s="23">
        <f>VLOOKUP(D1131,Products!$A:$F,4,FALSE)</f>
        <v>1259</v>
      </c>
      <c r="Q1131" s="35">
        <f t="shared" si="53"/>
        <v>0.52669172932330832</v>
      </c>
    </row>
    <row r="1132" spans="1:17">
      <c r="A1132" s="12" t="s">
        <v>1634</v>
      </c>
      <c r="B1132" s="13">
        <v>45650</v>
      </c>
      <c r="C1132" s="12" t="s">
        <v>973</v>
      </c>
      <c r="D1132" s="12" t="s">
        <v>199</v>
      </c>
      <c r="E1132" s="12" t="s">
        <v>120</v>
      </c>
      <c r="F1132" s="14">
        <v>4</v>
      </c>
      <c r="G1132" s="14">
        <v>1010</v>
      </c>
      <c r="H1132" s="14">
        <v>3.1</v>
      </c>
      <c r="I1132" s="14">
        <v>3914.76</v>
      </c>
      <c r="J1132" s="12" t="s">
        <v>104</v>
      </c>
      <c r="K1132" s="12" t="s">
        <v>129</v>
      </c>
      <c r="L1132" s="23" t="str">
        <f>VLOOKUP(D1132,Products!$A:$F,3,FALSE)</f>
        <v>Sports</v>
      </c>
      <c r="M1132" s="23" t="str">
        <f>VLOOKUP(E1132,Sales_Reps!$A:$E,3,FALSE)</f>
        <v>North</v>
      </c>
      <c r="N1132" s="23" t="str">
        <f t="shared" si="51"/>
        <v>Dec-24</v>
      </c>
      <c r="O1132" s="23" t="str">
        <f t="shared" si="52"/>
        <v>Q4 2024</v>
      </c>
      <c r="P1132" s="23">
        <f>VLOOKUP(D1132,Products!$A:$F,4,FALSE)</f>
        <v>516</v>
      </c>
      <c r="Q1132" s="35">
        <f t="shared" si="53"/>
        <v>0.4891089108910891</v>
      </c>
    </row>
    <row r="1133" spans="1:17">
      <c r="A1133" s="12" t="s">
        <v>1635</v>
      </c>
      <c r="B1133" s="13">
        <v>45380</v>
      </c>
      <c r="C1133" s="12" t="s">
        <v>969</v>
      </c>
      <c r="D1133" s="12" t="s">
        <v>141</v>
      </c>
      <c r="E1133" s="12" t="s">
        <v>255</v>
      </c>
      <c r="F1133" s="14">
        <v>5</v>
      </c>
      <c r="G1133" s="14">
        <v>5490</v>
      </c>
      <c r="H1133" s="14">
        <v>3.6</v>
      </c>
      <c r="I1133" s="14">
        <v>26461.8</v>
      </c>
      <c r="J1133" s="12" t="s">
        <v>104</v>
      </c>
      <c r="K1133" s="12" t="s">
        <v>150</v>
      </c>
      <c r="L1133" s="23" t="str">
        <f>VLOOKUP(D1133,Products!$A:$F,3,FALSE)</f>
        <v>Home</v>
      </c>
      <c r="M1133" s="23" t="str">
        <f>VLOOKUP(E1133,Sales_Reps!$A:$E,3,FALSE)</f>
        <v>East</v>
      </c>
      <c r="N1133" s="23" t="str">
        <f t="shared" si="51"/>
        <v>Mar-24</v>
      </c>
      <c r="O1133" s="23" t="str">
        <f t="shared" si="52"/>
        <v>Q1 2024</v>
      </c>
      <c r="P1133" s="23">
        <f>VLOOKUP(D1133,Products!$A:$F,4,FALSE)</f>
        <v>2549</v>
      </c>
      <c r="Q1133" s="35">
        <f t="shared" si="53"/>
        <v>0.53570127504553733</v>
      </c>
    </row>
    <row r="1134" spans="1:17">
      <c r="A1134" s="12" t="s">
        <v>1636</v>
      </c>
      <c r="B1134" s="13">
        <v>45322</v>
      </c>
      <c r="C1134" s="12" t="s">
        <v>177</v>
      </c>
      <c r="D1134" s="12" t="s">
        <v>168</v>
      </c>
      <c r="E1134" s="12" t="s">
        <v>138</v>
      </c>
      <c r="F1134" s="14">
        <v>1</v>
      </c>
      <c r="G1134" s="14">
        <v>2400</v>
      </c>
      <c r="H1134" s="14">
        <v>24.3</v>
      </c>
      <c r="I1134" s="14">
        <v>1816.8</v>
      </c>
      <c r="J1134" s="12" t="s">
        <v>104</v>
      </c>
      <c r="K1134" s="12" t="s">
        <v>129</v>
      </c>
      <c r="L1134" s="23" t="str">
        <f>VLOOKUP(D1134,Products!$A:$F,3,FALSE)</f>
        <v>Sports</v>
      </c>
      <c r="M1134" s="23" t="str">
        <f>VLOOKUP(E1134,Sales_Reps!$A:$E,3,FALSE)</f>
        <v>East</v>
      </c>
      <c r="N1134" s="23" t="str">
        <f t="shared" si="51"/>
        <v>Jan-24</v>
      </c>
      <c r="O1134" s="23" t="str">
        <f t="shared" si="52"/>
        <v>Q1 2024</v>
      </c>
      <c r="P1134" s="23">
        <f>VLOOKUP(D1134,Products!$A:$F,4,FALSE)</f>
        <v>974</v>
      </c>
      <c r="Q1134" s="35">
        <f t="shared" si="53"/>
        <v>0.59416666666666662</v>
      </c>
    </row>
    <row r="1135" spans="1:17">
      <c r="A1135" s="12" t="s">
        <v>1637</v>
      </c>
      <c r="B1135" s="13">
        <v>45532</v>
      </c>
      <c r="C1135" s="12" t="s">
        <v>376</v>
      </c>
      <c r="D1135" s="12" t="s">
        <v>220</v>
      </c>
      <c r="E1135" s="12" t="s">
        <v>221</v>
      </c>
      <c r="F1135" s="14">
        <v>8</v>
      </c>
      <c r="G1135" s="14">
        <v>660</v>
      </c>
      <c r="H1135" s="14">
        <v>19.8</v>
      </c>
      <c r="I1135" s="14">
        <v>4234.5600000000004</v>
      </c>
      <c r="J1135" s="12" t="s">
        <v>104</v>
      </c>
      <c r="K1135" s="12" t="s">
        <v>116</v>
      </c>
      <c r="L1135" s="23" t="str">
        <f>VLOOKUP(D1135,Products!$A:$F,3,FALSE)</f>
        <v>Home</v>
      </c>
      <c r="M1135" s="23" t="str">
        <f>VLOOKUP(E1135,Sales_Reps!$A:$E,3,FALSE)</f>
        <v>South</v>
      </c>
      <c r="N1135" s="23" t="str">
        <f t="shared" si="51"/>
        <v>Aug-24</v>
      </c>
      <c r="O1135" s="23" t="str">
        <f t="shared" si="52"/>
        <v>Q3 2024</v>
      </c>
      <c r="P1135" s="23">
        <f>VLOOKUP(D1135,Products!$A:$F,4,FALSE)</f>
        <v>329</v>
      </c>
      <c r="Q1135" s="35">
        <f t="shared" si="53"/>
        <v>0.50151515151515147</v>
      </c>
    </row>
    <row r="1136" spans="1:17">
      <c r="A1136" s="12" t="s">
        <v>1638</v>
      </c>
      <c r="B1136" s="13">
        <v>45504</v>
      </c>
      <c r="C1136" s="12" t="s">
        <v>1311</v>
      </c>
      <c r="D1136" s="12" t="s">
        <v>381</v>
      </c>
      <c r="E1136" s="12" t="s">
        <v>363</v>
      </c>
      <c r="F1136" s="14">
        <v>9</v>
      </c>
      <c r="G1136" s="14">
        <v>5330</v>
      </c>
      <c r="H1136" s="14">
        <v>16.5</v>
      </c>
      <c r="I1136" s="14">
        <v>40054.949999999997</v>
      </c>
      <c r="J1136" s="12" t="s">
        <v>104</v>
      </c>
      <c r="K1136" s="12" t="s">
        <v>111</v>
      </c>
      <c r="L1136" s="23" t="str">
        <f>VLOOKUP(D1136,Products!$A:$F,3,FALSE)</f>
        <v>Electronics</v>
      </c>
      <c r="M1136" s="23" t="str">
        <f>VLOOKUP(E1136,Sales_Reps!$A:$E,3,FALSE)</f>
        <v>South</v>
      </c>
      <c r="N1136" s="23" t="str">
        <f t="shared" si="51"/>
        <v>Jul-24</v>
      </c>
      <c r="O1136" s="23" t="str">
        <f t="shared" si="52"/>
        <v>Q3 2024</v>
      </c>
      <c r="P1136" s="23">
        <f>VLOOKUP(D1136,Products!$A:$F,4,FALSE)</f>
        <v>2405</v>
      </c>
      <c r="Q1136" s="35">
        <f t="shared" si="53"/>
        <v>0.54878048780487809</v>
      </c>
    </row>
    <row r="1137" spans="1:17">
      <c r="A1137" s="12" t="s">
        <v>1307</v>
      </c>
      <c r="B1137" s="13">
        <v>45516</v>
      </c>
      <c r="C1137" s="12" t="s">
        <v>606</v>
      </c>
      <c r="D1137" s="12" t="s">
        <v>155</v>
      </c>
      <c r="E1137" s="12" t="s">
        <v>103</v>
      </c>
      <c r="F1137" s="14">
        <v>5</v>
      </c>
      <c r="G1137" s="14">
        <v>2600</v>
      </c>
      <c r="H1137" s="14">
        <v>0.3</v>
      </c>
      <c r="I1137" s="14">
        <v>12961</v>
      </c>
      <c r="J1137" s="12" t="s">
        <v>104</v>
      </c>
      <c r="K1137" s="12" t="s">
        <v>111</v>
      </c>
      <c r="L1137" s="23" t="str">
        <f>VLOOKUP(D1137,Products!$A:$F,3,FALSE)</f>
        <v>Electronics</v>
      </c>
      <c r="M1137" s="23" t="str">
        <f>VLOOKUP(E1137,Sales_Reps!$A:$E,3,FALSE)</f>
        <v>North</v>
      </c>
      <c r="N1137" s="23" t="str">
        <f t="shared" si="51"/>
        <v>Aug-24</v>
      </c>
      <c r="O1137" s="23" t="str">
        <f t="shared" si="52"/>
        <v>Q3 2024</v>
      </c>
      <c r="P1137" s="23">
        <f>VLOOKUP(D1137,Products!$A:$F,4,FALSE)</f>
        <v>1052</v>
      </c>
      <c r="Q1137" s="35">
        <f t="shared" si="53"/>
        <v>0.5953846153846154</v>
      </c>
    </row>
    <row r="1138" spans="1:17">
      <c r="A1138" s="12" t="s">
        <v>1639</v>
      </c>
      <c r="B1138" s="13">
        <v>45462</v>
      </c>
      <c r="C1138" s="12" t="s">
        <v>1640</v>
      </c>
      <c r="D1138" s="12" t="s">
        <v>460</v>
      </c>
      <c r="E1138" s="12" t="s">
        <v>320</v>
      </c>
      <c r="F1138" s="14">
        <v>4</v>
      </c>
      <c r="G1138" s="14">
        <v>5080</v>
      </c>
      <c r="H1138" s="14">
        <v>13.8</v>
      </c>
      <c r="I1138" s="14">
        <v>17515.84</v>
      </c>
      <c r="J1138" s="12" t="s">
        <v>110</v>
      </c>
      <c r="K1138" s="12" t="s">
        <v>134</v>
      </c>
      <c r="L1138" s="23" t="str">
        <f>VLOOKUP(D1138,Products!$A:$F,3,FALSE)</f>
        <v>Home</v>
      </c>
      <c r="M1138" s="23" t="str">
        <f>VLOOKUP(E1138,Sales_Reps!$A:$E,3,FALSE)</f>
        <v>East</v>
      </c>
      <c r="N1138" s="23" t="str">
        <f t="shared" si="51"/>
        <v>Jun-24</v>
      </c>
      <c r="O1138" s="23" t="str">
        <f t="shared" si="52"/>
        <v>Q2 2024</v>
      </c>
      <c r="P1138" s="23">
        <f>VLOOKUP(D1138,Products!$A:$F,4,FALSE)</f>
        <v>2459</v>
      </c>
      <c r="Q1138" s="35">
        <f t="shared" si="53"/>
        <v>0.51594488188976373</v>
      </c>
    </row>
    <row r="1139" spans="1:17">
      <c r="A1139" s="12" t="s">
        <v>1641</v>
      </c>
      <c r="B1139" s="13">
        <v>45597</v>
      </c>
      <c r="C1139" s="12" t="s">
        <v>1267</v>
      </c>
      <c r="D1139" s="12" t="s">
        <v>384</v>
      </c>
      <c r="E1139" s="12" t="s">
        <v>314</v>
      </c>
      <c r="F1139" s="14">
        <v>7</v>
      </c>
      <c r="G1139" s="14">
        <v>2380</v>
      </c>
      <c r="H1139" s="14">
        <v>15.5</v>
      </c>
      <c r="I1139" s="14">
        <v>14077.7</v>
      </c>
      <c r="J1139" s="12" t="s">
        <v>104</v>
      </c>
      <c r="K1139" s="12" t="s">
        <v>105</v>
      </c>
      <c r="L1139" s="23" t="str">
        <f>VLOOKUP(D1139,Products!$A:$F,3,FALSE)</f>
        <v>Grocery</v>
      </c>
      <c r="M1139" s="23" t="str">
        <f>VLOOKUP(E1139,Sales_Reps!$A:$E,3,FALSE)</f>
        <v>North</v>
      </c>
      <c r="N1139" s="23" t="str">
        <f t="shared" si="51"/>
        <v>Nov-24</v>
      </c>
      <c r="O1139" s="23" t="str">
        <f t="shared" si="52"/>
        <v>Q4 2024</v>
      </c>
      <c r="P1139" s="23">
        <f>VLOOKUP(D1139,Products!$A:$F,4,FALSE)</f>
        <v>1182</v>
      </c>
      <c r="Q1139" s="35">
        <f t="shared" si="53"/>
        <v>0.50336134453781511</v>
      </c>
    </row>
    <row r="1140" spans="1:17">
      <c r="A1140" s="12" t="s">
        <v>1642</v>
      </c>
      <c r="B1140" s="13">
        <v>45648</v>
      </c>
      <c r="C1140" s="12" t="s">
        <v>264</v>
      </c>
      <c r="D1140" s="12" t="s">
        <v>201</v>
      </c>
      <c r="E1140" s="12" t="s">
        <v>120</v>
      </c>
      <c r="F1140" s="14">
        <v>3</v>
      </c>
      <c r="G1140" s="14">
        <v>4880</v>
      </c>
      <c r="H1140" s="14">
        <v>6.1</v>
      </c>
      <c r="I1140" s="14">
        <v>13746.96</v>
      </c>
      <c r="J1140" s="12" t="s">
        <v>104</v>
      </c>
      <c r="K1140" s="12" t="s">
        <v>134</v>
      </c>
      <c r="L1140" s="23" t="str">
        <f>VLOOKUP(D1140,Products!$A:$F,3,FALSE)</f>
        <v>Beauty</v>
      </c>
      <c r="M1140" s="23" t="str">
        <f>VLOOKUP(E1140,Sales_Reps!$A:$E,3,FALSE)</f>
        <v>North</v>
      </c>
      <c r="N1140" s="23" t="str">
        <f t="shared" si="51"/>
        <v>Dec-24</v>
      </c>
      <c r="O1140" s="23" t="str">
        <f t="shared" si="52"/>
        <v>Q4 2024</v>
      </c>
      <c r="P1140" s="23">
        <f>VLOOKUP(D1140,Products!$A:$F,4,FALSE)</f>
        <v>2768</v>
      </c>
      <c r="Q1140" s="35">
        <f t="shared" si="53"/>
        <v>0.43278688524590164</v>
      </c>
    </row>
    <row r="1141" spans="1:17">
      <c r="A1141" s="12" t="s">
        <v>1643</v>
      </c>
      <c r="B1141" s="13">
        <v>45355</v>
      </c>
      <c r="C1141" s="12" t="s">
        <v>781</v>
      </c>
      <c r="D1141" s="12" t="s">
        <v>196</v>
      </c>
      <c r="E1141" s="12" t="s">
        <v>221</v>
      </c>
      <c r="F1141" s="14">
        <v>2</v>
      </c>
      <c r="G1141" s="14">
        <v>3350</v>
      </c>
      <c r="H1141" s="14">
        <v>17.2</v>
      </c>
      <c r="I1141" s="14">
        <v>5547.6</v>
      </c>
      <c r="J1141" s="12" t="s">
        <v>104</v>
      </c>
      <c r="K1141" s="12" t="s">
        <v>111</v>
      </c>
      <c r="L1141" s="23" t="str">
        <f>VLOOKUP(D1141,Products!$A:$F,3,FALSE)</f>
        <v>Beauty</v>
      </c>
      <c r="M1141" s="23" t="str">
        <f>VLOOKUP(E1141,Sales_Reps!$A:$E,3,FALSE)</f>
        <v>South</v>
      </c>
      <c r="N1141" s="23" t="str">
        <f t="shared" si="51"/>
        <v>Mar-24</v>
      </c>
      <c r="O1141" s="23" t="str">
        <f t="shared" si="52"/>
        <v>Q1 2024</v>
      </c>
      <c r="P1141" s="23">
        <f>VLOOKUP(D1141,Products!$A:$F,4,FALSE)</f>
        <v>1728</v>
      </c>
      <c r="Q1141" s="35">
        <f t="shared" si="53"/>
        <v>0.48417910447761192</v>
      </c>
    </row>
    <row r="1142" spans="1:17">
      <c r="A1142" s="12" t="s">
        <v>1644</v>
      </c>
      <c r="B1142" s="13">
        <v>45331</v>
      </c>
      <c r="C1142" s="12" t="s">
        <v>1645</v>
      </c>
      <c r="D1142" s="12" t="s">
        <v>144</v>
      </c>
      <c r="E1142" s="12" t="s">
        <v>133</v>
      </c>
      <c r="F1142" s="14">
        <v>5</v>
      </c>
      <c r="G1142" s="14">
        <v>970</v>
      </c>
      <c r="H1142" s="14">
        <v>23.6</v>
      </c>
      <c r="I1142" s="14">
        <v>3705.4</v>
      </c>
      <c r="J1142" s="12" t="s">
        <v>104</v>
      </c>
      <c r="K1142" s="12" t="s">
        <v>111</v>
      </c>
      <c r="L1142" s="23" t="str">
        <f>VLOOKUP(D1142,Products!$A:$F,3,FALSE)</f>
        <v>Grocery</v>
      </c>
      <c r="M1142" s="23" t="str">
        <f>VLOOKUP(E1142,Sales_Reps!$A:$E,3,FALSE)</f>
        <v>West</v>
      </c>
      <c r="N1142" s="23" t="str">
        <f t="shared" si="51"/>
        <v>Feb-24</v>
      </c>
      <c r="O1142" s="23" t="str">
        <f t="shared" si="52"/>
        <v>Q1 2024</v>
      </c>
      <c r="P1142" s="23">
        <f>VLOOKUP(D1142,Products!$A:$F,4,FALSE)</f>
        <v>434</v>
      </c>
      <c r="Q1142" s="35">
        <f t="shared" si="53"/>
        <v>0.5525773195876289</v>
      </c>
    </row>
    <row r="1143" spans="1:17">
      <c r="A1143" s="12" t="s">
        <v>1646</v>
      </c>
      <c r="B1143" s="13">
        <v>45632</v>
      </c>
      <c r="C1143" s="12" t="s">
        <v>335</v>
      </c>
      <c r="D1143" s="12" t="s">
        <v>299</v>
      </c>
      <c r="E1143" s="12" t="s">
        <v>302</v>
      </c>
      <c r="F1143" s="14">
        <v>5</v>
      </c>
      <c r="G1143" s="14">
        <v>300</v>
      </c>
      <c r="H1143" s="14">
        <v>3.8</v>
      </c>
      <c r="I1143" s="14">
        <v>1443</v>
      </c>
      <c r="J1143" s="12" t="s">
        <v>104</v>
      </c>
      <c r="K1143" s="12" t="s">
        <v>111</v>
      </c>
      <c r="L1143" s="23" t="str">
        <f>VLOOKUP(D1143,Products!$A:$F,3,FALSE)</f>
        <v>Electronics</v>
      </c>
      <c r="M1143" s="23" t="str">
        <f>VLOOKUP(E1143,Sales_Reps!$A:$E,3,FALSE)</f>
        <v>East</v>
      </c>
      <c r="N1143" s="23" t="str">
        <f t="shared" si="51"/>
        <v>Dec-24</v>
      </c>
      <c r="O1143" s="23" t="str">
        <f t="shared" si="52"/>
        <v>Q4 2024</v>
      </c>
      <c r="P1143" s="23">
        <f>VLOOKUP(D1143,Products!$A:$F,4,FALSE)</f>
        <v>128</v>
      </c>
      <c r="Q1143" s="35">
        <f t="shared" si="53"/>
        <v>0.57333333333333336</v>
      </c>
    </row>
    <row r="1144" spans="1:17">
      <c r="A1144" s="12" t="s">
        <v>1647</v>
      </c>
      <c r="B1144" s="13">
        <v>45358</v>
      </c>
      <c r="C1144" s="12" t="s">
        <v>576</v>
      </c>
      <c r="D1144" s="12" t="s">
        <v>425</v>
      </c>
      <c r="E1144" s="12" t="s">
        <v>109</v>
      </c>
      <c r="F1144" s="14">
        <v>9</v>
      </c>
      <c r="G1144" s="14">
        <v>3970</v>
      </c>
      <c r="H1144" s="14">
        <v>0.8</v>
      </c>
      <c r="I1144" s="14">
        <v>35444.160000000003</v>
      </c>
      <c r="J1144" s="12" t="s">
        <v>104</v>
      </c>
      <c r="K1144" s="12" t="s">
        <v>105</v>
      </c>
      <c r="L1144" s="23" t="str">
        <f>VLOOKUP(D1144,Products!$A:$F,3,FALSE)</f>
        <v>Electronics</v>
      </c>
      <c r="M1144" s="23" t="str">
        <f>VLOOKUP(E1144,Sales_Reps!$A:$E,3,FALSE)</f>
        <v>North</v>
      </c>
      <c r="N1144" s="23" t="str">
        <f t="shared" si="51"/>
        <v>Mar-24</v>
      </c>
      <c r="O1144" s="23" t="str">
        <f t="shared" si="52"/>
        <v>Q1 2024</v>
      </c>
      <c r="P1144" s="23">
        <f>VLOOKUP(D1144,Products!$A:$F,4,FALSE)</f>
        <v>2865</v>
      </c>
      <c r="Q1144" s="35">
        <f t="shared" si="53"/>
        <v>0.27833753148614609</v>
      </c>
    </row>
    <row r="1145" spans="1:17">
      <c r="A1145" s="12" t="s">
        <v>1648</v>
      </c>
      <c r="B1145" s="13">
        <v>45440</v>
      </c>
      <c r="C1145" s="12" t="s">
        <v>1138</v>
      </c>
      <c r="D1145" s="12" t="s">
        <v>190</v>
      </c>
      <c r="E1145" s="12" t="s">
        <v>269</v>
      </c>
      <c r="F1145" s="14">
        <v>4</v>
      </c>
      <c r="G1145" s="14">
        <v>2720</v>
      </c>
      <c r="H1145" s="14">
        <v>12.7</v>
      </c>
      <c r="I1145" s="14">
        <v>9498.24</v>
      </c>
      <c r="J1145" s="12" t="s">
        <v>104</v>
      </c>
      <c r="K1145" s="12" t="s">
        <v>129</v>
      </c>
      <c r="L1145" s="23" t="str">
        <f>VLOOKUP(D1145,Products!$A:$F,3,FALSE)</f>
        <v>Apparel</v>
      </c>
      <c r="M1145" s="23" t="str">
        <f>VLOOKUP(E1145,Sales_Reps!$A:$E,3,FALSE)</f>
        <v>South</v>
      </c>
      <c r="N1145" s="23" t="str">
        <f t="shared" si="51"/>
        <v>May-24</v>
      </c>
      <c r="O1145" s="23" t="str">
        <f t="shared" si="52"/>
        <v>Q2 2024</v>
      </c>
      <c r="P1145" s="23">
        <f>VLOOKUP(D1145,Products!$A:$F,4,FALSE)</f>
        <v>1962</v>
      </c>
      <c r="Q1145" s="35">
        <f t="shared" si="53"/>
        <v>0.2786764705882353</v>
      </c>
    </row>
    <row r="1146" spans="1:17">
      <c r="A1146" s="12" t="s">
        <v>1649</v>
      </c>
      <c r="B1146" s="13">
        <v>45412</v>
      </c>
      <c r="C1146" s="12" t="s">
        <v>292</v>
      </c>
      <c r="D1146" s="12" t="s">
        <v>309</v>
      </c>
      <c r="E1146" s="12" t="s">
        <v>175</v>
      </c>
      <c r="F1146" s="14">
        <v>3</v>
      </c>
      <c r="G1146" s="14">
        <v>620</v>
      </c>
      <c r="H1146" s="14">
        <v>5.5</v>
      </c>
      <c r="I1146" s="14">
        <v>1757.7</v>
      </c>
      <c r="J1146" s="12" t="s">
        <v>104</v>
      </c>
      <c r="K1146" s="12" t="s">
        <v>105</v>
      </c>
      <c r="L1146" s="23" t="str">
        <f>VLOOKUP(D1146,Products!$A:$F,3,FALSE)</f>
        <v>Apparel</v>
      </c>
      <c r="M1146" s="23" t="str">
        <f>VLOOKUP(E1146,Sales_Reps!$A:$E,3,FALSE)</f>
        <v>East</v>
      </c>
      <c r="N1146" s="23" t="str">
        <f t="shared" si="51"/>
        <v>Apr-24</v>
      </c>
      <c r="O1146" s="23" t="str">
        <f t="shared" si="52"/>
        <v>Q2 2024</v>
      </c>
      <c r="P1146" s="23">
        <f>VLOOKUP(D1146,Products!$A:$F,4,FALSE)</f>
        <v>396</v>
      </c>
      <c r="Q1146" s="35">
        <f t="shared" si="53"/>
        <v>0.36129032258064514</v>
      </c>
    </row>
    <row r="1147" spans="1:17">
      <c r="A1147" s="12" t="s">
        <v>1650</v>
      </c>
      <c r="B1147" s="13">
        <v>45479</v>
      </c>
      <c r="C1147" s="12" t="s">
        <v>195</v>
      </c>
      <c r="D1147" s="12" t="s">
        <v>276</v>
      </c>
      <c r="E1147" s="12" t="s">
        <v>133</v>
      </c>
      <c r="F1147" s="14">
        <v>2</v>
      </c>
      <c r="G1147" s="14">
        <v>1540</v>
      </c>
      <c r="H1147" s="14">
        <v>2.2000000000000002</v>
      </c>
      <c r="I1147" s="14">
        <v>3012.24</v>
      </c>
      <c r="J1147" s="12" t="s">
        <v>110</v>
      </c>
      <c r="K1147" s="12" t="s">
        <v>111</v>
      </c>
      <c r="L1147" s="23" t="str">
        <f>VLOOKUP(D1147,Products!$A:$F,3,FALSE)</f>
        <v>Beauty</v>
      </c>
      <c r="M1147" s="23" t="str">
        <f>VLOOKUP(E1147,Sales_Reps!$A:$E,3,FALSE)</f>
        <v>West</v>
      </c>
      <c r="N1147" s="23" t="str">
        <f t="shared" si="51"/>
        <v>Jul-24</v>
      </c>
      <c r="O1147" s="23" t="str">
        <f t="shared" si="52"/>
        <v>Q3 2024</v>
      </c>
      <c r="P1147" s="23">
        <f>VLOOKUP(D1147,Products!$A:$F,4,FALSE)</f>
        <v>647</v>
      </c>
      <c r="Q1147" s="35">
        <f t="shared" si="53"/>
        <v>0.57987012987012987</v>
      </c>
    </row>
    <row r="1148" spans="1:17">
      <c r="A1148" s="12" t="s">
        <v>1651</v>
      </c>
      <c r="B1148" s="13">
        <v>45534</v>
      </c>
      <c r="C1148" s="12" t="s">
        <v>329</v>
      </c>
      <c r="D1148" s="12" t="s">
        <v>403</v>
      </c>
      <c r="E1148" s="12" t="s">
        <v>218</v>
      </c>
      <c r="F1148" s="14">
        <v>1</v>
      </c>
      <c r="G1148" s="14">
        <v>2290</v>
      </c>
      <c r="H1148" s="14">
        <v>24.4</v>
      </c>
      <c r="I1148" s="14">
        <v>1731.24</v>
      </c>
      <c r="J1148" s="12" t="s">
        <v>157</v>
      </c>
      <c r="K1148" s="12" t="s">
        <v>150</v>
      </c>
      <c r="L1148" s="23" t="str">
        <f>VLOOKUP(D1148,Products!$A:$F,3,FALSE)</f>
        <v>Beauty</v>
      </c>
      <c r="M1148" s="23" t="str">
        <f>VLOOKUP(E1148,Sales_Reps!$A:$E,3,FALSE)</f>
        <v>West</v>
      </c>
      <c r="N1148" s="23" t="str">
        <f t="shared" si="51"/>
        <v>Aug-24</v>
      </c>
      <c r="O1148" s="23" t="str">
        <f t="shared" si="52"/>
        <v>Q3 2024</v>
      </c>
      <c r="P1148" s="23">
        <f>VLOOKUP(D1148,Products!$A:$F,4,FALSE)</f>
        <v>1219</v>
      </c>
      <c r="Q1148" s="35">
        <f t="shared" si="53"/>
        <v>0.46768558951965067</v>
      </c>
    </row>
    <row r="1149" spans="1:17">
      <c r="A1149" s="12" t="s">
        <v>1652</v>
      </c>
      <c r="B1149" s="13">
        <v>45313</v>
      </c>
      <c r="C1149" s="12" t="s">
        <v>742</v>
      </c>
      <c r="D1149" s="12" t="s">
        <v>190</v>
      </c>
      <c r="E1149" s="12" t="s">
        <v>320</v>
      </c>
      <c r="F1149" s="14">
        <v>8</v>
      </c>
      <c r="G1149" s="14">
        <v>2720</v>
      </c>
      <c r="H1149" s="14">
        <v>1.7</v>
      </c>
      <c r="I1149" s="14">
        <v>21390.080000000002</v>
      </c>
      <c r="J1149" s="12" t="s">
        <v>104</v>
      </c>
      <c r="K1149" s="12" t="s">
        <v>116</v>
      </c>
      <c r="L1149" s="23" t="str">
        <f>VLOOKUP(D1149,Products!$A:$F,3,FALSE)</f>
        <v>Apparel</v>
      </c>
      <c r="M1149" s="23" t="str">
        <f>VLOOKUP(E1149,Sales_Reps!$A:$E,3,FALSE)</f>
        <v>East</v>
      </c>
      <c r="N1149" s="23" t="str">
        <f t="shared" si="51"/>
        <v>Jan-24</v>
      </c>
      <c r="O1149" s="23" t="str">
        <f t="shared" si="52"/>
        <v>Q1 2024</v>
      </c>
      <c r="P1149" s="23">
        <f>VLOOKUP(D1149,Products!$A:$F,4,FALSE)</f>
        <v>1962</v>
      </c>
      <c r="Q1149" s="35">
        <f t="shared" si="53"/>
        <v>0.2786764705882353</v>
      </c>
    </row>
    <row r="1150" spans="1:17">
      <c r="A1150" s="12" t="s">
        <v>1653</v>
      </c>
      <c r="B1150" s="13">
        <v>45390</v>
      </c>
      <c r="C1150" s="12" t="s">
        <v>1551</v>
      </c>
      <c r="D1150" s="12" t="s">
        <v>368</v>
      </c>
      <c r="E1150" s="12" t="s">
        <v>171</v>
      </c>
      <c r="F1150" s="14">
        <v>4</v>
      </c>
      <c r="G1150" s="14">
        <v>4060</v>
      </c>
      <c r="H1150" s="14">
        <v>19.600000000000001</v>
      </c>
      <c r="I1150" s="14">
        <v>13056.96</v>
      </c>
      <c r="J1150" s="12" t="s">
        <v>157</v>
      </c>
      <c r="K1150" s="12" t="s">
        <v>150</v>
      </c>
      <c r="L1150" s="23" t="str">
        <f>VLOOKUP(D1150,Products!$A:$F,3,FALSE)</f>
        <v>Grocery</v>
      </c>
      <c r="M1150" s="23" t="str">
        <f>VLOOKUP(E1150,Sales_Reps!$A:$E,3,FALSE)</f>
        <v>East</v>
      </c>
      <c r="N1150" s="23" t="str">
        <f t="shared" si="51"/>
        <v>Apr-24</v>
      </c>
      <c r="O1150" s="23" t="str">
        <f t="shared" si="52"/>
        <v>Q2 2024</v>
      </c>
      <c r="P1150" s="23">
        <f>VLOOKUP(D1150,Products!$A:$F,4,FALSE)</f>
        <v>2911</v>
      </c>
      <c r="Q1150" s="35">
        <f t="shared" si="53"/>
        <v>0.28300492610837441</v>
      </c>
    </row>
    <row r="1151" spans="1:17">
      <c r="A1151" s="12" t="s">
        <v>1654</v>
      </c>
      <c r="B1151" s="13">
        <v>45370</v>
      </c>
      <c r="C1151" s="12" t="s">
        <v>359</v>
      </c>
      <c r="D1151" s="12" t="s">
        <v>204</v>
      </c>
      <c r="E1151" s="12" t="s">
        <v>363</v>
      </c>
      <c r="F1151" s="14">
        <v>8</v>
      </c>
      <c r="G1151" s="14">
        <v>3570</v>
      </c>
      <c r="H1151" s="14">
        <v>10.8</v>
      </c>
      <c r="I1151" s="14">
        <v>25475.52</v>
      </c>
      <c r="J1151" s="12" t="s">
        <v>104</v>
      </c>
      <c r="K1151" s="12" t="s">
        <v>111</v>
      </c>
      <c r="L1151" s="23" t="str">
        <f>VLOOKUP(D1151,Products!$A:$F,3,FALSE)</f>
        <v>Electronics</v>
      </c>
      <c r="M1151" s="23" t="str">
        <f>VLOOKUP(E1151,Sales_Reps!$A:$E,3,FALSE)</f>
        <v>South</v>
      </c>
      <c r="N1151" s="23" t="str">
        <f t="shared" si="51"/>
        <v>Mar-24</v>
      </c>
      <c r="O1151" s="23" t="str">
        <f t="shared" si="52"/>
        <v>Q1 2024</v>
      </c>
      <c r="P1151" s="23">
        <f>VLOOKUP(D1151,Products!$A:$F,4,FALSE)</f>
        <v>1665</v>
      </c>
      <c r="Q1151" s="35">
        <f t="shared" si="53"/>
        <v>0.53361344537815125</v>
      </c>
    </row>
    <row r="1152" spans="1:17">
      <c r="A1152" s="12" t="s">
        <v>1655</v>
      </c>
      <c r="B1152" s="13">
        <v>45324</v>
      </c>
      <c r="C1152" s="12" t="s">
        <v>446</v>
      </c>
      <c r="D1152" s="12" t="s">
        <v>178</v>
      </c>
      <c r="E1152" s="12" t="s">
        <v>156</v>
      </c>
      <c r="F1152" s="14">
        <v>10</v>
      </c>
      <c r="G1152" s="14">
        <v>3450</v>
      </c>
      <c r="H1152" s="14">
        <v>13.5</v>
      </c>
      <c r="I1152" s="14">
        <v>29842.5</v>
      </c>
      <c r="J1152" s="12" t="s">
        <v>110</v>
      </c>
      <c r="K1152" s="12" t="s">
        <v>134</v>
      </c>
      <c r="L1152" s="23" t="str">
        <f>VLOOKUP(D1152,Products!$A:$F,3,FALSE)</f>
        <v>Sports</v>
      </c>
      <c r="M1152" s="23" t="str">
        <f>VLOOKUP(E1152,Sales_Reps!$A:$E,3,FALSE)</f>
        <v>North</v>
      </c>
      <c r="N1152" s="23" t="str">
        <f t="shared" si="51"/>
        <v>Feb-24</v>
      </c>
      <c r="O1152" s="23" t="str">
        <f t="shared" si="52"/>
        <v>Q1 2024</v>
      </c>
      <c r="P1152" s="23">
        <f>VLOOKUP(D1152,Products!$A:$F,4,FALSE)</f>
        <v>2467</v>
      </c>
      <c r="Q1152" s="35">
        <f t="shared" si="53"/>
        <v>0.28492753623188405</v>
      </c>
    </row>
    <row r="1153" spans="1:17">
      <c r="A1153" s="12" t="s">
        <v>1656</v>
      </c>
      <c r="B1153" s="13">
        <v>45469</v>
      </c>
      <c r="C1153" s="12" t="s">
        <v>437</v>
      </c>
      <c r="D1153" s="12" t="s">
        <v>152</v>
      </c>
      <c r="E1153" s="12" t="s">
        <v>103</v>
      </c>
      <c r="F1153" s="14">
        <v>10</v>
      </c>
      <c r="G1153" s="14">
        <v>2640</v>
      </c>
      <c r="H1153" s="14">
        <v>29.8</v>
      </c>
      <c r="I1153" s="14">
        <v>18532.8</v>
      </c>
      <c r="J1153" s="12" t="s">
        <v>104</v>
      </c>
      <c r="K1153" s="12" t="s">
        <v>116</v>
      </c>
      <c r="L1153" s="23" t="str">
        <f>VLOOKUP(D1153,Products!$A:$F,3,FALSE)</f>
        <v>Electronics</v>
      </c>
      <c r="M1153" s="23" t="str">
        <f>VLOOKUP(E1153,Sales_Reps!$A:$E,3,FALSE)</f>
        <v>North</v>
      </c>
      <c r="N1153" s="23" t="str">
        <f t="shared" si="51"/>
        <v>Jun-24</v>
      </c>
      <c r="O1153" s="23" t="str">
        <f t="shared" si="52"/>
        <v>Q2 2024</v>
      </c>
      <c r="P1153" s="23">
        <f>VLOOKUP(D1153,Products!$A:$F,4,FALSE)</f>
        <v>1149</v>
      </c>
      <c r="Q1153" s="35">
        <f t="shared" si="53"/>
        <v>0.56477272727272732</v>
      </c>
    </row>
    <row r="1154" spans="1:17">
      <c r="A1154" s="12" t="s">
        <v>1657</v>
      </c>
      <c r="B1154" s="13">
        <v>45619</v>
      </c>
      <c r="C1154" s="12" t="s">
        <v>271</v>
      </c>
      <c r="D1154" s="12" t="s">
        <v>127</v>
      </c>
      <c r="E1154" s="12" t="s">
        <v>221</v>
      </c>
      <c r="F1154" s="14">
        <v>3</v>
      </c>
      <c r="G1154" s="14">
        <v>370</v>
      </c>
      <c r="H1154" s="14">
        <v>25.5</v>
      </c>
      <c r="I1154" s="14">
        <v>826.95</v>
      </c>
      <c r="J1154" s="12" t="s">
        <v>104</v>
      </c>
      <c r="K1154" s="12" t="s">
        <v>111</v>
      </c>
      <c r="L1154" s="23" t="str">
        <f>VLOOKUP(D1154,Products!$A:$F,3,FALSE)</f>
        <v>Home</v>
      </c>
      <c r="M1154" s="23" t="str">
        <f>VLOOKUP(E1154,Sales_Reps!$A:$E,3,FALSE)</f>
        <v>South</v>
      </c>
      <c r="N1154" s="23" t="str">
        <f t="shared" si="51"/>
        <v>Nov-24</v>
      </c>
      <c r="O1154" s="23" t="str">
        <f t="shared" si="52"/>
        <v>Q4 2024</v>
      </c>
      <c r="P1154" s="23">
        <f>VLOOKUP(D1154,Products!$A:$F,4,FALSE)</f>
        <v>288</v>
      </c>
      <c r="Q1154" s="35">
        <f t="shared" si="53"/>
        <v>0.22162162162162163</v>
      </c>
    </row>
    <row r="1155" spans="1:17">
      <c r="A1155" s="12" t="s">
        <v>1658</v>
      </c>
      <c r="B1155" s="13">
        <v>45627</v>
      </c>
      <c r="C1155" s="12" t="s">
        <v>521</v>
      </c>
      <c r="D1155" s="12" t="s">
        <v>284</v>
      </c>
      <c r="E1155" s="12" t="s">
        <v>187</v>
      </c>
      <c r="F1155" s="14">
        <v>3</v>
      </c>
      <c r="G1155" s="14">
        <v>1220</v>
      </c>
      <c r="H1155" s="14">
        <v>7.7</v>
      </c>
      <c r="I1155" s="14">
        <v>3378.18</v>
      </c>
      <c r="J1155" s="12" t="s">
        <v>110</v>
      </c>
      <c r="K1155" s="12" t="s">
        <v>134</v>
      </c>
      <c r="L1155" s="23" t="str">
        <f>VLOOKUP(D1155,Products!$A:$F,3,FALSE)</f>
        <v>Electronics</v>
      </c>
      <c r="M1155" s="23" t="str">
        <f>VLOOKUP(E1155,Sales_Reps!$A:$E,3,FALSE)</f>
        <v>West</v>
      </c>
      <c r="N1155" s="23" t="str">
        <f t="shared" ref="N1155:N1218" si="54">TEXT(B1155, "mmm-yy")</f>
        <v>Dec-24</v>
      </c>
      <c r="O1155" s="23" t="str">
        <f t="shared" ref="O1155:O1218" si="55">"Q" &amp; INT((MONTH(B1155)-1)/3)+1 &amp; " " &amp; YEAR(B1155)</f>
        <v>Q4 2024</v>
      </c>
      <c r="P1155" s="23">
        <f>VLOOKUP(D1155,Products!$A:$F,4,FALSE)</f>
        <v>517</v>
      </c>
      <c r="Q1155" s="35">
        <f t="shared" ref="Q1155:Q1218" si="56">(G1155 - P1155) / G1155</f>
        <v>0.57622950819672136</v>
      </c>
    </row>
    <row r="1156" spans="1:17">
      <c r="A1156" s="12" t="s">
        <v>1659</v>
      </c>
      <c r="B1156" s="13">
        <v>45499</v>
      </c>
      <c r="C1156" s="12" t="s">
        <v>474</v>
      </c>
      <c r="D1156" s="12" t="s">
        <v>152</v>
      </c>
      <c r="E1156" s="12" t="s">
        <v>302</v>
      </c>
      <c r="F1156" s="14">
        <v>1</v>
      </c>
      <c r="G1156" s="14">
        <v>2640</v>
      </c>
      <c r="H1156" s="14">
        <v>23.6</v>
      </c>
      <c r="I1156" s="14">
        <v>2016.96</v>
      </c>
      <c r="J1156" s="12" t="s">
        <v>104</v>
      </c>
      <c r="K1156" s="12" t="s">
        <v>105</v>
      </c>
      <c r="L1156" s="23" t="str">
        <f>VLOOKUP(D1156,Products!$A:$F,3,FALSE)</f>
        <v>Electronics</v>
      </c>
      <c r="M1156" s="23" t="str">
        <f>VLOOKUP(E1156,Sales_Reps!$A:$E,3,FALSE)</f>
        <v>East</v>
      </c>
      <c r="N1156" s="23" t="str">
        <f t="shared" si="54"/>
        <v>Jul-24</v>
      </c>
      <c r="O1156" s="23" t="str">
        <f t="shared" si="55"/>
        <v>Q3 2024</v>
      </c>
      <c r="P1156" s="23">
        <f>VLOOKUP(D1156,Products!$A:$F,4,FALSE)</f>
        <v>1149</v>
      </c>
      <c r="Q1156" s="35">
        <f t="shared" si="56"/>
        <v>0.56477272727272732</v>
      </c>
    </row>
    <row r="1157" spans="1:17">
      <c r="A1157" s="12" t="s">
        <v>1660</v>
      </c>
      <c r="B1157" s="13">
        <v>45563</v>
      </c>
      <c r="C1157" s="12" t="s">
        <v>126</v>
      </c>
      <c r="D1157" s="12" t="s">
        <v>208</v>
      </c>
      <c r="E1157" s="12" t="s">
        <v>290</v>
      </c>
      <c r="F1157" s="14">
        <v>9</v>
      </c>
      <c r="G1157" s="14">
        <v>5100</v>
      </c>
      <c r="H1157" s="14">
        <v>9.5</v>
      </c>
      <c r="I1157" s="14">
        <v>41539.5</v>
      </c>
      <c r="J1157" s="12" t="s">
        <v>104</v>
      </c>
      <c r="K1157" s="12" t="s">
        <v>129</v>
      </c>
      <c r="L1157" s="23" t="str">
        <f>VLOOKUP(D1157,Products!$A:$F,3,FALSE)</f>
        <v>Beauty</v>
      </c>
      <c r="M1157" s="23" t="str">
        <f>VLOOKUP(E1157,Sales_Reps!$A:$E,3,FALSE)</f>
        <v>South</v>
      </c>
      <c r="N1157" s="23" t="str">
        <f t="shared" si="54"/>
        <v>Sep-24</v>
      </c>
      <c r="O1157" s="23" t="str">
        <f t="shared" si="55"/>
        <v>Q3 2024</v>
      </c>
      <c r="P1157" s="23">
        <f>VLOOKUP(D1157,Products!$A:$F,4,FALSE)</f>
        <v>2237</v>
      </c>
      <c r="Q1157" s="35">
        <f t="shared" si="56"/>
        <v>0.56137254901960787</v>
      </c>
    </row>
    <row r="1158" spans="1:17">
      <c r="A1158" s="12" t="s">
        <v>1661</v>
      </c>
      <c r="B1158" s="13">
        <v>45435</v>
      </c>
      <c r="C1158" s="12" t="s">
        <v>781</v>
      </c>
      <c r="D1158" s="12" t="s">
        <v>258</v>
      </c>
      <c r="E1158" s="12" t="s">
        <v>124</v>
      </c>
      <c r="F1158" s="14">
        <v>7</v>
      </c>
      <c r="G1158" s="14">
        <v>6080</v>
      </c>
      <c r="H1158" s="14">
        <v>17.5</v>
      </c>
      <c r="I1158" s="14">
        <v>35112</v>
      </c>
      <c r="J1158" s="12" t="s">
        <v>104</v>
      </c>
      <c r="K1158" s="12" t="s">
        <v>111</v>
      </c>
      <c r="L1158" s="23" t="str">
        <f>VLOOKUP(D1158,Products!$A:$F,3,FALSE)</f>
        <v>Beauty</v>
      </c>
      <c r="M1158" s="23" t="str">
        <f>VLOOKUP(E1158,Sales_Reps!$A:$E,3,FALSE)</f>
        <v>North</v>
      </c>
      <c r="N1158" s="23" t="str">
        <f t="shared" si="54"/>
        <v>May-24</v>
      </c>
      <c r="O1158" s="23" t="str">
        <f t="shared" si="55"/>
        <v>Q2 2024</v>
      </c>
      <c r="P1158" s="23">
        <f>VLOOKUP(D1158,Products!$A:$F,4,FALSE)</f>
        <v>2617</v>
      </c>
      <c r="Q1158" s="35">
        <f t="shared" si="56"/>
        <v>0.56957236842105263</v>
      </c>
    </row>
    <row r="1159" spans="1:17">
      <c r="A1159" s="12" t="s">
        <v>1662</v>
      </c>
      <c r="B1159" s="13">
        <v>45602</v>
      </c>
      <c r="C1159" s="12" t="s">
        <v>504</v>
      </c>
      <c r="D1159" s="12" t="s">
        <v>299</v>
      </c>
      <c r="E1159" s="12" t="s">
        <v>218</v>
      </c>
      <c r="F1159" s="14">
        <v>1</v>
      </c>
      <c r="G1159" s="14">
        <v>300</v>
      </c>
      <c r="H1159" s="14">
        <v>26.9</v>
      </c>
      <c r="I1159" s="14">
        <v>219.3</v>
      </c>
      <c r="J1159" s="12" t="s">
        <v>104</v>
      </c>
      <c r="K1159" s="12" t="s">
        <v>105</v>
      </c>
      <c r="L1159" s="23" t="str">
        <f>VLOOKUP(D1159,Products!$A:$F,3,FALSE)</f>
        <v>Electronics</v>
      </c>
      <c r="M1159" s="23" t="str">
        <f>VLOOKUP(E1159,Sales_Reps!$A:$E,3,FALSE)</f>
        <v>West</v>
      </c>
      <c r="N1159" s="23" t="str">
        <f t="shared" si="54"/>
        <v>Nov-24</v>
      </c>
      <c r="O1159" s="23" t="str">
        <f t="shared" si="55"/>
        <v>Q4 2024</v>
      </c>
      <c r="P1159" s="23">
        <f>VLOOKUP(D1159,Products!$A:$F,4,FALSE)</f>
        <v>128</v>
      </c>
      <c r="Q1159" s="35">
        <f t="shared" si="56"/>
        <v>0.57333333333333336</v>
      </c>
    </row>
    <row r="1160" spans="1:17">
      <c r="A1160" s="12" t="s">
        <v>1663</v>
      </c>
      <c r="B1160" s="13">
        <v>45650</v>
      </c>
      <c r="C1160" s="12" t="s">
        <v>405</v>
      </c>
      <c r="D1160" s="12" t="s">
        <v>293</v>
      </c>
      <c r="E1160" s="12" t="s">
        <v>209</v>
      </c>
      <c r="F1160" s="14">
        <v>6</v>
      </c>
      <c r="G1160" s="14">
        <v>3020</v>
      </c>
      <c r="H1160" s="14">
        <v>28.5</v>
      </c>
      <c r="I1160" s="14">
        <v>12955.8</v>
      </c>
      <c r="J1160" s="12" t="s">
        <v>104</v>
      </c>
      <c r="K1160" s="12" t="s">
        <v>150</v>
      </c>
      <c r="L1160" s="23" t="str">
        <f>VLOOKUP(D1160,Products!$A:$F,3,FALSE)</f>
        <v>Beauty</v>
      </c>
      <c r="M1160" s="23" t="str">
        <f>VLOOKUP(E1160,Sales_Reps!$A:$E,3,FALSE)</f>
        <v>East</v>
      </c>
      <c r="N1160" s="23" t="str">
        <f t="shared" si="54"/>
        <v>Dec-24</v>
      </c>
      <c r="O1160" s="23" t="str">
        <f t="shared" si="55"/>
        <v>Q4 2024</v>
      </c>
      <c r="P1160" s="23">
        <f>VLOOKUP(D1160,Products!$A:$F,4,FALSE)</f>
        <v>1626</v>
      </c>
      <c r="Q1160" s="35">
        <f t="shared" si="56"/>
        <v>0.46158940397350995</v>
      </c>
    </row>
    <row r="1161" spans="1:17">
      <c r="A1161" s="12" t="s">
        <v>1664</v>
      </c>
      <c r="B1161" s="13">
        <v>45294</v>
      </c>
      <c r="C1161" s="12" t="s">
        <v>236</v>
      </c>
      <c r="D1161" s="12" t="s">
        <v>299</v>
      </c>
      <c r="E1161" s="12" t="s">
        <v>320</v>
      </c>
      <c r="F1161" s="14">
        <v>8</v>
      </c>
      <c r="G1161" s="14">
        <v>300</v>
      </c>
      <c r="H1161" s="14">
        <v>1.2</v>
      </c>
      <c r="I1161" s="14">
        <v>2371.1999999999998</v>
      </c>
      <c r="J1161" s="12" t="s">
        <v>104</v>
      </c>
      <c r="K1161" s="12" t="s">
        <v>116</v>
      </c>
      <c r="L1161" s="23" t="str">
        <f>VLOOKUP(D1161,Products!$A:$F,3,FALSE)</f>
        <v>Electronics</v>
      </c>
      <c r="M1161" s="23" t="str">
        <f>VLOOKUP(E1161,Sales_Reps!$A:$E,3,FALSE)</f>
        <v>East</v>
      </c>
      <c r="N1161" s="23" t="str">
        <f t="shared" si="54"/>
        <v>Jan-24</v>
      </c>
      <c r="O1161" s="23" t="str">
        <f t="shared" si="55"/>
        <v>Q1 2024</v>
      </c>
      <c r="P1161" s="23">
        <f>VLOOKUP(D1161,Products!$A:$F,4,FALSE)</f>
        <v>128</v>
      </c>
      <c r="Q1161" s="35">
        <f t="shared" si="56"/>
        <v>0.57333333333333336</v>
      </c>
    </row>
    <row r="1162" spans="1:17">
      <c r="A1162" s="12" t="s">
        <v>1665</v>
      </c>
      <c r="B1162" s="13">
        <v>45523</v>
      </c>
      <c r="C1162" s="12" t="s">
        <v>854</v>
      </c>
      <c r="D1162" s="12" t="s">
        <v>196</v>
      </c>
      <c r="E1162" s="12" t="s">
        <v>290</v>
      </c>
      <c r="F1162" s="14">
        <v>9</v>
      </c>
      <c r="G1162" s="14">
        <v>3350</v>
      </c>
      <c r="H1162" s="14">
        <v>0.6</v>
      </c>
      <c r="I1162" s="14">
        <v>29969.1</v>
      </c>
      <c r="J1162" s="12" t="s">
        <v>161</v>
      </c>
      <c r="K1162" s="12" t="s">
        <v>134</v>
      </c>
      <c r="L1162" s="23" t="str">
        <f>VLOOKUP(D1162,Products!$A:$F,3,FALSE)</f>
        <v>Beauty</v>
      </c>
      <c r="M1162" s="23" t="str">
        <f>VLOOKUP(E1162,Sales_Reps!$A:$E,3,FALSE)</f>
        <v>South</v>
      </c>
      <c r="N1162" s="23" t="str">
        <f t="shared" si="54"/>
        <v>Aug-24</v>
      </c>
      <c r="O1162" s="23" t="str">
        <f t="shared" si="55"/>
        <v>Q3 2024</v>
      </c>
      <c r="P1162" s="23">
        <f>VLOOKUP(D1162,Products!$A:$F,4,FALSE)</f>
        <v>1728</v>
      </c>
      <c r="Q1162" s="35">
        <f t="shared" si="56"/>
        <v>0.48417910447761192</v>
      </c>
    </row>
    <row r="1163" spans="1:17">
      <c r="A1163" s="12" t="s">
        <v>1666</v>
      </c>
      <c r="B1163" s="13">
        <v>45479</v>
      </c>
      <c r="C1163" s="12" t="s">
        <v>1020</v>
      </c>
      <c r="D1163" s="12" t="s">
        <v>281</v>
      </c>
      <c r="E1163" s="12" t="s">
        <v>133</v>
      </c>
      <c r="F1163" s="14">
        <v>4</v>
      </c>
      <c r="G1163" s="14">
        <v>4070</v>
      </c>
      <c r="H1163" s="14">
        <v>10.1</v>
      </c>
      <c r="I1163" s="14">
        <v>14635.72</v>
      </c>
      <c r="J1163" s="12" t="s">
        <v>104</v>
      </c>
      <c r="K1163" s="12" t="s">
        <v>116</v>
      </c>
      <c r="L1163" s="23" t="str">
        <f>VLOOKUP(D1163,Products!$A:$F,3,FALSE)</f>
        <v>Grocery</v>
      </c>
      <c r="M1163" s="23" t="str">
        <f>VLOOKUP(E1163,Sales_Reps!$A:$E,3,FALSE)</f>
        <v>West</v>
      </c>
      <c r="N1163" s="23" t="str">
        <f t="shared" si="54"/>
        <v>Jul-24</v>
      </c>
      <c r="O1163" s="23" t="str">
        <f t="shared" si="55"/>
        <v>Q3 2024</v>
      </c>
      <c r="P1163" s="23">
        <f>VLOOKUP(D1163,Products!$A:$F,4,FALSE)</f>
        <v>2027</v>
      </c>
      <c r="Q1163" s="35">
        <f t="shared" si="56"/>
        <v>0.50196560196560192</v>
      </c>
    </row>
    <row r="1164" spans="1:17">
      <c r="A1164" s="12" t="s">
        <v>1667</v>
      </c>
      <c r="B1164" s="13">
        <v>45614</v>
      </c>
      <c r="C1164" s="12" t="s">
        <v>1325</v>
      </c>
      <c r="D1164" s="12" t="s">
        <v>478</v>
      </c>
      <c r="E1164" s="12" t="s">
        <v>133</v>
      </c>
      <c r="F1164" s="14">
        <v>9</v>
      </c>
      <c r="G1164" s="14">
        <v>3780</v>
      </c>
      <c r="H1164" s="14">
        <v>27.8</v>
      </c>
      <c r="I1164" s="14">
        <v>24562.44</v>
      </c>
      <c r="J1164" s="12" t="s">
        <v>157</v>
      </c>
      <c r="K1164" s="12" t="s">
        <v>111</v>
      </c>
      <c r="L1164" s="23" t="str">
        <f>VLOOKUP(D1164,Products!$A:$F,3,FALSE)</f>
        <v>Sports</v>
      </c>
      <c r="M1164" s="23" t="str">
        <f>VLOOKUP(E1164,Sales_Reps!$A:$E,3,FALSE)</f>
        <v>West</v>
      </c>
      <c r="N1164" s="23" t="str">
        <f t="shared" si="54"/>
        <v>Nov-24</v>
      </c>
      <c r="O1164" s="23" t="str">
        <f t="shared" si="55"/>
        <v>Q4 2024</v>
      </c>
      <c r="P1164" s="23">
        <f>VLOOKUP(D1164,Products!$A:$F,4,FALSE)</f>
        <v>1860</v>
      </c>
      <c r="Q1164" s="35">
        <f t="shared" si="56"/>
        <v>0.50793650793650791</v>
      </c>
    </row>
    <row r="1165" spans="1:17">
      <c r="A1165" s="12" t="s">
        <v>1668</v>
      </c>
      <c r="B1165" s="13">
        <v>45407</v>
      </c>
      <c r="C1165" s="12" t="s">
        <v>211</v>
      </c>
      <c r="D1165" s="12" t="s">
        <v>181</v>
      </c>
      <c r="E1165" s="12" t="s">
        <v>187</v>
      </c>
      <c r="F1165" s="14">
        <v>6</v>
      </c>
      <c r="G1165" s="14">
        <v>1080</v>
      </c>
      <c r="H1165" s="14">
        <v>17.5</v>
      </c>
      <c r="I1165" s="14">
        <v>5346</v>
      </c>
      <c r="J1165" s="12" t="s">
        <v>104</v>
      </c>
      <c r="K1165" s="12" t="s">
        <v>105</v>
      </c>
      <c r="L1165" s="23" t="str">
        <f>VLOOKUP(D1165,Products!$A:$F,3,FALSE)</f>
        <v>Home</v>
      </c>
      <c r="M1165" s="23" t="str">
        <f>VLOOKUP(E1165,Sales_Reps!$A:$E,3,FALSE)</f>
        <v>West</v>
      </c>
      <c r="N1165" s="23" t="str">
        <f t="shared" si="54"/>
        <v>Apr-24</v>
      </c>
      <c r="O1165" s="23" t="str">
        <f t="shared" si="55"/>
        <v>Q2 2024</v>
      </c>
      <c r="P1165" s="23">
        <f>VLOOKUP(D1165,Products!$A:$F,4,FALSE)</f>
        <v>519</v>
      </c>
      <c r="Q1165" s="35">
        <f t="shared" si="56"/>
        <v>0.51944444444444449</v>
      </c>
    </row>
    <row r="1166" spans="1:17">
      <c r="A1166" s="12" t="s">
        <v>1669</v>
      </c>
      <c r="B1166" s="13">
        <v>45603</v>
      </c>
      <c r="C1166" s="12" t="s">
        <v>446</v>
      </c>
      <c r="D1166" s="12" t="s">
        <v>155</v>
      </c>
      <c r="E1166" s="12" t="s">
        <v>171</v>
      </c>
      <c r="F1166" s="14">
        <v>3</v>
      </c>
      <c r="G1166" s="14">
        <v>2600</v>
      </c>
      <c r="H1166" s="14">
        <v>1.9</v>
      </c>
      <c r="I1166" s="14">
        <v>7651.8</v>
      </c>
      <c r="J1166" s="12" t="s">
        <v>104</v>
      </c>
      <c r="K1166" s="12" t="s">
        <v>134</v>
      </c>
      <c r="L1166" s="23" t="str">
        <f>VLOOKUP(D1166,Products!$A:$F,3,FALSE)</f>
        <v>Electronics</v>
      </c>
      <c r="M1166" s="23" t="str">
        <f>VLOOKUP(E1166,Sales_Reps!$A:$E,3,FALSE)</f>
        <v>East</v>
      </c>
      <c r="N1166" s="23" t="str">
        <f t="shared" si="54"/>
        <v>Nov-24</v>
      </c>
      <c r="O1166" s="23" t="str">
        <f t="shared" si="55"/>
        <v>Q4 2024</v>
      </c>
      <c r="P1166" s="23">
        <f>VLOOKUP(D1166,Products!$A:$F,4,FALSE)</f>
        <v>1052</v>
      </c>
      <c r="Q1166" s="35">
        <f t="shared" si="56"/>
        <v>0.5953846153846154</v>
      </c>
    </row>
    <row r="1167" spans="1:17">
      <c r="A1167" s="12" t="s">
        <v>1670</v>
      </c>
      <c r="B1167" s="13">
        <v>45375</v>
      </c>
      <c r="C1167" s="12" t="s">
        <v>814</v>
      </c>
      <c r="D1167" s="12" t="s">
        <v>190</v>
      </c>
      <c r="E1167" s="12" t="s">
        <v>124</v>
      </c>
      <c r="F1167" s="14">
        <v>5</v>
      </c>
      <c r="G1167" s="14">
        <v>2720</v>
      </c>
      <c r="H1167" s="14">
        <v>1.8</v>
      </c>
      <c r="I1167" s="14">
        <v>13355.2</v>
      </c>
      <c r="J1167" s="12" t="s">
        <v>157</v>
      </c>
      <c r="K1167" s="12" t="s">
        <v>116</v>
      </c>
      <c r="L1167" s="23" t="str">
        <f>VLOOKUP(D1167,Products!$A:$F,3,FALSE)</f>
        <v>Apparel</v>
      </c>
      <c r="M1167" s="23" t="str">
        <f>VLOOKUP(E1167,Sales_Reps!$A:$E,3,FALSE)</f>
        <v>North</v>
      </c>
      <c r="N1167" s="23" t="str">
        <f t="shared" si="54"/>
        <v>Mar-24</v>
      </c>
      <c r="O1167" s="23" t="str">
        <f t="shared" si="55"/>
        <v>Q1 2024</v>
      </c>
      <c r="P1167" s="23">
        <f>VLOOKUP(D1167,Products!$A:$F,4,FALSE)</f>
        <v>1962</v>
      </c>
      <c r="Q1167" s="35">
        <f t="shared" si="56"/>
        <v>0.2786764705882353</v>
      </c>
    </row>
    <row r="1168" spans="1:17">
      <c r="A1168" s="12" t="s">
        <v>1671</v>
      </c>
      <c r="B1168" s="13">
        <v>45485</v>
      </c>
      <c r="C1168" s="12" t="s">
        <v>395</v>
      </c>
      <c r="D1168" s="12" t="s">
        <v>119</v>
      </c>
      <c r="E1168" s="12" t="s">
        <v>342</v>
      </c>
      <c r="F1168" s="14">
        <v>8</v>
      </c>
      <c r="G1168" s="14">
        <v>3660</v>
      </c>
      <c r="H1168" s="14">
        <v>29.5</v>
      </c>
      <c r="I1168" s="14">
        <v>20642.400000000001</v>
      </c>
      <c r="J1168" s="12" t="s">
        <v>104</v>
      </c>
      <c r="K1168" s="12" t="s">
        <v>111</v>
      </c>
      <c r="L1168" s="23" t="str">
        <f>VLOOKUP(D1168,Products!$A:$F,3,FALSE)</f>
        <v>Grocery</v>
      </c>
      <c r="M1168" s="23" t="str">
        <f>VLOOKUP(E1168,Sales_Reps!$A:$E,3,FALSE)</f>
        <v>South</v>
      </c>
      <c r="N1168" s="23" t="str">
        <f t="shared" si="54"/>
        <v>Jul-24</v>
      </c>
      <c r="O1168" s="23" t="str">
        <f t="shared" si="55"/>
        <v>Q3 2024</v>
      </c>
      <c r="P1168" s="23">
        <f>VLOOKUP(D1168,Products!$A:$F,4,FALSE)</f>
        <v>2214</v>
      </c>
      <c r="Q1168" s="35">
        <f t="shared" si="56"/>
        <v>0.39508196721311473</v>
      </c>
    </row>
    <row r="1169" spans="1:17">
      <c r="A1169" s="12" t="s">
        <v>1672</v>
      </c>
      <c r="B1169" s="13">
        <v>45567</v>
      </c>
      <c r="C1169" s="12" t="s">
        <v>402</v>
      </c>
      <c r="D1169" s="12" t="s">
        <v>193</v>
      </c>
      <c r="E1169" s="12" t="s">
        <v>109</v>
      </c>
      <c r="F1169" s="14">
        <v>9</v>
      </c>
      <c r="G1169" s="14">
        <v>1650</v>
      </c>
      <c r="H1169" s="14">
        <v>19.8</v>
      </c>
      <c r="I1169" s="14">
        <v>11909.7</v>
      </c>
      <c r="J1169" s="12" t="s">
        <v>161</v>
      </c>
      <c r="K1169" s="12" t="s">
        <v>134</v>
      </c>
      <c r="L1169" s="23" t="str">
        <f>VLOOKUP(D1169,Products!$A:$F,3,FALSE)</f>
        <v>Beauty</v>
      </c>
      <c r="M1169" s="23" t="str">
        <f>VLOOKUP(E1169,Sales_Reps!$A:$E,3,FALSE)</f>
        <v>North</v>
      </c>
      <c r="N1169" s="23" t="str">
        <f t="shared" si="54"/>
        <v>Oct-24</v>
      </c>
      <c r="O1169" s="23" t="str">
        <f t="shared" si="55"/>
        <v>Q4 2024</v>
      </c>
      <c r="P1169" s="23">
        <f>VLOOKUP(D1169,Products!$A:$F,4,FALSE)</f>
        <v>1222</v>
      </c>
      <c r="Q1169" s="35">
        <f t="shared" si="56"/>
        <v>0.2593939393939394</v>
      </c>
    </row>
    <row r="1170" spans="1:17">
      <c r="A1170" s="12" t="s">
        <v>1673</v>
      </c>
      <c r="B1170" s="13">
        <v>45502</v>
      </c>
      <c r="C1170" s="12" t="s">
        <v>350</v>
      </c>
      <c r="D1170" s="12" t="s">
        <v>212</v>
      </c>
      <c r="E1170" s="12" t="s">
        <v>138</v>
      </c>
      <c r="F1170" s="14">
        <v>3</v>
      </c>
      <c r="G1170" s="14">
        <v>2860</v>
      </c>
      <c r="H1170" s="14">
        <v>22.7</v>
      </c>
      <c r="I1170" s="14">
        <v>6632.34</v>
      </c>
      <c r="J1170" s="12" t="s">
        <v>104</v>
      </c>
      <c r="K1170" s="12" t="s">
        <v>150</v>
      </c>
      <c r="L1170" s="23" t="str">
        <f>VLOOKUP(D1170,Products!$A:$F,3,FALSE)</f>
        <v>Sports</v>
      </c>
      <c r="M1170" s="23" t="str">
        <f>VLOOKUP(E1170,Sales_Reps!$A:$E,3,FALSE)</f>
        <v>East</v>
      </c>
      <c r="N1170" s="23" t="str">
        <f t="shared" si="54"/>
        <v>Jul-24</v>
      </c>
      <c r="O1170" s="23" t="str">
        <f t="shared" si="55"/>
        <v>Q3 2024</v>
      </c>
      <c r="P1170" s="23">
        <f>VLOOKUP(D1170,Products!$A:$F,4,FALSE)</f>
        <v>2028</v>
      </c>
      <c r="Q1170" s="35">
        <f t="shared" si="56"/>
        <v>0.29090909090909089</v>
      </c>
    </row>
    <row r="1171" spans="1:17">
      <c r="A1171" s="12" t="s">
        <v>1674</v>
      </c>
      <c r="B1171" s="13">
        <v>45429</v>
      </c>
      <c r="C1171" s="12" t="s">
        <v>1064</v>
      </c>
      <c r="D1171" s="12" t="s">
        <v>178</v>
      </c>
      <c r="E1171" s="12" t="s">
        <v>128</v>
      </c>
      <c r="F1171" s="14">
        <v>4</v>
      </c>
      <c r="G1171" s="14">
        <v>3450</v>
      </c>
      <c r="H1171" s="14">
        <v>9.1999999999999993</v>
      </c>
      <c r="I1171" s="14">
        <v>12530.4</v>
      </c>
      <c r="J1171" s="12" t="s">
        <v>104</v>
      </c>
      <c r="K1171" s="12" t="s">
        <v>150</v>
      </c>
      <c r="L1171" s="23" t="str">
        <f>VLOOKUP(D1171,Products!$A:$F,3,FALSE)</f>
        <v>Sports</v>
      </c>
      <c r="M1171" s="23" t="str">
        <f>VLOOKUP(E1171,Sales_Reps!$A:$E,3,FALSE)</f>
        <v>West</v>
      </c>
      <c r="N1171" s="23" t="str">
        <f t="shared" si="54"/>
        <v>May-24</v>
      </c>
      <c r="O1171" s="23" t="str">
        <f t="shared" si="55"/>
        <v>Q2 2024</v>
      </c>
      <c r="P1171" s="23">
        <f>VLOOKUP(D1171,Products!$A:$F,4,FALSE)</f>
        <v>2467</v>
      </c>
      <c r="Q1171" s="35">
        <f t="shared" si="56"/>
        <v>0.28492753623188405</v>
      </c>
    </row>
    <row r="1172" spans="1:17">
      <c r="A1172" s="12" t="s">
        <v>1675</v>
      </c>
      <c r="B1172" s="13">
        <v>45405</v>
      </c>
      <c r="C1172" s="12" t="s">
        <v>292</v>
      </c>
      <c r="D1172" s="12" t="s">
        <v>312</v>
      </c>
      <c r="E1172" s="12" t="s">
        <v>165</v>
      </c>
      <c r="F1172" s="14">
        <v>4</v>
      </c>
      <c r="G1172" s="14">
        <v>2030</v>
      </c>
      <c r="H1172" s="14">
        <v>17.100000000000001</v>
      </c>
      <c r="I1172" s="14">
        <v>6731.48</v>
      </c>
      <c r="J1172" s="12" t="s">
        <v>104</v>
      </c>
      <c r="K1172" s="12" t="s">
        <v>105</v>
      </c>
      <c r="L1172" s="23" t="str">
        <f>VLOOKUP(D1172,Products!$A:$F,3,FALSE)</f>
        <v>Home</v>
      </c>
      <c r="M1172" s="23" t="str">
        <f>VLOOKUP(E1172,Sales_Reps!$A:$E,3,FALSE)</f>
        <v>North</v>
      </c>
      <c r="N1172" s="23" t="str">
        <f t="shared" si="54"/>
        <v>Apr-24</v>
      </c>
      <c r="O1172" s="23" t="str">
        <f t="shared" si="55"/>
        <v>Q2 2024</v>
      </c>
      <c r="P1172" s="23">
        <f>VLOOKUP(D1172,Products!$A:$F,4,FALSE)</f>
        <v>1143</v>
      </c>
      <c r="Q1172" s="35">
        <f t="shared" si="56"/>
        <v>0.43694581280788175</v>
      </c>
    </row>
    <row r="1173" spans="1:17">
      <c r="A1173" s="12" t="s">
        <v>1676</v>
      </c>
      <c r="B1173" s="13">
        <v>45401</v>
      </c>
      <c r="C1173" s="12" t="s">
        <v>430</v>
      </c>
      <c r="D1173" s="12" t="s">
        <v>262</v>
      </c>
      <c r="E1173" s="12" t="s">
        <v>363</v>
      </c>
      <c r="F1173" s="14">
        <v>4</v>
      </c>
      <c r="G1173" s="14">
        <v>2270</v>
      </c>
      <c r="H1173" s="14">
        <v>27.3</v>
      </c>
      <c r="I1173" s="14">
        <v>6601.16</v>
      </c>
      <c r="J1173" s="12" t="s">
        <v>104</v>
      </c>
      <c r="K1173" s="12" t="s">
        <v>105</v>
      </c>
      <c r="L1173" s="23" t="str">
        <f>VLOOKUP(D1173,Products!$A:$F,3,FALSE)</f>
        <v>Grocery</v>
      </c>
      <c r="M1173" s="23" t="str">
        <f>VLOOKUP(E1173,Sales_Reps!$A:$E,3,FALSE)</f>
        <v>South</v>
      </c>
      <c r="N1173" s="23" t="str">
        <f t="shared" si="54"/>
        <v>Apr-24</v>
      </c>
      <c r="O1173" s="23" t="str">
        <f t="shared" si="55"/>
        <v>Q2 2024</v>
      </c>
      <c r="P1173" s="23">
        <f>VLOOKUP(D1173,Products!$A:$F,4,FALSE)</f>
        <v>1412</v>
      </c>
      <c r="Q1173" s="35">
        <f t="shared" si="56"/>
        <v>0.37797356828193834</v>
      </c>
    </row>
    <row r="1174" spans="1:17">
      <c r="A1174" s="12" t="s">
        <v>1677</v>
      </c>
      <c r="B1174" s="13">
        <v>45373</v>
      </c>
      <c r="C1174" s="12" t="s">
        <v>482</v>
      </c>
      <c r="D1174" s="12" t="s">
        <v>460</v>
      </c>
      <c r="E1174" s="12" t="s">
        <v>269</v>
      </c>
      <c r="F1174" s="14">
        <v>9</v>
      </c>
      <c r="G1174" s="14">
        <v>5080</v>
      </c>
      <c r="H1174" s="14">
        <v>10.9</v>
      </c>
      <c r="I1174" s="14">
        <v>40736.519999999997</v>
      </c>
      <c r="J1174" s="12" t="s">
        <v>104</v>
      </c>
      <c r="K1174" s="12" t="s">
        <v>129</v>
      </c>
      <c r="L1174" s="23" t="str">
        <f>VLOOKUP(D1174,Products!$A:$F,3,FALSE)</f>
        <v>Home</v>
      </c>
      <c r="M1174" s="23" t="str">
        <f>VLOOKUP(E1174,Sales_Reps!$A:$E,3,FALSE)</f>
        <v>South</v>
      </c>
      <c r="N1174" s="23" t="str">
        <f t="shared" si="54"/>
        <v>Mar-24</v>
      </c>
      <c r="O1174" s="23" t="str">
        <f t="shared" si="55"/>
        <v>Q1 2024</v>
      </c>
      <c r="P1174" s="23">
        <f>VLOOKUP(D1174,Products!$A:$F,4,FALSE)</f>
        <v>2459</v>
      </c>
      <c r="Q1174" s="35">
        <f t="shared" si="56"/>
        <v>0.51594488188976373</v>
      </c>
    </row>
    <row r="1175" spans="1:17">
      <c r="A1175" s="12" t="s">
        <v>1678</v>
      </c>
      <c r="B1175" s="13">
        <v>45602</v>
      </c>
      <c r="C1175" s="12" t="s">
        <v>802</v>
      </c>
      <c r="D1175" s="12" t="s">
        <v>281</v>
      </c>
      <c r="E1175" s="12" t="s">
        <v>246</v>
      </c>
      <c r="F1175" s="14">
        <v>8</v>
      </c>
      <c r="G1175" s="14">
        <v>4070</v>
      </c>
      <c r="H1175" s="14">
        <v>17.7</v>
      </c>
      <c r="I1175" s="14">
        <v>26796.880000000001</v>
      </c>
      <c r="J1175" s="12" t="s">
        <v>104</v>
      </c>
      <c r="K1175" s="12" t="s">
        <v>105</v>
      </c>
      <c r="L1175" s="23" t="str">
        <f>VLOOKUP(D1175,Products!$A:$F,3,FALSE)</f>
        <v>Grocery</v>
      </c>
      <c r="M1175" s="23" t="str">
        <f>VLOOKUP(E1175,Sales_Reps!$A:$E,3,FALSE)</f>
        <v>West</v>
      </c>
      <c r="N1175" s="23" t="str">
        <f t="shared" si="54"/>
        <v>Nov-24</v>
      </c>
      <c r="O1175" s="23" t="str">
        <f t="shared" si="55"/>
        <v>Q4 2024</v>
      </c>
      <c r="P1175" s="23">
        <f>VLOOKUP(D1175,Products!$A:$F,4,FALSE)</f>
        <v>2027</v>
      </c>
      <c r="Q1175" s="35">
        <f t="shared" si="56"/>
        <v>0.50196560196560192</v>
      </c>
    </row>
    <row r="1176" spans="1:17">
      <c r="A1176" s="12" t="s">
        <v>1679</v>
      </c>
      <c r="B1176" s="13">
        <v>45372</v>
      </c>
      <c r="C1176" s="12" t="s">
        <v>439</v>
      </c>
      <c r="D1176" s="12" t="s">
        <v>276</v>
      </c>
      <c r="E1176" s="12" t="s">
        <v>109</v>
      </c>
      <c r="F1176" s="14">
        <v>1</v>
      </c>
      <c r="G1176" s="14">
        <v>1540</v>
      </c>
      <c r="H1176" s="14">
        <v>0.9</v>
      </c>
      <c r="I1176" s="14">
        <v>1526.14</v>
      </c>
      <c r="J1176" s="12" t="s">
        <v>104</v>
      </c>
      <c r="K1176" s="12" t="s">
        <v>111</v>
      </c>
      <c r="L1176" s="23" t="str">
        <f>VLOOKUP(D1176,Products!$A:$F,3,FALSE)</f>
        <v>Beauty</v>
      </c>
      <c r="M1176" s="23" t="str">
        <f>VLOOKUP(E1176,Sales_Reps!$A:$E,3,FALSE)</f>
        <v>North</v>
      </c>
      <c r="N1176" s="23" t="str">
        <f t="shared" si="54"/>
        <v>Mar-24</v>
      </c>
      <c r="O1176" s="23" t="str">
        <f t="shared" si="55"/>
        <v>Q1 2024</v>
      </c>
      <c r="P1176" s="23">
        <f>VLOOKUP(D1176,Products!$A:$F,4,FALSE)</f>
        <v>647</v>
      </c>
      <c r="Q1176" s="35">
        <f t="shared" si="56"/>
        <v>0.57987012987012987</v>
      </c>
    </row>
    <row r="1177" spans="1:17">
      <c r="A1177" s="12" t="s">
        <v>1680</v>
      </c>
      <c r="B1177" s="13">
        <v>45416</v>
      </c>
      <c r="C1177" s="12" t="s">
        <v>1681</v>
      </c>
      <c r="D1177" s="12" t="s">
        <v>208</v>
      </c>
      <c r="E1177" s="12" t="s">
        <v>133</v>
      </c>
      <c r="F1177" s="14">
        <v>10</v>
      </c>
      <c r="G1177" s="14">
        <v>5100</v>
      </c>
      <c r="H1177" s="14">
        <v>3</v>
      </c>
      <c r="I1177" s="14">
        <v>49470</v>
      </c>
      <c r="J1177" s="12" t="s">
        <v>104</v>
      </c>
      <c r="K1177" s="12" t="s">
        <v>134</v>
      </c>
      <c r="L1177" s="23" t="str">
        <f>VLOOKUP(D1177,Products!$A:$F,3,FALSE)</f>
        <v>Beauty</v>
      </c>
      <c r="M1177" s="23" t="str">
        <f>VLOOKUP(E1177,Sales_Reps!$A:$E,3,FALSE)</f>
        <v>West</v>
      </c>
      <c r="N1177" s="23" t="str">
        <f t="shared" si="54"/>
        <v>May-24</v>
      </c>
      <c r="O1177" s="23" t="str">
        <f t="shared" si="55"/>
        <v>Q2 2024</v>
      </c>
      <c r="P1177" s="23">
        <f>VLOOKUP(D1177,Products!$A:$F,4,FALSE)</f>
        <v>2237</v>
      </c>
      <c r="Q1177" s="35">
        <f t="shared" si="56"/>
        <v>0.56137254901960787</v>
      </c>
    </row>
    <row r="1178" spans="1:17">
      <c r="A1178" s="12" t="s">
        <v>1682</v>
      </c>
      <c r="B1178" s="13">
        <v>45656</v>
      </c>
      <c r="C1178" s="12" t="s">
        <v>597</v>
      </c>
      <c r="D1178" s="12" t="s">
        <v>102</v>
      </c>
      <c r="E1178" s="12" t="s">
        <v>120</v>
      </c>
      <c r="F1178" s="14">
        <v>6</v>
      </c>
      <c r="G1178" s="14">
        <v>3620</v>
      </c>
      <c r="H1178" s="14">
        <v>20.2</v>
      </c>
      <c r="I1178" s="14">
        <v>17332.560000000001</v>
      </c>
      <c r="J1178" s="12" t="s">
        <v>104</v>
      </c>
      <c r="K1178" s="12" t="s">
        <v>105</v>
      </c>
      <c r="L1178" s="23" t="str">
        <f>VLOOKUP(D1178,Products!$A:$F,3,FALSE)</f>
        <v>Apparel</v>
      </c>
      <c r="M1178" s="23" t="str">
        <f>VLOOKUP(E1178,Sales_Reps!$A:$E,3,FALSE)</f>
        <v>North</v>
      </c>
      <c r="N1178" s="23" t="str">
        <f t="shared" si="54"/>
        <v>Dec-24</v>
      </c>
      <c r="O1178" s="23" t="str">
        <f t="shared" si="55"/>
        <v>Q4 2024</v>
      </c>
      <c r="P1178" s="23">
        <f>VLOOKUP(D1178,Products!$A:$F,4,FALSE)</f>
        <v>2509</v>
      </c>
      <c r="Q1178" s="35">
        <f t="shared" si="56"/>
        <v>0.3069060773480663</v>
      </c>
    </row>
    <row r="1179" spans="1:17">
      <c r="A1179" s="12" t="s">
        <v>1683</v>
      </c>
      <c r="B1179" s="13">
        <v>45324</v>
      </c>
      <c r="C1179" s="12" t="s">
        <v>143</v>
      </c>
      <c r="D1179" s="12" t="s">
        <v>201</v>
      </c>
      <c r="E1179" s="12" t="s">
        <v>165</v>
      </c>
      <c r="F1179" s="14">
        <v>7</v>
      </c>
      <c r="G1179" s="14">
        <v>4880</v>
      </c>
      <c r="H1179" s="14">
        <v>5</v>
      </c>
      <c r="I1179" s="14">
        <v>32452</v>
      </c>
      <c r="J1179" s="12" t="s">
        <v>104</v>
      </c>
      <c r="K1179" s="12" t="s">
        <v>105</v>
      </c>
      <c r="L1179" s="23" t="str">
        <f>VLOOKUP(D1179,Products!$A:$F,3,FALSE)</f>
        <v>Beauty</v>
      </c>
      <c r="M1179" s="23" t="str">
        <f>VLOOKUP(E1179,Sales_Reps!$A:$E,3,FALSE)</f>
        <v>North</v>
      </c>
      <c r="N1179" s="23" t="str">
        <f t="shared" si="54"/>
        <v>Feb-24</v>
      </c>
      <c r="O1179" s="23" t="str">
        <f t="shared" si="55"/>
        <v>Q1 2024</v>
      </c>
      <c r="P1179" s="23">
        <f>VLOOKUP(D1179,Products!$A:$F,4,FALSE)</f>
        <v>2768</v>
      </c>
      <c r="Q1179" s="35">
        <f t="shared" si="56"/>
        <v>0.43278688524590164</v>
      </c>
    </row>
    <row r="1180" spans="1:17">
      <c r="A1180" s="12" t="s">
        <v>1684</v>
      </c>
      <c r="B1180" s="13">
        <v>45472</v>
      </c>
      <c r="C1180" s="12" t="s">
        <v>211</v>
      </c>
      <c r="D1180" s="12" t="s">
        <v>152</v>
      </c>
      <c r="E1180" s="12" t="s">
        <v>133</v>
      </c>
      <c r="F1180" s="14">
        <v>1</v>
      </c>
      <c r="G1180" s="14">
        <v>2640</v>
      </c>
      <c r="H1180" s="14">
        <v>4.0999999999999996</v>
      </c>
      <c r="I1180" s="14">
        <v>2531.7600000000002</v>
      </c>
      <c r="J1180" s="12" t="s">
        <v>104</v>
      </c>
      <c r="K1180" s="12" t="s">
        <v>105</v>
      </c>
      <c r="L1180" s="23" t="str">
        <f>VLOOKUP(D1180,Products!$A:$F,3,FALSE)</f>
        <v>Electronics</v>
      </c>
      <c r="M1180" s="23" t="str">
        <f>VLOOKUP(E1180,Sales_Reps!$A:$E,3,FALSE)</f>
        <v>West</v>
      </c>
      <c r="N1180" s="23" t="str">
        <f t="shared" si="54"/>
        <v>Jun-24</v>
      </c>
      <c r="O1180" s="23" t="str">
        <f t="shared" si="55"/>
        <v>Q2 2024</v>
      </c>
      <c r="P1180" s="23">
        <f>VLOOKUP(D1180,Products!$A:$F,4,FALSE)</f>
        <v>1149</v>
      </c>
      <c r="Q1180" s="35">
        <f t="shared" si="56"/>
        <v>0.56477272727272732</v>
      </c>
    </row>
    <row r="1181" spans="1:17">
      <c r="A1181" s="12" t="s">
        <v>1685</v>
      </c>
      <c r="B1181" s="13">
        <v>45508</v>
      </c>
      <c r="C1181" s="12" t="s">
        <v>280</v>
      </c>
      <c r="D1181" s="12" t="s">
        <v>281</v>
      </c>
      <c r="E1181" s="12" t="s">
        <v>209</v>
      </c>
      <c r="F1181" s="14">
        <v>9</v>
      </c>
      <c r="G1181" s="14">
        <v>4070</v>
      </c>
      <c r="H1181" s="14">
        <v>4.4000000000000004</v>
      </c>
      <c r="I1181" s="14">
        <v>35018.28</v>
      </c>
      <c r="J1181" s="12" t="s">
        <v>104</v>
      </c>
      <c r="K1181" s="12" t="s">
        <v>150</v>
      </c>
      <c r="L1181" s="23" t="str">
        <f>VLOOKUP(D1181,Products!$A:$F,3,FALSE)</f>
        <v>Grocery</v>
      </c>
      <c r="M1181" s="23" t="str">
        <f>VLOOKUP(E1181,Sales_Reps!$A:$E,3,FALSE)</f>
        <v>East</v>
      </c>
      <c r="N1181" s="23" t="str">
        <f t="shared" si="54"/>
        <v>Aug-24</v>
      </c>
      <c r="O1181" s="23" t="str">
        <f t="shared" si="55"/>
        <v>Q3 2024</v>
      </c>
      <c r="P1181" s="23">
        <f>VLOOKUP(D1181,Products!$A:$F,4,FALSE)</f>
        <v>2027</v>
      </c>
      <c r="Q1181" s="35">
        <f t="shared" si="56"/>
        <v>0.50196560196560192</v>
      </c>
    </row>
    <row r="1182" spans="1:17">
      <c r="A1182" s="12" t="s">
        <v>1686</v>
      </c>
      <c r="B1182" s="13">
        <v>45617</v>
      </c>
      <c r="C1182" s="12" t="s">
        <v>345</v>
      </c>
      <c r="D1182" s="12" t="s">
        <v>204</v>
      </c>
      <c r="E1182" s="12" t="s">
        <v>128</v>
      </c>
      <c r="F1182" s="14">
        <v>9</v>
      </c>
      <c r="G1182" s="14">
        <v>3570</v>
      </c>
      <c r="H1182" s="14">
        <v>24.8</v>
      </c>
      <c r="I1182" s="14">
        <v>24161.759999999998</v>
      </c>
      <c r="J1182" s="12" t="s">
        <v>104</v>
      </c>
      <c r="K1182" s="12" t="s">
        <v>111</v>
      </c>
      <c r="L1182" s="23" t="str">
        <f>VLOOKUP(D1182,Products!$A:$F,3,FALSE)</f>
        <v>Electronics</v>
      </c>
      <c r="M1182" s="23" t="str">
        <f>VLOOKUP(E1182,Sales_Reps!$A:$E,3,FALSE)</f>
        <v>West</v>
      </c>
      <c r="N1182" s="23" t="str">
        <f t="shared" si="54"/>
        <v>Nov-24</v>
      </c>
      <c r="O1182" s="23" t="str">
        <f t="shared" si="55"/>
        <v>Q4 2024</v>
      </c>
      <c r="P1182" s="23">
        <f>VLOOKUP(D1182,Products!$A:$F,4,FALSE)</f>
        <v>1665</v>
      </c>
      <c r="Q1182" s="35">
        <f t="shared" si="56"/>
        <v>0.53361344537815125</v>
      </c>
    </row>
    <row r="1183" spans="1:17">
      <c r="A1183" s="12" t="s">
        <v>1687</v>
      </c>
      <c r="B1183" s="13">
        <v>45470</v>
      </c>
      <c r="C1183" s="12" t="s">
        <v>289</v>
      </c>
      <c r="D1183" s="12" t="s">
        <v>196</v>
      </c>
      <c r="E1183" s="12" t="s">
        <v>109</v>
      </c>
      <c r="F1183" s="14">
        <v>10</v>
      </c>
      <c r="G1183" s="14">
        <v>3350</v>
      </c>
      <c r="H1183" s="14">
        <v>25.1</v>
      </c>
      <c r="I1183" s="14">
        <v>25091.5</v>
      </c>
      <c r="J1183" s="12" t="s">
        <v>157</v>
      </c>
      <c r="K1183" s="12" t="s">
        <v>111</v>
      </c>
      <c r="L1183" s="23" t="str">
        <f>VLOOKUP(D1183,Products!$A:$F,3,FALSE)</f>
        <v>Beauty</v>
      </c>
      <c r="M1183" s="23" t="str">
        <f>VLOOKUP(E1183,Sales_Reps!$A:$E,3,FALSE)</f>
        <v>North</v>
      </c>
      <c r="N1183" s="23" t="str">
        <f t="shared" si="54"/>
        <v>Jun-24</v>
      </c>
      <c r="O1183" s="23" t="str">
        <f t="shared" si="55"/>
        <v>Q2 2024</v>
      </c>
      <c r="P1183" s="23">
        <f>VLOOKUP(D1183,Products!$A:$F,4,FALSE)</f>
        <v>1728</v>
      </c>
      <c r="Q1183" s="35">
        <f t="shared" si="56"/>
        <v>0.48417910447761192</v>
      </c>
    </row>
    <row r="1184" spans="1:17">
      <c r="A1184" s="12" t="s">
        <v>1688</v>
      </c>
      <c r="B1184" s="13">
        <v>45307</v>
      </c>
      <c r="C1184" s="12" t="s">
        <v>734</v>
      </c>
      <c r="D1184" s="12" t="s">
        <v>478</v>
      </c>
      <c r="E1184" s="12" t="s">
        <v>128</v>
      </c>
      <c r="F1184" s="14">
        <v>3</v>
      </c>
      <c r="G1184" s="14">
        <v>3780</v>
      </c>
      <c r="H1184" s="14">
        <v>3.8</v>
      </c>
      <c r="I1184" s="14">
        <v>10909.08</v>
      </c>
      <c r="J1184" s="12" t="s">
        <v>104</v>
      </c>
      <c r="K1184" s="12" t="s">
        <v>111</v>
      </c>
      <c r="L1184" s="23" t="str">
        <f>VLOOKUP(D1184,Products!$A:$F,3,FALSE)</f>
        <v>Sports</v>
      </c>
      <c r="M1184" s="23" t="str">
        <f>VLOOKUP(E1184,Sales_Reps!$A:$E,3,FALSE)</f>
        <v>West</v>
      </c>
      <c r="N1184" s="23" t="str">
        <f t="shared" si="54"/>
        <v>Jan-24</v>
      </c>
      <c r="O1184" s="23" t="str">
        <f t="shared" si="55"/>
        <v>Q1 2024</v>
      </c>
      <c r="P1184" s="23">
        <f>VLOOKUP(D1184,Products!$A:$F,4,FALSE)</f>
        <v>1860</v>
      </c>
      <c r="Q1184" s="35">
        <f t="shared" si="56"/>
        <v>0.50793650793650791</v>
      </c>
    </row>
    <row r="1185" spans="1:17">
      <c r="A1185" s="12" t="s">
        <v>1689</v>
      </c>
      <c r="B1185" s="13">
        <v>45651</v>
      </c>
      <c r="C1185" s="12" t="s">
        <v>720</v>
      </c>
      <c r="D1185" s="12" t="s">
        <v>204</v>
      </c>
      <c r="E1185" s="12" t="s">
        <v>124</v>
      </c>
      <c r="F1185" s="14">
        <v>4</v>
      </c>
      <c r="G1185" s="14">
        <v>3570</v>
      </c>
      <c r="H1185" s="14">
        <v>0.9</v>
      </c>
      <c r="I1185" s="14">
        <v>14151.48</v>
      </c>
      <c r="J1185" s="12" t="s">
        <v>110</v>
      </c>
      <c r="K1185" s="12" t="s">
        <v>105</v>
      </c>
      <c r="L1185" s="23" t="str">
        <f>VLOOKUP(D1185,Products!$A:$F,3,FALSE)</f>
        <v>Electronics</v>
      </c>
      <c r="M1185" s="23" t="str">
        <f>VLOOKUP(E1185,Sales_Reps!$A:$E,3,FALSE)</f>
        <v>North</v>
      </c>
      <c r="N1185" s="23" t="str">
        <f t="shared" si="54"/>
        <v>Dec-24</v>
      </c>
      <c r="O1185" s="23" t="str">
        <f t="shared" si="55"/>
        <v>Q4 2024</v>
      </c>
      <c r="P1185" s="23">
        <f>VLOOKUP(D1185,Products!$A:$F,4,FALSE)</f>
        <v>1665</v>
      </c>
      <c r="Q1185" s="35">
        <f t="shared" si="56"/>
        <v>0.53361344537815125</v>
      </c>
    </row>
    <row r="1186" spans="1:17">
      <c r="A1186" s="12" t="s">
        <v>1180</v>
      </c>
      <c r="B1186" s="13">
        <v>45436</v>
      </c>
      <c r="C1186" s="12" t="s">
        <v>437</v>
      </c>
      <c r="D1186" s="12" t="s">
        <v>212</v>
      </c>
      <c r="E1186" s="12" t="s">
        <v>133</v>
      </c>
      <c r="F1186" s="14">
        <v>5</v>
      </c>
      <c r="G1186" s="14">
        <v>2860</v>
      </c>
      <c r="H1186" s="14">
        <v>20.100000000000001</v>
      </c>
      <c r="I1186" s="14">
        <v>11425.7</v>
      </c>
      <c r="J1186" s="12" t="s">
        <v>104</v>
      </c>
      <c r="K1186" s="12" t="s">
        <v>116</v>
      </c>
      <c r="L1186" s="23" t="str">
        <f>VLOOKUP(D1186,Products!$A:$F,3,FALSE)</f>
        <v>Sports</v>
      </c>
      <c r="M1186" s="23" t="str">
        <f>VLOOKUP(E1186,Sales_Reps!$A:$E,3,FALSE)</f>
        <v>West</v>
      </c>
      <c r="N1186" s="23" t="str">
        <f t="shared" si="54"/>
        <v>May-24</v>
      </c>
      <c r="O1186" s="23" t="str">
        <f t="shared" si="55"/>
        <v>Q2 2024</v>
      </c>
      <c r="P1186" s="23">
        <f>VLOOKUP(D1186,Products!$A:$F,4,FALSE)</f>
        <v>2028</v>
      </c>
      <c r="Q1186" s="35">
        <f t="shared" si="56"/>
        <v>0.29090909090909089</v>
      </c>
    </row>
    <row r="1187" spans="1:17">
      <c r="A1187" s="12" t="s">
        <v>1690</v>
      </c>
      <c r="B1187" s="13">
        <v>45518</v>
      </c>
      <c r="C1187" s="12" t="s">
        <v>701</v>
      </c>
      <c r="D1187" s="12" t="s">
        <v>309</v>
      </c>
      <c r="E1187" s="12" t="s">
        <v>165</v>
      </c>
      <c r="F1187" s="14">
        <v>1</v>
      </c>
      <c r="G1187" s="14">
        <v>620</v>
      </c>
      <c r="H1187" s="14">
        <v>1.1000000000000001</v>
      </c>
      <c r="I1187" s="14">
        <v>613.17999999999995</v>
      </c>
      <c r="J1187" s="12" t="s">
        <v>157</v>
      </c>
      <c r="K1187" s="12" t="s">
        <v>116</v>
      </c>
      <c r="L1187" s="23" t="str">
        <f>VLOOKUP(D1187,Products!$A:$F,3,FALSE)</f>
        <v>Apparel</v>
      </c>
      <c r="M1187" s="23" t="str">
        <f>VLOOKUP(E1187,Sales_Reps!$A:$E,3,FALSE)</f>
        <v>North</v>
      </c>
      <c r="N1187" s="23" t="str">
        <f t="shared" si="54"/>
        <v>Aug-24</v>
      </c>
      <c r="O1187" s="23" t="str">
        <f t="shared" si="55"/>
        <v>Q3 2024</v>
      </c>
      <c r="P1187" s="23">
        <f>VLOOKUP(D1187,Products!$A:$F,4,FALSE)</f>
        <v>396</v>
      </c>
      <c r="Q1187" s="35">
        <f t="shared" si="56"/>
        <v>0.36129032258064514</v>
      </c>
    </row>
    <row r="1188" spans="1:17">
      <c r="A1188" s="12" t="s">
        <v>1691</v>
      </c>
      <c r="B1188" s="13">
        <v>45432</v>
      </c>
      <c r="C1188" s="12" t="s">
        <v>211</v>
      </c>
      <c r="D1188" s="12" t="s">
        <v>204</v>
      </c>
      <c r="E1188" s="12" t="s">
        <v>342</v>
      </c>
      <c r="F1188" s="14">
        <v>1</v>
      </c>
      <c r="G1188" s="14">
        <v>3570</v>
      </c>
      <c r="H1188" s="14">
        <v>11.1</v>
      </c>
      <c r="I1188" s="14">
        <v>3173.73</v>
      </c>
      <c r="J1188" s="12" t="s">
        <v>157</v>
      </c>
      <c r="K1188" s="12" t="s">
        <v>105</v>
      </c>
      <c r="L1188" s="23" t="str">
        <f>VLOOKUP(D1188,Products!$A:$F,3,FALSE)</f>
        <v>Electronics</v>
      </c>
      <c r="M1188" s="23" t="str">
        <f>VLOOKUP(E1188,Sales_Reps!$A:$E,3,FALSE)</f>
        <v>South</v>
      </c>
      <c r="N1188" s="23" t="str">
        <f t="shared" si="54"/>
        <v>May-24</v>
      </c>
      <c r="O1188" s="23" t="str">
        <f t="shared" si="55"/>
        <v>Q2 2024</v>
      </c>
      <c r="P1188" s="23">
        <f>VLOOKUP(D1188,Products!$A:$F,4,FALSE)</f>
        <v>1665</v>
      </c>
      <c r="Q1188" s="35">
        <f t="shared" si="56"/>
        <v>0.53361344537815125</v>
      </c>
    </row>
    <row r="1189" spans="1:17">
      <c r="A1189" s="12" t="s">
        <v>1692</v>
      </c>
      <c r="B1189" s="13">
        <v>45551</v>
      </c>
      <c r="C1189" s="12" t="s">
        <v>679</v>
      </c>
      <c r="D1189" s="12" t="s">
        <v>381</v>
      </c>
      <c r="E1189" s="12" t="s">
        <v>342</v>
      </c>
      <c r="F1189" s="14">
        <v>1</v>
      </c>
      <c r="G1189" s="14">
        <v>5330</v>
      </c>
      <c r="H1189" s="14">
        <v>3.5</v>
      </c>
      <c r="I1189" s="14">
        <v>5143.45</v>
      </c>
      <c r="J1189" s="12" t="s">
        <v>104</v>
      </c>
      <c r="K1189" s="12" t="s">
        <v>111</v>
      </c>
      <c r="L1189" s="23" t="str">
        <f>VLOOKUP(D1189,Products!$A:$F,3,FALSE)</f>
        <v>Electronics</v>
      </c>
      <c r="M1189" s="23" t="str">
        <f>VLOOKUP(E1189,Sales_Reps!$A:$E,3,FALSE)</f>
        <v>South</v>
      </c>
      <c r="N1189" s="23" t="str">
        <f t="shared" si="54"/>
        <v>Sep-24</v>
      </c>
      <c r="O1189" s="23" t="str">
        <f t="shared" si="55"/>
        <v>Q3 2024</v>
      </c>
      <c r="P1189" s="23">
        <f>VLOOKUP(D1189,Products!$A:$F,4,FALSE)</f>
        <v>2405</v>
      </c>
      <c r="Q1189" s="35">
        <f t="shared" si="56"/>
        <v>0.54878048780487809</v>
      </c>
    </row>
    <row r="1190" spans="1:17">
      <c r="A1190" s="12" t="s">
        <v>1693</v>
      </c>
      <c r="B1190" s="13">
        <v>45348</v>
      </c>
      <c r="C1190" s="12" t="s">
        <v>367</v>
      </c>
      <c r="D1190" s="12" t="s">
        <v>377</v>
      </c>
      <c r="E1190" s="12" t="s">
        <v>320</v>
      </c>
      <c r="F1190" s="14">
        <v>7</v>
      </c>
      <c r="G1190" s="14">
        <v>5410</v>
      </c>
      <c r="H1190" s="14">
        <v>26.2</v>
      </c>
      <c r="I1190" s="14">
        <v>27948.06</v>
      </c>
      <c r="J1190" s="12" t="s">
        <v>104</v>
      </c>
      <c r="K1190" s="12" t="s">
        <v>129</v>
      </c>
      <c r="L1190" s="23" t="str">
        <f>VLOOKUP(D1190,Products!$A:$F,3,FALSE)</f>
        <v>Sports</v>
      </c>
      <c r="M1190" s="23" t="str">
        <f>VLOOKUP(E1190,Sales_Reps!$A:$E,3,FALSE)</f>
        <v>East</v>
      </c>
      <c r="N1190" s="23" t="str">
        <f t="shared" si="54"/>
        <v>Feb-24</v>
      </c>
      <c r="O1190" s="23" t="str">
        <f t="shared" si="55"/>
        <v>Q1 2024</v>
      </c>
      <c r="P1190" s="23">
        <f>VLOOKUP(D1190,Products!$A:$F,4,FALSE)</f>
        <v>2265</v>
      </c>
      <c r="Q1190" s="35">
        <f t="shared" si="56"/>
        <v>0.58133086876155271</v>
      </c>
    </row>
    <row r="1191" spans="1:17">
      <c r="A1191" s="12" t="s">
        <v>1694</v>
      </c>
      <c r="B1191" s="13">
        <v>45374</v>
      </c>
      <c r="C1191" s="12" t="s">
        <v>1248</v>
      </c>
      <c r="D1191" s="12" t="s">
        <v>460</v>
      </c>
      <c r="E1191" s="12" t="s">
        <v>363</v>
      </c>
      <c r="F1191" s="14">
        <v>10</v>
      </c>
      <c r="G1191" s="14">
        <v>5080</v>
      </c>
      <c r="H1191" s="14">
        <v>3.7</v>
      </c>
      <c r="I1191" s="14">
        <v>48920.4</v>
      </c>
      <c r="J1191" s="12" t="s">
        <v>110</v>
      </c>
      <c r="K1191" s="12" t="s">
        <v>105</v>
      </c>
      <c r="L1191" s="23" t="str">
        <f>VLOOKUP(D1191,Products!$A:$F,3,FALSE)</f>
        <v>Home</v>
      </c>
      <c r="M1191" s="23" t="str">
        <f>VLOOKUP(E1191,Sales_Reps!$A:$E,3,FALSE)</f>
        <v>South</v>
      </c>
      <c r="N1191" s="23" t="str">
        <f t="shared" si="54"/>
        <v>Mar-24</v>
      </c>
      <c r="O1191" s="23" t="str">
        <f t="shared" si="55"/>
        <v>Q1 2024</v>
      </c>
      <c r="P1191" s="23">
        <f>VLOOKUP(D1191,Products!$A:$F,4,FALSE)</f>
        <v>2459</v>
      </c>
      <c r="Q1191" s="35">
        <f t="shared" si="56"/>
        <v>0.51594488188976373</v>
      </c>
    </row>
    <row r="1192" spans="1:17">
      <c r="A1192" s="12" t="s">
        <v>1695</v>
      </c>
      <c r="B1192" s="13">
        <v>45370</v>
      </c>
      <c r="C1192" s="12" t="s">
        <v>731</v>
      </c>
      <c r="D1192" s="12" t="s">
        <v>204</v>
      </c>
      <c r="E1192" s="12" t="s">
        <v>109</v>
      </c>
      <c r="F1192" s="14">
        <v>9</v>
      </c>
      <c r="G1192" s="14">
        <v>3570</v>
      </c>
      <c r="H1192" s="14">
        <v>5.6</v>
      </c>
      <c r="I1192" s="14">
        <v>30330.720000000001</v>
      </c>
      <c r="J1192" s="12" t="s">
        <v>104</v>
      </c>
      <c r="K1192" s="12" t="s">
        <v>116</v>
      </c>
      <c r="L1192" s="23" t="str">
        <f>VLOOKUP(D1192,Products!$A:$F,3,FALSE)</f>
        <v>Electronics</v>
      </c>
      <c r="M1192" s="23" t="str">
        <f>VLOOKUP(E1192,Sales_Reps!$A:$E,3,FALSE)</f>
        <v>North</v>
      </c>
      <c r="N1192" s="23" t="str">
        <f t="shared" si="54"/>
        <v>Mar-24</v>
      </c>
      <c r="O1192" s="23" t="str">
        <f t="shared" si="55"/>
        <v>Q1 2024</v>
      </c>
      <c r="P1192" s="23">
        <f>VLOOKUP(D1192,Products!$A:$F,4,FALSE)</f>
        <v>1665</v>
      </c>
      <c r="Q1192" s="35">
        <f t="shared" si="56"/>
        <v>0.53361344537815125</v>
      </c>
    </row>
    <row r="1193" spans="1:17">
      <c r="A1193" s="12" t="s">
        <v>1696</v>
      </c>
      <c r="B1193" s="13">
        <v>45656</v>
      </c>
      <c r="C1193" s="12" t="s">
        <v>621</v>
      </c>
      <c r="D1193" s="12" t="s">
        <v>144</v>
      </c>
      <c r="E1193" s="12" t="s">
        <v>302</v>
      </c>
      <c r="F1193" s="14">
        <v>9</v>
      </c>
      <c r="G1193" s="14">
        <v>970</v>
      </c>
      <c r="H1193" s="14">
        <v>19.5</v>
      </c>
      <c r="I1193" s="14">
        <v>7027.65</v>
      </c>
      <c r="J1193" s="12" t="s">
        <v>104</v>
      </c>
      <c r="K1193" s="12" t="s">
        <v>134</v>
      </c>
      <c r="L1193" s="23" t="str">
        <f>VLOOKUP(D1193,Products!$A:$F,3,FALSE)</f>
        <v>Grocery</v>
      </c>
      <c r="M1193" s="23" t="str">
        <f>VLOOKUP(E1193,Sales_Reps!$A:$E,3,FALSE)</f>
        <v>East</v>
      </c>
      <c r="N1193" s="23" t="str">
        <f t="shared" si="54"/>
        <v>Dec-24</v>
      </c>
      <c r="O1193" s="23" t="str">
        <f t="shared" si="55"/>
        <v>Q4 2024</v>
      </c>
      <c r="P1193" s="23">
        <f>VLOOKUP(D1193,Products!$A:$F,4,FALSE)</f>
        <v>434</v>
      </c>
      <c r="Q1193" s="35">
        <f t="shared" si="56"/>
        <v>0.5525773195876289</v>
      </c>
    </row>
    <row r="1194" spans="1:17">
      <c r="A1194" s="12" t="s">
        <v>1697</v>
      </c>
      <c r="B1194" s="13">
        <v>45357</v>
      </c>
      <c r="C1194" s="12" t="s">
        <v>437</v>
      </c>
      <c r="D1194" s="12" t="s">
        <v>299</v>
      </c>
      <c r="E1194" s="12" t="s">
        <v>221</v>
      </c>
      <c r="F1194" s="14">
        <v>10</v>
      </c>
      <c r="G1194" s="14">
        <v>300</v>
      </c>
      <c r="H1194" s="14">
        <v>23</v>
      </c>
      <c r="I1194" s="14">
        <v>2310</v>
      </c>
      <c r="J1194" s="12" t="s">
        <v>157</v>
      </c>
      <c r="K1194" s="12" t="s">
        <v>116</v>
      </c>
      <c r="L1194" s="23" t="str">
        <f>VLOOKUP(D1194,Products!$A:$F,3,FALSE)</f>
        <v>Electronics</v>
      </c>
      <c r="M1194" s="23" t="str">
        <f>VLOOKUP(E1194,Sales_Reps!$A:$E,3,FALSE)</f>
        <v>South</v>
      </c>
      <c r="N1194" s="23" t="str">
        <f t="shared" si="54"/>
        <v>Mar-24</v>
      </c>
      <c r="O1194" s="23" t="str">
        <f t="shared" si="55"/>
        <v>Q1 2024</v>
      </c>
      <c r="P1194" s="23">
        <f>VLOOKUP(D1194,Products!$A:$F,4,FALSE)</f>
        <v>128</v>
      </c>
      <c r="Q1194" s="35">
        <f t="shared" si="56"/>
        <v>0.57333333333333336</v>
      </c>
    </row>
    <row r="1195" spans="1:17">
      <c r="A1195" s="12" t="s">
        <v>1698</v>
      </c>
      <c r="B1195" s="13">
        <v>45479</v>
      </c>
      <c r="C1195" s="12" t="s">
        <v>442</v>
      </c>
      <c r="D1195" s="12" t="s">
        <v>258</v>
      </c>
      <c r="E1195" s="12" t="s">
        <v>165</v>
      </c>
      <c r="F1195" s="14">
        <v>10</v>
      </c>
      <c r="G1195" s="14">
        <v>6080</v>
      </c>
      <c r="H1195" s="14">
        <v>3.9</v>
      </c>
      <c r="I1195" s="14">
        <v>58428.800000000003</v>
      </c>
      <c r="J1195" s="12" t="s">
        <v>104</v>
      </c>
      <c r="K1195" s="12" t="s">
        <v>111</v>
      </c>
      <c r="L1195" s="23" t="str">
        <f>VLOOKUP(D1195,Products!$A:$F,3,FALSE)</f>
        <v>Beauty</v>
      </c>
      <c r="M1195" s="23" t="str">
        <f>VLOOKUP(E1195,Sales_Reps!$A:$E,3,FALSE)</f>
        <v>North</v>
      </c>
      <c r="N1195" s="23" t="str">
        <f t="shared" si="54"/>
        <v>Jul-24</v>
      </c>
      <c r="O1195" s="23" t="str">
        <f t="shared" si="55"/>
        <v>Q3 2024</v>
      </c>
      <c r="P1195" s="23">
        <f>VLOOKUP(D1195,Products!$A:$F,4,FALSE)</f>
        <v>2617</v>
      </c>
      <c r="Q1195" s="35">
        <f t="shared" si="56"/>
        <v>0.56957236842105263</v>
      </c>
    </row>
    <row r="1196" spans="1:17">
      <c r="A1196" s="12" t="s">
        <v>926</v>
      </c>
      <c r="B1196" s="13">
        <v>45539</v>
      </c>
      <c r="C1196" s="12" t="s">
        <v>159</v>
      </c>
      <c r="D1196" s="12" t="s">
        <v>208</v>
      </c>
      <c r="E1196" s="12" t="s">
        <v>290</v>
      </c>
      <c r="F1196" s="14">
        <v>2</v>
      </c>
      <c r="G1196" s="14">
        <v>5100</v>
      </c>
      <c r="H1196" s="14">
        <v>11</v>
      </c>
      <c r="I1196" s="14">
        <v>9078</v>
      </c>
      <c r="J1196" s="12" t="s">
        <v>104</v>
      </c>
      <c r="K1196" s="12" t="s">
        <v>105</v>
      </c>
      <c r="L1196" s="23" t="str">
        <f>VLOOKUP(D1196,Products!$A:$F,3,FALSE)</f>
        <v>Beauty</v>
      </c>
      <c r="M1196" s="23" t="str">
        <f>VLOOKUP(E1196,Sales_Reps!$A:$E,3,FALSE)</f>
        <v>South</v>
      </c>
      <c r="N1196" s="23" t="str">
        <f t="shared" si="54"/>
        <v>Sep-24</v>
      </c>
      <c r="O1196" s="23" t="str">
        <f t="shared" si="55"/>
        <v>Q3 2024</v>
      </c>
      <c r="P1196" s="23">
        <f>VLOOKUP(D1196,Products!$A:$F,4,FALSE)</f>
        <v>2237</v>
      </c>
      <c r="Q1196" s="35">
        <f t="shared" si="56"/>
        <v>0.56137254901960787</v>
      </c>
    </row>
    <row r="1197" spans="1:17">
      <c r="A1197" s="12" t="s">
        <v>1699</v>
      </c>
      <c r="B1197" s="13">
        <v>45394</v>
      </c>
      <c r="C1197" s="12" t="s">
        <v>388</v>
      </c>
      <c r="D1197" s="12" t="s">
        <v>469</v>
      </c>
      <c r="E1197" s="12" t="s">
        <v>138</v>
      </c>
      <c r="F1197" s="14">
        <v>9</v>
      </c>
      <c r="G1197" s="14">
        <v>3450</v>
      </c>
      <c r="H1197" s="14">
        <v>23.7</v>
      </c>
      <c r="I1197" s="14">
        <v>23691.15</v>
      </c>
      <c r="J1197" s="12" t="s">
        <v>104</v>
      </c>
      <c r="K1197" s="12" t="s">
        <v>129</v>
      </c>
      <c r="L1197" s="23" t="str">
        <f>VLOOKUP(D1197,Products!$A:$F,3,FALSE)</f>
        <v>Apparel</v>
      </c>
      <c r="M1197" s="23" t="str">
        <f>VLOOKUP(E1197,Sales_Reps!$A:$E,3,FALSE)</f>
        <v>East</v>
      </c>
      <c r="N1197" s="23" t="str">
        <f t="shared" si="54"/>
        <v>Apr-24</v>
      </c>
      <c r="O1197" s="23" t="str">
        <f t="shared" si="55"/>
        <v>Q2 2024</v>
      </c>
      <c r="P1197" s="23">
        <f>VLOOKUP(D1197,Products!$A:$F,4,FALSE)</f>
        <v>1748</v>
      </c>
      <c r="Q1197" s="35">
        <f t="shared" si="56"/>
        <v>0.49333333333333335</v>
      </c>
    </row>
    <row r="1198" spans="1:17">
      <c r="A1198" s="12" t="s">
        <v>1700</v>
      </c>
      <c r="B1198" s="13">
        <v>45335</v>
      </c>
      <c r="C1198" s="12" t="s">
        <v>776</v>
      </c>
      <c r="D1198" s="12" t="s">
        <v>184</v>
      </c>
      <c r="E1198" s="12" t="s">
        <v>290</v>
      </c>
      <c r="F1198" s="14">
        <v>5</v>
      </c>
      <c r="G1198" s="14">
        <v>2480</v>
      </c>
      <c r="H1198" s="14">
        <v>20.399999999999999</v>
      </c>
      <c r="I1198" s="14">
        <v>9870.4</v>
      </c>
      <c r="J1198" s="12" t="s">
        <v>104</v>
      </c>
      <c r="K1198" s="12" t="s">
        <v>134</v>
      </c>
      <c r="L1198" s="23" t="str">
        <f>VLOOKUP(D1198,Products!$A:$F,3,FALSE)</f>
        <v>Apparel</v>
      </c>
      <c r="M1198" s="23" t="str">
        <f>VLOOKUP(E1198,Sales_Reps!$A:$E,3,FALSE)</f>
        <v>South</v>
      </c>
      <c r="N1198" s="23" t="str">
        <f t="shared" si="54"/>
        <v>Feb-24</v>
      </c>
      <c r="O1198" s="23" t="str">
        <f t="shared" si="55"/>
        <v>Q1 2024</v>
      </c>
      <c r="P1198" s="23">
        <f>VLOOKUP(D1198,Products!$A:$F,4,FALSE)</f>
        <v>1173</v>
      </c>
      <c r="Q1198" s="35">
        <f t="shared" si="56"/>
        <v>0.52701612903225803</v>
      </c>
    </row>
    <row r="1199" spans="1:17">
      <c r="A1199" s="12" t="s">
        <v>1701</v>
      </c>
      <c r="B1199" s="13">
        <v>45334</v>
      </c>
      <c r="C1199" s="12" t="s">
        <v>283</v>
      </c>
      <c r="D1199" s="12" t="s">
        <v>164</v>
      </c>
      <c r="E1199" s="12" t="s">
        <v>149</v>
      </c>
      <c r="F1199" s="14">
        <v>4</v>
      </c>
      <c r="G1199" s="14">
        <v>190</v>
      </c>
      <c r="H1199" s="14">
        <v>2.6</v>
      </c>
      <c r="I1199" s="14">
        <v>740.24</v>
      </c>
      <c r="J1199" s="12" t="s">
        <v>104</v>
      </c>
      <c r="K1199" s="12" t="s">
        <v>116</v>
      </c>
      <c r="L1199" s="23" t="str">
        <f>VLOOKUP(D1199,Products!$A:$F,3,FALSE)</f>
        <v>Sports</v>
      </c>
      <c r="M1199" s="23" t="str">
        <f>VLOOKUP(E1199,Sales_Reps!$A:$E,3,FALSE)</f>
        <v>South</v>
      </c>
      <c r="N1199" s="23" t="str">
        <f t="shared" si="54"/>
        <v>Feb-24</v>
      </c>
      <c r="O1199" s="23" t="str">
        <f t="shared" si="55"/>
        <v>Q1 2024</v>
      </c>
      <c r="P1199" s="23">
        <f>VLOOKUP(D1199,Products!$A:$F,4,FALSE)</f>
        <v>147</v>
      </c>
      <c r="Q1199" s="35">
        <f t="shared" si="56"/>
        <v>0.22631578947368422</v>
      </c>
    </row>
    <row r="1200" spans="1:17">
      <c r="A1200" s="12" t="s">
        <v>1702</v>
      </c>
      <c r="B1200" s="13">
        <v>45300</v>
      </c>
      <c r="C1200" s="12" t="s">
        <v>1023</v>
      </c>
      <c r="D1200" s="12" t="s">
        <v>262</v>
      </c>
      <c r="E1200" s="12" t="s">
        <v>209</v>
      </c>
      <c r="F1200" s="14">
        <v>4</v>
      </c>
      <c r="G1200" s="14">
        <v>2270</v>
      </c>
      <c r="H1200" s="14">
        <v>8.1</v>
      </c>
      <c r="I1200" s="14">
        <v>8344.52</v>
      </c>
      <c r="J1200" s="12" t="s">
        <v>110</v>
      </c>
      <c r="K1200" s="12" t="s">
        <v>134</v>
      </c>
      <c r="L1200" s="23" t="str">
        <f>VLOOKUP(D1200,Products!$A:$F,3,FALSE)</f>
        <v>Grocery</v>
      </c>
      <c r="M1200" s="23" t="str">
        <f>VLOOKUP(E1200,Sales_Reps!$A:$E,3,FALSE)</f>
        <v>East</v>
      </c>
      <c r="N1200" s="23" t="str">
        <f t="shared" si="54"/>
        <v>Jan-24</v>
      </c>
      <c r="O1200" s="23" t="str">
        <f t="shared" si="55"/>
        <v>Q1 2024</v>
      </c>
      <c r="P1200" s="23">
        <f>VLOOKUP(D1200,Products!$A:$F,4,FALSE)</f>
        <v>1412</v>
      </c>
      <c r="Q1200" s="35">
        <f t="shared" si="56"/>
        <v>0.37797356828193834</v>
      </c>
    </row>
    <row r="1201" spans="1:17">
      <c r="A1201" s="12" t="s">
        <v>1703</v>
      </c>
      <c r="B1201" s="13">
        <v>45400</v>
      </c>
      <c r="C1201" s="12" t="s">
        <v>527</v>
      </c>
      <c r="D1201" s="12" t="s">
        <v>372</v>
      </c>
      <c r="E1201" s="12" t="s">
        <v>145</v>
      </c>
      <c r="F1201" s="14">
        <v>7</v>
      </c>
      <c r="G1201" s="14">
        <v>2510</v>
      </c>
      <c r="H1201" s="14">
        <v>25.5</v>
      </c>
      <c r="I1201" s="14">
        <v>13089.65</v>
      </c>
      <c r="J1201" s="12" t="s">
        <v>104</v>
      </c>
      <c r="K1201" s="12" t="s">
        <v>134</v>
      </c>
      <c r="L1201" s="23" t="str">
        <f>VLOOKUP(D1201,Products!$A:$F,3,FALSE)</f>
        <v>Apparel</v>
      </c>
      <c r="M1201" s="23" t="str">
        <f>VLOOKUP(E1201,Sales_Reps!$A:$E,3,FALSE)</f>
        <v>West</v>
      </c>
      <c r="N1201" s="23" t="str">
        <f t="shared" si="54"/>
        <v>Apr-24</v>
      </c>
      <c r="O1201" s="23" t="str">
        <f t="shared" si="55"/>
        <v>Q2 2024</v>
      </c>
      <c r="P1201" s="23">
        <f>VLOOKUP(D1201,Products!$A:$F,4,FALSE)</f>
        <v>1075</v>
      </c>
      <c r="Q1201" s="35">
        <f t="shared" si="56"/>
        <v>0.57171314741035861</v>
      </c>
    </row>
    <row r="1202" spans="1:17">
      <c r="A1202" s="12" t="s">
        <v>1704</v>
      </c>
      <c r="B1202" s="13">
        <v>45423</v>
      </c>
      <c r="C1202" s="12" t="s">
        <v>143</v>
      </c>
      <c r="D1202" s="12" t="s">
        <v>478</v>
      </c>
      <c r="E1202" s="12" t="s">
        <v>156</v>
      </c>
      <c r="F1202" s="14">
        <v>3</v>
      </c>
      <c r="G1202" s="14">
        <v>3780</v>
      </c>
      <c r="H1202" s="14">
        <v>16.8</v>
      </c>
      <c r="I1202" s="14">
        <v>9434.8799999999992</v>
      </c>
      <c r="J1202" s="12" t="s">
        <v>104</v>
      </c>
      <c r="K1202" s="12" t="s">
        <v>105</v>
      </c>
      <c r="L1202" s="23" t="str">
        <f>VLOOKUP(D1202,Products!$A:$F,3,FALSE)</f>
        <v>Sports</v>
      </c>
      <c r="M1202" s="23" t="str">
        <f>VLOOKUP(E1202,Sales_Reps!$A:$E,3,FALSE)</f>
        <v>North</v>
      </c>
      <c r="N1202" s="23" t="str">
        <f t="shared" si="54"/>
        <v>May-24</v>
      </c>
      <c r="O1202" s="23" t="str">
        <f t="shared" si="55"/>
        <v>Q2 2024</v>
      </c>
      <c r="P1202" s="23">
        <f>VLOOKUP(D1202,Products!$A:$F,4,FALSE)</f>
        <v>1860</v>
      </c>
      <c r="Q1202" s="35">
        <f t="shared" si="56"/>
        <v>0.50793650793650791</v>
      </c>
    </row>
    <row r="1203" spans="1:17">
      <c r="A1203" s="12" t="s">
        <v>1705</v>
      </c>
      <c r="B1203" s="13">
        <v>45518</v>
      </c>
      <c r="C1203" s="12" t="s">
        <v>578</v>
      </c>
      <c r="D1203" s="12" t="s">
        <v>204</v>
      </c>
      <c r="E1203" s="12" t="s">
        <v>149</v>
      </c>
      <c r="F1203" s="14">
        <v>7</v>
      </c>
      <c r="G1203" s="14">
        <v>3570</v>
      </c>
      <c r="H1203" s="14">
        <v>23.7</v>
      </c>
      <c r="I1203" s="14">
        <v>19067.37</v>
      </c>
      <c r="J1203" s="12" t="s">
        <v>104</v>
      </c>
      <c r="K1203" s="12" t="s">
        <v>150</v>
      </c>
      <c r="L1203" s="23" t="str">
        <f>VLOOKUP(D1203,Products!$A:$F,3,FALSE)</f>
        <v>Electronics</v>
      </c>
      <c r="M1203" s="23" t="str">
        <f>VLOOKUP(E1203,Sales_Reps!$A:$E,3,FALSE)</f>
        <v>South</v>
      </c>
      <c r="N1203" s="23" t="str">
        <f t="shared" si="54"/>
        <v>Aug-24</v>
      </c>
      <c r="O1203" s="23" t="str">
        <f t="shared" si="55"/>
        <v>Q3 2024</v>
      </c>
      <c r="P1203" s="23">
        <f>VLOOKUP(D1203,Products!$A:$F,4,FALSE)</f>
        <v>1665</v>
      </c>
      <c r="Q1203" s="35">
        <f t="shared" si="56"/>
        <v>0.53361344537815125</v>
      </c>
    </row>
    <row r="1204" spans="1:17">
      <c r="A1204" s="12" t="s">
        <v>1706</v>
      </c>
      <c r="B1204" s="13">
        <v>45559</v>
      </c>
      <c r="C1204" s="12" t="s">
        <v>444</v>
      </c>
      <c r="D1204" s="12" t="s">
        <v>220</v>
      </c>
      <c r="E1204" s="12" t="s">
        <v>290</v>
      </c>
      <c r="F1204" s="14">
        <v>4</v>
      </c>
      <c r="G1204" s="14">
        <v>660</v>
      </c>
      <c r="H1204" s="14">
        <v>3.6</v>
      </c>
      <c r="I1204" s="14">
        <v>2544.96</v>
      </c>
      <c r="J1204" s="12" t="s">
        <v>104</v>
      </c>
      <c r="K1204" s="12" t="s">
        <v>105</v>
      </c>
      <c r="L1204" s="23" t="str">
        <f>VLOOKUP(D1204,Products!$A:$F,3,FALSE)</f>
        <v>Home</v>
      </c>
      <c r="M1204" s="23" t="str">
        <f>VLOOKUP(E1204,Sales_Reps!$A:$E,3,FALSE)</f>
        <v>South</v>
      </c>
      <c r="N1204" s="23" t="str">
        <f t="shared" si="54"/>
        <v>Sep-24</v>
      </c>
      <c r="O1204" s="23" t="str">
        <f t="shared" si="55"/>
        <v>Q3 2024</v>
      </c>
      <c r="P1204" s="23">
        <f>VLOOKUP(D1204,Products!$A:$F,4,FALSE)</f>
        <v>329</v>
      </c>
      <c r="Q1204" s="35">
        <f t="shared" si="56"/>
        <v>0.50151515151515147</v>
      </c>
    </row>
    <row r="1205" spans="1:17">
      <c r="A1205" s="12" t="s">
        <v>1707</v>
      </c>
      <c r="B1205" s="13">
        <v>45501</v>
      </c>
      <c r="C1205" s="12" t="s">
        <v>1068</v>
      </c>
      <c r="D1205" s="12" t="s">
        <v>144</v>
      </c>
      <c r="E1205" s="12" t="s">
        <v>149</v>
      </c>
      <c r="F1205" s="14">
        <v>7</v>
      </c>
      <c r="G1205" s="14">
        <v>970</v>
      </c>
      <c r="H1205" s="14">
        <v>23.7</v>
      </c>
      <c r="I1205" s="14">
        <v>5180.7700000000004</v>
      </c>
      <c r="J1205" s="12" t="s">
        <v>104</v>
      </c>
      <c r="K1205" s="12" t="s">
        <v>129</v>
      </c>
      <c r="L1205" s="23" t="str">
        <f>VLOOKUP(D1205,Products!$A:$F,3,FALSE)</f>
        <v>Grocery</v>
      </c>
      <c r="M1205" s="23" t="str">
        <f>VLOOKUP(E1205,Sales_Reps!$A:$E,3,FALSE)</f>
        <v>South</v>
      </c>
      <c r="N1205" s="23" t="str">
        <f t="shared" si="54"/>
        <v>Jul-24</v>
      </c>
      <c r="O1205" s="23" t="str">
        <f t="shared" si="55"/>
        <v>Q3 2024</v>
      </c>
      <c r="P1205" s="23">
        <f>VLOOKUP(D1205,Products!$A:$F,4,FALSE)</f>
        <v>434</v>
      </c>
      <c r="Q1205" s="35">
        <f t="shared" si="56"/>
        <v>0.5525773195876289</v>
      </c>
    </row>
    <row r="1206" spans="1:17">
      <c r="A1206" s="12" t="s">
        <v>1708</v>
      </c>
      <c r="B1206" s="13">
        <v>45338</v>
      </c>
      <c r="C1206" s="12" t="s">
        <v>885</v>
      </c>
      <c r="D1206" s="12" t="s">
        <v>148</v>
      </c>
      <c r="E1206" s="12" t="s">
        <v>120</v>
      </c>
      <c r="F1206" s="14">
        <v>8</v>
      </c>
      <c r="G1206" s="14">
        <v>2270</v>
      </c>
      <c r="H1206" s="14">
        <v>6.8</v>
      </c>
      <c r="I1206" s="14">
        <v>16925.12</v>
      </c>
      <c r="J1206" s="12" t="s">
        <v>104</v>
      </c>
      <c r="K1206" s="12" t="s">
        <v>116</v>
      </c>
      <c r="L1206" s="23" t="str">
        <f>VLOOKUP(D1206,Products!$A:$F,3,FALSE)</f>
        <v>Grocery</v>
      </c>
      <c r="M1206" s="23" t="str">
        <f>VLOOKUP(E1206,Sales_Reps!$A:$E,3,FALSE)</f>
        <v>North</v>
      </c>
      <c r="N1206" s="23" t="str">
        <f t="shared" si="54"/>
        <v>Feb-24</v>
      </c>
      <c r="O1206" s="23" t="str">
        <f t="shared" si="55"/>
        <v>Q1 2024</v>
      </c>
      <c r="P1206" s="23">
        <f>VLOOKUP(D1206,Products!$A:$F,4,FALSE)</f>
        <v>1203</v>
      </c>
      <c r="Q1206" s="35">
        <f t="shared" si="56"/>
        <v>0.47004405286343615</v>
      </c>
    </row>
    <row r="1207" spans="1:17">
      <c r="A1207" s="12" t="s">
        <v>1709</v>
      </c>
      <c r="B1207" s="13">
        <v>45585</v>
      </c>
      <c r="C1207" s="12" t="s">
        <v>634</v>
      </c>
      <c r="D1207" s="12" t="s">
        <v>168</v>
      </c>
      <c r="E1207" s="12" t="s">
        <v>342</v>
      </c>
      <c r="F1207" s="14">
        <v>1</v>
      </c>
      <c r="G1207" s="14">
        <v>2400</v>
      </c>
      <c r="H1207" s="14">
        <v>26.5</v>
      </c>
      <c r="I1207" s="14">
        <v>1764</v>
      </c>
      <c r="J1207" s="12" t="s">
        <v>104</v>
      </c>
      <c r="K1207" s="12" t="s">
        <v>129</v>
      </c>
      <c r="L1207" s="23" t="str">
        <f>VLOOKUP(D1207,Products!$A:$F,3,FALSE)</f>
        <v>Sports</v>
      </c>
      <c r="M1207" s="23" t="str">
        <f>VLOOKUP(E1207,Sales_Reps!$A:$E,3,FALSE)</f>
        <v>South</v>
      </c>
      <c r="N1207" s="23" t="str">
        <f t="shared" si="54"/>
        <v>Oct-24</v>
      </c>
      <c r="O1207" s="23" t="str">
        <f t="shared" si="55"/>
        <v>Q4 2024</v>
      </c>
      <c r="P1207" s="23">
        <f>VLOOKUP(D1207,Products!$A:$F,4,FALSE)</f>
        <v>974</v>
      </c>
      <c r="Q1207" s="35">
        <f t="shared" si="56"/>
        <v>0.59416666666666662</v>
      </c>
    </row>
    <row r="1208" spans="1:17">
      <c r="A1208" s="12" t="s">
        <v>1710</v>
      </c>
      <c r="B1208" s="13">
        <v>45525</v>
      </c>
      <c r="C1208" s="12" t="s">
        <v>660</v>
      </c>
      <c r="D1208" s="12" t="s">
        <v>460</v>
      </c>
      <c r="E1208" s="12" t="s">
        <v>149</v>
      </c>
      <c r="F1208" s="14">
        <v>5</v>
      </c>
      <c r="G1208" s="14">
        <v>5080</v>
      </c>
      <c r="H1208" s="14">
        <v>29.6</v>
      </c>
      <c r="I1208" s="14">
        <v>17881.599999999999</v>
      </c>
      <c r="J1208" s="12" t="s">
        <v>104</v>
      </c>
      <c r="K1208" s="12" t="s">
        <v>129</v>
      </c>
      <c r="L1208" s="23" t="str">
        <f>VLOOKUP(D1208,Products!$A:$F,3,FALSE)</f>
        <v>Home</v>
      </c>
      <c r="M1208" s="23" t="str">
        <f>VLOOKUP(E1208,Sales_Reps!$A:$E,3,FALSE)</f>
        <v>South</v>
      </c>
      <c r="N1208" s="23" t="str">
        <f t="shared" si="54"/>
        <v>Aug-24</v>
      </c>
      <c r="O1208" s="23" t="str">
        <f t="shared" si="55"/>
        <v>Q3 2024</v>
      </c>
      <c r="P1208" s="23">
        <f>VLOOKUP(D1208,Products!$A:$F,4,FALSE)</f>
        <v>2459</v>
      </c>
      <c r="Q1208" s="35">
        <f t="shared" si="56"/>
        <v>0.51594488188976373</v>
      </c>
    </row>
    <row r="1209" spans="1:17">
      <c r="A1209" s="12" t="s">
        <v>1711</v>
      </c>
      <c r="B1209" s="13">
        <v>45351</v>
      </c>
      <c r="C1209" s="12" t="s">
        <v>327</v>
      </c>
      <c r="D1209" s="12" t="s">
        <v>196</v>
      </c>
      <c r="E1209" s="12" t="s">
        <v>115</v>
      </c>
      <c r="F1209" s="14">
        <v>9</v>
      </c>
      <c r="G1209" s="14">
        <v>3350</v>
      </c>
      <c r="H1209" s="14">
        <v>6.2</v>
      </c>
      <c r="I1209" s="14">
        <v>28280.7</v>
      </c>
      <c r="J1209" s="12" t="s">
        <v>104</v>
      </c>
      <c r="K1209" s="12" t="s">
        <v>134</v>
      </c>
      <c r="L1209" s="23" t="str">
        <f>VLOOKUP(D1209,Products!$A:$F,3,FALSE)</f>
        <v>Beauty</v>
      </c>
      <c r="M1209" s="23" t="str">
        <f>VLOOKUP(E1209,Sales_Reps!$A:$E,3,FALSE)</f>
        <v>South</v>
      </c>
      <c r="N1209" s="23" t="str">
        <f t="shared" si="54"/>
        <v>Feb-24</v>
      </c>
      <c r="O1209" s="23" t="str">
        <f t="shared" si="55"/>
        <v>Q1 2024</v>
      </c>
      <c r="P1209" s="23">
        <f>VLOOKUP(D1209,Products!$A:$F,4,FALSE)</f>
        <v>1728</v>
      </c>
      <c r="Q1209" s="35">
        <f t="shared" si="56"/>
        <v>0.48417910447761192</v>
      </c>
    </row>
    <row r="1210" spans="1:17">
      <c r="A1210" s="12" t="s">
        <v>1712</v>
      </c>
      <c r="B1210" s="13">
        <v>45560</v>
      </c>
      <c r="C1210" s="12" t="s">
        <v>812</v>
      </c>
      <c r="D1210" s="12" t="s">
        <v>276</v>
      </c>
      <c r="E1210" s="12" t="s">
        <v>232</v>
      </c>
      <c r="F1210" s="14">
        <v>4</v>
      </c>
      <c r="G1210" s="14">
        <v>1540</v>
      </c>
      <c r="H1210" s="14">
        <v>22.2</v>
      </c>
      <c r="I1210" s="14">
        <v>4792.4799999999996</v>
      </c>
      <c r="J1210" s="12" t="s">
        <v>104</v>
      </c>
      <c r="K1210" s="12" t="s">
        <v>111</v>
      </c>
      <c r="L1210" s="23" t="str">
        <f>VLOOKUP(D1210,Products!$A:$F,3,FALSE)</f>
        <v>Beauty</v>
      </c>
      <c r="M1210" s="23" t="str">
        <f>VLOOKUP(E1210,Sales_Reps!$A:$E,3,FALSE)</f>
        <v>North</v>
      </c>
      <c r="N1210" s="23" t="str">
        <f t="shared" si="54"/>
        <v>Sep-24</v>
      </c>
      <c r="O1210" s="23" t="str">
        <f t="shared" si="55"/>
        <v>Q3 2024</v>
      </c>
      <c r="P1210" s="23">
        <f>VLOOKUP(D1210,Products!$A:$F,4,FALSE)</f>
        <v>647</v>
      </c>
      <c r="Q1210" s="35">
        <f t="shared" si="56"/>
        <v>0.57987012987012987</v>
      </c>
    </row>
    <row r="1211" spans="1:17">
      <c r="A1211" s="12" t="s">
        <v>1713</v>
      </c>
      <c r="B1211" s="13">
        <v>45431</v>
      </c>
      <c r="C1211" s="12" t="s">
        <v>574</v>
      </c>
      <c r="D1211" s="12" t="s">
        <v>460</v>
      </c>
      <c r="E1211" s="12" t="s">
        <v>314</v>
      </c>
      <c r="F1211" s="14">
        <v>10</v>
      </c>
      <c r="G1211" s="14">
        <v>5080</v>
      </c>
      <c r="H1211" s="14">
        <v>11.8</v>
      </c>
      <c r="I1211" s="14">
        <v>44805.599999999999</v>
      </c>
      <c r="J1211" s="12" t="s">
        <v>104</v>
      </c>
      <c r="K1211" s="12" t="s">
        <v>129</v>
      </c>
      <c r="L1211" s="23" t="str">
        <f>VLOOKUP(D1211,Products!$A:$F,3,FALSE)</f>
        <v>Home</v>
      </c>
      <c r="M1211" s="23" t="str">
        <f>VLOOKUP(E1211,Sales_Reps!$A:$E,3,FALSE)</f>
        <v>North</v>
      </c>
      <c r="N1211" s="23" t="str">
        <f t="shared" si="54"/>
        <v>May-24</v>
      </c>
      <c r="O1211" s="23" t="str">
        <f t="shared" si="55"/>
        <v>Q2 2024</v>
      </c>
      <c r="P1211" s="23">
        <f>VLOOKUP(D1211,Products!$A:$F,4,FALSE)</f>
        <v>2459</v>
      </c>
      <c r="Q1211" s="35">
        <f t="shared" si="56"/>
        <v>0.51594488188976373</v>
      </c>
    </row>
    <row r="1212" spans="1:17">
      <c r="A1212" s="12" t="s">
        <v>1714</v>
      </c>
      <c r="B1212" s="13">
        <v>45296</v>
      </c>
      <c r="C1212" s="12" t="s">
        <v>973</v>
      </c>
      <c r="D1212" s="12" t="s">
        <v>676</v>
      </c>
      <c r="E1212" s="12" t="s">
        <v>342</v>
      </c>
      <c r="F1212" s="14">
        <v>9</v>
      </c>
      <c r="G1212" s="14">
        <v>3560</v>
      </c>
      <c r="H1212" s="14">
        <v>15.9</v>
      </c>
      <c r="I1212" s="14">
        <v>26945.64</v>
      </c>
      <c r="J1212" s="12" t="s">
        <v>104</v>
      </c>
      <c r="K1212" s="12" t="s">
        <v>129</v>
      </c>
      <c r="L1212" s="23" t="str">
        <f>VLOOKUP(D1212,Products!$A:$F,3,FALSE)</f>
        <v>Apparel</v>
      </c>
      <c r="M1212" s="23" t="str">
        <f>VLOOKUP(E1212,Sales_Reps!$A:$E,3,FALSE)</f>
        <v>South</v>
      </c>
      <c r="N1212" s="23" t="str">
        <f t="shared" si="54"/>
        <v>Jan-24</v>
      </c>
      <c r="O1212" s="23" t="str">
        <f t="shared" si="55"/>
        <v>Q1 2024</v>
      </c>
      <c r="P1212" s="23">
        <f>VLOOKUP(D1212,Products!$A:$F,4,FALSE)</f>
        <v>2629</v>
      </c>
      <c r="Q1212" s="35">
        <f t="shared" si="56"/>
        <v>0.26151685393258428</v>
      </c>
    </row>
    <row r="1213" spans="1:17">
      <c r="A1213" s="12" t="s">
        <v>1715</v>
      </c>
      <c r="B1213" s="13">
        <v>45629</v>
      </c>
      <c r="C1213" s="12" t="s">
        <v>1017</v>
      </c>
      <c r="D1213" s="12" t="s">
        <v>181</v>
      </c>
      <c r="E1213" s="12" t="s">
        <v>221</v>
      </c>
      <c r="F1213" s="14">
        <v>2</v>
      </c>
      <c r="G1213" s="14">
        <v>1080</v>
      </c>
      <c r="H1213" s="14">
        <v>21.1</v>
      </c>
      <c r="I1213" s="14">
        <v>1704.24</v>
      </c>
      <c r="J1213" s="12" t="s">
        <v>104</v>
      </c>
      <c r="K1213" s="12" t="s">
        <v>134</v>
      </c>
      <c r="L1213" s="23" t="str">
        <f>VLOOKUP(D1213,Products!$A:$F,3,FALSE)</f>
        <v>Home</v>
      </c>
      <c r="M1213" s="23" t="str">
        <f>VLOOKUP(E1213,Sales_Reps!$A:$E,3,FALSE)</f>
        <v>South</v>
      </c>
      <c r="N1213" s="23" t="str">
        <f t="shared" si="54"/>
        <v>Dec-24</v>
      </c>
      <c r="O1213" s="23" t="str">
        <f t="shared" si="55"/>
        <v>Q4 2024</v>
      </c>
      <c r="P1213" s="23">
        <f>VLOOKUP(D1213,Products!$A:$F,4,FALSE)</f>
        <v>519</v>
      </c>
      <c r="Q1213" s="35">
        <f t="shared" si="56"/>
        <v>0.51944444444444449</v>
      </c>
    </row>
    <row r="1214" spans="1:17">
      <c r="A1214" s="12" t="s">
        <v>1716</v>
      </c>
      <c r="B1214" s="13">
        <v>45310</v>
      </c>
      <c r="C1214" s="12" t="s">
        <v>409</v>
      </c>
      <c r="D1214" s="12" t="s">
        <v>384</v>
      </c>
      <c r="E1214" s="12" t="s">
        <v>320</v>
      </c>
      <c r="F1214" s="14">
        <v>5</v>
      </c>
      <c r="G1214" s="14">
        <v>2380</v>
      </c>
      <c r="H1214" s="14">
        <v>20.5</v>
      </c>
      <c r="I1214" s="14">
        <v>9460.5</v>
      </c>
      <c r="J1214" s="12" t="s">
        <v>104</v>
      </c>
      <c r="K1214" s="12" t="s">
        <v>129</v>
      </c>
      <c r="L1214" s="23" t="str">
        <f>VLOOKUP(D1214,Products!$A:$F,3,FALSE)</f>
        <v>Grocery</v>
      </c>
      <c r="M1214" s="23" t="str">
        <f>VLOOKUP(E1214,Sales_Reps!$A:$E,3,FALSE)</f>
        <v>East</v>
      </c>
      <c r="N1214" s="23" t="str">
        <f t="shared" si="54"/>
        <v>Jan-24</v>
      </c>
      <c r="O1214" s="23" t="str">
        <f t="shared" si="55"/>
        <v>Q1 2024</v>
      </c>
      <c r="P1214" s="23">
        <f>VLOOKUP(D1214,Products!$A:$F,4,FALSE)</f>
        <v>1182</v>
      </c>
      <c r="Q1214" s="35">
        <f t="shared" si="56"/>
        <v>0.50336134453781511</v>
      </c>
    </row>
    <row r="1215" spans="1:17">
      <c r="A1215" s="12" t="s">
        <v>1717</v>
      </c>
      <c r="B1215" s="13">
        <v>45498</v>
      </c>
      <c r="C1215" s="12" t="s">
        <v>335</v>
      </c>
      <c r="D1215" s="12" t="s">
        <v>184</v>
      </c>
      <c r="E1215" s="12" t="s">
        <v>128</v>
      </c>
      <c r="F1215" s="14">
        <v>9</v>
      </c>
      <c r="G1215" s="14">
        <v>2480</v>
      </c>
      <c r="H1215" s="14">
        <v>1.2</v>
      </c>
      <c r="I1215" s="14">
        <v>22052.16</v>
      </c>
      <c r="J1215" s="12" t="s">
        <v>104</v>
      </c>
      <c r="K1215" s="12" t="s">
        <v>111</v>
      </c>
      <c r="L1215" s="23" t="str">
        <f>VLOOKUP(D1215,Products!$A:$F,3,FALSE)</f>
        <v>Apparel</v>
      </c>
      <c r="M1215" s="23" t="str">
        <f>VLOOKUP(E1215,Sales_Reps!$A:$E,3,FALSE)</f>
        <v>West</v>
      </c>
      <c r="N1215" s="23" t="str">
        <f t="shared" si="54"/>
        <v>Jul-24</v>
      </c>
      <c r="O1215" s="23" t="str">
        <f t="shared" si="55"/>
        <v>Q3 2024</v>
      </c>
      <c r="P1215" s="23">
        <f>VLOOKUP(D1215,Products!$A:$F,4,FALSE)</f>
        <v>1173</v>
      </c>
      <c r="Q1215" s="35">
        <f t="shared" si="56"/>
        <v>0.52701612903225803</v>
      </c>
    </row>
    <row r="1216" spans="1:17">
      <c r="A1216" s="12" t="s">
        <v>1718</v>
      </c>
      <c r="B1216" s="13">
        <v>45348</v>
      </c>
      <c r="C1216" s="12" t="s">
        <v>758</v>
      </c>
      <c r="D1216" s="12" t="s">
        <v>403</v>
      </c>
      <c r="E1216" s="12" t="s">
        <v>342</v>
      </c>
      <c r="F1216" s="14">
        <v>9</v>
      </c>
      <c r="G1216" s="14">
        <v>2290</v>
      </c>
      <c r="H1216" s="14">
        <v>0.9</v>
      </c>
      <c r="I1216" s="14">
        <v>20424.509999999998</v>
      </c>
      <c r="J1216" s="12" t="s">
        <v>104</v>
      </c>
      <c r="K1216" s="12" t="s">
        <v>150</v>
      </c>
      <c r="L1216" s="23" t="str">
        <f>VLOOKUP(D1216,Products!$A:$F,3,FALSE)</f>
        <v>Beauty</v>
      </c>
      <c r="M1216" s="23" t="str">
        <f>VLOOKUP(E1216,Sales_Reps!$A:$E,3,FALSE)</f>
        <v>South</v>
      </c>
      <c r="N1216" s="23" t="str">
        <f t="shared" si="54"/>
        <v>Feb-24</v>
      </c>
      <c r="O1216" s="23" t="str">
        <f t="shared" si="55"/>
        <v>Q1 2024</v>
      </c>
      <c r="P1216" s="23">
        <f>VLOOKUP(D1216,Products!$A:$F,4,FALSE)</f>
        <v>1219</v>
      </c>
      <c r="Q1216" s="35">
        <f t="shared" si="56"/>
        <v>0.46768558951965067</v>
      </c>
    </row>
    <row r="1217" spans="1:17">
      <c r="A1217" s="12" t="s">
        <v>1719</v>
      </c>
      <c r="B1217" s="13">
        <v>45382</v>
      </c>
      <c r="C1217" s="12" t="s">
        <v>545</v>
      </c>
      <c r="D1217" s="12" t="s">
        <v>469</v>
      </c>
      <c r="E1217" s="12" t="s">
        <v>290</v>
      </c>
      <c r="F1217" s="14">
        <v>3</v>
      </c>
      <c r="G1217" s="14">
        <v>3450</v>
      </c>
      <c r="H1217" s="14">
        <v>29.5</v>
      </c>
      <c r="I1217" s="14">
        <v>7296.75</v>
      </c>
      <c r="J1217" s="12" t="s">
        <v>104</v>
      </c>
      <c r="K1217" s="12" t="s">
        <v>129</v>
      </c>
      <c r="L1217" s="23" t="str">
        <f>VLOOKUP(D1217,Products!$A:$F,3,FALSE)</f>
        <v>Apparel</v>
      </c>
      <c r="M1217" s="23" t="str">
        <f>VLOOKUP(E1217,Sales_Reps!$A:$E,3,FALSE)</f>
        <v>South</v>
      </c>
      <c r="N1217" s="23" t="str">
        <f t="shared" si="54"/>
        <v>Mar-24</v>
      </c>
      <c r="O1217" s="23" t="str">
        <f t="shared" si="55"/>
        <v>Q1 2024</v>
      </c>
      <c r="P1217" s="23">
        <f>VLOOKUP(D1217,Products!$A:$F,4,FALSE)</f>
        <v>1748</v>
      </c>
      <c r="Q1217" s="35">
        <f t="shared" si="56"/>
        <v>0.49333333333333335</v>
      </c>
    </row>
    <row r="1218" spans="1:17">
      <c r="A1218" s="12" t="s">
        <v>1720</v>
      </c>
      <c r="B1218" s="13">
        <v>45569</v>
      </c>
      <c r="C1218" s="12" t="s">
        <v>154</v>
      </c>
      <c r="D1218" s="12" t="s">
        <v>174</v>
      </c>
      <c r="E1218" s="12" t="s">
        <v>133</v>
      </c>
      <c r="F1218" s="14">
        <v>9</v>
      </c>
      <c r="G1218" s="14">
        <v>3450</v>
      </c>
      <c r="H1218" s="14">
        <v>19.399999999999999</v>
      </c>
      <c r="I1218" s="14">
        <v>25026.3</v>
      </c>
      <c r="J1218" s="12" t="s">
        <v>104</v>
      </c>
      <c r="K1218" s="12" t="s">
        <v>116</v>
      </c>
      <c r="L1218" s="23" t="str">
        <f>VLOOKUP(D1218,Products!$A:$F,3,FALSE)</f>
        <v>Beauty</v>
      </c>
      <c r="M1218" s="23" t="str">
        <f>VLOOKUP(E1218,Sales_Reps!$A:$E,3,FALSE)</f>
        <v>West</v>
      </c>
      <c r="N1218" s="23" t="str">
        <f t="shared" si="54"/>
        <v>Oct-24</v>
      </c>
      <c r="O1218" s="23" t="str">
        <f t="shared" si="55"/>
        <v>Q4 2024</v>
      </c>
      <c r="P1218" s="23">
        <f>VLOOKUP(D1218,Products!$A:$F,4,FALSE)</f>
        <v>2420</v>
      </c>
      <c r="Q1218" s="35">
        <f t="shared" si="56"/>
        <v>0.29855072463768118</v>
      </c>
    </row>
    <row r="1219" spans="1:17">
      <c r="A1219" s="12" t="s">
        <v>1721</v>
      </c>
      <c r="B1219" s="13">
        <v>45516</v>
      </c>
      <c r="C1219" s="12" t="s">
        <v>348</v>
      </c>
      <c r="D1219" s="12" t="s">
        <v>155</v>
      </c>
      <c r="E1219" s="12" t="s">
        <v>187</v>
      </c>
      <c r="F1219" s="14">
        <v>2</v>
      </c>
      <c r="G1219" s="14">
        <v>2600</v>
      </c>
      <c r="H1219" s="14">
        <v>20.2</v>
      </c>
      <c r="I1219" s="14">
        <v>4149.6000000000004</v>
      </c>
      <c r="J1219" s="12" t="s">
        <v>157</v>
      </c>
      <c r="K1219" s="12" t="s">
        <v>134</v>
      </c>
      <c r="L1219" s="23" t="str">
        <f>VLOOKUP(D1219,Products!$A:$F,3,FALSE)</f>
        <v>Electronics</v>
      </c>
      <c r="M1219" s="23" t="str">
        <f>VLOOKUP(E1219,Sales_Reps!$A:$E,3,FALSE)</f>
        <v>West</v>
      </c>
      <c r="N1219" s="23" t="str">
        <f t="shared" ref="N1219:N1282" si="57">TEXT(B1219, "mmm-yy")</f>
        <v>Aug-24</v>
      </c>
      <c r="O1219" s="23" t="str">
        <f t="shared" ref="O1219:O1282" si="58">"Q" &amp; INT((MONTH(B1219)-1)/3)+1 &amp; " " &amp; YEAR(B1219)</f>
        <v>Q3 2024</v>
      </c>
      <c r="P1219" s="23">
        <f>VLOOKUP(D1219,Products!$A:$F,4,FALSE)</f>
        <v>1052</v>
      </c>
      <c r="Q1219" s="35">
        <f t="shared" ref="Q1219:Q1282" si="59">(G1219 - P1219) / G1219</f>
        <v>0.5953846153846154</v>
      </c>
    </row>
    <row r="1220" spans="1:17">
      <c r="A1220" s="12" t="s">
        <v>1722</v>
      </c>
      <c r="B1220" s="13">
        <v>45519</v>
      </c>
      <c r="C1220" s="12" t="s">
        <v>1033</v>
      </c>
      <c r="D1220" s="12" t="s">
        <v>217</v>
      </c>
      <c r="E1220" s="12" t="s">
        <v>128</v>
      </c>
      <c r="F1220" s="14">
        <v>1</v>
      </c>
      <c r="G1220" s="14">
        <v>2760</v>
      </c>
      <c r="H1220" s="14">
        <v>9.5</v>
      </c>
      <c r="I1220" s="14">
        <v>2497.8000000000002</v>
      </c>
      <c r="J1220" s="12" t="s">
        <v>104</v>
      </c>
      <c r="K1220" s="12" t="s">
        <v>134</v>
      </c>
      <c r="L1220" s="23" t="str">
        <f>VLOOKUP(D1220,Products!$A:$F,3,FALSE)</f>
        <v>Grocery</v>
      </c>
      <c r="M1220" s="23" t="str">
        <f>VLOOKUP(E1220,Sales_Reps!$A:$E,3,FALSE)</f>
        <v>West</v>
      </c>
      <c r="N1220" s="23" t="str">
        <f t="shared" si="57"/>
        <v>Aug-24</v>
      </c>
      <c r="O1220" s="23" t="str">
        <f t="shared" si="58"/>
        <v>Q3 2024</v>
      </c>
      <c r="P1220" s="23">
        <f>VLOOKUP(D1220,Products!$A:$F,4,FALSE)</f>
        <v>1435</v>
      </c>
      <c r="Q1220" s="35">
        <f t="shared" si="59"/>
        <v>0.48007246376811596</v>
      </c>
    </row>
    <row r="1221" spans="1:17">
      <c r="A1221" s="12" t="s">
        <v>1723</v>
      </c>
      <c r="B1221" s="13">
        <v>45593</v>
      </c>
      <c r="C1221" s="12" t="s">
        <v>616</v>
      </c>
      <c r="D1221" s="12" t="s">
        <v>287</v>
      </c>
      <c r="E1221" s="12" t="s">
        <v>165</v>
      </c>
      <c r="F1221" s="14">
        <v>4</v>
      </c>
      <c r="G1221" s="14">
        <v>4610</v>
      </c>
      <c r="H1221" s="14">
        <v>14.8</v>
      </c>
      <c r="I1221" s="14">
        <v>15710.88</v>
      </c>
      <c r="J1221" s="12" t="s">
        <v>104</v>
      </c>
      <c r="K1221" s="12" t="s">
        <v>134</v>
      </c>
      <c r="L1221" s="23" t="str">
        <f>VLOOKUP(D1221,Products!$A:$F,3,FALSE)</f>
        <v>Home</v>
      </c>
      <c r="M1221" s="23" t="str">
        <f>VLOOKUP(E1221,Sales_Reps!$A:$E,3,FALSE)</f>
        <v>North</v>
      </c>
      <c r="N1221" s="23" t="str">
        <f t="shared" si="57"/>
        <v>Oct-24</v>
      </c>
      <c r="O1221" s="23" t="str">
        <f t="shared" si="58"/>
        <v>Q4 2024</v>
      </c>
      <c r="P1221" s="23">
        <f>VLOOKUP(D1221,Products!$A:$F,4,FALSE)</f>
        <v>1850</v>
      </c>
      <c r="Q1221" s="35">
        <f t="shared" si="59"/>
        <v>0.59869848156182215</v>
      </c>
    </row>
    <row r="1222" spans="1:17">
      <c r="A1222" s="12" t="s">
        <v>1724</v>
      </c>
      <c r="B1222" s="13">
        <v>45532</v>
      </c>
      <c r="C1222" s="12" t="s">
        <v>147</v>
      </c>
      <c r="D1222" s="12" t="s">
        <v>184</v>
      </c>
      <c r="E1222" s="12" t="s">
        <v>133</v>
      </c>
      <c r="F1222" s="14">
        <v>3</v>
      </c>
      <c r="G1222" s="14">
        <v>2480</v>
      </c>
      <c r="H1222" s="14">
        <v>3.7</v>
      </c>
      <c r="I1222" s="14">
        <v>7164.72</v>
      </c>
      <c r="J1222" s="12" t="s">
        <v>104</v>
      </c>
      <c r="K1222" s="12" t="s">
        <v>150</v>
      </c>
      <c r="L1222" s="23" t="str">
        <f>VLOOKUP(D1222,Products!$A:$F,3,FALSE)</f>
        <v>Apparel</v>
      </c>
      <c r="M1222" s="23" t="str">
        <f>VLOOKUP(E1222,Sales_Reps!$A:$E,3,FALSE)</f>
        <v>West</v>
      </c>
      <c r="N1222" s="23" t="str">
        <f t="shared" si="57"/>
        <v>Aug-24</v>
      </c>
      <c r="O1222" s="23" t="str">
        <f t="shared" si="58"/>
        <v>Q3 2024</v>
      </c>
      <c r="P1222" s="23">
        <f>VLOOKUP(D1222,Products!$A:$F,4,FALSE)</f>
        <v>1173</v>
      </c>
      <c r="Q1222" s="35">
        <f t="shared" si="59"/>
        <v>0.52701612903225803</v>
      </c>
    </row>
    <row r="1223" spans="1:17">
      <c r="A1223" s="12" t="s">
        <v>1725</v>
      </c>
      <c r="B1223" s="13">
        <v>45610</v>
      </c>
      <c r="C1223" s="12" t="s">
        <v>758</v>
      </c>
      <c r="D1223" s="12" t="s">
        <v>532</v>
      </c>
      <c r="E1223" s="12" t="s">
        <v>290</v>
      </c>
      <c r="F1223" s="14">
        <v>5</v>
      </c>
      <c r="G1223" s="14">
        <v>6940</v>
      </c>
      <c r="H1223" s="14">
        <v>0.3</v>
      </c>
      <c r="I1223" s="14">
        <v>34595.9</v>
      </c>
      <c r="J1223" s="12" t="s">
        <v>104</v>
      </c>
      <c r="K1223" s="12" t="s">
        <v>150</v>
      </c>
      <c r="L1223" s="23" t="str">
        <f>VLOOKUP(D1223,Products!$A:$F,3,FALSE)</f>
        <v>Sports</v>
      </c>
      <c r="M1223" s="23" t="str">
        <f>VLOOKUP(E1223,Sales_Reps!$A:$E,3,FALSE)</f>
        <v>South</v>
      </c>
      <c r="N1223" s="23" t="str">
        <f t="shared" si="57"/>
        <v>Nov-24</v>
      </c>
      <c r="O1223" s="23" t="str">
        <f t="shared" si="58"/>
        <v>Q4 2024</v>
      </c>
      <c r="P1223" s="23">
        <f>VLOOKUP(D1223,Products!$A:$F,4,FALSE)</f>
        <v>2827</v>
      </c>
      <c r="Q1223" s="35">
        <f t="shared" si="59"/>
        <v>0.5926512968299712</v>
      </c>
    </row>
    <row r="1224" spans="1:17">
      <c r="A1224" s="12" t="s">
        <v>1726</v>
      </c>
      <c r="B1224" s="13">
        <v>45560</v>
      </c>
      <c r="C1224" s="12" t="s">
        <v>550</v>
      </c>
      <c r="D1224" s="12" t="s">
        <v>262</v>
      </c>
      <c r="E1224" s="12" t="s">
        <v>171</v>
      </c>
      <c r="F1224" s="14">
        <v>8</v>
      </c>
      <c r="G1224" s="14">
        <v>2270</v>
      </c>
      <c r="H1224" s="14">
        <v>15.6</v>
      </c>
      <c r="I1224" s="14">
        <v>15327.04</v>
      </c>
      <c r="J1224" s="12" t="s">
        <v>110</v>
      </c>
      <c r="K1224" s="12" t="s">
        <v>116</v>
      </c>
      <c r="L1224" s="23" t="str">
        <f>VLOOKUP(D1224,Products!$A:$F,3,FALSE)</f>
        <v>Grocery</v>
      </c>
      <c r="M1224" s="23" t="str">
        <f>VLOOKUP(E1224,Sales_Reps!$A:$E,3,FALSE)</f>
        <v>East</v>
      </c>
      <c r="N1224" s="23" t="str">
        <f t="shared" si="57"/>
        <v>Sep-24</v>
      </c>
      <c r="O1224" s="23" t="str">
        <f t="shared" si="58"/>
        <v>Q3 2024</v>
      </c>
      <c r="P1224" s="23">
        <f>VLOOKUP(D1224,Products!$A:$F,4,FALSE)</f>
        <v>1412</v>
      </c>
      <c r="Q1224" s="35">
        <f t="shared" si="59"/>
        <v>0.37797356828193834</v>
      </c>
    </row>
    <row r="1225" spans="1:17">
      <c r="A1225" s="12" t="s">
        <v>1727</v>
      </c>
      <c r="B1225" s="13">
        <v>45431</v>
      </c>
      <c r="C1225" s="12" t="s">
        <v>1000</v>
      </c>
      <c r="D1225" s="12" t="s">
        <v>208</v>
      </c>
      <c r="E1225" s="12" t="s">
        <v>187</v>
      </c>
      <c r="F1225" s="14">
        <v>5</v>
      </c>
      <c r="G1225" s="14">
        <v>5100</v>
      </c>
      <c r="H1225" s="14">
        <v>9.5</v>
      </c>
      <c r="I1225" s="14">
        <v>23077.5</v>
      </c>
      <c r="J1225" s="12" t="s">
        <v>104</v>
      </c>
      <c r="K1225" s="12" t="s">
        <v>134</v>
      </c>
      <c r="L1225" s="23" t="str">
        <f>VLOOKUP(D1225,Products!$A:$F,3,FALSE)</f>
        <v>Beauty</v>
      </c>
      <c r="M1225" s="23" t="str">
        <f>VLOOKUP(E1225,Sales_Reps!$A:$E,3,FALSE)</f>
        <v>West</v>
      </c>
      <c r="N1225" s="23" t="str">
        <f t="shared" si="57"/>
        <v>May-24</v>
      </c>
      <c r="O1225" s="23" t="str">
        <f t="shared" si="58"/>
        <v>Q2 2024</v>
      </c>
      <c r="P1225" s="23">
        <f>VLOOKUP(D1225,Products!$A:$F,4,FALSE)</f>
        <v>2237</v>
      </c>
      <c r="Q1225" s="35">
        <f t="shared" si="59"/>
        <v>0.56137254901960787</v>
      </c>
    </row>
    <row r="1226" spans="1:17">
      <c r="A1226" s="12" t="s">
        <v>1728</v>
      </c>
      <c r="B1226" s="13">
        <v>45594</v>
      </c>
      <c r="C1226" s="12" t="s">
        <v>311</v>
      </c>
      <c r="D1226" s="12" t="s">
        <v>160</v>
      </c>
      <c r="E1226" s="12" t="s">
        <v>290</v>
      </c>
      <c r="F1226" s="14">
        <v>5</v>
      </c>
      <c r="G1226" s="14">
        <v>3250</v>
      </c>
      <c r="H1226" s="14">
        <v>8.1</v>
      </c>
      <c r="I1226" s="14">
        <v>14933.75</v>
      </c>
      <c r="J1226" s="12" t="s">
        <v>104</v>
      </c>
      <c r="K1226" s="12" t="s">
        <v>150</v>
      </c>
      <c r="L1226" s="23" t="str">
        <f>VLOOKUP(D1226,Products!$A:$F,3,FALSE)</f>
        <v>Home</v>
      </c>
      <c r="M1226" s="23" t="str">
        <f>VLOOKUP(E1226,Sales_Reps!$A:$E,3,FALSE)</f>
        <v>South</v>
      </c>
      <c r="N1226" s="23" t="str">
        <f t="shared" si="57"/>
        <v>Oct-24</v>
      </c>
      <c r="O1226" s="23" t="str">
        <f t="shared" si="58"/>
        <v>Q4 2024</v>
      </c>
      <c r="P1226" s="23">
        <f>VLOOKUP(D1226,Products!$A:$F,4,FALSE)</f>
        <v>1556</v>
      </c>
      <c r="Q1226" s="35">
        <f t="shared" si="59"/>
        <v>0.52123076923076928</v>
      </c>
    </row>
    <row r="1227" spans="1:17">
      <c r="A1227" s="12" t="s">
        <v>1729</v>
      </c>
      <c r="B1227" s="13">
        <v>45609</v>
      </c>
      <c r="C1227" s="12" t="s">
        <v>420</v>
      </c>
      <c r="D1227" s="12" t="s">
        <v>425</v>
      </c>
      <c r="E1227" s="12" t="s">
        <v>165</v>
      </c>
      <c r="F1227" s="14">
        <v>6</v>
      </c>
      <c r="G1227" s="14">
        <v>3970</v>
      </c>
      <c r="H1227" s="14">
        <v>18.8</v>
      </c>
      <c r="I1227" s="14">
        <v>19341.84</v>
      </c>
      <c r="J1227" s="12" t="s">
        <v>110</v>
      </c>
      <c r="K1227" s="12" t="s">
        <v>134</v>
      </c>
      <c r="L1227" s="23" t="str">
        <f>VLOOKUP(D1227,Products!$A:$F,3,FALSE)</f>
        <v>Electronics</v>
      </c>
      <c r="M1227" s="23" t="str">
        <f>VLOOKUP(E1227,Sales_Reps!$A:$E,3,FALSE)</f>
        <v>North</v>
      </c>
      <c r="N1227" s="23" t="str">
        <f t="shared" si="57"/>
        <v>Nov-24</v>
      </c>
      <c r="O1227" s="23" t="str">
        <f t="shared" si="58"/>
        <v>Q4 2024</v>
      </c>
      <c r="P1227" s="23">
        <f>VLOOKUP(D1227,Products!$A:$F,4,FALSE)</f>
        <v>2865</v>
      </c>
      <c r="Q1227" s="35">
        <f t="shared" si="59"/>
        <v>0.27833753148614609</v>
      </c>
    </row>
    <row r="1228" spans="1:17">
      <c r="A1228" s="12" t="s">
        <v>1730</v>
      </c>
      <c r="B1228" s="13">
        <v>45546</v>
      </c>
      <c r="C1228" s="12" t="s">
        <v>499</v>
      </c>
      <c r="D1228" s="12" t="s">
        <v>381</v>
      </c>
      <c r="E1228" s="12" t="s">
        <v>128</v>
      </c>
      <c r="F1228" s="14">
        <v>4</v>
      </c>
      <c r="G1228" s="14">
        <v>5330</v>
      </c>
      <c r="H1228" s="14">
        <v>19.7</v>
      </c>
      <c r="I1228" s="14">
        <v>17119.96</v>
      </c>
      <c r="J1228" s="12" t="s">
        <v>104</v>
      </c>
      <c r="K1228" s="12" t="s">
        <v>150</v>
      </c>
      <c r="L1228" s="23" t="str">
        <f>VLOOKUP(D1228,Products!$A:$F,3,FALSE)</f>
        <v>Electronics</v>
      </c>
      <c r="M1228" s="23" t="str">
        <f>VLOOKUP(E1228,Sales_Reps!$A:$E,3,FALSE)</f>
        <v>West</v>
      </c>
      <c r="N1228" s="23" t="str">
        <f t="shared" si="57"/>
        <v>Sep-24</v>
      </c>
      <c r="O1228" s="23" t="str">
        <f t="shared" si="58"/>
        <v>Q3 2024</v>
      </c>
      <c r="P1228" s="23">
        <f>VLOOKUP(D1228,Products!$A:$F,4,FALSE)</f>
        <v>2405</v>
      </c>
      <c r="Q1228" s="35">
        <f t="shared" si="59"/>
        <v>0.54878048780487809</v>
      </c>
    </row>
    <row r="1229" spans="1:17">
      <c r="A1229" s="12" t="s">
        <v>1731</v>
      </c>
      <c r="B1229" s="13">
        <v>45607</v>
      </c>
      <c r="C1229" s="12" t="s">
        <v>327</v>
      </c>
      <c r="D1229" s="12" t="s">
        <v>296</v>
      </c>
      <c r="E1229" s="12" t="s">
        <v>156</v>
      </c>
      <c r="F1229" s="14">
        <v>7</v>
      </c>
      <c r="G1229" s="14">
        <v>2660</v>
      </c>
      <c r="H1229" s="14">
        <v>8.5</v>
      </c>
      <c r="I1229" s="14">
        <v>17037.3</v>
      </c>
      <c r="J1229" s="12" t="s">
        <v>104</v>
      </c>
      <c r="K1229" s="12" t="s">
        <v>134</v>
      </c>
      <c r="L1229" s="23" t="str">
        <f>VLOOKUP(D1229,Products!$A:$F,3,FALSE)</f>
        <v>Electronics</v>
      </c>
      <c r="M1229" s="23" t="str">
        <f>VLOOKUP(E1229,Sales_Reps!$A:$E,3,FALSE)</f>
        <v>North</v>
      </c>
      <c r="N1229" s="23" t="str">
        <f t="shared" si="57"/>
        <v>Nov-24</v>
      </c>
      <c r="O1229" s="23" t="str">
        <f t="shared" si="58"/>
        <v>Q4 2024</v>
      </c>
      <c r="P1229" s="23">
        <f>VLOOKUP(D1229,Products!$A:$F,4,FALSE)</f>
        <v>1259</v>
      </c>
      <c r="Q1229" s="35">
        <f t="shared" si="59"/>
        <v>0.52669172932330832</v>
      </c>
    </row>
    <row r="1230" spans="1:17">
      <c r="A1230" s="12" t="s">
        <v>1732</v>
      </c>
      <c r="B1230" s="13">
        <v>45422</v>
      </c>
      <c r="C1230" s="12" t="s">
        <v>107</v>
      </c>
      <c r="D1230" s="12" t="s">
        <v>123</v>
      </c>
      <c r="E1230" s="12" t="s">
        <v>246</v>
      </c>
      <c r="F1230" s="14">
        <v>5</v>
      </c>
      <c r="G1230" s="14">
        <v>3160</v>
      </c>
      <c r="H1230" s="14">
        <v>13.4</v>
      </c>
      <c r="I1230" s="14">
        <v>13682.8</v>
      </c>
      <c r="J1230" s="12" t="s">
        <v>110</v>
      </c>
      <c r="K1230" s="12" t="s">
        <v>111</v>
      </c>
      <c r="L1230" s="23" t="str">
        <f>VLOOKUP(D1230,Products!$A:$F,3,FALSE)</f>
        <v>Apparel</v>
      </c>
      <c r="M1230" s="23" t="str">
        <f>VLOOKUP(E1230,Sales_Reps!$A:$E,3,FALSE)</f>
        <v>West</v>
      </c>
      <c r="N1230" s="23" t="str">
        <f t="shared" si="57"/>
        <v>May-24</v>
      </c>
      <c r="O1230" s="23" t="str">
        <f t="shared" si="58"/>
        <v>Q2 2024</v>
      </c>
      <c r="P1230" s="23">
        <f>VLOOKUP(D1230,Products!$A:$F,4,FALSE)</f>
        <v>1886</v>
      </c>
      <c r="Q1230" s="35">
        <f t="shared" si="59"/>
        <v>0.4031645569620253</v>
      </c>
    </row>
    <row r="1231" spans="1:17">
      <c r="A1231" s="12" t="s">
        <v>1733</v>
      </c>
      <c r="B1231" s="13">
        <v>45634</v>
      </c>
      <c r="C1231" s="12" t="s">
        <v>331</v>
      </c>
      <c r="D1231" s="12" t="s">
        <v>199</v>
      </c>
      <c r="E1231" s="12" t="s">
        <v>138</v>
      </c>
      <c r="F1231" s="14">
        <v>10</v>
      </c>
      <c r="G1231" s="14">
        <v>1010</v>
      </c>
      <c r="H1231" s="14">
        <v>14</v>
      </c>
      <c r="I1231" s="14">
        <v>8686</v>
      </c>
      <c r="J1231" s="12" t="s">
        <v>104</v>
      </c>
      <c r="K1231" s="12" t="s">
        <v>105</v>
      </c>
      <c r="L1231" s="23" t="str">
        <f>VLOOKUP(D1231,Products!$A:$F,3,FALSE)</f>
        <v>Sports</v>
      </c>
      <c r="M1231" s="23" t="str">
        <f>VLOOKUP(E1231,Sales_Reps!$A:$E,3,FALSE)</f>
        <v>East</v>
      </c>
      <c r="N1231" s="23" t="str">
        <f t="shared" si="57"/>
        <v>Dec-24</v>
      </c>
      <c r="O1231" s="23" t="str">
        <f t="shared" si="58"/>
        <v>Q4 2024</v>
      </c>
      <c r="P1231" s="23">
        <f>VLOOKUP(D1231,Products!$A:$F,4,FALSE)</f>
        <v>516</v>
      </c>
      <c r="Q1231" s="35">
        <f t="shared" si="59"/>
        <v>0.4891089108910891</v>
      </c>
    </row>
    <row r="1232" spans="1:17">
      <c r="A1232" s="12" t="s">
        <v>1734</v>
      </c>
      <c r="B1232" s="13">
        <v>45376</v>
      </c>
      <c r="C1232" s="12" t="s">
        <v>154</v>
      </c>
      <c r="D1232" s="12" t="s">
        <v>276</v>
      </c>
      <c r="E1232" s="12" t="s">
        <v>165</v>
      </c>
      <c r="F1232" s="14">
        <v>3</v>
      </c>
      <c r="G1232" s="14">
        <v>1540</v>
      </c>
      <c r="H1232" s="14">
        <v>13.7</v>
      </c>
      <c r="I1232" s="14">
        <v>3987.06</v>
      </c>
      <c r="J1232" s="12" t="s">
        <v>110</v>
      </c>
      <c r="K1232" s="12" t="s">
        <v>116</v>
      </c>
      <c r="L1232" s="23" t="str">
        <f>VLOOKUP(D1232,Products!$A:$F,3,FALSE)</f>
        <v>Beauty</v>
      </c>
      <c r="M1232" s="23" t="str">
        <f>VLOOKUP(E1232,Sales_Reps!$A:$E,3,FALSE)</f>
        <v>North</v>
      </c>
      <c r="N1232" s="23" t="str">
        <f t="shared" si="57"/>
        <v>Mar-24</v>
      </c>
      <c r="O1232" s="23" t="str">
        <f t="shared" si="58"/>
        <v>Q1 2024</v>
      </c>
      <c r="P1232" s="23">
        <f>VLOOKUP(D1232,Products!$A:$F,4,FALSE)</f>
        <v>647</v>
      </c>
      <c r="Q1232" s="35">
        <f t="shared" si="59"/>
        <v>0.57987012987012987</v>
      </c>
    </row>
    <row r="1233" spans="1:17">
      <c r="A1233" s="12" t="s">
        <v>1735</v>
      </c>
      <c r="B1233" s="13">
        <v>45313</v>
      </c>
      <c r="C1233" s="12" t="s">
        <v>697</v>
      </c>
      <c r="D1233" s="12" t="s">
        <v>208</v>
      </c>
      <c r="E1233" s="12" t="s">
        <v>221</v>
      </c>
      <c r="F1233" s="14">
        <v>10</v>
      </c>
      <c r="G1233" s="14">
        <v>5100</v>
      </c>
      <c r="H1233" s="14">
        <v>13.8</v>
      </c>
      <c r="I1233" s="14">
        <v>43962</v>
      </c>
      <c r="J1233" s="12" t="s">
        <v>104</v>
      </c>
      <c r="K1233" s="12" t="s">
        <v>111</v>
      </c>
      <c r="L1233" s="23" t="str">
        <f>VLOOKUP(D1233,Products!$A:$F,3,FALSE)</f>
        <v>Beauty</v>
      </c>
      <c r="M1233" s="23" t="str">
        <f>VLOOKUP(E1233,Sales_Reps!$A:$E,3,FALSE)</f>
        <v>South</v>
      </c>
      <c r="N1233" s="23" t="str">
        <f t="shared" si="57"/>
        <v>Jan-24</v>
      </c>
      <c r="O1233" s="23" t="str">
        <f t="shared" si="58"/>
        <v>Q1 2024</v>
      </c>
      <c r="P1233" s="23">
        <f>VLOOKUP(D1233,Products!$A:$F,4,FALSE)</f>
        <v>2237</v>
      </c>
      <c r="Q1233" s="35">
        <f t="shared" si="59"/>
        <v>0.56137254901960787</v>
      </c>
    </row>
    <row r="1234" spans="1:17">
      <c r="A1234" s="12" t="s">
        <v>1736</v>
      </c>
      <c r="B1234" s="13">
        <v>45457</v>
      </c>
      <c r="C1234" s="12" t="s">
        <v>812</v>
      </c>
      <c r="D1234" s="12" t="s">
        <v>137</v>
      </c>
      <c r="E1234" s="12" t="s">
        <v>187</v>
      </c>
      <c r="F1234" s="14">
        <v>3</v>
      </c>
      <c r="G1234" s="14">
        <v>1430</v>
      </c>
      <c r="H1234" s="14">
        <v>1.5</v>
      </c>
      <c r="I1234" s="14">
        <v>4225.6499999999996</v>
      </c>
      <c r="J1234" s="12" t="s">
        <v>104</v>
      </c>
      <c r="K1234" s="12" t="s">
        <v>111</v>
      </c>
      <c r="L1234" s="23" t="str">
        <f>VLOOKUP(D1234,Products!$A:$F,3,FALSE)</f>
        <v>Electronics</v>
      </c>
      <c r="M1234" s="23" t="str">
        <f>VLOOKUP(E1234,Sales_Reps!$A:$E,3,FALSE)</f>
        <v>West</v>
      </c>
      <c r="N1234" s="23" t="str">
        <f t="shared" si="57"/>
        <v>Jun-24</v>
      </c>
      <c r="O1234" s="23" t="str">
        <f t="shared" si="58"/>
        <v>Q2 2024</v>
      </c>
      <c r="P1234" s="23">
        <f>VLOOKUP(D1234,Products!$A:$F,4,FALSE)</f>
        <v>861</v>
      </c>
      <c r="Q1234" s="35">
        <f t="shared" si="59"/>
        <v>0.39790209790209791</v>
      </c>
    </row>
    <row r="1235" spans="1:17">
      <c r="A1235" s="12" t="s">
        <v>1737</v>
      </c>
      <c r="B1235" s="13">
        <v>45620</v>
      </c>
      <c r="C1235" s="12" t="s">
        <v>925</v>
      </c>
      <c r="D1235" s="12" t="s">
        <v>141</v>
      </c>
      <c r="E1235" s="12" t="s">
        <v>269</v>
      </c>
      <c r="F1235" s="14">
        <v>8</v>
      </c>
      <c r="G1235" s="14">
        <v>5490</v>
      </c>
      <c r="H1235" s="14">
        <v>23.2</v>
      </c>
      <c r="I1235" s="14">
        <v>33730.559999999998</v>
      </c>
      <c r="J1235" s="12" t="s">
        <v>104</v>
      </c>
      <c r="K1235" s="12" t="s">
        <v>150</v>
      </c>
      <c r="L1235" s="23" t="str">
        <f>VLOOKUP(D1235,Products!$A:$F,3,FALSE)</f>
        <v>Home</v>
      </c>
      <c r="M1235" s="23" t="str">
        <f>VLOOKUP(E1235,Sales_Reps!$A:$E,3,FALSE)</f>
        <v>South</v>
      </c>
      <c r="N1235" s="23" t="str">
        <f t="shared" si="57"/>
        <v>Nov-24</v>
      </c>
      <c r="O1235" s="23" t="str">
        <f t="shared" si="58"/>
        <v>Q4 2024</v>
      </c>
      <c r="P1235" s="23">
        <f>VLOOKUP(D1235,Products!$A:$F,4,FALSE)</f>
        <v>2549</v>
      </c>
      <c r="Q1235" s="35">
        <f t="shared" si="59"/>
        <v>0.53570127504553733</v>
      </c>
    </row>
    <row r="1236" spans="1:17">
      <c r="A1236" s="12" t="s">
        <v>1738</v>
      </c>
      <c r="B1236" s="13">
        <v>45495</v>
      </c>
      <c r="C1236" s="12" t="s">
        <v>435</v>
      </c>
      <c r="D1236" s="12" t="s">
        <v>193</v>
      </c>
      <c r="E1236" s="12" t="s">
        <v>124</v>
      </c>
      <c r="F1236" s="14">
        <v>6</v>
      </c>
      <c r="G1236" s="14">
        <v>1650</v>
      </c>
      <c r="H1236" s="14">
        <v>16.8</v>
      </c>
      <c r="I1236" s="14">
        <v>8236.7999999999993</v>
      </c>
      <c r="J1236" s="12" t="s">
        <v>104</v>
      </c>
      <c r="K1236" s="12" t="s">
        <v>150</v>
      </c>
      <c r="L1236" s="23" t="str">
        <f>VLOOKUP(D1236,Products!$A:$F,3,FALSE)</f>
        <v>Beauty</v>
      </c>
      <c r="M1236" s="23" t="str">
        <f>VLOOKUP(E1236,Sales_Reps!$A:$E,3,FALSE)</f>
        <v>North</v>
      </c>
      <c r="N1236" s="23" t="str">
        <f t="shared" si="57"/>
        <v>Jul-24</v>
      </c>
      <c r="O1236" s="23" t="str">
        <f t="shared" si="58"/>
        <v>Q3 2024</v>
      </c>
      <c r="P1236" s="23">
        <f>VLOOKUP(D1236,Products!$A:$F,4,FALSE)</f>
        <v>1222</v>
      </c>
      <c r="Q1236" s="35">
        <f t="shared" si="59"/>
        <v>0.2593939393939394</v>
      </c>
    </row>
    <row r="1237" spans="1:17">
      <c r="A1237" s="12" t="s">
        <v>1739</v>
      </c>
      <c r="B1237" s="13">
        <v>45460</v>
      </c>
      <c r="C1237" s="12" t="s">
        <v>983</v>
      </c>
      <c r="D1237" s="12" t="s">
        <v>293</v>
      </c>
      <c r="E1237" s="12" t="s">
        <v>320</v>
      </c>
      <c r="F1237" s="14">
        <v>3</v>
      </c>
      <c r="G1237" s="14">
        <v>3020</v>
      </c>
      <c r="H1237" s="14">
        <v>14.5</v>
      </c>
      <c r="I1237" s="14">
        <v>7746.3</v>
      </c>
      <c r="J1237" s="12" t="s">
        <v>104</v>
      </c>
      <c r="K1237" s="12" t="s">
        <v>150</v>
      </c>
      <c r="L1237" s="23" t="str">
        <f>VLOOKUP(D1237,Products!$A:$F,3,FALSE)</f>
        <v>Beauty</v>
      </c>
      <c r="M1237" s="23" t="str">
        <f>VLOOKUP(E1237,Sales_Reps!$A:$E,3,FALSE)</f>
        <v>East</v>
      </c>
      <c r="N1237" s="23" t="str">
        <f t="shared" si="57"/>
        <v>Jun-24</v>
      </c>
      <c r="O1237" s="23" t="str">
        <f t="shared" si="58"/>
        <v>Q2 2024</v>
      </c>
      <c r="P1237" s="23">
        <f>VLOOKUP(D1237,Products!$A:$F,4,FALSE)</f>
        <v>1626</v>
      </c>
      <c r="Q1237" s="35">
        <f t="shared" si="59"/>
        <v>0.46158940397350995</v>
      </c>
    </row>
    <row r="1238" spans="1:17">
      <c r="A1238" s="12" t="s">
        <v>1740</v>
      </c>
      <c r="B1238" s="13">
        <v>45438</v>
      </c>
      <c r="C1238" s="12" t="s">
        <v>1741</v>
      </c>
      <c r="D1238" s="12" t="s">
        <v>276</v>
      </c>
      <c r="E1238" s="12" t="s">
        <v>165</v>
      </c>
      <c r="F1238" s="14">
        <v>5</v>
      </c>
      <c r="G1238" s="14">
        <v>1540</v>
      </c>
      <c r="H1238" s="14">
        <v>27.2</v>
      </c>
      <c r="I1238" s="14">
        <v>5605.6</v>
      </c>
      <c r="J1238" s="12" t="s">
        <v>104</v>
      </c>
      <c r="K1238" s="12" t="s">
        <v>134</v>
      </c>
      <c r="L1238" s="23" t="str">
        <f>VLOOKUP(D1238,Products!$A:$F,3,FALSE)</f>
        <v>Beauty</v>
      </c>
      <c r="M1238" s="23" t="str">
        <f>VLOOKUP(E1238,Sales_Reps!$A:$E,3,FALSE)</f>
        <v>North</v>
      </c>
      <c r="N1238" s="23" t="str">
        <f t="shared" si="57"/>
        <v>May-24</v>
      </c>
      <c r="O1238" s="23" t="str">
        <f t="shared" si="58"/>
        <v>Q2 2024</v>
      </c>
      <c r="P1238" s="23">
        <f>VLOOKUP(D1238,Products!$A:$F,4,FALSE)</f>
        <v>647</v>
      </c>
      <c r="Q1238" s="35">
        <f t="shared" si="59"/>
        <v>0.57987012987012987</v>
      </c>
    </row>
    <row r="1239" spans="1:17">
      <c r="A1239" s="12" t="s">
        <v>788</v>
      </c>
      <c r="B1239" s="13">
        <v>45307</v>
      </c>
      <c r="C1239" s="12" t="s">
        <v>333</v>
      </c>
      <c r="D1239" s="12" t="s">
        <v>532</v>
      </c>
      <c r="E1239" s="12" t="s">
        <v>171</v>
      </c>
      <c r="F1239" s="14">
        <v>4</v>
      </c>
      <c r="G1239" s="14">
        <v>6940</v>
      </c>
      <c r="H1239" s="14">
        <v>3.2</v>
      </c>
      <c r="I1239" s="14">
        <v>26871.68</v>
      </c>
      <c r="J1239" s="12" t="s">
        <v>104</v>
      </c>
      <c r="K1239" s="12" t="s">
        <v>105</v>
      </c>
      <c r="L1239" s="23" t="str">
        <f>VLOOKUP(D1239,Products!$A:$F,3,FALSE)</f>
        <v>Sports</v>
      </c>
      <c r="M1239" s="23" t="str">
        <f>VLOOKUP(E1239,Sales_Reps!$A:$E,3,FALSE)</f>
        <v>East</v>
      </c>
      <c r="N1239" s="23" t="str">
        <f t="shared" si="57"/>
        <v>Jan-24</v>
      </c>
      <c r="O1239" s="23" t="str">
        <f t="shared" si="58"/>
        <v>Q1 2024</v>
      </c>
      <c r="P1239" s="23">
        <f>VLOOKUP(D1239,Products!$A:$F,4,FALSE)</f>
        <v>2827</v>
      </c>
      <c r="Q1239" s="35">
        <f t="shared" si="59"/>
        <v>0.5926512968299712</v>
      </c>
    </row>
    <row r="1240" spans="1:17">
      <c r="A1240" s="12" t="s">
        <v>1742</v>
      </c>
      <c r="B1240" s="13">
        <v>45517</v>
      </c>
      <c r="C1240" s="12" t="s">
        <v>126</v>
      </c>
      <c r="D1240" s="12" t="s">
        <v>208</v>
      </c>
      <c r="E1240" s="12" t="s">
        <v>255</v>
      </c>
      <c r="F1240" s="14">
        <v>2</v>
      </c>
      <c r="G1240" s="14">
        <v>5100</v>
      </c>
      <c r="H1240" s="14">
        <v>18.100000000000001</v>
      </c>
      <c r="I1240" s="14">
        <v>8353.7999999999993</v>
      </c>
      <c r="J1240" s="12" t="s">
        <v>104</v>
      </c>
      <c r="K1240" s="12" t="s">
        <v>129</v>
      </c>
      <c r="L1240" s="23" t="str">
        <f>VLOOKUP(D1240,Products!$A:$F,3,FALSE)</f>
        <v>Beauty</v>
      </c>
      <c r="M1240" s="23" t="str">
        <f>VLOOKUP(E1240,Sales_Reps!$A:$E,3,FALSE)</f>
        <v>East</v>
      </c>
      <c r="N1240" s="23" t="str">
        <f t="shared" si="57"/>
        <v>Aug-24</v>
      </c>
      <c r="O1240" s="23" t="str">
        <f t="shared" si="58"/>
        <v>Q3 2024</v>
      </c>
      <c r="P1240" s="23">
        <f>VLOOKUP(D1240,Products!$A:$F,4,FALSE)</f>
        <v>2237</v>
      </c>
      <c r="Q1240" s="35">
        <f t="shared" si="59"/>
        <v>0.56137254901960787</v>
      </c>
    </row>
    <row r="1241" spans="1:17">
      <c r="A1241" s="12" t="s">
        <v>1743</v>
      </c>
      <c r="B1241" s="13">
        <v>45575</v>
      </c>
      <c r="C1241" s="12" t="s">
        <v>331</v>
      </c>
      <c r="D1241" s="12" t="s">
        <v>381</v>
      </c>
      <c r="E1241" s="12" t="s">
        <v>363</v>
      </c>
      <c r="F1241" s="14">
        <v>6</v>
      </c>
      <c r="G1241" s="14">
        <v>5330</v>
      </c>
      <c r="H1241" s="14">
        <v>0.3</v>
      </c>
      <c r="I1241" s="14">
        <v>31884.06</v>
      </c>
      <c r="J1241" s="12" t="s">
        <v>110</v>
      </c>
      <c r="K1241" s="12" t="s">
        <v>105</v>
      </c>
      <c r="L1241" s="23" t="str">
        <f>VLOOKUP(D1241,Products!$A:$F,3,FALSE)</f>
        <v>Electronics</v>
      </c>
      <c r="M1241" s="23" t="str">
        <f>VLOOKUP(E1241,Sales_Reps!$A:$E,3,FALSE)</f>
        <v>South</v>
      </c>
      <c r="N1241" s="23" t="str">
        <f t="shared" si="57"/>
        <v>Oct-24</v>
      </c>
      <c r="O1241" s="23" t="str">
        <f t="shared" si="58"/>
        <v>Q4 2024</v>
      </c>
      <c r="P1241" s="23">
        <f>VLOOKUP(D1241,Products!$A:$F,4,FALSE)</f>
        <v>2405</v>
      </c>
      <c r="Q1241" s="35">
        <f t="shared" si="59"/>
        <v>0.54878048780487809</v>
      </c>
    </row>
    <row r="1242" spans="1:17">
      <c r="A1242" s="12" t="s">
        <v>1744</v>
      </c>
      <c r="B1242" s="13">
        <v>45449</v>
      </c>
      <c r="C1242" s="12" t="s">
        <v>1023</v>
      </c>
      <c r="D1242" s="12" t="s">
        <v>132</v>
      </c>
      <c r="E1242" s="12" t="s">
        <v>246</v>
      </c>
      <c r="F1242" s="14">
        <v>5</v>
      </c>
      <c r="G1242" s="14">
        <v>960</v>
      </c>
      <c r="H1242" s="14">
        <v>16.600000000000001</v>
      </c>
      <c r="I1242" s="14">
        <v>4003.2</v>
      </c>
      <c r="J1242" s="12" t="s">
        <v>104</v>
      </c>
      <c r="K1242" s="12" t="s">
        <v>134</v>
      </c>
      <c r="L1242" s="23" t="str">
        <f>VLOOKUP(D1242,Products!$A:$F,3,FALSE)</f>
        <v>Sports</v>
      </c>
      <c r="M1242" s="23" t="str">
        <f>VLOOKUP(E1242,Sales_Reps!$A:$E,3,FALSE)</f>
        <v>West</v>
      </c>
      <c r="N1242" s="23" t="str">
        <f t="shared" si="57"/>
        <v>Jun-24</v>
      </c>
      <c r="O1242" s="23" t="str">
        <f t="shared" si="58"/>
        <v>Q2 2024</v>
      </c>
      <c r="P1242" s="23">
        <f>VLOOKUP(D1242,Products!$A:$F,4,FALSE)</f>
        <v>705</v>
      </c>
      <c r="Q1242" s="35">
        <f t="shared" si="59"/>
        <v>0.265625</v>
      </c>
    </row>
    <row r="1243" spans="1:17">
      <c r="A1243" s="12" t="s">
        <v>1745</v>
      </c>
      <c r="B1243" s="13">
        <v>45481</v>
      </c>
      <c r="C1243" s="12" t="s">
        <v>322</v>
      </c>
      <c r="D1243" s="12" t="s">
        <v>102</v>
      </c>
      <c r="E1243" s="12" t="s">
        <v>302</v>
      </c>
      <c r="F1243" s="14">
        <v>7</v>
      </c>
      <c r="G1243" s="14">
        <v>3620</v>
      </c>
      <c r="H1243" s="14">
        <v>5.4</v>
      </c>
      <c r="I1243" s="14">
        <v>23971.64</v>
      </c>
      <c r="J1243" s="12" t="s">
        <v>104</v>
      </c>
      <c r="K1243" s="12" t="s">
        <v>150</v>
      </c>
      <c r="L1243" s="23" t="str">
        <f>VLOOKUP(D1243,Products!$A:$F,3,FALSE)</f>
        <v>Apparel</v>
      </c>
      <c r="M1243" s="23" t="str">
        <f>VLOOKUP(E1243,Sales_Reps!$A:$E,3,FALSE)</f>
        <v>East</v>
      </c>
      <c r="N1243" s="23" t="str">
        <f t="shared" si="57"/>
        <v>Jul-24</v>
      </c>
      <c r="O1243" s="23" t="str">
        <f t="shared" si="58"/>
        <v>Q3 2024</v>
      </c>
      <c r="P1243" s="23">
        <f>VLOOKUP(D1243,Products!$A:$F,4,FALSE)</f>
        <v>2509</v>
      </c>
      <c r="Q1243" s="35">
        <f t="shared" si="59"/>
        <v>0.3069060773480663</v>
      </c>
    </row>
    <row r="1244" spans="1:17">
      <c r="A1244" s="12" t="s">
        <v>1746</v>
      </c>
      <c r="B1244" s="13">
        <v>45368</v>
      </c>
      <c r="C1244" s="12" t="s">
        <v>1645</v>
      </c>
      <c r="D1244" s="12" t="s">
        <v>155</v>
      </c>
      <c r="E1244" s="12" t="s">
        <v>120</v>
      </c>
      <c r="F1244" s="14">
        <v>6</v>
      </c>
      <c r="G1244" s="14">
        <v>2600</v>
      </c>
      <c r="H1244" s="14">
        <v>25.9</v>
      </c>
      <c r="I1244" s="14">
        <v>11559.6</v>
      </c>
      <c r="J1244" s="12" t="s">
        <v>104</v>
      </c>
      <c r="K1244" s="12" t="s">
        <v>111</v>
      </c>
      <c r="L1244" s="23" t="str">
        <f>VLOOKUP(D1244,Products!$A:$F,3,FALSE)</f>
        <v>Electronics</v>
      </c>
      <c r="M1244" s="23" t="str">
        <f>VLOOKUP(E1244,Sales_Reps!$A:$E,3,FALSE)</f>
        <v>North</v>
      </c>
      <c r="N1244" s="23" t="str">
        <f t="shared" si="57"/>
        <v>Mar-24</v>
      </c>
      <c r="O1244" s="23" t="str">
        <f t="shared" si="58"/>
        <v>Q1 2024</v>
      </c>
      <c r="P1244" s="23">
        <f>VLOOKUP(D1244,Products!$A:$F,4,FALSE)</f>
        <v>1052</v>
      </c>
      <c r="Q1244" s="35">
        <f t="shared" si="59"/>
        <v>0.5953846153846154</v>
      </c>
    </row>
    <row r="1245" spans="1:17">
      <c r="A1245" s="12" t="s">
        <v>1747</v>
      </c>
      <c r="B1245" s="13">
        <v>45298</v>
      </c>
      <c r="C1245" s="12" t="s">
        <v>502</v>
      </c>
      <c r="D1245" s="12" t="s">
        <v>296</v>
      </c>
      <c r="E1245" s="12" t="s">
        <v>269</v>
      </c>
      <c r="F1245" s="14">
        <v>7</v>
      </c>
      <c r="G1245" s="14">
        <v>2660</v>
      </c>
      <c r="H1245" s="14">
        <v>20.2</v>
      </c>
      <c r="I1245" s="14">
        <v>14858.76</v>
      </c>
      <c r="J1245" s="12" t="s">
        <v>104</v>
      </c>
      <c r="K1245" s="12" t="s">
        <v>105</v>
      </c>
      <c r="L1245" s="23" t="str">
        <f>VLOOKUP(D1245,Products!$A:$F,3,FALSE)</f>
        <v>Electronics</v>
      </c>
      <c r="M1245" s="23" t="str">
        <f>VLOOKUP(E1245,Sales_Reps!$A:$E,3,FALSE)</f>
        <v>South</v>
      </c>
      <c r="N1245" s="23" t="str">
        <f t="shared" si="57"/>
        <v>Jan-24</v>
      </c>
      <c r="O1245" s="23" t="str">
        <f t="shared" si="58"/>
        <v>Q1 2024</v>
      </c>
      <c r="P1245" s="23">
        <f>VLOOKUP(D1245,Products!$A:$F,4,FALSE)</f>
        <v>1259</v>
      </c>
      <c r="Q1245" s="35">
        <f t="shared" si="59"/>
        <v>0.52669172932330832</v>
      </c>
    </row>
    <row r="1246" spans="1:17">
      <c r="A1246" s="12" t="s">
        <v>1748</v>
      </c>
      <c r="B1246" s="13">
        <v>45472</v>
      </c>
      <c r="C1246" s="12" t="s">
        <v>976</v>
      </c>
      <c r="D1246" s="12" t="s">
        <v>184</v>
      </c>
      <c r="E1246" s="12" t="s">
        <v>302</v>
      </c>
      <c r="F1246" s="14">
        <v>9</v>
      </c>
      <c r="G1246" s="14">
        <v>2480</v>
      </c>
      <c r="H1246" s="14">
        <v>14.7</v>
      </c>
      <c r="I1246" s="14">
        <v>19038.96</v>
      </c>
      <c r="J1246" s="12" t="s">
        <v>104</v>
      </c>
      <c r="K1246" s="12" t="s">
        <v>129</v>
      </c>
      <c r="L1246" s="23" t="str">
        <f>VLOOKUP(D1246,Products!$A:$F,3,FALSE)</f>
        <v>Apparel</v>
      </c>
      <c r="M1246" s="23" t="str">
        <f>VLOOKUP(E1246,Sales_Reps!$A:$E,3,FALSE)</f>
        <v>East</v>
      </c>
      <c r="N1246" s="23" t="str">
        <f t="shared" si="57"/>
        <v>Jun-24</v>
      </c>
      <c r="O1246" s="23" t="str">
        <f t="shared" si="58"/>
        <v>Q2 2024</v>
      </c>
      <c r="P1246" s="23">
        <f>VLOOKUP(D1246,Products!$A:$F,4,FALSE)</f>
        <v>1173</v>
      </c>
      <c r="Q1246" s="35">
        <f t="shared" si="59"/>
        <v>0.52701612903225803</v>
      </c>
    </row>
    <row r="1247" spans="1:17">
      <c r="A1247" s="12" t="s">
        <v>1749</v>
      </c>
      <c r="B1247" s="13">
        <v>45568</v>
      </c>
      <c r="C1247" s="12" t="s">
        <v>374</v>
      </c>
      <c r="D1247" s="12" t="s">
        <v>296</v>
      </c>
      <c r="E1247" s="12" t="s">
        <v>205</v>
      </c>
      <c r="F1247" s="14">
        <v>4</v>
      </c>
      <c r="G1247" s="14">
        <v>2660</v>
      </c>
      <c r="H1247" s="14">
        <v>8.9</v>
      </c>
      <c r="I1247" s="14">
        <v>9693.0400000000009</v>
      </c>
      <c r="J1247" s="12" t="s">
        <v>104</v>
      </c>
      <c r="K1247" s="12" t="s">
        <v>116</v>
      </c>
      <c r="L1247" s="23" t="str">
        <f>VLOOKUP(D1247,Products!$A:$F,3,FALSE)</f>
        <v>Electronics</v>
      </c>
      <c r="M1247" s="23" t="str">
        <f>VLOOKUP(E1247,Sales_Reps!$A:$E,3,FALSE)</f>
        <v>South</v>
      </c>
      <c r="N1247" s="23" t="str">
        <f t="shared" si="57"/>
        <v>Oct-24</v>
      </c>
      <c r="O1247" s="23" t="str">
        <f t="shared" si="58"/>
        <v>Q4 2024</v>
      </c>
      <c r="P1247" s="23">
        <f>VLOOKUP(D1247,Products!$A:$F,4,FALSE)</f>
        <v>1259</v>
      </c>
      <c r="Q1247" s="35">
        <f t="shared" si="59"/>
        <v>0.52669172932330832</v>
      </c>
    </row>
    <row r="1248" spans="1:17">
      <c r="A1248" s="12" t="s">
        <v>1750</v>
      </c>
      <c r="B1248" s="13">
        <v>45540</v>
      </c>
      <c r="C1248" s="12" t="s">
        <v>917</v>
      </c>
      <c r="D1248" s="12" t="s">
        <v>381</v>
      </c>
      <c r="E1248" s="12" t="s">
        <v>149</v>
      </c>
      <c r="F1248" s="14">
        <v>1</v>
      </c>
      <c r="G1248" s="14">
        <v>5330</v>
      </c>
      <c r="H1248" s="14">
        <v>26.8</v>
      </c>
      <c r="I1248" s="14">
        <v>3901.56</v>
      </c>
      <c r="J1248" s="12" t="s">
        <v>104</v>
      </c>
      <c r="K1248" s="12" t="s">
        <v>134</v>
      </c>
      <c r="L1248" s="23" t="str">
        <f>VLOOKUP(D1248,Products!$A:$F,3,FALSE)</f>
        <v>Electronics</v>
      </c>
      <c r="M1248" s="23" t="str">
        <f>VLOOKUP(E1248,Sales_Reps!$A:$E,3,FALSE)</f>
        <v>South</v>
      </c>
      <c r="N1248" s="23" t="str">
        <f t="shared" si="57"/>
        <v>Sep-24</v>
      </c>
      <c r="O1248" s="23" t="str">
        <f t="shared" si="58"/>
        <v>Q3 2024</v>
      </c>
      <c r="P1248" s="23">
        <f>VLOOKUP(D1248,Products!$A:$F,4,FALSE)</f>
        <v>2405</v>
      </c>
      <c r="Q1248" s="35">
        <f t="shared" si="59"/>
        <v>0.54878048780487809</v>
      </c>
    </row>
    <row r="1249" spans="1:17">
      <c r="A1249" s="12" t="s">
        <v>1751</v>
      </c>
      <c r="B1249" s="13">
        <v>45544</v>
      </c>
      <c r="C1249" s="12" t="s">
        <v>1640</v>
      </c>
      <c r="D1249" s="12" t="s">
        <v>178</v>
      </c>
      <c r="E1249" s="12" t="s">
        <v>360</v>
      </c>
      <c r="F1249" s="14">
        <v>6</v>
      </c>
      <c r="G1249" s="14">
        <v>3450</v>
      </c>
      <c r="H1249" s="14">
        <v>19.2</v>
      </c>
      <c r="I1249" s="14">
        <v>16725.599999999999</v>
      </c>
      <c r="J1249" s="12" t="s">
        <v>110</v>
      </c>
      <c r="K1249" s="12" t="s">
        <v>134</v>
      </c>
      <c r="L1249" s="23" t="str">
        <f>VLOOKUP(D1249,Products!$A:$F,3,FALSE)</f>
        <v>Sports</v>
      </c>
      <c r="M1249" s="23" t="str">
        <f>VLOOKUP(E1249,Sales_Reps!$A:$E,3,FALSE)</f>
        <v>West</v>
      </c>
      <c r="N1249" s="23" t="str">
        <f t="shared" si="57"/>
        <v>Sep-24</v>
      </c>
      <c r="O1249" s="23" t="str">
        <f t="shared" si="58"/>
        <v>Q3 2024</v>
      </c>
      <c r="P1249" s="23">
        <f>VLOOKUP(D1249,Products!$A:$F,4,FALSE)</f>
        <v>2467</v>
      </c>
      <c r="Q1249" s="35">
        <f t="shared" si="59"/>
        <v>0.28492753623188405</v>
      </c>
    </row>
    <row r="1250" spans="1:17">
      <c r="A1250" s="12" t="s">
        <v>1752</v>
      </c>
      <c r="B1250" s="13">
        <v>45334</v>
      </c>
      <c r="C1250" s="12" t="s">
        <v>186</v>
      </c>
      <c r="D1250" s="12" t="s">
        <v>164</v>
      </c>
      <c r="E1250" s="12" t="s">
        <v>128</v>
      </c>
      <c r="F1250" s="14">
        <v>10</v>
      </c>
      <c r="G1250" s="14">
        <v>190</v>
      </c>
      <c r="H1250" s="14">
        <v>18.100000000000001</v>
      </c>
      <c r="I1250" s="14">
        <v>1556.1</v>
      </c>
      <c r="J1250" s="12" t="s">
        <v>104</v>
      </c>
      <c r="K1250" s="12" t="s">
        <v>129</v>
      </c>
      <c r="L1250" s="23" t="str">
        <f>VLOOKUP(D1250,Products!$A:$F,3,FALSE)</f>
        <v>Sports</v>
      </c>
      <c r="M1250" s="23" t="str">
        <f>VLOOKUP(E1250,Sales_Reps!$A:$E,3,FALSE)</f>
        <v>West</v>
      </c>
      <c r="N1250" s="23" t="str">
        <f t="shared" si="57"/>
        <v>Feb-24</v>
      </c>
      <c r="O1250" s="23" t="str">
        <f t="shared" si="58"/>
        <v>Q1 2024</v>
      </c>
      <c r="P1250" s="23">
        <f>VLOOKUP(D1250,Products!$A:$F,4,FALSE)</f>
        <v>147</v>
      </c>
      <c r="Q1250" s="35">
        <f t="shared" si="59"/>
        <v>0.22631578947368422</v>
      </c>
    </row>
    <row r="1251" spans="1:17">
      <c r="A1251" s="12" t="s">
        <v>1753</v>
      </c>
      <c r="B1251" s="13">
        <v>45584</v>
      </c>
      <c r="C1251" s="12" t="s">
        <v>638</v>
      </c>
      <c r="D1251" s="12" t="s">
        <v>425</v>
      </c>
      <c r="E1251" s="12" t="s">
        <v>221</v>
      </c>
      <c r="F1251" s="14">
        <v>9</v>
      </c>
      <c r="G1251" s="14">
        <v>3970</v>
      </c>
      <c r="H1251" s="14">
        <v>18.2</v>
      </c>
      <c r="I1251" s="14">
        <v>29227.14</v>
      </c>
      <c r="J1251" s="12" t="s">
        <v>110</v>
      </c>
      <c r="K1251" s="12" t="s">
        <v>111</v>
      </c>
      <c r="L1251" s="23" t="str">
        <f>VLOOKUP(D1251,Products!$A:$F,3,FALSE)</f>
        <v>Electronics</v>
      </c>
      <c r="M1251" s="23" t="str">
        <f>VLOOKUP(E1251,Sales_Reps!$A:$E,3,FALSE)</f>
        <v>South</v>
      </c>
      <c r="N1251" s="23" t="str">
        <f t="shared" si="57"/>
        <v>Oct-24</v>
      </c>
      <c r="O1251" s="23" t="str">
        <f t="shared" si="58"/>
        <v>Q4 2024</v>
      </c>
      <c r="P1251" s="23">
        <f>VLOOKUP(D1251,Products!$A:$F,4,FALSE)</f>
        <v>2865</v>
      </c>
      <c r="Q1251" s="35">
        <f t="shared" si="59"/>
        <v>0.27833753148614609</v>
      </c>
    </row>
    <row r="1252" spans="1:17">
      <c r="A1252" s="12" t="s">
        <v>1754</v>
      </c>
      <c r="B1252" s="13">
        <v>45404</v>
      </c>
      <c r="C1252" s="12" t="s">
        <v>147</v>
      </c>
      <c r="D1252" s="12" t="s">
        <v>287</v>
      </c>
      <c r="E1252" s="12" t="s">
        <v>314</v>
      </c>
      <c r="F1252" s="14">
        <v>4</v>
      </c>
      <c r="G1252" s="14">
        <v>4610</v>
      </c>
      <c r="H1252" s="14">
        <v>15.1</v>
      </c>
      <c r="I1252" s="14">
        <v>15655.56</v>
      </c>
      <c r="J1252" s="12" t="s">
        <v>157</v>
      </c>
      <c r="K1252" s="12" t="s">
        <v>150</v>
      </c>
      <c r="L1252" s="23" t="str">
        <f>VLOOKUP(D1252,Products!$A:$F,3,FALSE)</f>
        <v>Home</v>
      </c>
      <c r="M1252" s="23" t="str">
        <f>VLOOKUP(E1252,Sales_Reps!$A:$E,3,FALSE)</f>
        <v>North</v>
      </c>
      <c r="N1252" s="23" t="str">
        <f t="shared" si="57"/>
        <v>Apr-24</v>
      </c>
      <c r="O1252" s="23" t="str">
        <f t="shared" si="58"/>
        <v>Q2 2024</v>
      </c>
      <c r="P1252" s="23">
        <f>VLOOKUP(D1252,Products!$A:$F,4,FALSE)</f>
        <v>1850</v>
      </c>
      <c r="Q1252" s="35">
        <f t="shared" si="59"/>
        <v>0.59869848156182215</v>
      </c>
    </row>
    <row r="1253" spans="1:17">
      <c r="A1253" s="12" t="s">
        <v>1755</v>
      </c>
      <c r="B1253" s="13">
        <v>45476</v>
      </c>
      <c r="C1253" s="12" t="s">
        <v>409</v>
      </c>
      <c r="D1253" s="12" t="s">
        <v>309</v>
      </c>
      <c r="E1253" s="12" t="s">
        <v>128</v>
      </c>
      <c r="F1253" s="14">
        <v>2</v>
      </c>
      <c r="G1253" s="14">
        <v>620</v>
      </c>
      <c r="H1253" s="14">
        <v>3.3</v>
      </c>
      <c r="I1253" s="14">
        <v>1199.08</v>
      </c>
      <c r="J1253" s="12" t="s">
        <v>104</v>
      </c>
      <c r="K1253" s="12" t="s">
        <v>129</v>
      </c>
      <c r="L1253" s="23" t="str">
        <f>VLOOKUP(D1253,Products!$A:$F,3,FALSE)</f>
        <v>Apparel</v>
      </c>
      <c r="M1253" s="23" t="str">
        <f>VLOOKUP(E1253,Sales_Reps!$A:$E,3,FALSE)</f>
        <v>West</v>
      </c>
      <c r="N1253" s="23" t="str">
        <f t="shared" si="57"/>
        <v>Jul-24</v>
      </c>
      <c r="O1253" s="23" t="str">
        <f t="shared" si="58"/>
        <v>Q3 2024</v>
      </c>
      <c r="P1253" s="23">
        <f>VLOOKUP(D1253,Products!$A:$F,4,FALSE)</f>
        <v>396</v>
      </c>
      <c r="Q1253" s="35">
        <f t="shared" si="59"/>
        <v>0.36129032258064514</v>
      </c>
    </row>
    <row r="1254" spans="1:17">
      <c r="A1254" s="12" t="s">
        <v>1756</v>
      </c>
      <c r="B1254" s="13">
        <v>45481</v>
      </c>
      <c r="C1254" s="12" t="s">
        <v>774</v>
      </c>
      <c r="D1254" s="12" t="s">
        <v>276</v>
      </c>
      <c r="E1254" s="12" t="s">
        <v>128</v>
      </c>
      <c r="F1254" s="14">
        <v>7</v>
      </c>
      <c r="G1254" s="14">
        <v>1540</v>
      </c>
      <c r="H1254" s="14">
        <v>27.5</v>
      </c>
      <c r="I1254" s="14">
        <v>7815.5</v>
      </c>
      <c r="J1254" s="12" t="s">
        <v>104</v>
      </c>
      <c r="K1254" s="12" t="s">
        <v>134</v>
      </c>
      <c r="L1254" s="23" t="str">
        <f>VLOOKUP(D1254,Products!$A:$F,3,FALSE)</f>
        <v>Beauty</v>
      </c>
      <c r="M1254" s="23" t="str">
        <f>VLOOKUP(E1254,Sales_Reps!$A:$E,3,FALSE)</f>
        <v>West</v>
      </c>
      <c r="N1254" s="23" t="str">
        <f t="shared" si="57"/>
        <v>Jul-24</v>
      </c>
      <c r="O1254" s="23" t="str">
        <f t="shared" si="58"/>
        <v>Q3 2024</v>
      </c>
      <c r="P1254" s="23">
        <f>VLOOKUP(D1254,Products!$A:$F,4,FALSE)</f>
        <v>647</v>
      </c>
      <c r="Q1254" s="35">
        <f t="shared" si="59"/>
        <v>0.57987012987012987</v>
      </c>
    </row>
    <row r="1255" spans="1:17">
      <c r="A1255" s="12" t="s">
        <v>1757</v>
      </c>
      <c r="B1255" s="13">
        <v>45480</v>
      </c>
      <c r="C1255" s="12" t="s">
        <v>812</v>
      </c>
      <c r="D1255" s="12" t="s">
        <v>114</v>
      </c>
      <c r="E1255" s="12" t="s">
        <v>255</v>
      </c>
      <c r="F1255" s="14">
        <v>10</v>
      </c>
      <c r="G1255" s="14">
        <v>470</v>
      </c>
      <c r="H1255" s="14">
        <v>3.9</v>
      </c>
      <c r="I1255" s="14">
        <v>4516.7</v>
      </c>
      <c r="J1255" s="12" t="s">
        <v>104</v>
      </c>
      <c r="K1255" s="12" t="s">
        <v>111</v>
      </c>
      <c r="L1255" s="23" t="str">
        <f>VLOOKUP(D1255,Products!$A:$F,3,FALSE)</f>
        <v>Sports</v>
      </c>
      <c r="M1255" s="23" t="str">
        <f>VLOOKUP(E1255,Sales_Reps!$A:$E,3,FALSE)</f>
        <v>East</v>
      </c>
      <c r="N1255" s="23" t="str">
        <f t="shared" si="57"/>
        <v>Jul-24</v>
      </c>
      <c r="O1255" s="23" t="str">
        <f t="shared" si="58"/>
        <v>Q3 2024</v>
      </c>
      <c r="P1255" s="23">
        <f>VLOOKUP(D1255,Products!$A:$F,4,FALSE)</f>
        <v>302</v>
      </c>
      <c r="Q1255" s="35">
        <f t="shared" si="59"/>
        <v>0.35744680851063831</v>
      </c>
    </row>
    <row r="1256" spans="1:17">
      <c r="A1256" s="12" t="s">
        <v>1758</v>
      </c>
      <c r="B1256" s="13">
        <v>45603</v>
      </c>
      <c r="C1256" s="12" t="s">
        <v>985</v>
      </c>
      <c r="D1256" s="12" t="s">
        <v>201</v>
      </c>
      <c r="E1256" s="12" t="s">
        <v>314</v>
      </c>
      <c r="F1256" s="14">
        <v>5</v>
      </c>
      <c r="G1256" s="14">
        <v>4880</v>
      </c>
      <c r="H1256" s="14">
        <v>27.4</v>
      </c>
      <c r="I1256" s="14">
        <v>17714.400000000001</v>
      </c>
      <c r="J1256" s="12" t="s">
        <v>104</v>
      </c>
      <c r="K1256" s="12" t="s">
        <v>116</v>
      </c>
      <c r="L1256" s="23" t="str">
        <f>VLOOKUP(D1256,Products!$A:$F,3,FALSE)</f>
        <v>Beauty</v>
      </c>
      <c r="M1256" s="23" t="str">
        <f>VLOOKUP(E1256,Sales_Reps!$A:$E,3,FALSE)</f>
        <v>North</v>
      </c>
      <c r="N1256" s="23" t="str">
        <f t="shared" si="57"/>
        <v>Nov-24</v>
      </c>
      <c r="O1256" s="23" t="str">
        <f t="shared" si="58"/>
        <v>Q4 2024</v>
      </c>
      <c r="P1256" s="23">
        <f>VLOOKUP(D1256,Products!$A:$F,4,FALSE)</f>
        <v>2768</v>
      </c>
      <c r="Q1256" s="35">
        <f t="shared" si="59"/>
        <v>0.43278688524590164</v>
      </c>
    </row>
    <row r="1257" spans="1:17">
      <c r="A1257" s="12" t="s">
        <v>1759</v>
      </c>
      <c r="B1257" s="13">
        <v>45548</v>
      </c>
      <c r="C1257" s="12" t="s">
        <v>1089</v>
      </c>
      <c r="D1257" s="12" t="s">
        <v>377</v>
      </c>
      <c r="E1257" s="12" t="s">
        <v>246</v>
      </c>
      <c r="F1257" s="14">
        <v>1</v>
      </c>
      <c r="G1257" s="14">
        <v>5410</v>
      </c>
      <c r="H1257" s="14">
        <v>8.3000000000000007</v>
      </c>
      <c r="I1257" s="14">
        <v>4960.97</v>
      </c>
      <c r="J1257" s="12" t="s">
        <v>104</v>
      </c>
      <c r="K1257" s="12" t="s">
        <v>129</v>
      </c>
      <c r="L1257" s="23" t="str">
        <f>VLOOKUP(D1257,Products!$A:$F,3,FALSE)</f>
        <v>Sports</v>
      </c>
      <c r="M1257" s="23" t="str">
        <f>VLOOKUP(E1257,Sales_Reps!$A:$E,3,FALSE)</f>
        <v>West</v>
      </c>
      <c r="N1257" s="23" t="str">
        <f t="shared" si="57"/>
        <v>Sep-24</v>
      </c>
      <c r="O1257" s="23" t="str">
        <f t="shared" si="58"/>
        <v>Q3 2024</v>
      </c>
      <c r="P1257" s="23">
        <f>VLOOKUP(D1257,Products!$A:$F,4,FALSE)</f>
        <v>2265</v>
      </c>
      <c r="Q1257" s="35">
        <f t="shared" si="59"/>
        <v>0.58133086876155271</v>
      </c>
    </row>
    <row r="1258" spans="1:17">
      <c r="A1258" s="12" t="s">
        <v>1760</v>
      </c>
      <c r="B1258" s="13">
        <v>45482</v>
      </c>
      <c r="C1258" s="12" t="s">
        <v>289</v>
      </c>
      <c r="D1258" s="12" t="s">
        <v>265</v>
      </c>
      <c r="E1258" s="12" t="s">
        <v>302</v>
      </c>
      <c r="F1258" s="14">
        <v>8</v>
      </c>
      <c r="G1258" s="14">
        <v>3870</v>
      </c>
      <c r="H1258" s="14">
        <v>9.3000000000000007</v>
      </c>
      <c r="I1258" s="14">
        <v>28080.720000000001</v>
      </c>
      <c r="J1258" s="12" t="s">
        <v>110</v>
      </c>
      <c r="K1258" s="12" t="s">
        <v>111</v>
      </c>
      <c r="L1258" s="23" t="str">
        <f>VLOOKUP(D1258,Products!$A:$F,3,FALSE)</f>
        <v>Electronics</v>
      </c>
      <c r="M1258" s="23" t="str">
        <f>VLOOKUP(E1258,Sales_Reps!$A:$E,3,FALSE)</f>
        <v>East</v>
      </c>
      <c r="N1258" s="23" t="str">
        <f t="shared" si="57"/>
        <v>Jul-24</v>
      </c>
      <c r="O1258" s="23" t="str">
        <f t="shared" si="58"/>
        <v>Q3 2024</v>
      </c>
      <c r="P1258" s="23">
        <f>VLOOKUP(D1258,Products!$A:$F,4,FALSE)</f>
        <v>1559</v>
      </c>
      <c r="Q1258" s="35">
        <f t="shared" si="59"/>
        <v>0.59715762273901807</v>
      </c>
    </row>
    <row r="1259" spans="1:17">
      <c r="A1259" s="12" t="s">
        <v>1761</v>
      </c>
      <c r="B1259" s="13">
        <v>45457</v>
      </c>
      <c r="C1259" s="12" t="s">
        <v>742</v>
      </c>
      <c r="D1259" s="12" t="s">
        <v>152</v>
      </c>
      <c r="E1259" s="12" t="s">
        <v>255</v>
      </c>
      <c r="F1259" s="14">
        <v>10</v>
      </c>
      <c r="G1259" s="14">
        <v>2640</v>
      </c>
      <c r="H1259" s="14">
        <v>19.899999999999999</v>
      </c>
      <c r="I1259" s="14">
        <v>21146.400000000001</v>
      </c>
      <c r="J1259" s="12" t="s">
        <v>104</v>
      </c>
      <c r="K1259" s="12" t="s">
        <v>116</v>
      </c>
      <c r="L1259" s="23" t="str">
        <f>VLOOKUP(D1259,Products!$A:$F,3,FALSE)</f>
        <v>Electronics</v>
      </c>
      <c r="M1259" s="23" t="str">
        <f>VLOOKUP(E1259,Sales_Reps!$A:$E,3,FALSE)</f>
        <v>East</v>
      </c>
      <c r="N1259" s="23" t="str">
        <f t="shared" si="57"/>
        <v>Jun-24</v>
      </c>
      <c r="O1259" s="23" t="str">
        <f t="shared" si="58"/>
        <v>Q2 2024</v>
      </c>
      <c r="P1259" s="23">
        <f>VLOOKUP(D1259,Products!$A:$F,4,FALSE)</f>
        <v>1149</v>
      </c>
      <c r="Q1259" s="35">
        <f t="shared" si="59"/>
        <v>0.56477272727272732</v>
      </c>
    </row>
    <row r="1260" spans="1:17">
      <c r="A1260" s="12" t="s">
        <v>1762</v>
      </c>
      <c r="B1260" s="13">
        <v>45508</v>
      </c>
      <c r="C1260" s="12" t="s">
        <v>638</v>
      </c>
      <c r="D1260" s="12" t="s">
        <v>460</v>
      </c>
      <c r="E1260" s="12" t="s">
        <v>103</v>
      </c>
      <c r="F1260" s="14">
        <v>1</v>
      </c>
      <c r="G1260" s="14">
        <v>5080</v>
      </c>
      <c r="H1260" s="14">
        <v>8.6</v>
      </c>
      <c r="I1260" s="14">
        <v>4643.12</v>
      </c>
      <c r="J1260" s="12" t="s">
        <v>104</v>
      </c>
      <c r="K1260" s="12" t="s">
        <v>111</v>
      </c>
      <c r="L1260" s="23" t="str">
        <f>VLOOKUP(D1260,Products!$A:$F,3,FALSE)</f>
        <v>Home</v>
      </c>
      <c r="M1260" s="23" t="str">
        <f>VLOOKUP(E1260,Sales_Reps!$A:$E,3,FALSE)</f>
        <v>North</v>
      </c>
      <c r="N1260" s="23" t="str">
        <f t="shared" si="57"/>
        <v>Aug-24</v>
      </c>
      <c r="O1260" s="23" t="str">
        <f t="shared" si="58"/>
        <v>Q3 2024</v>
      </c>
      <c r="P1260" s="23">
        <f>VLOOKUP(D1260,Products!$A:$F,4,FALSE)</f>
        <v>2459</v>
      </c>
      <c r="Q1260" s="35">
        <f t="shared" si="59"/>
        <v>0.51594488188976373</v>
      </c>
    </row>
    <row r="1261" spans="1:17">
      <c r="A1261" s="12" t="s">
        <v>1763</v>
      </c>
      <c r="B1261" s="13">
        <v>45399</v>
      </c>
      <c r="C1261" s="12" t="s">
        <v>717</v>
      </c>
      <c r="D1261" s="12" t="s">
        <v>160</v>
      </c>
      <c r="E1261" s="12" t="s">
        <v>320</v>
      </c>
      <c r="F1261" s="14">
        <v>9</v>
      </c>
      <c r="G1261" s="14">
        <v>3250</v>
      </c>
      <c r="H1261" s="14">
        <v>18.2</v>
      </c>
      <c r="I1261" s="14">
        <v>23926.5</v>
      </c>
      <c r="J1261" s="12" t="s">
        <v>110</v>
      </c>
      <c r="K1261" s="12" t="s">
        <v>111</v>
      </c>
      <c r="L1261" s="23" t="str">
        <f>VLOOKUP(D1261,Products!$A:$F,3,FALSE)</f>
        <v>Home</v>
      </c>
      <c r="M1261" s="23" t="str">
        <f>VLOOKUP(E1261,Sales_Reps!$A:$E,3,FALSE)</f>
        <v>East</v>
      </c>
      <c r="N1261" s="23" t="str">
        <f t="shared" si="57"/>
        <v>Apr-24</v>
      </c>
      <c r="O1261" s="23" t="str">
        <f t="shared" si="58"/>
        <v>Q2 2024</v>
      </c>
      <c r="P1261" s="23">
        <f>VLOOKUP(D1261,Products!$A:$F,4,FALSE)</f>
        <v>1556</v>
      </c>
      <c r="Q1261" s="35">
        <f t="shared" si="59"/>
        <v>0.52123076923076928</v>
      </c>
    </row>
    <row r="1262" spans="1:17">
      <c r="A1262" s="12" t="s">
        <v>1764</v>
      </c>
      <c r="B1262" s="13">
        <v>45607</v>
      </c>
      <c r="C1262" s="12" t="s">
        <v>180</v>
      </c>
      <c r="D1262" s="12" t="s">
        <v>425</v>
      </c>
      <c r="E1262" s="12" t="s">
        <v>314</v>
      </c>
      <c r="F1262" s="14">
        <v>8</v>
      </c>
      <c r="G1262" s="14">
        <v>3970</v>
      </c>
      <c r="H1262" s="14">
        <v>22.4</v>
      </c>
      <c r="I1262" s="14">
        <v>24645.759999999998</v>
      </c>
      <c r="J1262" s="12" t="s">
        <v>104</v>
      </c>
      <c r="K1262" s="12" t="s">
        <v>111</v>
      </c>
      <c r="L1262" s="23" t="str">
        <f>VLOOKUP(D1262,Products!$A:$F,3,FALSE)</f>
        <v>Electronics</v>
      </c>
      <c r="M1262" s="23" t="str">
        <f>VLOOKUP(E1262,Sales_Reps!$A:$E,3,FALSE)</f>
        <v>North</v>
      </c>
      <c r="N1262" s="23" t="str">
        <f t="shared" si="57"/>
        <v>Nov-24</v>
      </c>
      <c r="O1262" s="23" t="str">
        <f t="shared" si="58"/>
        <v>Q4 2024</v>
      </c>
      <c r="P1262" s="23">
        <f>VLOOKUP(D1262,Products!$A:$F,4,FALSE)</f>
        <v>2865</v>
      </c>
      <c r="Q1262" s="35">
        <f t="shared" si="59"/>
        <v>0.27833753148614609</v>
      </c>
    </row>
    <row r="1263" spans="1:17">
      <c r="A1263" s="12" t="s">
        <v>1765</v>
      </c>
      <c r="B1263" s="13">
        <v>45407</v>
      </c>
      <c r="C1263" s="12" t="s">
        <v>474</v>
      </c>
      <c r="D1263" s="12" t="s">
        <v>220</v>
      </c>
      <c r="E1263" s="12" t="s">
        <v>255</v>
      </c>
      <c r="F1263" s="14">
        <v>3</v>
      </c>
      <c r="G1263" s="14">
        <v>660</v>
      </c>
      <c r="H1263" s="14">
        <v>3.1</v>
      </c>
      <c r="I1263" s="14">
        <v>1918.62</v>
      </c>
      <c r="J1263" s="12" t="s">
        <v>104</v>
      </c>
      <c r="K1263" s="12" t="s">
        <v>105</v>
      </c>
      <c r="L1263" s="23" t="str">
        <f>VLOOKUP(D1263,Products!$A:$F,3,FALSE)</f>
        <v>Home</v>
      </c>
      <c r="M1263" s="23" t="str">
        <f>VLOOKUP(E1263,Sales_Reps!$A:$E,3,FALSE)</f>
        <v>East</v>
      </c>
      <c r="N1263" s="23" t="str">
        <f t="shared" si="57"/>
        <v>Apr-24</v>
      </c>
      <c r="O1263" s="23" t="str">
        <f t="shared" si="58"/>
        <v>Q2 2024</v>
      </c>
      <c r="P1263" s="23">
        <f>VLOOKUP(D1263,Products!$A:$F,4,FALSE)</f>
        <v>329</v>
      </c>
      <c r="Q1263" s="35">
        <f t="shared" si="59"/>
        <v>0.50151515151515147</v>
      </c>
    </row>
    <row r="1264" spans="1:17">
      <c r="A1264" s="12" t="s">
        <v>1766</v>
      </c>
      <c r="B1264" s="13">
        <v>45357</v>
      </c>
      <c r="C1264" s="12" t="s">
        <v>1248</v>
      </c>
      <c r="D1264" s="12" t="s">
        <v>155</v>
      </c>
      <c r="E1264" s="12" t="s">
        <v>302</v>
      </c>
      <c r="F1264" s="14">
        <v>7</v>
      </c>
      <c r="G1264" s="14">
        <v>2600</v>
      </c>
      <c r="H1264" s="14">
        <v>15.4</v>
      </c>
      <c r="I1264" s="14">
        <v>15397.2</v>
      </c>
      <c r="J1264" s="12" t="s">
        <v>104</v>
      </c>
      <c r="K1264" s="12" t="s">
        <v>105</v>
      </c>
      <c r="L1264" s="23" t="str">
        <f>VLOOKUP(D1264,Products!$A:$F,3,FALSE)</f>
        <v>Electronics</v>
      </c>
      <c r="M1264" s="23" t="str">
        <f>VLOOKUP(E1264,Sales_Reps!$A:$E,3,FALSE)</f>
        <v>East</v>
      </c>
      <c r="N1264" s="23" t="str">
        <f t="shared" si="57"/>
        <v>Mar-24</v>
      </c>
      <c r="O1264" s="23" t="str">
        <f t="shared" si="58"/>
        <v>Q1 2024</v>
      </c>
      <c r="P1264" s="23">
        <f>VLOOKUP(D1264,Products!$A:$F,4,FALSE)</f>
        <v>1052</v>
      </c>
      <c r="Q1264" s="35">
        <f t="shared" si="59"/>
        <v>0.5953846153846154</v>
      </c>
    </row>
    <row r="1265" spans="1:17">
      <c r="A1265" s="12" t="s">
        <v>1767</v>
      </c>
      <c r="B1265" s="13">
        <v>45565</v>
      </c>
      <c r="C1265" s="12" t="s">
        <v>625</v>
      </c>
      <c r="D1265" s="12" t="s">
        <v>220</v>
      </c>
      <c r="E1265" s="12" t="s">
        <v>205</v>
      </c>
      <c r="F1265" s="14">
        <v>9</v>
      </c>
      <c r="G1265" s="14">
        <v>660</v>
      </c>
      <c r="H1265" s="14">
        <v>23.7</v>
      </c>
      <c r="I1265" s="14">
        <v>4532.22</v>
      </c>
      <c r="J1265" s="12" t="s">
        <v>104</v>
      </c>
      <c r="K1265" s="12" t="s">
        <v>105</v>
      </c>
      <c r="L1265" s="23" t="str">
        <f>VLOOKUP(D1265,Products!$A:$F,3,FALSE)</f>
        <v>Home</v>
      </c>
      <c r="M1265" s="23" t="str">
        <f>VLOOKUP(E1265,Sales_Reps!$A:$E,3,FALSE)</f>
        <v>South</v>
      </c>
      <c r="N1265" s="23" t="str">
        <f t="shared" si="57"/>
        <v>Sep-24</v>
      </c>
      <c r="O1265" s="23" t="str">
        <f t="shared" si="58"/>
        <v>Q3 2024</v>
      </c>
      <c r="P1265" s="23">
        <f>VLOOKUP(D1265,Products!$A:$F,4,FALSE)</f>
        <v>329</v>
      </c>
      <c r="Q1265" s="35">
        <f t="shared" si="59"/>
        <v>0.50151515151515147</v>
      </c>
    </row>
    <row r="1266" spans="1:17">
      <c r="A1266" s="12" t="s">
        <v>1768</v>
      </c>
      <c r="B1266" s="13">
        <v>45395</v>
      </c>
      <c r="C1266" s="12" t="s">
        <v>275</v>
      </c>
      <c r="D1266" s="12" t="s">
        <v>384</v>
      </c>
      <c r="E1266" s="12" t="s">
        <v>175</v>
      </c>
      <c r="F1266" s="14">
        <v>3</v>
      </c>
      <c r="G1266" s="14">
        <v>2380</v>
      </c>
      <c r="H1266" s="14">
        <v>19.5</v>
      </c>
      <c r="I1266" s="14">
        <v>5747.7</v>
      </c>
      <c r="J1266" s="12" t="s">
        <v>157</v>
      </c>
      <c r="K1266" s="12" t="s">
        <v>116</v>
      </c>
      <c r="L1266" s="23" t="str">
        <f>VLOOKUP(D1266,Products!$A:$F,3,FALSE)</f>
        <v>Grocery</v>
      </c>
      <c r="M1266" s="23" t="str">
        <f>VLOOKUP(E1266,Sales_Reps!$A:$E,3,FALSE)</f>
        <v>East</v>
      </c>
      <c r="N1266" s="23" t="str">
        <f t="shared" si="57"/>
        <v>Apr-24</v>
      </c>
      <c r="O1266" s="23" t="str">
        <f t="shared" si="58"/>
        <v>Q2 2024</v>
      </c>
      <c r="P1266" s="23">
        <f>VLOOKUP(D1266,Products!$A:$F,4,FALSE)</f>
        <v>1182</v>
      </c>
      <c r="Q1266" s="35">
        <f t="shared" si="59"/>
        <v>0.50336134453781511</v>
      </c>
    </row>
    <row r="1267" spans="1:17">
      <c r="A1267" s="12" t="s">
        <v>1769</v>
      </c>
      <c r="B1267" s="13">
        <v>45624</v>
      </c>
      <c r="C1267" s="12" t="s">
        <v>345</v>
      </c>
      <c r="D1267" s="12" t="s">
        <v>193</v>
      </c>
      <c r="E1267" s="12" t="s">
        <v>149</v>
      </c>
      <c r="F1267" s="14">
        <v>9</v>
      </c>
      <c r="G1267" s="14">
        <v>1650</v>
      </c>
      <c r="H1267" s="14">
        <v>2.5</v>
      </c>
      <c r="I1267" s="14">
        <v>14478.75</v>
      </c>
      <c r="J1267" s="12" t="s">
        <v>104</v>
      </c>
      <c r="K1267" s="12" t="s">
        <v>111</v>
      </c>
      <c r="L1267" s="23" t="str">
        <f>VLOOKUP(D1267,Products!$A:$F,3,FALSE)</f>
        <v>Beauty</v>
      </c>
      <c r="M1267" s="23" t="str">
        <f>VLOOKUP(E1267,Sales_Reps!$A:$E,3,FALSE)</f>
        <v>South</v>
      </c>
      <c r="N1267" s="23" t="str">
        <f t="shared" si="57"/>
        <v>Nov-24</v>
      </c>
      <c r="O1267" s="23" t="str">
        <f t="shared" si="58"/>
        <v>Q4 2024</v>
      </c>
      <c r="P1267" s="23">
        <f>VLOOKUP(D1267,Products!$A:$F,4,FALSE)</f>
        <v>1222</v>
      </c>
      <c r="Q1267" s="35">
        <f t="shared" si="59"/>
        <v>0.2593939393939394</v>
      </c>
    </row>
    <row r="1268" spans="1:17">
      <c r="A1268" s="12" t="s">
        <v>1770</v>
      </c>
      <c r="B1268" s="13">
        <v>45650</v>
      </c>
      <c r="C1268" s="12" t="s">
        <v>1771</v>
      </c>
      <c r="D1268" s="12" t="s">
        <v>152</v>
      </c>
      <c r="E1268" s="12" t="s">
        <v>120</v>
      </c>
      <c r="F1268" s="14">
        <v>8</v>
      </c>
      <c r="G1268" s="14">
        <v>2640</v>
      </c>
      <c r="H1268" s="14">
        <v>24.4</v>
      </c>
      <c r="I1268" s="14">
        <v>15966.72</v>
      </c>
      <c r="J1268" s="12" t="s">
        <v>104</v>
      </c>
      <c r="K1268" s="12" t="s">
        <v>129</v>
      </c>
      <c r="L1268" s="23" t="str">
        <f>VLOOKUP(D1268,Products!$A:$F,3,FALSE)</f>
        <v>Electronics</v>
      </c>
      <c r="M1268" s="23" t="str">
        <f>VLOOKUP(E1268,Sales_Reps!$A:$E,3,FALSE)</f>
        <v>North</v>
      </c>
      <c r="N1268" s="23" t="str">
        <f t="shared" si="57"/>
        <v>Dec-24</v>
      </c>
      <c r="O1268" s="23" t="str">
        <f t="shared" si="58"/>
        <v>Q4 2024</v>
      </c>
      <c r="P1268" s="23">
        <f>VLOOKUP(D1268,Products!$A:$F,4,FALSE)</f>
        <v>1149</v>
      </c>
      <c r="Q1268" s="35">
        <f t="shared" si="59"/>
        <v>0.56477272727272732</v>
      </c>
    </row>
    <row r="1269" spans="1:17">
      <c r="A1269" s="12" t="s">
        <v>1772</v>
      </c>
      <c r="B1269" s="13">
        <v>45370</v>
      </c>
      <c r="C1269" s="12" t="s">
        <v>614</v>
      </c>
      <c r="D1269" s="12" t="s">
        <v>384</v>
      </c>
      <c r="E1269" s="12" t="s">
        <v>269</v>
      </c>
      <c r="F1269" s="14">
        <v>8</v>
      </c>
      <c r="G1269" s="14">
        <v>2380</v>
      </c>
      <c r="H1269" s="14">
        <v>24.2</v>
      </c>
      <c r="I1269" s="14">
        <v>14432.32</v>
      </c>
      <c r="J1269" s="12" t="s">
        <v>104</v>
      </c>
      <c r="K1269" s="12" t="s">
        <v>129</v>
      </c>
      <c r="L1269" s="23" t="str">
        <f>VLOOKUP(D1269,Products!$A:$F,3,FALSE)</f>
        <v>Grocery</v>
      </c>
      <c r="M1269" s="23" t="str">
        <f>VLOOKUP(E1269,Sales_Reps!$A:$E,3,FALSE)</f>
        <v>South</v>
      </c>
      <c r="N1269" s="23" t="str">
        <f t="shared" si="57"/>
        <v>Mar-24</v>
      </c>
      <c r="O1269" s="23" t="str">
        <f t="shared" si="58"/>
        <v>Q1 2024</v>
      </c>
      <c r="P1269" s="23">
        <f>VLOOKUP(D1269,Products!$A:$F,4,FALSE)</f>
        <v>1182</v>
      </c>
      <c r="Q1269" s="35">
        <f t="shared" si="59"/>
        <v>0.50336134453781511</v>
      </c>
    </row>
    <row r="1270" spans="1:17">
      <c r="A1270" s="12" t="s">
        <v>1773</v>
      </c>
      <c r="B1270" s="13">
        <v>45373</v>
      </c>
      <c r="C1270" s="12" t="s">
        <v>275</v>
      </c>
      <c r="D1270" s="12" t="s">
        <v>355</v>
      </c>
      <c r="E1270" s="12" t="s">
        <v>103</v>
      </c>
      <c r="F1270" s="14">
        <v>10</v>
      </c>
      <c r="G1270" s="14">
        <v>2210</v>
      </c>
      <c r="H1270" s="14">
        <v>3.6</v>
      </c>
      <c r="I1270" s="14">
        <v>21304.400000000001</v>
      </c>
      <c r="J1270" s="12" t="s">
        <v>104</v>
      </c>
      <c r="K1270" s="12" t="s">
        <v>116</v>
      </c>
      <c r="L1270" s="23" t="str">
        <f>VLOOKUP(D1270,Products!$A:$F,3,FALSE)</f>
        <v>Grocery</v>
      </c>
      <c r="M1270" s="23" t="str">
        <f>VLOOKUP(E1270,Sales_Reps!$A:$E,3,FALSE)</f>
        <v>North</v>
      </c>
      <c r="N1270" s="23" t="str">
        <f t="shared" si="57"/>
        <v>Mar-24</v>
      </c>
      <c r="O1270" s="23" t="str">
        <f t="shared" si="58"/>
        <v>Q1 2024</v>
      </c>
      <c r="P1270" s="23">
        <f>VLOOKUP(D1270,Products!$A:$F,4,FALSE)</f>
        <v>1010</v>
      </c>
      <c r="Q1270" s="35">
        <f t="shared" si="59"/>
        <v>0.54298642533936647</v>
      </c>
    </row>
    <row r="1271" spans="1:17">
      <c r="A1271" s="12" t="s">
        <v>1774</v>
      </c>
      <c r="B1271" s="13">
        <v>45391</v>
      </c>
      <c r="C1271" s="12" t="s">
        <v>852</v>
      </c>
      <c r="D1271" s="12" t="s">
        <v>258</v>
      </c>
      <c r="E1271" s="12" t="s">
        <v>320</v>
      </c>
      <c r="F1271" s="14">
        <v>9</v>
      </c>
      <c r="G1271" s="14">
        <v>6080</v>
      </c>
      <c r="H1271" s="14">
        <v>17.2</v>
      </c>
      <c r="I1271" s="14">
        <v>45308.160000000003</v>
      </c>
      <c r="J1271" s="12" t="s">
        <v>110</v>
      </c>
      <c r="K1271" s="12" t="s">
        <v>134</v>
      </c>
      <c r="L1271" s="23" t="str">
        <f>VLOOKUP(D1271,Products!$A:$F,3,FALSE)</f>
        <v>Beauty</v>
      </c>
      <c r="M1271" s="23" t="str">
        <f>VLOOKUP(E1271,Sales_Reps!$A:$E,3,FALSE)</f>
        <v>East</v>
      </c>
      <c r="N1271" s="23" t="str">
        <f t="shared" si="57"/>
        <v>Apr-24</v>
      </c>
      <c r="O1271" s="23" t="str">
        <f t="shared" si="58"/>
        <v>Q2 2024</v>
      </c>
      <c r="P1271" s="23">
        <f>VLOOKUP(D1271,Products!$A:$F,4,FALSE)</f>
        <v>2617</v>
      </c>
      <c r="Q1271" s="35">
        <f t="shared" si="59"/>
        <v>0.56957236842105263</v>
      </c>
    </row>
    <row r="1272" spans="1:17">
      <c r="A1272" s="12" t="s">
        <v>1775</v>
      </c>
      <c r="B1272" s="13">
        <v>45332</v>
      </c>
      <c r="C1272" s="12" t="s">
        <v>714</v>
      </c>
      <c r="D1272" s="12" t="s">
        <v>199</v>
      </c>
      <c r="E1272" s="12" t="s">
        <v>302</v>
      </c>
      <c r="F1272" s="14">
        <v>8</v>
      </c>
      <c r="G1272" s="14">
        <v>1010</v>
      </c>
      <c r="H1272" s="14">
        <v>12.3</v>
      </c>
      <c r="I1272" s="14">
        <v>7086.16</v>
      </c>
      <c r="J1272" s="12" t="s">
        <v>104</v>
      </c>
      <c r="K1272" s="12" t="s">
        <v>150</v>
      </c>
      <c r="L1272" s="23" t="str">
        <f>VLOOKUP(D1272,Products!$A:$F,3,FALSE)</f>
        <v>Sports</v>
      </c>
      <c r="M1272" s="23" t="str">
        <f>VLOOKUP(E1272,Sales_Reps!$A:$E,3,FALSE)</f>
        <v>East</v>
      </c>
      <c r="N1272" s="23" t="str">
        <f t="shared" si="57"/>
        <v>Feb-24</v>
      </c>
      <c r="O1272" s="23" t="str">
        <f t="shared" si="58"/>
        <v>Q1 2024</v>
      </c>
      <c r="P1272" s="23">
        <f>VLOOKUP(D1272,Products!$A:$F,4,FALSE)</f>
        <v>516</v>
      </c>
      <c r="Q1272" s="35">
        <f t="shared" si="59"/>
        <v>0.4891089108910891</v>
      </c>
    </row>
    <row r="1273" spans="1:17">
      <c r="A1273" s="12" t="s">
        <v>1776</v>
      </c>
      <c r="B1273" s="13">
        <v>45582</v>
      </c>
      <c r="C1273" s="12" t="s">
        <v>965</v>
      </c>
      <c r="D1273" s="12" t="s">
        <v>119</v>
      </c>
      <c r="E1273" s="12" t="s">
        <v>290</v>
      </c>
      <c r="F1273" s="14">
        <v>8</v>
      </c>
      <c r="G1273" s="14">
        <v>3660</v>
      </c>
      <c r="H1273" s="14">
        <v>8.4</v>
      </c>
      <c r="I1273" s="14">
        <v>26820.48</v>
      </c>
      <c r="J1273" s="12" t="s">
        <v>104</v>
      </c>
      <c r="K1273" s="12" t="s">
        <v>105</v>
      </c>
      <c r="L1273" s="23" t="str">
        <f>VLOOKUP(D1273,Products!$A:$F,3,FALSE)</f>
        <v>Grocery</v>
      </c>
      <c r="M1273" s="23" t="str">
        <f>VLOOKUP(E1273,Sales_Reps!$A:$E,3,FALSE)</f>
        <v>South</v>
      </c>
      <c r="N1273" s="23" t="str">
        <f t="shared" si="57"/>
        <v>Oct-24</v>
      </c>
      <c r="O1273" s="23" t="str">
        <f t="shared" si="58"/>
        <v>Q4 2024</v>
      </c>
      <c r="P1273" s="23">
        <f>VLOOKUP(D1273,Products!$A:$F,4,FALSE)</f>
        <v>2214</v>
      </c>
      <c r="Q1273" s="35">
        <f t="shared" si="59"/>
        <v>0.39508196721311473</v>
      </c>
    </row>
    <row r="1274" spans="1:17">
      <c r="A1274" s="12" t="s">
        <v>1777</v>
      </c>
      <c r="B1274" s="13">
        <v>45443</v>
      </c>
      <c r="C1274" s="12" t="s">
        <v>1033</v>
      </c>
      <c r="D1274" s="12" t="s">
        <v>287</v>
      </c>
      <c r="E1274" s="12" t="s">
        <v>246</v>
      </c>
      <c r="F1274" s="14">
        <v>8</v>
      </c>
      <c r="G1274" s="14">
        <v>4610</v>
      </c>
      <c r="H1274" s="14">
        <v>15.4</v>
      </c>
      <c r="I1274" s="14">
        <v>31200.48</v>
      </c>
      <c r="J1274" s="12" t="s">
        <v>157</v>
      </c>
      <c r="K1274" s="12" t="s">
        <v>134</v>
      </c>
      <c r="L1274" s="23" t="str">
        <f>VLOOKUP(D1274,Products!$A:$F,3,FALSE)</f>
        <v>Home</v>
      </c>
      <c r="M1274" s="23" t="str">
        <f>VLOOKUP(E1274,Sales_Reps!$A:$E,3,FALSE)</f>
        <v>West</v>
      </c>
      <c r="N1274" s="23" t="str">
        <f t="shared" si="57"/>
        <v>May-24</v>
      </c>
      <c r="O1274" s="23" t="str">
        <f t="shared" si="58"/>
        <v>Q2 2024</v>
      </c>
      <c r="P1274" s="23">
        <f>VLOOKUP(D1274,Products!$A:$F,4,FALSE)</f>
        <v>1850</v>
      </c>
      <c r="Q1274" s="35">
        <f t="shared" si="59"/>
        <v>0.59869848156182215</v>
      </c>
    </row>
    <row r="1275" spans="1:17">
      <c r="A1275" s="12" t="s">
        <v>1778</v>
      </c>
      <c r="B1275" s="13">
        <v>45525</v>
      </c>
      <c r="C1275" s="12" t="s">
        <v>1033</v>
      </c>
      <c r="D1275" s="12" t="s">
        <v>208</v>
      </c>
      <c r="E1275" s="12" t="s">
        <v>120</v>
      </c>
      <c r="F1275" s="14">
        <v>9</v>
      </c>
      <c r="G1275" s="14">
        <v>5100</v>
      </c>
      <c r="H1275" s="14">
        <v>25.2</v>
      </c>
      <c r="I1275" s="14">
        <v>34333.199999999997</v>
      </c>
      <c r="J1275" s="12" t="s">
        <v>157</v>
      </c>
      <c r="K1275" s="12" t="s">
        <v>134</v>
      </c>
      <c r="L1275" s="23" t="str">
        <f>VLOOKUP(D1275,Products!$A:$F,3,FALSE)</f>
        <v>Beauty</v>
      </c>
      <c r="M1275" s="23" t="str">
        <f>VLOOKUP(E1275,Sales_Reps!$A:$E,3,FALSE)</f>
        <v>North</v>
      </c>
      <c r="N1275" s="23" t="str">
        <f t="shared" si="57"/>
        <v>Aug-24</v>
      </c>
      <c r="O1275" s="23" t="str">
        <f t="shared" si="58"/>
        <v>Q3 2024</v>
      </c>
      <c r="P1275" s="23">
        <f>VLOOKUP(D1275,Products!$A:$F,4,FALSE)</f>
        <v>2237</v>
      </c>
      <c r="Q1275" s="35">
        <f t="shared" si="59"/>
        <v>0.56137254901960787</v>
      </c>
    </row>
    <row r="1276" spans="1:17">
      <c r="A1276" s="12" t="s">
        <v>1779</v>
      </c>
      <c r="B1276" s="13">
        <v>45377</v>
      </c>
      <c r="C1276" s="12" t="s">
        <v>420</v>
      </c>
      <c r="D1276" s="12" t="s">
        <v>293</v>
      </c>
      <c r="E1276" s="12" t="s">
        <v>138</v>
      </c>
      <c r="F1276" s="14">
        <v>5</v>
      </c>
      <c r="G1276" s="14">
        <v>3020</v>
      </c>
      <c r="H1276" s="14">
        <v>23</v>
      </c>
      <c r="I1276" s="14">
        <v>11627</v>
      </c>
      <c r="J1276" s="12" t="s">
        <v>104</v>
      </c>
      <c r="K1276" s="12" t="s">
        <v>134</v>
      </c>
      <c r="L1276" s="23" t="str">
        <f>VLOOKUP(D1276,Products!$A:$F,3,FALSE)</f>
        <v>Beauty</v>
      </c>
      <c r="M1276" s="23" t="str">
        <f>VLOOKUP(E1276,Sales_Reps!$A:$E,3,FALSE)</f>
        <v>East</v>
      </c>
      <c r="N1276" s="23" t="str">
        <f t="shared" si="57"/>
        <v>Mar-24</v>
      </c>
      <c r="O1276" s="23" t="str">
        <f t="shared" si="58"/>
        <v>Q1 2024</v>
      </c>
      <c r="P1276" s="23">
        <f>VLOOKUP(D1276,Products!$A:$F,4,FALSE)</f>
        <v>1626</v>
      </c>
      <c r="Q1276" s="35">
        <f t="shared" si="59"/>
        <v>0.46158940397350995</v>
      </c>
    </row>
    <row r="1277" spans="1:17">
      <c r="A1277" s="12" t="s">
        <v>1780</v>
      </c>
      <c r="B1277" s="13">
        <v>45413</v>
      </c>
      <c r="C1277" s="12" t="s">
        <v>623</v>
      </c>
      <c r="D1277" s="12" t="s">
        <v>478</v>
      </c>
      <c r="E1277" s="12" t="s">
        <v>205</v>
      </c>
      <c r="F1277" s="14">
        <v>8</v>
      </c>
      <c r="G1277" s="14">
        <v>3780</v>
      </c>
      <c r="H1277" s="14">
        <v>17.100000000000001</v>
      </c>
      <c r="I1277" s="14">
        <v>25068.959999999999</v>
      </c>
      <c r="J1277" s="12" t="s">
        <v>104</v>
      </c>
      <c r="K1277" s="12" t="s">
        <v>129</v>
      </c>
      <c r="L1277" s="23" t="str">
        <f>VLOOKUP(D1277,Products!$A:$F,3,FALSE)</f>
        <v>Sports</v>
      </c>
      <c r="M1277" s="23" t="str">
        <f>VLOOKUP(E1277,Sales_Reps!$A:$E,3,FALSE)</f>
        <v>South</v>
      </c>
      <c r="N1277" s="23" t="str">
        <f t="shared" si="57"/>
        <v>May-24</v>
      </c>
      <c r="O1277" s="23" t="str">
        <f t="shared" si="58"/>
        <v>Q2 2024</v>
      </c>
      <c r="P1277" s="23">
        <f>VLOOKUP(D1277,Products!$A:$F,4,FALSE)</f>
        <v>1860</v>
      </c>
      <c r="Q1277" s="35">
        <f t="shared" si="59"/>
        <v>0.50793650793650791</v>
      </c>
    </row>
    <row r="1278" spans="1:17">
      <c r="A1278" s="12" t="s">
        <v>1781</v>
      </c>
      <c r="B1278" s="13">
        <v>45437</v>
      </c>
      <c r="C1278" s="12" t="s">
        <v>214</v>
      </c>
      <c r="D1278" s="12" t="s">
        <v>355</v>
      </c>
      <c r="E1278" s="12" t="s">
        <v>232</v>
      </c>
      <c r="F1278" s="14">
        <v>10</v>
      </c>
      <c r="G1278" s="14">
        <v>2210</v>
      </c>
      <c r="H1278" s="14">
        <v>8.5</v>
      </c>
      <c r="I1278" s="14">
        <v>20221.5</v>
      </c>
      <c r="J1278" s="12" t="s">
        <v>104</v>
      </c>
      <c r="K1278" s="12" t="s">
        <v>105</v>
      </c>
      <c r="L1278" s="23" t="str">
        <f>VLOOKUP(D1278,Products!$A:$F,3,FALSE)</f>
        <v>Grocery</v>
      </c>
      <c r="M1278" s="23" t="str">
        <f>VLOOKUP(E1278,Sales_Reps!$A:$E,3,FALSE)</f>
        <v>North</v>
      </c>
      <c r="N1278" s="23" t="str">
        <f t="shared" si="57"/>
        <v>May-24</v>
      </c>
      <c r="O1278" s="23" t="str">
        <f t="shared" si="58"/>
        <v>Q2 2024</v>
      </c>
      <c r="P1278" s="23">
        <f>VLOOKUP(D1278,Products!$A:$F,4,FALSE)</f>
        <v>1010</v>
      </c>
      <c r="Q1278" s="35">
        <f t="shared" si="59"/>
        <v>0.54298642533936647</v>
      </c>
    </row>
    <row r="1279" spans="1:17">
      <c r="A1279" s="12" t="s">
        <v>1782</v>
      </c>
      <c r="B1279" s="13">
        <v>45604</v>
      </c>
      <c r="C1279" s="12" t="s">
        <v>1248</v>
      </c>
      <c r="D1279" s="12" t="s">
        <v>355</v>
      </c>
      <c r="E1279" s="12" t="s">
        <v>205</v>
      </c>
      <c r="F1279" s="14">
        <v>4</v>
      </c>
      <c r="G1279" s="14">
        <v>2210</v>
      </c>
      <c r="H1279" s="14">
        <v>3.1</v>
      </c>
      <c r="I1279" s="14">
        <v>8565.9599999999991</v>
      </c>
      <c r="J1279" s="12" t="s">
        <v>104</v>
      </c>
      <c r="K1279" s="12" t="s">
        <v>105</v>
      </c>
      <c r="L1279" s="23" t="str">
        <f>VLOOKUP(D1279,Products!$A:$F,3,FALSE)</f>
        <v>Grocery</v>
      </c>
      <c r="M1279" s="23" t="str">
        <f>VLOOKUP(E1279,Sales_Reps!$A:$E,3,FALSE)</f>
        <v>South</v>
      </c>
      <c r="N1279" s="23" t="str">
        <f t="shared" si="57"/>
        <v>Nov-24</v>
      </c>
      <c r="O1279" s="23" t="str">
        <f t="shared" si="58"/>
        <v>Q4 2024</v>
      </c>
      <c r="P1279" s="23">
        <f>VLOOKUP(D1279,Products!$A:$F,4,FALSE)</f>
        <v>1010</v>
      </c>
      <c r="Q1279" s="35">
        <f t="shared" si="59"/>
        <v>0.54298642533936647</v>
      </c>
    </row>
    <row r="1280" spans="1:17">
      <c r="A1280" s="12" t="s">
        <v>1783</v>
      </c>
      <c r="B1280" s="13">
        <v>45540</v>
      </c>
      <c r="C1280" s="12" t="s">
        <v>477</v>
      </c>
      <c r="D1280" s="12" t="s">
        <v>193</v>
      </c>
      <c r="E1280" s="12" t="s">
        <v>205</v>
      </c>
      <c r="F1280" s="14">
        <v>1</v>
      </c>
      <c r="G1280" s="14">
        <v>1650</v>
      </c>
      <c r="H1280" s="14">
        <v>10</v>
      </c>
      <c r="I1280" s="14">
        <v>1485</v>
      </c>
      <c r="J1280" s="12" t="s">
        <v>104</v>
      </c>
      <c r="K1280" s="12" t="s">
        <v>105</v>
      </c>
      <c r="L1280" s="23" t="str">
        <f>VLOOKUP(D1280,Products!$A:$F,3,FALSE)</f>
        <v>Beauty</v>
      </c>
      <c r="M1280" s="23" t="str">
        <f>VLOOKUP(E1280,Sales_Reps!$A:$E,3,FALSE)</f>
        <v>South</v>
      </c>
      <c r="N1280" s="23" t="str">
        <f t="shared" si="57"/>
        <v>Sep-24</v>
      </c>
      <c r="O1280" s="23" t="str">
        <f t="shared" si="58"/>
        <v>Q3 2024</v>
      </c>
      <c r="P1280" s="23">
        <f>VLOOKUP(D1280,Products!$A:$F,4,FALSE)</f>
        <v>1222</v>
      </c>
      <c r="Q1280" s="35">
        <f t="shared" si="59"/>
        <v>0.2593939393939394</v>
      </c>
    </row>
    <row r="1281" spans="1:17">
      <c r="A1281" s="12" t="s">
        <v>1784</v>
      </c>
      <c r="B1281" s="13">
        <v>45597</v>
      </c>
      <c r="C1281" s="12" t="s">
        <v>428</v>
      </c>
      <c r="D1281" s="12" t="s">
        <v>164</v>
      </c>
      <c r="E1281" s="12" t="s">
        <v>109</v>
      </c>
      <c r="F1281" s="14">
        <v>6</v>
      </c>
      <c r="G1281" s="14">
        <v>190</v>
      </c>
      <c r="H1281" s="14">
        <v>3.5</v>
      </c>
      <c r="I1281" s="14">
        <v>1100.0999999999999</v>
      </c>
      <c r="J1281" s="12" t="s">
        <v>157</v>
      </c>
      <c r="K1281" s="12" t="s">
        <v>129</v>
      </c>
      <c r="L1281" s="23" t="str">
        <f>VLOOKUP(D1281,Products!$A:$F,3,FALSE)</f>
        <v>Sports</v>
      </c>
      <c r="M1281" s="23" t="str">
        <f>VLOOKUP(E1281,Sales_Reps!$A:$E,3,FALSE)</f>
        <v>North</v>
      </c>
      <c r="N1281" s="23" t="str">
        <f t="shared" si="57"/>
        <v>Nov-24</v>
      </c>
      <c r="O1281" s="23" t="str">
        <f t="shared" si="58"/>
        <v>Q4 2024</v>
      </c>
      <c r="P1281" s="23">
        <f>VLOOKUP(D1281,Products!$A:$F,4,FALSE)</f>
        <v>147</v>
      </c>
      <c r="Q1281" s="35">
        <f t="shared" si="59"/>
        <v>0.22631578947368422</v>
      </c>
    </row>
    <row r="1282" spans="1:17">
      <c r="A1282" s="12" t="s">
        <v>1785</v>
      </c>
      <c r="B1282" s="13">
        <v>45589</v>
      </c>
      <c r="C1282" s="12" t="s">
        <v>411</v>
      </c>
      <c r="D1282" s="12" t="s">
        <v>212</v>
      </c>
      <c r="E1282" s="12" t="s">
        <v>360</v>
      </c>
      <c r="F1282" s="14">
        <v>8</v>
      </c>
      <c r="G1282" s="14">
        <v>2860</v>
      </c>
      <c r="H1282" s="14">
        <v>14.7</v>
      </c>
      <c r="I1282" s="14">
        <v>19516.64</v>
      </c>
      <c r="J1282" s="12" t="s">
        <v>104</v>
      </c>
      <c r="K1282" s="12" t="s">
        <v>134</v>
      </c>
      <c r="L1282" s="23" t="str">
        <f>VLOOKUP(D1282,Products!$A:$F,3,FALSE)</f>
        <v>Sports</v>
      </c>
      <c r="M1282" s="23" t="str">
        <f>VLOOKUP(E1282,Sales_Reps!$A:$E,3,FALSE)</f>
        <v>West</v>
      </c>
      <c r="N1282" s="23" t="str">
        <f t="shared" si="57"/>
        <v>Oct-24</v>
      </c>
      <c r="O1282" s="23" t="str">
        <f t="shared" si="58"/>
        <v>Q4 2024</v>
      </c>
      <c r="P1282" s="23">
        <f>VLOOKUP(D1282,Products!$A:$F,4,FALSE)</f>
        <v>2028</v>
      </c>
      <c r="Q1282" s="35">
        <f t="shared" si="59"/>
        <v>0.29090909090909089</v>
      </c>
    </row>
    <row r="1283" spans="1:17">
      <c r="A1283" s="12" t="s">
        <v>1786</v>
      </c>
      <c r="B1283" s="13">
        <v>45448</v>
      </c>
      <c r="C1283" s="12" t="s">
        <v>236</v>
      </c>
      <c r="D1283" s="12" t="s">
        <v>299</v>
      </c>
      <c r="E1283" s="12" t="s">
        <v>187</v>
      </c>
      <c r="F1283" s="14">
        <v>9</v>
      </c>
      <c r="G1283" s="14">
        <v>300</v>
      </c>
      <c r="H1283" s="14">
        <v>19.5</v>
      </c>
      <c r="I1283" s="14">
        <v>2173.5</v>
      </c>
      <c r="J1283" s="12" t="s">
        <v>104</v>
      </c>
      <c r="K1283" s="12" t="s">
        <v>116</v>
      </c>
      <c r="L1283" s="23" t="str">
        <f>VLOOKUP(D1283,Products!$A:$F,3,FALSE)</f>
        <v>Electronics</v>
      </c>
      <c r="M1283" s="23" t="str">
        <f>VLOOKUP(E1283,Sales_Reps!$A:$E,3,FALSE)</f>
        <v>West</v>
      </c>
      <c r="N1283" s="23" t="str">
        <f t="shared" ref="N1283:N1346" si="60">TEXT(B1283, "mmm-yy")</f>
        <v>Jun-24</v>
      </c>
      <c r="O1283" s="23" t="str">
        <f t="shared" ref="O1283:O1346" si="61">"Q" &amp; INT((MONTH(B1283)-1)/3)+1 &amp; " " &amp; YEAR(B1283)</f>
        <v>Q2 2024</v>
      </c>
      <c r="P1283" s="23">
        <f>VLOOKUP(D1283,Products!$A:$F,4,FALSE)</f>
        <v>128</v>
      </c>
      <c r="Q1283" s="35">
        <f t="shared" ref="Q1283:Q1346" si="62">(G1283 - P1283) / G1283</f>
        <v>0.57333333333333336</v>
      </c>
    </row>
    <row r="1284" spans="1:17">
      <c r="A1284" s="12" t="s">
        <v>1787</v>
      </c>
      <c r="B1284" s="13">
        <v>45608</v>
      </c>
      <c r="C1284" s="12" t="s">
        <v>987</v>
      </c>
      <c r="D1284" s="12" t="s">
        <v>397</v>
      </c>
      <c r="E1284" s="12" t="s">
        <v>103</v>
      </c>
      <c r="F1284" s="14">
        <v>10</v>
      </c>
      <c r="G1284" s="14">
        <v>960</v>
      </c>
      <c r="H1284" s="14">
        <v>9.6999999999999993</v>
      </c>
      <c r="I1284" s="14">
        <v>8668.7999999999993</v>
      </c>
      <c r="J1284" s="12" t="s">
        <v>104</v>
      </c>
      <c r="K1284" s="12" t="s">
        <v>129</v>
      </c>
      <c r="L1284" s="23" t="str">
        <f>VLOOKUP(D1284,Products!$A:$F,3,FALSE)</f>
        <v>Beauty</v>
      </c>
      <c r="M1284" s="23" t="str">
        <f>VLOOKUP(E1284,Sales_Reps!$A:$E,3,FALSE)</f>
        <v>North</v>
      </c>
      <c r="N1284" s="23" t="str">
        <f t="shared" si="60"/>
        <v>Nov-24</v>
      </c>
      <c r="O1284" s="23" t="str">
        <f t="shared" si="61"/>
        <v>Q4 2024</v>
      </c>
      <c r="P1284" s="23">
        <f>VLOOKUP(D1284,Products!$A:$F,4,FALSE)</f>
        <v>675</v>
      </c>
      <c r="Q1284" s="35">
        <f t="shared" si="62"/>
        <v>0.296875</v>
      </c>
    </row>
    <row r="1285" spans="1:17">
      <c r="A1285" s="12" t="s">
        <v>1788</v>
      </c>
      <c r="B1285" s="13">
        <v>45421</v>
      </c>
      <c r="C1285" s="12" t="s">
        <v>962</v>
      </c>
      <c r="D1285" s="12" t="s">
        <v>108</v>
      </c>
      <c r="E1285" s="12" t="s">
        <v>269</v>
      </c>
      <c r="F1285" s="14">
        <v>5</v>
      </c>
      <c r="G1285" s="14">
        <v>820</v>
      </c>
      <c r="H1285" s="14">
        <v>0.5</v>
      </c>
      <c r="I1285" s="14">
        <v>4079.5</v>
      </c>
      <c r="J1285" s="12" t="s">
        <v>104</v>
      </c>
      <c r="K1285" s="12" t="s">
        <v>105</v>
      </c>
      <c r="L1285" s="23" t="str">
        <f>VLOOKUP(D1285,Products!$A:$F,3,FALSE)</f>
        <v>Apparel</v>
      </c>
      <c r="M1285" s="23" t="str">
        <f>VLOOKUP(E1285,Sales_Reps!$A:$E,3,FALSE)</f>
        <v>South</v>
      </c>
      <c r="N1285" s="23" t="str">
        <f t="shared" si="60"/>
        <v>May-24</v>
      </c>
      <c r="O1285" s="23" t="str">
        <f t="shared" si="61"/>
        <v>Q2 2024</v>
      </c>
      <c r="P1285" s="23">
        <f>VLOOKUP(D1285,Products!$A:$F,4,FALSE)</f>
        <v>391</v>
      </c>
      <c r="Q1285" s="35">
        <f t="shared" si="62"/>
        <v>0.52317073170731709</v>
      </c>
    </row>
    <row r="1286" spans="1:17">
      <c r="A1286" s="12" t="s">
        <v>1789</v>
      </c>
      <c r="B1286" s="13">
        <v>45383</v>
      </c>
      <c r="C1286" s="12" t="s">
        <v>301</v>
      </c>
      <c r="D1286" s="12" t="s">
        <v>127</v>
      </c>
      <c r="E1286" s="12" t="s">
        <v>156</v>
      </c>
      <c r="F1286" s="14">
        <v>2</v>
      </c>
      <c r="G1286" s="14">
        <v>370</v>
      </c>
      <c r="H1286" s="14">
        <v>10.5</v>
      </c>
      <c r="I1286" s="14">
        <v>662.3</v>
      </c>
      <c r="J1286" s="12" t="s">
        <v>110</v>
      </c>
      <c r="K1286" s="12" t="s">
        <v>111</v>
      </c>
      <c r="L1286" s="23" t="str">
        <f>VLOOKUP(D1286,Products!$A:$F,3,FALSE)</f>
        <v>Home</v>
      </c>
      <c r="M1286" s="23" t="str">
        <f>VLOOKUP(E1286,Sales_Reps!$A:$E,3,FALSE)</f>
        <v>North</v>
      </c>
      <c r="N1286" s="23" t="str">
        <f t="shared" si="60"/>
        <v>Apr-24</v>
      </c>
      <c r="O1286" s="23" t="str">
        <f t="shared" si="61"/>
        <v>Q2 2024</v>
      </c>
      <c r="P1286" s="23">
        <f>VLOOKUP(D1286,Products!$A:$F,4,FALSE)</f>
        <v>288</v>
      </c>
      <c r="Q1286" s="35">
        <f t="shared" si="62"/>
        <v>0.22162162162162163</v>
      </c>
    </row>
    <row r="1287" spans="1:17">
      <c r="A1287" s="12" t="s">
        <v>1790</v>
      </c>
      <c r="B1287" s="13">
        <v>45453</v>
      </c>
      <c r="C1287" s="12" t="s">
        <v>703</v>
      </c>
      <c r="D1287" s="12" t="s">
        <v>141</v>
      </c>
      <c r="E1287" s="12" t="s">
        <v>171</v>
      </c>
      <c r="F1287" s="14">
        <v>9</v>
      </c>
      <c r="G1287" s="14">
        <v>5490</v>
      </c>
      <c r="H1287" s="14">
        <v>14.2</v>
      </c>
      <c r="I1287" s="14">
        <v>42393.78</v>
      </c>
      <c r="J1287" s="12" t="s">
        <v>157</v>
      </c>
      <c r="K1287" s="12" t="s">
        <v>129</v>
      </c>
      <c r="L1287" s="23" t="str">
        <f>VLOOKUP(D1287,Products!$A:$F,3,FALSE)</f>
        <v>Home</v>
      </c>
      <c r="M1287" s="23" t="str">
        <f>VLOOKUP(E1287,Sales_Reps!$A:$E,3,FALSE)</f>
        <v>East</v>
      </c>
      <c r="N1287" s="23" t="str">
        <f t="shared" si="60"/>
        <v>Jun-24</v>
      </c>
      <c r="O1287" s="23" t="str">
        <f t="shared" si="61"/>
        <v>Q2 2024</v>
      </c>
      <c r="P1287" s="23">
        <f>VLOOKUP(D1287,Products!$A:$F,4,FALSE)</f>
        <v>2549</v>
      </c>
      <c r="Q1287" s="35">
        <f t="shared" si="62"/>
        <v>0.53570127504553733</v>
      </c>
    </row>
    <row r="1288" spans="1:17">
      <c r="A1288" s="12" t="s">
        <v>1791</v>
      </c>
      <c r="B1288" s="13">
        <v>45398</v>
      </c>
      <c r="C1288" s="12" t="s">
        <v>900</v>
      </c>
      <c r="D1288" s="12" t="s">
        <v>127</v>
      </c>
      <c r="E1288" s="12" t="s">
        <v>320</v>
      </c>
      <c r="F1288" s="14">
        <v>3</v>
      </c>
      <c r="G1288" s="14">
        <v>370</v>
      </c>
      <c r="H1288" s="14">
        <v>18.399999999999999</v>
      </c>
      <c r="I1288" s="14">
        <v>905.76</v>
      </c>
      <c r="J1288" s="12" t="s">
        <v>104</v>
      </c>
      <c r="K1288" s="12" t="s">
        <v>150</v>
      </c>
      <c r="L1288" s="23" t="str">
        <f>VLOOKUP(D1288,Products!$A:$F,3,FALSE)</f>
        <v>Home</v>
      </c>
      <c r="M1288" s="23" t="str">
        <f>VLOOKUP(E1288,Sales_Reps!$A:$E,3,FALSE)</f>
        <v>East</v>
      </c>
      <c r="N1288" s="23" t="str">
        <f t="shared" si="60"/>
        <v>Apr-24</v>
      </c>
      <c r="O1288" s="23" t="str">
        <f t="shared" si="61"/>
        <v>Q2 2024</v>
      </c>
      <c r="P1288" s="23">
        <f>VLOOKUP(D1288,Products!$A:$F,4,FALSE)</f>
        <v>288</v>
      </c>
      <c r="Q1288" s="35">
        <f t="shared" si="62"/>
        <v>0.22162162162162163</v>
      </c>
    </row>
    <row r="1289" spans="1:17">
      <c r="A1289" s="12" t="s">
        <v>1792</v>
      </c>
      <c r="B1289" s="13">
        <v>45584</v>
      </c>
      <c r="C1289" s="12" t="s">
        <v>612</v>
      </c>
      <c r="D1289" s="12" t="s">
        <v>164</v>
      </c>
      <c r="E1289" s="12" t="s">
        <v>320</v>
      </c>
      <c r="F1289" s="14">
        <v>6</v>
      </c>
      <c r="G1289" s="14">
        <v>190</v>
      </c>
      <c r="H1289" s="14">
        <v>12.9</v>
      </c>
      <c r="I1289" s="14">
        <v>992.94</v>
      </c>
      <c r="J1289" s="12" t="s">
        <v>104</v>
      </c>
      <c r="K1289" s="12" t="s">
        <v>116</v>
      </c>
      <c r="L1289" s="23" t="str">
        <f>VLOOKUP(D1289,Products!$A:$F,3,FALSE)</f>
        <v>Sports</v>
      </c>
      <c r="M1289" s="23" t="str">
        <f>VLOOKUP(E1289,Sales_Reps!$A:$E,3,FALSE)</f>
        <v>East</v>
      </c>
      <c r="N1289" s="23" t="str">
        <f t="shared" si="60"/>
        <v>Oct-24</v>
      </c>
      <c r="O1289" s="23" t="str">
        <f t="shared" si="61"/>
        <v>Q4 2024</v>
      </c>
      <c r="P1289" s="23">
        <f>VLOOKUP(D1289,Products!$A:$F,4,FALSE)</f>
        <v>147</v>
      </c>
      <c r="Q1289" s="35">
        <f t="shared" si="62"/>
        <v>0.22631578947368422</v>
      </c>
    </row>
    <row r="1290" spans="1:17">
      <c r="A1290" s="12" t="s">
        <v>1793</v>
      </c>
      <c r="B1290" s="13">
        <v>45397</v>
      </c>
      <c r="C1290" s="12" t="s">
        <v>393</v>
      </c>
      <c r="D1290" s="12" t="s">
        <v>355</v>
      </c>
      <c r="E1290" s="12" t="s">
        <v>171</v>
      </c>
      <c r="F1290" s="14">
        <v>8</v>
      </c>
      <c r="G1290" s="14">
        <v>2210</v>
      </c>
      <c r="H1290" s="14">
        <v>9.8000000000000007</v>
      </c>
      <c r="I1290" s="14">
        <v>15947.36</v>
      </c>
      <c r="J1290" s="12" t="s">
        <v>104</v>
      </c>
      <c r="K1290" s="12" t="s">
        <v>134</v>
      </c>
      <c r="L1290" s="23" t="str">
        <f>VLOOKUP(D1290,Products!$A:$F,3,FALSE)</f>
        <v>Grocery</v>
      </c>
      <c r="M1290" s="23" t="str">
        <f>VLOOKUP(E1290,Sales_Reps!$A:$E,3,FALSE)</f>
        <v>East</v>
      </c>
      <c r="N1290" s="23" t="str">
        <f t="shared" si="60"/>
        <v>Apr-24</v>
      </c>
      <c r="O1290" s="23" t="str">
        <f t="shared" si="61"/>
        <v>Q2 2024</v>
      </c>
      <c r="P1290" s="23">
        <f>VLOOKUP(D1290,Products!$A:$F,4,FALSE)</f>
        <v>1010</v>
      </c>
      <c r="Q1290" s="35">
        <f t="shared" si="62"/>
        <v>0.54298642533936647</v>
      </c>
    </row>
    <row r="1291" spans="1:17">
      <c r="A1291" s="12" t="s">
        <v>1794</v>
      </c>
      <c r="B1291" s="13">
        <v>45453</v>
      </c>
      <c r="C1291" s="12" t="s">
        <v>446</v>
      </c>
      <c r="D1291" s="12" t="s">
        <v>193</v>
      </c>
      <c r="E1291" s="12" t="s">
        <v>221</v>
      </c>
      <c r="F1291" s="14">
        <v>7</v>
      </c>
      <c r="G1291" s="14">
        <v>1650</v>
      </c>
      <c r="H1291" s="14">
        <v>8.4</v>
      </c>
      <c r="I1291" s="14">
        <v>10579.8</v>
      </c>
      <c r="J1291" s="12" t="s">
        <v>104</v>
      </c>
      <c r="K1291" s="12" t="s">
        <v>134</v>
      </c>
      <c r="L1291" s="23" t="str">
        <f>VLOOKUP(D1291,Products!$A:$F,3,FALSE)</f>
        <v>Beauty</v>
      </c>
      <c r="M1291" s="23" t="str">
        <f>VLOOKUP(E1291,Sales_Reps!$A:$E,3,FALSE)</f>
        <v>South</v>
      </c>
      <c r="N1291" s="23" t="str">
        <f t="shared" si="60"/>
        <v>Jun-24</v>
      </c>
      <c r="O1291" s="23" t="str">
        <f t="shared" si="61"/>
        <v>Q2 2024</v>
      </c>
      <c r="P1291" s="23">
        <f>VLOOKUP(D1291,Products!$A:$F,4,FALSE)</f>
        <v>1222</v>
      </c>
      <c r="Q1291" s="35">
        <f t="shared" si="62"/>
        <v>0.2593939393939394</v>
      </c>
    </row>
    <row r="1292" spans="1:17">
      <c r="A1292" s="12" t="s">
        <v>1795</v>
      </c>
      <c r="B1292" s="13">
        <v>45359</v>
      </c>
      <c r="C1292" s="12" t="s">
        <v>840</v>
      </c>
      <c r="D1292" s="12" t="s">
        <v>220</v>
      </c>
      <c r="E1292" s="12" t="s">
        <v>269</v>
      </c>
      <c r="F1292" s="14">
        <v>8</v>
      </c>
      <c r="G1292" s="14">
        <v>660</v>
      </c>
      <c r="H1292" s="14">
        <v>7.5</v>
      </c>
      <c r="I1292" s="14">
        <v>4884</v>
      </c>
      <c r="J1292" s="12" t="s">
        <v>104</v>
      </c>
      <c r="K1292" s="12" t="s">
        <v>111</v>
      </c>
      <c r="L1292" s="23" t="str">
        <f>VLOOKUP(D1292,Products!$A:$F,3,FALSE)</f>
        <v>Home</v>
      </c>
      <c r="M1292" s="23" t="str">
        <f>VLOOKUP(E1292,Sales_Reps!$A:$E,3,FALSE)</f>
        <v>South</v>
      </c>
      <c r="N1292" s="23" t="str">
        <f t="shared" si="60"/>
        <v>Mar-24</v>
      </c>
      <c r="O1292" s="23" t="str">
        <f t="shared" si="61"/>
        <v>Q1 2024</v>
      </c>
      <c r="P1292" s="23">
        <f>VLOOKUP(D1292,Products!$A:$F,4,FALSE)</f>
        <v>329</v>
      </c>
      <c r="Q1292" s="35">
        <f t="shared" si="62"/>
        <v>0.50151515151515147</v>
      </c>
    </row>
    <row r="1293" spans="1:17">
      <c r="A1293" s="12" t="s">
        <v>1796</v>
      </c>
      <c r="B1293" s="13">
        <v>45644</v>
      </c>
      <c r="C1293" s="12" t="s">
        <v>1023</v>
      </c>
      <c r="D1293" s="12" t="s">
        <v>287</v>
      </c>
      <c r="E1293" s="12" t="s">
        <v>156</v>
      </c>
      <c r="F1293" s="14">
        <v>3</v>
      </c>
      <c r="G1293" s="14">
        <v>4610</v>
      </c>
      <c r="H1293" s="14">
        <v>29.6</v>
      </c>
      <c r="I1293" s="14">
        <v>9736.32</v>
      </c>
      <c r="J1293" s="12" t="s">
        <v>104</v>
      </c>
      <c r="K1293" s="12" t="s">
        <v>134</v>
      </c>
      <c r="L1293" s="23" t="str">
        <f>VLOOKUP(D1293,Products!$A:$F,3,FALSE)</f>
        <v>Home</v>
      </c>
      <c r="M1293" s="23" t="str">
        <f>VLOOKUP(E1293,Sales_Reps!$A:$E,3,FALSE)</f>
        <v>North</v>
      </c>
      <c r="N1293" s="23" t="str">
        <f t="shared" si="60"/>
        <v>Dec-24</v>
      </c>
      <c r="O1293" s="23" t="str">
        <f t="shared" si="61"/>
        <v>Q4 2024</v>
      </c>
      <c r="P1293" s="23">
        <f>VLOOKUP(D1293,Products!$A:$F,4,FALSE)</f>
        <v>1850</v>
      </c>
      <c r="Q1293" s="35">
        <f t="shared" si="62"/>
        <v>0.59869848156182215</v>
      </c>
    </row>
    <row r="1294" spans="1:17">
      <c r="A1294" s="12" t="s">
        <v>1797</v>
      </c>
      <c r="B1294" s="13">
        <v>45325</v>
      </c>
      <c r="C1294" s="12" t="s">
        <v>367</v>
      </c>
      <c r="D1294" s="12" t="s">
        <v>355</v>
      </c>
      <c r="E1294" s="12" t="s">
        <v>128</v>
      </c>
      <c r="F1294" s="14">
        <v>6</v>
      </c>
      <c r="G1294" s="14">
        <v>2210</v>
      </c>
      <c r="H1294" s="14">
        <v>9.5</v>
      </c>
      <c r="I1294" s="14">
        <v>12000.3</v>
      </c>
      <c r="J1294" s="12" t="s">
        <v>104</v>
      </c>
      <c r="K1294" s="12" t="s">
        <v>129</v>
      </c>
      <c r="L1294" s="23" t="str">
        <f>VLOOKUP(D1294,Products!$A:$F,3,FALSE)</f>
        <v>Grocery</v>
      </c>
      <c r="M1294" s="23" t="str">
        <f>VLOOKUP(E1294,Sales_Reps!$A:$E,3,FALSE)</f>
        <v>West</v>
      </c>
      <c r="N1294" s="23" t="str">
        <f t="shared" si="60"/>
        <v>Feb-24</v>
      </c>
      <c r="O1294" s="23" t="str">
        <f t="shared" si="61"/>
        <v>Q1 2024</v>
      </c>
      <c r="P1294" s="23">
        <f>VLOOKUP(D1294,Products!$A:$F,4,FALSE)</f>
        <v>1010</v>
      </c>
      <c r="Q1294" s="35">
        <f t="shared" si="62"/>
        <v>0.54298642533936647</v>
      </c>
    </row>
    <row r="1295" spans="1:17">
      <c r="A1295" s="12" t="s">
        <v>1798</v>
      </c>
      <c r="B1295" s="13">
        <v>45533</v>
      </c>
      <c r="C1295" s="12" t="s">
        <v>386</v>
      </c>
      <c r="D1295" s="12" t="s">
        <v>403</v>
      </c>
      <c r="E1295" s="12" t="s">
        <v>255</v>
      </c>
      <c r="F1295" s="14">
        <v>4</v>
      </c>
      <c r="G1295" s="14">
        <v>2290</v>
      </c>
      <c r="H1295" s="14">
        <v>3.3</v>
      </c>
      <c r="I1295" s="14">
        <v>8857.7199999999993</v>
      </c>
      <c r="J1295" s="12" t="s">
        <v>104</v>
      </c>
      <c r="K1295" s="12" t="s">
        <v>111</v>
      </c>
      <c r="L1295" s="23" t="str">
        <f>VLOOKUP(D1295,Products!$A:$F,3,FALSE)</f>
        <v>Beauty</v>
      </c>
      <c r="M1295" s="23" t="str">
        <f>VLOOKUP(E1295,Sales_Reps!$A:$E,3,FALSE)</f>
        <v>East</v>
      </c>
      <c r="N1295" s="23" t="str">
        <f t="shared" si="60"/>
        <v>Aug-24</v>
      </c>
      <c r="O1295" s="23" t="str">
        <f t="shared" si="61"/>
        <v>Q3 2024</v>
      </c>
      <c r="P1295" s="23">
        <f>VLOOKUP(D1295,Products!$A:$F,4,FALSE)</f>
        <v>1219</v>
      </c>
      <c r="Q1295" s="35">
        <f t="shared" si="62"/>
        <v>0.46768558951965067</v>
      </c>
    </row>
    <row r="1296" spans="1:17">
      <c r="A1296" s="12" t="s">
        <v>1799</v>
      </c>
      <c r="B1296" s="13">
        <v>45369</v>
      </c>
      <c r="C1296" s="12" t="s">
        <v>118</v>
      </c>
      <c r="D1296" s="12" t="s">
        <v>181</v>
      </c>
      <c r="E1296" s="12" t="s">
        <v>218</v>
      </c>
      <c r="F1296" s="14">
        <v>5</v>
      </c>
      <c r="G1296" s="14">
        <v>1080</v>
      </c>
      <c r="H1296" s="14">
        <v>26.1</v>
      </c>
      <c r="I1296" s="14">
        <v>3990.6</v>
      </c>
      <c r="J1296" s="12" t="s">
        <v>104</v>
      </c>
      <c r="K1296" s="12" t="s">
        <v>116</v>
      </c>
      <c r="L1296" s="23" t="str">
        <f>VLOOKUP(D1296,Products!$A:$F,3,FALSE)</f>
        <v>Home</v>
      </c>
      <c r="M1296" s="23" t="str">
        <f>VLOOKUP(E1296,Sales_Reps!$A:$E,3,FALSE)</f>
        <v>West</v>
      </c>
      <c r="N1296" s="23" t="str">
        <f t="shared" si="60"/>
        <v>Mar-24</v>
      </c>
      <c r="O1296" s="23" t="str">
        <f t="shared" si="61"/>
        <v>Q1 2024</v>
      </c>
      <c r="P1296" s="23">
        <f>VLOOKUP(D1296,Products!$A:$F,4,FALSE)</f>
        <v>519</v>
      </c>
      <c r="Q1296" s="35">
        <f t="shared" si="62"/>
        <v>0.51944444444444449</v>
      </c>
    </row>
    <row r="1297" spans="1:17">
      <c r="A1297" s="12" t="s">
        <v>1800</v>
      </c>
      <c r="B1297" s="13">
        <v>45312</v>
      </c>
      <c r="C1297" s="12" t="s">
        <v>457</v>
      </c>
      <c r="D1297" s="12" t="s">
        <v>132</v>
      </c>
      <c r="E1297" s="12" t="s">
        <v>149</v>
      </c>
      <c r="F1297" s="14">
        <v>7</v>
      </c>
      <c r="G1297" s="14">
        <v>960</v>
      </c>
      <c r="H1297" s="14">
        <v>17.7</v>
      </c>
      <c r="I1297" s="14">
        <v>5530.56</v>
      </c>
      <c r="J1297" s="12" t="s">
        <v>104</v>
      </c>
      <c r="K1297" s="12" t="s">
        <v>105</v>
      </c>
      <c r="L1297" s="23" t="str">
        <f>VLOOKUP(D1297,Products!$A:$F,3,FALSE)</f>
        <v>Sports</v>
      </c>
      <c r="M1297" s="23" t="str">
        <f>VLOOKUP(E1297,Sales_Reps!$A:$E,3,FALSE)</f>
        <v>South</v>
      </c>
      <c r="N1297" s="23" t="str">
        <f t="shared" si="60"/>
        <v>Jan-24</v>
      </c>
      <c r="O1297" s="23" t="str">
        <f t="shared" si="61"/>
        <v>Q1 2024</v>
      </c>
      <c r="P1297" s="23">
        <f>VLOOKUP(D1297,Products!$A:$F,4,FALSE)</f>
        <v>705</v>
      </c>
      <c r="Q1297" s="35">
        <f t="shared" si="62"/>
        <v>0.265625</v>
      </c>
    </row>
    <row r="1298" spans="1:17">
      <c r="A1298" s="12" t="s">
        <v>1801</v>
      </c>
      <c r="B1298" s="13">
        <v>45445</v>
      </c>
      <c r="C1298" s="12" t="s">
        <v>1044</v>
      </c>
      <c r="D1298" s="12" t="s">
        <v>168</v>
      </c>
      <c r="E1298" s="12" t="s">
        <v>124</v>
      </c>
      <c r="F1298" s="14">
        <v>1</v>
      </c>
      <c r="G1298" s="14">
        <v>2400</v>
      </c>
      <c r="H1298" s="14">
        <v>29.9</v>
      </c>
      <c r="I1298" s="14">
        <v>1682.4</v>
      </c>
      <c r="J1298" s="12" t="s">
        <v>104</v>
      </c>
      <c r="K1298" s="12" t="s">
        <v>129</v>
      </c>
      <c r="L1298" s="23" t="str">
        <f>VLOOKUP(D1298,Products!$A:$F,3,FALSE)</f>
        <v>Sports</v>
      </c>
      <c r="M1298" s="23" t="str">
        <f>VLOOKUP(E1298,Sales_Reps!$A:$E,3,FALSE)</f>
        <v>North</v>
      </c>
      <c r="N1298" s="23" t="str">
        <f t="shared" si="60"/>
        <v>Jun-24</v>
      </c>
      <c r="O1298" s="23" t="str">
        <f t="shared" si="61"/>
        <v>Q2 2024</v>
      </c>
      <c r="P1298" s="23">
        <f>VLOOKUP(D1298,Products!$A:$F,4,FALSE)</f>
        <v>974</v>
      </c>
      <c r="Q1298" s="35">
        <f t="shared" si="62"/>
        <v>0.59416666666666662</v>
      </c>
    </row>
    <row r="1299" spans="1:17">
      <c r="A1299" s="12" t="s">
        <v>1802</v>
      </c>
      <c r="B1299" s="13">
        <v>45636</v>
      </c>
      <c r="C1299" s="12" t="s">
        <v>1367</v>
      </c>
      <c r="D1299" s="12" t="s">
        <v>403</v>
      </c>
      <c r="E1299" s="12" t="s">
        <v>149</v>
      </c>
      <c r="F1299" s="14">
        <v>9</v>
      </c>
      <c r="G1299" s="14">
        <v>2290</v>
      </c>
      <c r="H1299" s="14">
        <v>28.8</v>
      </c>
      <c r="I1299" s="14">
        <v>14674.32</v>
      </c>
      <c r="J1299" s="12" t="s">
        <v>104</v>
      </c>
      <c r="K1299" s="12" t="s">
        <v>129</v>
      </c>
      <c r="L1299" s="23" t="str">
        <f>VLOOKUP(D1299,Products!$A:$F,3,FALSE)</f>
        <v>Beauty</v>
      </c>
      <c r="M1299" s="23" t="str">
        <f>VLOOKUP(E1299,Sales_Reps!$A:$E,3,FALSE)</f>
        <v>South</v>
      </c>
      <c r="N1299" s="23" t="str">
        <f t="shared" si="60"/>
        <v>Dec-24</v>
      </c>
      <c r="O1299" s="23" t="str">
        <f t="shared" si="61"/>
        <v>Q4 2024</v>
      </c>
      <c r="P1299" s="23">
        <f>VLOOKUP(D1299,Products!$A:$F,4,FALSE)</f>
        <v>1219</v>
      </c>
      <c r="Q1299" s="35">
        <f t="shared" si="62"/>
        <v>0.46768558951965067</v>
      </c>
    </row>
    <row r="1300" spans="1:17">
      <c r="A1300" s="12" t="s">
        <v>1803</v>
      </c>
      <c r="B1300" s="13">
        <v>45294</v>
      </c>
      <c r="C1300" s="12" t="s">
        <v>242</v>
      </c>
      <c r="D1300" s="12" t="s">
        <v>181</v>
      </c>
      <c r="E1300" s="12" t="s">
        <v>320</v>
      </c>
      <c r="F1300" s="14">
        <v>9</v>
      </c>
      <c r="G1300" s="14">
        <v>1080</v>
      </c>
      <c r="H1300" s="14">
        <v>10.3</v>
      </c>
      <c r="I1300" s="14">
        <v>8718.84</v>
      </c>
      <c r="J1300" s="12" t="s">
        <v>104</v>
      </c>
      <c r="K1300" s="12" t="s">
        <v>111</v>
      </c>
      <c r="L1300" s="23" t="str">
        <f>VLOOKUP(D1300,Products!$A:$F,3,FALSE)</f>
        <v>Home</v>
      </c>
      <c r="M1300" s="23" t="str">
        <f>VLOOKUP(E1300,Sales_Reps!$A:$E,3,FALSE)</f>
        <v>East</v>
      </c>
      <c r="N1300" s="23" t="str">
        <f t="shared" si="60"/>
        <v>Jan-24</v>
      </c>
      <c r="O1300" s="23" t="str">
        <f t="shared" si="61"/>
        <v>Q1 2024</v>
      </c>
      <c r="P1300" s="23">
        <f>VLOOKUP(D1300,Products!$A:$F,4,FALSE)</f>
        <v>519</v>
      </c>
      <c r="Q1300" s="35">
        <f t="shared" si="62"/>
        <v>0.51944444444444449</v>
      </c>
    </row>
    <row r="1301" spans="1:17">
      <c r="A1301" s="12" t="s">
        <v>1804</v>
      </c>
      <c r="B1301" s="13">
        <v>45449</v>
      </c>
      <c r="C1301" s="12" t="s">
        <v>927</v>
      </c>
      <c r="D1301" s="12" t="s">
        <v>519</v>
      </c>
      <c r="E1301" s="12" t="s">
        <v>156</v>
      </c>
      <c r="F1301" s="14">
        <v>1</v>
      </c>
      <c r="G1301" s="14">
        <v>1090</v>
      </c>
      <c r="H1301" s="14">
        <v>5.8</v>
      </c>
      <c r="I1301" s="14">
        <v>1026.78</v>
      </c>
      <c r="J1301" s="12" t="s">
        <v>157</v>
      </c>
      <c r="K1301" s="12" t="s">
        <v>116</v>
      </c>
      <c r="L1301" s="23" t="str">
        <f>VLOOKUP(D1301,Products!$A:$F,3,FALSE)</f>
        <v>Home</v>
      </c>
      <c r="M1301" s="23" t="str">
        <f>VLOOKUP(E1301,Sales_Reps!$A:$E,3,FALSE)</f>
        <v>North</v>
      </c>
      <c r="N1301" s="23" t="str">
        <f t="shared" si="60"/>
        <v>Jun-24</v>
      </c>
      <c r="O1301" s="23" t="str">
        <f t="shared" si="61"/>
        <v>Q2 2024</v>
      </c>
      <c r="P1301" s="23">
        <f>VLOOKUP(D1301,Products!$A:$F,4,FALSE)</f>
        <v>464</v>
      </c>
      <c r="Q1301" s="35">
        <f t="shared" si="62"/>
        <v>0.57431192660550456</v>
      </c>
    </row>
    <row r="1302" spans="1:17">
      <c r="A1302" s="12" t="s">
        <v>1805</v>
      </c>
      <c r="B1302" s="13">
        <v>45560</v>
      </c>
      <c r="C1302" s="12" t="s">
        <v>919</v>
      </c>
      <c r="D1302" s="12" t="s">
        <v>355</v>
      </c>
      <c r="E1302" s="12" t="s">
        <v>320</v>
      </c>
      <c r="F1302" s="14">
        <v>3</v>
      </c>
      <c r="G1302" s="14">
        <v>2210</v>
      </c>
      <c r="H1302" s="14">
        <v>18.2</v>
      </c>
      <c r="I1302" s="14">
        <v>5423.34</v>
      </c>
      <c r="J1302" s="12" t="s">
        <v>110</v>
      </c>
      <c r="K1302" s="12" t="s">
        <v>129</v>
      </c>
      <c r="L1302" s="23" t="str">
        <f>VLOOKUP(D1302,Products!$A:$F,3,FALSE)</f>
        <v>Grocery</v>
      </c>
      <c r="M1302" s="23" t="str">
        <f>VLOOKUP(E1302,Sales_Reps!$A:$E,3,FALSE)</f>
        <v>East</v>
      </c>
      <c r="N1302" s="23" t="str">
        <f t="shared" si="60"/>
        <v>Sep-24</v>
      </c>
      <c r="O1302" s="23" t="str">
        <f t="shared" si="61"/>
        <v>Q3 2024</v>
      </c>
      <c r="P1302" s="23">
        <f>VLOOKUP(D1302,Products!$A:$F,4,FALSE)</f>
        <v>1010</v>
      </c>
      <c r="Q1302" s="35">
        <f t="shared" si="62"/>
        <v>0.54298642533936647</v>
      </c>
    </row>
    <row r="1303" spans="1:17">
      <c r="A1303" s="12" t="s">
        <v>1806</v>
      </c>
      <c r="B1303" s="13">
        <v>45588</v>
      </c>
      <c r="C1303" s="12" t="s">
        <v>214</v>
      </c>
      <c r="D1303" s="12" t="s">
        <v>102</v>
      </c>
      <c r="E1303" s="12" t="s">
        <v>205</v>
      </c>
      <c r="F1303" s="14">
        <v>8</v>
      </c>
      <c r="G1303" s="14">
        <v>3620</v>
      </c>
      <c r="H1303" s="14">
        <v>1.4</v>
      </c>
      <c r="I1303" s="14">
        <v>28554.560000000001</v>
      </c>
      <c r="J1303" s="12" t="s">
        <v>104</v>
      </c>
      <c r="K1303" s="12" t="s">
        <v>105</v>
      </c>
      <c r="L1303" s="23" t="str">
        <f>VLOOKUP(D1303,Products!$A:$F,3,FALSE)</f>
        <v>Apparel</v>
      </c>
      <c r="M1303" s="23" t="str">
        <f>VLOOKUP(E1303,Sales_Reps!$A:$E,3,FALSE)</f>
        <v>South</v>
      </c>
      <c r="N1303" s="23" t="str">
        <f t="shared" si="60"/>
        <v>Oct-24</v>
      </c>
      <c r="O1303" s="23" t="str">
        <f t="shared" si="61"/>
        <v>Q4 2024</v>
      </c>
      <c r="P1303" s="23">
        <f>VLOOKUP(D1303,Products!$A:$F,4,FALSE)</f>
        <v>2509</v>
      </c>
      <c r="Q1303" s="35">
        <f t="shared" si="62"/>
        <v>0.3069060773480663</v>
      </c>
    </row>
    <row r="1304" spans="1:17">
      <c r="A1304" s="12" t="s">
        <v>1807</v>
      </c>
      <c r="B1304" s="13">
        <v>45360</v>
      </c>
      <c r="C1304" s="12" t="s">
        <v>225</v>
      </c>
      <c r="D1304" s="12" t="s">
        <v>312</v>
      </c>
      <c r="E1304" s="12" t="s">
        <v>290</v>
      </c>
      <c r="F1304" s="14">
        <v>7</v>
      </c>
      <c r="G1304" s="14">
        <v>2030</v>
      </c>
      <c r="H1304" s="14">
        <v>27.7</v>
      </c>
      <c r="I1304" s="14">
        <v>10273.83</v>
      </c>
      <c r="J1304" s="12" t="s">
        <v>104</v>
      </c>
      <c r="K1304" s="12" t="s">
        <v>150</v>
      </c>
      <c r="L1304" s="23" t="str">
        <f>VLOOKUP(D1304,Products!$A:$F,3,FALSE)</f>
        <v>Home</v>
      </c>
      <c r="M1304" s="23" t="str">
        <f>VLOOKUP(E1304,Sales_Reps!$A:$E,3,FALSE)</f>
        <v>South</v>
      </c>
      <c r="N1304" s="23" t="str">
        <f t="shared" si="60"/>
        <v>Mar-24</v>
      </c>
      <c r="O1304" s="23" t="str">
        <f t="shared" si="61"/>
        <v>Q1 2024</v>
      </c>
      <c r="P1304" s="23">
        <f>VLOOKUP(D1304,Products!$A:$F,4,FALSE)</f>
        <v>1143</v>
      </c>
      <c r="Q1304" s="35">
        <f t="shared" si="62"/>
        <v>0.43694581280788175</v>
      </c>
    </row>
    <row r="1305" spans="1:17">
      <c r="A1305" s="12" t="s">
        <v>1808</v>
      </c>
      <c r="B1305" s="13">
        <v>45316</v>
      </c>
      <c r="C1305" s="12" t="s">
        <v>616</v>
      </c>
      <c r="D1305" s="12" t="s">
        <v>265</v>
      </c>
      <c r="E1305" s="12" t="s">
        <v>171</v>
      </c>
      <c r="F1305" s="14">
        <v>1</v>
      </c>
      <c r="G1305" s="14">
        <v>3870</v>
      </c>
      <c r="H1305" s="14">
        <v>29.6</v>
      </c>
      <c r="I1305" s="14">
        <v>2724.48</v>
      </c>
      <c r="J1305" s="12" t="s">
        <v>104</v>
      </c>
      <c r="K1305" s="12" t="s">
        <v>134</v>
      </c>
      <c r="L1305" s="23" t="str">
        <f>VLOOKUP(D1305,Products!$A:$F,3,FALSE)</f>
        <v>Electronics</v>
      </c>
      <c r="M1305" s="23" t="str">
        <f>VLOOKUP(E1305,Sales_Reps!$A:$E,3,FALSE)</f>
        <v>East</v>
      </c>
      <c r="N1305" s="23" t="str">
        <f t="shared" si="60"/>
        <v>Jan-24</v>
      </c>
      <c r="O1305" s="23" t="str">
        <f t="shared" si="61"/>
        <v>Q1 2024</v>
      </c>
      <c r="P1305" s="23">
        <f>VLOOKUP(D1305,Products!$A:$F,4,FALSE)</f>
        <v>1559</v>
      </c>
      <c r="Q1305" s="35">
        <f t="shared" si="62"/>
        <v>0.59715762273901807</v>
      </c>
    </row>
    <row r="1306" spans="1:17">
      <c r="A1306" s="12" t="s">
        <v>1809</v>
      </c>
      <c r="B1306" s="13">
        <v>45324</v>
      </c>
      <c r="C1306" s="12" t="s">
        <v>852</v>
      </c>
      <c r="D1306" s="12" t="s">
        <v>204</v>
      </c>
      <c r="E1306" s="12" t="s">
        <v>115</v>
      </c>
      <c r="F1306" s="14">
        <v>5</v>
      </c>
      <c r="G1306" s="14">
        <v>3570</v>
      </c>
      <c r="H1306" s="14">
        <v>11.8</v>
      </c>
      <c r="I1306" s="14">
        <v>15743.7</v>
      </c>
      <c r="J1306" s="12" t="s">
        <v>161</v>
      </c>
      <c r="K1306" s="12" t="s">
        <v>134</v>
      </c>
      <c r="L1306" s="23" t="str">
        <f>VLOOKUP(D1306,Products!$A:$F,3,FALSE)</f>
        <v>Electronics</v>
      </c>
      <c r="M1306" s="23" t="str">
        <f>VLOOKUP(E1306,Sales_Reps!$A:$E,3,FALSE)</f>
        <v>South</v>
      </c>
      <c r="N1306" s="23" t="str">
        <f t="shared" si="60"/>
        <v>Feb-24</v>
      </c>
      <c r="O1306" s="23" t="str">
        <f t="shared" si="61"/>
        <v>Q1 2024</v>
      </c>
      <c r="P1306" s="23">
        <f>VLOOKUP(D1306,Products!$A:$F,4,FALSE)</f>
        <v>1665</v>
      </c>
      <c r="Q1306" s="35">
        <f t="shared" si="62"/>
        <v>0.53361344537815125</v>
      </c>
    </row>
    <row r="1307" spans="1:17">
      <c r="A1307" s="12" t="s">
        <v>1810</v>
      </c>
      <c r="B1307" s="13">
        <v>45650</v>
      </c>
      <c r="C1307" s="12" t="s">
        <v>1121</v>
      </c>
      <c r="D1307" s="12" t="s">
        <v>381</v>
      </c>
      <c r="E1307" s="12" t="s">
        <v>138</v>
      </c>
      <c r="F1307" s="14">
        <v>7</v>
      </c>
      <c r="G1307" s="14">
        <v>5330</v>
      </c>
      <c r="H1307" s="14">
        <v>8.1999999999999993</v>
      </c>
      <c r="I1307" s="14">
        <v>34250.58</v>
      </c>
      <c r="J1307" s="12" t="s">
        <v>104</v>
      </c>
      <c r="K1307" s="12" t="s">
        <v>134</v>
      </c>
      <c r="L1307" s="23" t="str">
        <f>VLOOKUP(D1307,Products!$A:$F,3,FALSE)</f>
        <v>Electronics</v>
      </c>
      <c r="M1307" s="23" t="str">
        <f>VLOOKUP(E1307,Sales_Reps!$A:$E,3,FALSE)</f>
        <v>East</v>
      </c>
      <c r="N1307" s="23" t="str">
        <f t="shared" si="60"/>
        <v>Dec-24</v>
      </c>
      <c r="O1307" s="23" t="str">
        <f t="shared" si="61"/>
        <v>Q4 2024</v>
      </c>
      <c r="P1307" s="23">
        <f>VLOOKUP(D1307,Products!$A:$F,4,FALSE)</f>
        <v>2405</v>
      </c>
      <c r="Q1307" s="35">
        <f t="shared" si="62"/>
        <v>0.54878048780487809</v>
      </c>
    </row>
    <row r="1308" spans="1:17">
      <c r="A1308" s="12" t="s">
        <v>1811</v>
      </c>
      <c r="B1308" s="13">
        <v>45564</v>
      </c>
      <c r="C1308" s="12" t="s">
        <v>824</v>
      </c>
      <c r="D1308" s="12" t="s">
        <v>284</v>
      </c>
      <c r="E1308" s="12" t="s">
        <v>221</v>
      </c>
      <c r="F1308" s="14">
        <v>5</v>
      </c>
      <c r="G1308" s="14">
        <v>1220</v>
      </c>
      <c r="H1308" s="14">
        <v>17.8</v>
      </c>
      <c r="I1308" s="14">
        <v>5014.2</v>
      </c>
      <c r="J1308" s="12" t="s">
        <v>161</v>
      </c>
      <c r="K1308" s="12" t="s">
        <v>105</v>
      </c>
      <c r="L1308" s="23" t="str">
        <f>VLOOKUP(D1308,Products!$A:$F,3,FALSE)</f>
        <v>Electronics</v>
      </c>
      <c r="M1308" s="23" t="str">
        <f>VLOOKUP(E1308,Sales_Reps!$A:$E,3,FALSE)</f>
        <v>South</v>
      </c>
      <c r="N1308" s="23" t="str">
        <f t="shared" si="60"/>
        <v>Sep-24</v>
      </c>
      <c r="O1308" s="23" t="str">
        <f t="shared" si="61"/>
        <v>Q3 2024</v>
      </c>
      <c r="P1308" s="23">
        <f>VLOOKUP(D1308,Products!$A:$F,4,FALSE)</f>
        <v>517</v>
      </c>
      <c r="Q1308" s="35">
        <f t="shared" si="62"/>
        <v>0.57622950819672136</v>
      </c>
    </row>
    <row r="1309" spans="1:17">
      <c r="A1309" s="12" t="s">
        <v>1812</v>
      </c>
      <c r="B1309" s="13">
        <v>45587</v>
      </c>
      <c r="C1309" s="12" t="s">
        <v>180</v>
      </c>
      <c r="D1309" s="12" t="s">
        <v>469</v>
      </c>
      <c r="E1309" s="12" t="s">
        <v>138</v>
      </c>
      <c r="F1309" s="14">
        <v>7</v>
      </c>
      <c r="G1309" s="14">
        <v>3450</v>
      </c>
      <c r="H1309" s="14">
        <v>29.3</v>
      </c>
      <c r="I1309" s="14">
        <v>17074.05</v>
      </c>
      <c r="J1309" s="12" t="s">
        <v>104</v>
      </c>
      <c r="K1309" s="12" t="s">
        <v>111</v>
      </c>
      <c r="L1309" s="23" t="str">
        <f>VLOOKUP(D1309,Products!$A:$F,3,FALSE)</f>
        <v>Apparel</v>
      </c>
      <c r="M1309" s="23" t="str">
        <f>VLOOKUP(E1309,Sales_Reps!$A:$E,3,FALSE)</f>
        <v>East</v>
      </c>
      <c r="N1309" s="23" t="str">
        <f t="shared" si="60"/>
        <v>Oct-24</v>
      </c>
      <c r="O1309" s="23" t="str">
        <f t="shared" si="61"/>
        <v>Q4 2024</v>
      </c>
      <c r="P1309" s="23">
        <f>VLOOKUP(D1309,Products!$A:$F,4,FALSE)</f>
        <v>1748</v>
      </c>
      <c r="Q1309" s="35">
        <f t="shared" si="62"/>
        <v>0.49333333333333335</v>
      </c>
    </row>
    <row r="1310" spans="1:17">
      <c r="A1310" s="12" t="s">
        <v>1813</v>
      </c>
      <c r="B1310" s="13">
        <v>45538</v>
      </c>
      <c r="C1310" s="12" t="s">
        <v>634</v>
      </c>
      <c r="D1310" s="12" t="s">
        <v>676</v>
      </c>
      <c r="E1310" s="12" t="s">
        <v>269</v>
      </c>
      <c r="F1310" s="14">
        <v>6</v>
      </c>
      <c r="G1310" s="14">
        <v>3560</v>
      </c>
      <c r="H1310" s="14">
        <v>9.4</v>
      </c>
      <c r="I1310" s="14">
        <v>19352.16</v>
      </c>
      <c r="J1310" s="12" t="s">
        <v>110</v>
      </c>
      <c r="K1310" s="12" t="s">
        <v>129</v>
      </c>
      <c r="L1310" s="23" t="str">
        <f>VLOOKUP(D1310,Products!$A:$F,3,FALSE)</f>
        <v>Apparel</v>
      </c>
      <c r="M1310" s="23" t="str">
        <f>VLOOKUP(E1310,Sales_Reps!$A:$E,3,FALSE)</f>
        <v>South</v>
      </c>
      <c r="N1310" s="23" t="str">
        <f t="shared" si="60"/>
        <v>Sep-24</v>
      </c>
      <c r="O1310" s="23" t="str">
        <f t="shared" si="61"/>
        <v>Q3 2024</v>
      </c>
      <c r="P1310" s="23">
        <f>VLOOKUP(D1310,Products!$A:$F,4,FALSE)</f>
        <v>2629</v>
      </c>
      <c r="Q1310" s="35">
        <f t="shared" si="62"/>
        <v>0.26151685393258428</v>
      </c>
    </row>
    <row r="1311" spans="1:17">
      <c r="A1311" s="12" t="s">
        <v>1814</v>
      </c>
      <c r="B1311" s="13">
        <v>45385</v>
      </c>
      <c r="C1311" s="12" t="s">
        <v>521</v>
      </c>
      <c r="D1311" s="12" t="s">
        <v>127</v>
      </c>
      <c r="E1311" s="12" t="s">
        <v>109</v>
      </c>
      <c r="F1311" s="14">
        <v>4</v>
      </c>
      <c r="G1311" s="14">
        <v>370</v>
      </c>
      <c r="H1311" s="14">
        <v>4.9000000000000004</v>
      </c>
      <c r="I1311" s="14">
        <v>1407.48</v>
      </c>
      <c r="J1311" s="12" t="s">
        <v>104</v>
      </c>
      <c r="K1311" s="12" t="s">
        <v>134</v>
      </c>
      <c r="L1311" s="23" t="str">
        <f>VLOOKUP(D1311,Products!$A:$F,3,FALSE)</f>
        <v>Home</v>
      </c>
      <c r="M1311" s="23" t="str">
        <f>VLOOKUP(E1311,Sales_Reps!$A:$E,3,FALSE)</f>
        <v>North</v>
      </c>
      <c r="N1311" s="23" t="str">
        <f t="shared" si="60"/>
        <v>Apr-24</v>
      </c>
      <c r="O1311" s="23" t="str">
        <f t="shared" si="61"/>
        <v>Q2 2024</v>
      </c>
      <c r="P1311" s="23">
        <f>VLOOKUP(D1311,Products!$A:$F,4,FALSE)</f>
        <v>288</v>
      </c>
      <c r="Q1311" s="35">
        <f t="shared" si="62"/>
        <v>0.22162162162162163</v>
      </c>
    </row>
    <row r="1312" spans="1:17">
      <c r="A1312" s="12" t="s">
        <v>1815</v>
      </c>
      <c r="B1312" s="13">
        <v>45647</v>
      </c>
      <c r="C1312" s="12" t="s">
        <v>737</v>
      </c>
      <c r="D1312" s="12" t="s">
        <v>284</v>
      </c>
      <c r="E1312" s="12" t="s">
        <v>165</v>
      </c>
      <c r="F1312" s="14">
        <v>1</v>
      </c>
      <c r="G1312" s="14">
        <v>1220</v>
      </c>
      <c r="H1312" s="14">
        <v>15.2</v>
      </c>
      <c r="I1312" s="14">
        <v>1034.56</v>
      </c>
      <c r="J1312" s="12" t="s">
        <v>104</v>
      </c>
      <c r="K1312" s="12" t="s">
        <v>105</v>
      </c>
      <c r="L1312" s="23" t="str">
        <f>VLOOKUP(D1312,Products!$A:$F,3,FALSE)</f>
        <v>Electronics</v>
      </c>
      <c r="M1312" s="23" t="str">
        <f>VLOOKUP(E1312,Sales_Reps!$A:$E,3,FALSE)</f>
        <v>North</v>
      </c>
      <c r="N1312" s="23" t="str">
        <f t="shared" si="60"/>
        <v>Dec-24</v>
      </c>
      <c r="O1312" s="23" t="str">
        <f t="shared" si="61"/>
        <v>Q4 2024</v>
      </c>
      <c r="P1312" s="23">
        <f>VLOOKUP(D1312,Products!$A:$F,4,FALSE)</f>
        <v>517</v>
      </c>
      <c r="Q1312" s="35">
        <f t="shared" si="62"/>
        <v>0.57622950819672136</v>
      </c>
    </row>
    <row r="1313" spans="1:17">
      <c r="A1313" s="12" t="s">
        <v>1816</v>
      </c>
      <c r="B1313" s="13">
        <v>45466</v>
      </c>
      <c r="C1313" s="12" t="s">
        <v>819</v>
      </c>
      <c r="D1313" s="12" t="s">
        <v>254</v>
      </c>
      <c r="E1313" s="12" t="s">
        <v>120</v>
      </c>
      <c r="F1313" s="14">
        <v>3</v>
      </c>
      <c r="G1313" s="14">
        <v>3640</v>
      </c>
      <c r="H1313" s="14">
        <v>12.3</v>
      </c>
      <c r="I1313" s="14">
        <v>9576.84</v>
      </c>
      <c r="J1313" s="12" t="s">
        <v>110</v>
      </c>
      <c r="K1313" s="12" t="s">
        <v>111</v>
      </c>
      <c r="L1313" s="23" t="str">
        <f>VLOOKUP(D1313,Products!$A:$F,3,FALSE)</f>
        <v>Apparel</v>
      </c>
      <c r="M1313" s="23" t="str">
        <f>VLOOKUP(E1313,Sales_Reps!$A:$E,3,FALSE)</f>
        <v>North</v>
      </c>
      <c r="N1313" s="23" t="str">
        <f t="shared" si="60"/>
        <v>Jun-24</v>
      </c>
      <c r="O1313" s="23" t="str">
        <f t="shared" si="61"/>
        <v>Q2 2024</v>
      </c>
      <c r="P1313" s="23">
        <f>VLOOKUP(D1313,Products!$A:$F,4,FALSE)</f>
        <v>2611</v>
      </c>
      <c r="Q1313" s="35">
        <f t="shared" si="62"/>
        <v>0.28269230769230769</v>
      </c>
    </row>
    <row r="1314" spans="1:17">
      <c r="A1314" s="12" t="s">
        <v>1817</v>
      </c>
      <c r="B1314" s="13">
        <v>45559</v>
      </c>
      <c r="C1314" s="12" t="s">
        <v>889</v>
      </c>
      <c r="D1314" s="12" t="s">
        <v>293</v>
      </c>
      <c r="E1314" s="12" t="s">
        <v>149</v>
      </c>
      <c r="F1314" s="14">
        <v>8</v>
      </c>
      <c r="G1314" s="14">
        <v>3020</v>
      </c>
      <c r="H1314" s="14">
        <v>28.2</v>
      </c>
      <c r="I1314" s="14">
        <v>17346.88</v>
      </c>
      <c r="J1314" s="12" t="s">
        <v>110</v>
      </c>
      <c r="K1314" s="12" t="s">
        <v>129</v>
      </c>
      <c r="L1314" s="23" t="str">
        <f>VLOOKUP(D1314,Products!$A:$F,3,FALSE)</f>
        <v>Beauty</v>
      </c>
      <c r="M1314" s="23" t="str">
        <f>VLOOKUP(E1314,Sales_Reps!$A:$E,3,FALSE)</f>
        <v>South</v>
      </c>
      <c r="N1314" s="23" t="str">
        <f t="shared" si="60"/>
        <v>Sep-24</v>
      </c>
      <c r="O1314" s="23" t="str">
        <f t="shared" si="61"/>
        <v>Q3 2024</v>
      </c>
      <c r="P1314" s="23">
        <f>VLOOKUP(D1314,Products!$A:$F,4,FALSE)</f>
        <v>1626</v>
      </c>
      <c r="Q1314" s="35">
        <f t="shared" si="62"/>
        <v>0.46158940397350995</v>
      </c>
    </row>
    <row r="1315" spans="1:17">
      <c r="A1315" s="12" t="s">
        <v>1818</v>
      </c>
      <c r="B1315" s="13">
        <v>45469</v>
      </c>
      <c r="C1315" s="12" t="s">
        <v>672</v>
      </c>
      <c r="D1315" s="12" t="s">
        <v>208</v>
      </c>
      <c r="E1315" s="12" t="s">
        <v>124</v>
      </c>
      <c r="F1315" s="14">
        <v>3</v>
      </c>
      <c r="G1315" s="14">
        <v>5100</v>
      </c>
      <c r="H1315" s="14">
        <v>7.8</v>
      </c>
      <c r="I1315" s="14">
        <v>14106.6</v>
      </c>
      <c r="J1315" s="12" t="s">
        <v>104</v>
      </c>
      <c r="K1315" s="12" t="s">
        <v>150</v>
      </c>
      <c r="L1315" s="23" t="str">
        <f>VLOOKUP(D1315,Products!$A:$F,3,FALSE)</f>
        <v>Beauty</v>
      </c>
      <c r="M1315" s="23" t="str">
        <f>VLOOKUP(E1315,Sales_Reps!$A:$E,3,FALSE)</f>
        <v>North</v>
      </c>
      <c r="N1315" s="23" t="str">
        <f t="shared" si="60"/>
        <v>Jun-24</v>
      </c>
      <c r="O1315" s="23" t="str">
        <f t="shared" si="61"/>
        <v>Q2 2024</v>
      </c>
      <c r="P1315" s="23">
        <f>VLOOKUP(D1315,Products!$A:$F,4,FALSE)</f>
        <v>2237</v>
      </c>
      <c r="Q1315" s="35">
        <f t="shared" si="62"/>
        <v>0.56137254901960787</v>
      </c>
    </row>
    <row r="1316" spans="1:17">
      <c r="A1316" s="12" t="s">
        <v>1819</v>
      </c>
      <c r="B1316" s="13">
        <v>45407</v>
      </c>
      <c r="C1316" s="12" t="s">
        <v>502</v>
      </c>
      <c r="D1316" s="12" t="s">
        <v>299</v>
      </c>
      <c r="E1316" s="12" t="s">
        <v>232</v>
      </c>
      <c r="F1316" s="14">
        <v>9</v>
      </c>
      <c r="G1316" s="14">
        <v>300</v>
      </c>
      <c r="H1316" s="14">
        <v>19</v>
      </c>
      <c r="I1316" s="14">
        <v>2187</v>
      </c>
      <c r="J1316" s="12" t="s">
        <v>104</v>
      </c>
      <c r="K1316" s="12" t="s">
        <v>105</v>
      </c>
      <c r="L1316" s="23" t="str">
        <f>VLOOKUP(D1316,Products!$A:$F,3,FALSE)</f>
        <v>Electronics</v>
      </c>
      <c r="M1316" s="23" t="str">
        <f>VLOOKUP(E1316,Sales_Reps!$A:$E,3,FALSE)</f>
        <v>North</v>
      </c>
      <c r="N1316" s="23" t="str">
        <f t="shared" si="60"/>
        <v>Apr-24</v>
      </c>
      <c r="O1316" s="23" t="str">
        <f t="shared" si="61"/>
        <v>Q2 2024</v>
      </c>
      <c r="P1316" s="23">
        <f>VLOOKUP(D1316,Products!$A:$F,4,FALSE)</f>
        <v>128</v>
      </c>
      <c r="Q1316" s="35">
        <f t="shared" si="62"/>
        <v>0.57333333333333336</v>
      </c>
    </row>
    <row r="1317" spans="1:17">
      <c r="A1317" s="12" t="s">
        <v>1820</v>
      </c>
      <c r="B1317" s="13">
        <v>45634</v>
      </c>
      <c r="C1317" s="12" t="s">
        <v>211</v>
      </c>
      <c r="D1317" s="12" t="s">
        <v>403</v>
      </c>
      <c r="E1317" s="12" t="s">
        <v>103</v>
      </c>
      <c r="F1317" s="14">
        <v>10</v>
      </c>
      <c r="G1317" s="14">
        <v>2290</v>
      </c>
      <c r="H1317" s="14">
        <v>27.7</v>
      </c>
      <c r="I1317" s="14">
        <v>16556.7</v>
      </c>
      <c r="J1317" s="12" t="s">
        <v>104</v>
      </c>
      <c r="K1317" s="12" t="s">
        <v>105</v>
      </c>
      <c r="L1317" s="23" t="str">
        <f>VLOOKUP(D1317,Products!$A:$F,3,FALSE)</f>
        <v>Beauty</v>
      </c>
      <c r="M1317" s="23" t="str">
        <f>VLOOKUP(E1317,Sales_Reps!$A:$E,3,FALSE)</f>
        <v>North</v>
      </c>
      <c r="N1317" s="23" t="str">
        <f t="shared" si="60"/>
        <v>Dec-24</v>
      </c>
      <c r="O1317" s="23" t="str">
        <f t="shared" si="61"/>
        <v>Q4 2024</v>
      </c>
      <c r="P1317" s="23">
        <f>VLOOKUP(D1317,Products!$A:$F,4,FALSE)</f>
        <v>1219</v>
      </c>
      <c r="Q1317" s="35">
        <f t="shared" si="62"/>
        <v>0.46768558951965067</v>
      </c>
    </row>
    <row r="1318" spans="1:17">
      <c r="A1318" s="12" t="s">
        <v>1821</v>
      </c>
      <c r="B1318" s="13">
        <v>45454</v>
      </c>
      <c r="C1318" s="12" t="s">
        <v>195</v>
      </c>
      <c r="D1318" s="12" t="s">
        <v>254</v>
      </c>
      <c r="E1318" s="12" t="s">
        <v>133</v>
      </c>
      <c r="F1318" s="14">
        <v>9</v>
      </c>
      <c r="G1318" s="14">
        <v>3640</v>
      </c>
      <c r="H1318" s="14">
        <v>20.100000000000001</v>
      </c>
      <c r="I1318" s="14">
        <v>26175.24</v>
      </c>
      <c r="J1318" s="12" t="s">
        <v>104</v>
      </c>
      <c r="K1318" s="12" t="s">
        <v>111</v>
      </c>
      <c r="L1318" s="23" t="str">
        <f>VLOOKUP(D1318,Products!$A:$F,3,FALSE)</f>
        <v>Apparel</v>
      </c>
      <c r="M1318" s="23" t="str">
        <f>VLOOKUP(E1318,Sales_Reps!$A:$E,3,FALSE)</f>
        <v>West</v>
      </c>
      <c r="N1318" s="23" t="str">
        <f t="shared" si="60"/>
        <v>Jun-24</v>
      </c>
      <c r="O1318" s="23" t="str">
        <f t="shared" si="61"/>
        <v>Q2 2024</v>
      </c>
      <c r="P1318" s="23">
        <f>VLOOKUP(D1318,Products!$A:$F,4,FALSE)</f>
        <v>2611</v>
      </c>
      <c r="Q1318" s="35">
        <f t="shared" si="62"/>
        <v>0.28269230769230769</v>
      </c>
    </row>
    <row r="1319" spans="1:17">
      <c r="A1319" s="12" t="s">
        <v>1822</v>
      </c>
      <c r="B1319" s="13">
        <v>45565</v>
      </c>
      <c r="C1319" s="12" t="s">
        <v>623</v>
      </c>
      <c r="D1319" s="12" t="s">
        <v>108</v>
      </c>
      <c r="E1319" s="12" t="s">
        <v>302</v>
      </c>
      <c r="F1319" s="14">
        <v>4</v>
      </c>
      <c r="G1319" s="14">
        <v>820</v>
      </c>
      <c r="H1319" s="14">
        <v>7.6</v>
      </c>
      <c r="I1319" s="14">
        <v>3030.72</v>
      </c>
      <c r="J1319" s="12" t="s">
        <v>104</v>
      </c>
      <c r="K1319" s="12" t="s">
        <v>129</v>
      </c>
      <c r="L1319" s="23" t="str">
        <f>VLOOKUP(D1319,Products!$A:$F,3,FALSE)</f>
        <v>Apparel</v>
      </c>
      <c r="M1319" s="23" t="str">
        <f>VLOOKUP(E1319,Sales_Reps!$A:$E,3,FALSE)</f>
        <v>East</v>
      </c>
      <c r="N1319" s="23" t="str">
        <f t="shared" si="60"/>
        <v>Sep-24</v>
      </c>
      <c r="O1319" s="23" t="str">
        <f t="shared" si="61"/>
        <v>Q3 2024</v>
      </c>
      <c r="P1319" s="23">
        <f>VLOOKUP(D1319,Products!$A:$F,4,FALSE)</f>
        <v>391</v>
      </c>
      <c r="Q1319" s="35">
        <f t="shared" si="62"/>
        <v>0.52317073170731709</v>
      </c>
    </row>
    <row r="1320" spans="1:17">
      <c r="A1320" s="12" t="s">
        <v>1823</v>
      </c>
      <c r="B1320" s="13">
        <v>45443</v>
      </c>
      <c r="C1320" s="12" t="s">
        <v>1375</v>
      </c>
      <c r="D1320" s="12" t="s">
        <v>144</v>
      </c>
      <c r="E1320" s="12" t="s">
        <v>115</v>
      </c>
      <c r="F1320" s="14">
        <v>1</v>
      </c>
      <c r="G1320" s="14">
        <v>970</v>
      </c>
      <c r="H1320" s="14">
        <v>1.7</v>
      </c>
      <c r="I1320" s="14">
        <v>953.51</v>
      </c>
      <c r="J1320" s="12" t="s">
        <v>104</v>
      </c>
      <c r="K1320" s="12" t="s">
        <v>129</v>
      </c>
      <c r="L1320" s="23" t="str">
        <f>VLOOKUP(D1320,Products!$A:$F,3,FALSE)</f>
        <v>Grocery</v>
      </c>
      <c r="M1320" s="23" t="str">
        <f>VLOOKUP(E1320,Sales_Reps!$A:$E,3,FALSE)</f>
        <v>South</v>
      </c>
      <c r="N1320" s="23" t="str">
        <f t="shared" si="60"/>
        <v>May-24</v>
      </c>
      <c r="O1320" s="23" t="str">
        <f t="shared" si="61"/>
        <v>Q2 2024</v>
      </c>
      <c r="P1320" s="23">
        <f>VLOOKUP(D1320,Products!$A:$F,4,FALSE)</f>
        <v>434</v>
      </c>
      <c r="Q1320" s="35">
        <f t="shared" si="62"/>
        <v>0.5525773195876289</v>
      </c>
    </row>
    <row r="1321" spans="1:17">
      <c r="A1321" s="12" t="s">
        <v>1824</v>
      </c>
      <c r="B1321" s="13">
        <v>45318</v>
      </c>
      <c r="C1321" s="12" t="s">
        <v>147</v>
      </c>
      <c r="D1321" s="12" t="s">
        <v>676</v>
      </c>
      <c r="E1321" s="12" t="s">
        <v>138</v>
      </c>
      <c r="F1321" s="14">
        <v>5</v>
      </c>
      <c r="G1321" s="14">
        <v>3560</v>
      </c>
      <c r="H1321" s="14">
        <v>10.5</v>
      </c>
      <c r="I1321" s="14">
        <v>15931</v>
      </c>
      <c r="J1321" s="12" t="s">
        <v>104</v>
      </c>
      <c r="K1321" s="12" t="s">
        <v>150</v>
      </c>
      <c r="L1321" s="23" t="str">
        <f>VLOOKUP(D1321,Products!$A:$F,3,FALSE)</f>
        <v>Apparel</v>
      </c>
      <c r="M1321" s="23" t="str">
        <f>VLOOKUP(E1321,Sales_Reps!$A:$E,3,FALSE)</f>
        <v>East</v>
      </c>
      <c r="N1321" s="23" t="str">
        <f t="shared" si="60"/>
        <v>Jan-24</v>
      </c>
      <c r="O1321" s="23" t="str">
        <f t="shared" si="61"/>
        <v>Q1 2024</v>
      </c>
      <c r="P1321" s="23">
        <f>VLOOKUP(D1321,Products!$A:$F,4,FALSE)</f>
        <v>2629</v>
      </c>
      <c r="Q1321" s="35">
        <f t="shared" si="62"/>
        <v>0.26151685393258428</v>
      </c>
    </row>
    <row r="1322" spans="1:17">
      <c r="A1322" s="12" t="s">
        <v>1825</v>
      </c>
      <c r="B1322" s="13">
        <v>45308</v>
      </c>
      <c r="C1322" s="12" t="s">
        <v>370</v>
      </c>
      <c r="D1322" s="12" t="s">
        <v>519</v>
      </c>
      <c r="E1322" s="12" t="s">
        <v>221</v>
      </c>
      <c r="F1322" s="14">
        <v>6</v>
      </c>
      <c r="G1322" s="14">
        <v>1090</v>
      </c>
      <c r="H1322" s="14">
        <v>2.4</v>
      </c>
      <c r="I1322" s="14">
        <v>6383.04</v>
      </c>
      <c r="J1322" s="12" t="s">
        <v>110</v>
      </c>
      <c r="K1322" s="12" t="s">
        <v>111</v>
      </c>
      <c r="L1322" s="23" t="str">
        <f>VLOOKUP(D1322,Products!$A:$F,3,FALSE)</f>
        <v>Home</v>
      </c>
      <c r="M1322" s="23" t="str">
        <f>VLOOKUP(E1322,Sales_Reps!$A:$E,3,FALSE)</f>
        <v>South</v>
      </c>
      <c r="N1322" s="23" t="str">
        <f t="shared" si="60"/>
        <v>Jan-24</v>
      </c>
      <c r="O1322" s="23" t="str">
        <f t="shared" si="61"/>
        <v>Q1 2024</v>
      </c>
      <c r="P1322" s="23">
        <f>VLOOKUP(D1322,Products!$A:$F,4,FALSE)</f>
        <v>464</v>
      </c>
      <c r="Q1322" s="35">
        <f t="shared" si="62"/>
        <v>0.57431192660550456</v>
      </c>
    </row>
    <row r="1323" spans="1:17">
      <c r="A1323" s="12" t="s">
        <v>1826</v>
      </c>
      <c r="B1323" s="13">
        <v>45306</v>
      </c>
      <c r="C1323" s="12" t="s">
        <v>724</v>
      </c>
      <c r="D1323" s="12" t="s">
        <v>296</v>
      </c>
      <c r="E1323" s="12" t="s">
        <v>255</v>
      </c>
      <c r="F1323" s="14">
        <v>6</v>
      </c>
      <c r="G1323" s="14">
        <v>2660</v>
      </c>
      <c r="H1323" s="14">
        <v>6.4</v>
      </c>
      <c r="I1323" s="14">
        <v>14938.56</v>
      </c>
      <c r="J1323" s="12" t="s">
        <v>104</v>
      </c>
      <c r="K1323" s="12" t="s">
        <v>129</v>
      </c>
      <c r="L1323" s="23" t="str">
        <f>VLOOKUP(D1323,Products!$A:$F,3,FALSE)</f>
        <v>Electronics</v>
      </c>
      <c r="M1323" s="23" t="str">
        <f>VLOOKUP(E1323,Sales_Reps!$A:$E,3,FALSE)</f>
        <v>East</v>
      </c>
      <c r="N1323" s="23" t="str">
        <f t="shared" si="60"/>
        <v>Jan-24</v>
      </c>
      <c r="O1323" s="23" t="str">
        <f t="shared" si="61"/>
        <v>Q1 2024</v>
      </c>
      <c r="P1323" s="23">
        <f>VLOOKUP(D1323,Products!$A:$F,4,FALSE)</f>
        <v>1259</v>
      </c>
      <c r="Q1323" s="35">
        <f t="shared" si="62"/>
        <v>0.52669172932330832</v>
      </c>
    </row>
    <row r="1324" spans="1:17">
      <c r="A1324" s="12" t="s">
        <v>1827</v>
      </c>
      <c r="B1324" s="13">
        <v>45432</v>
      </c>
      <c r="C1324" s="12" t="s">
        <v>341</v>
      </c>
      <c r="D1324" s="12" t="s">
        <v>425</v>
      </c>
      <c r="E1324" s="12" t="s">
        <v>232</v>
      </c>
      <c r="F1324" s="14">
        <v>5</v>
      </c>
      <c r="G1324" s="14">
        <v>3970</v>
      </c>
      <c r="H1324" s="14">
        <v>18.8</v>
      </c>
      <c r="I1324" s="14">
        <v>16118.2</v>
      </c>
      <c r="J1324" s="12" t="s">
        <v>110</v>
      </c>
      <c r="K1324" s="12" t="s">
        <v>150</v>
      </c>
      <c r="L1324" s="23" t="str">
        <f>VLOOKUP(D1324,Products!$A:$F,3,FALSE)</f>
        <v>Electronics</v>
      </c>
      <c r="M1324" s="23" t="str">
        <f>VLOOKUP(E1324,Sales_Reps!$A:$E,3,FALSE)</f>
        <v>North</v>
      </c>
      <c r="N1324" s="23" t="str">
        <f t="shared" si="60"/>
        <v>May-24</v>
      </c>
      <c r="O1324" s="23" t="str">
        <f t="shared" si="61"/>
        <v>Q2 2024</v>
      </c>
      <c r="P1324" s="23">
        <f>VLOOKUP(D1324,Products!$A:$F,4,FALSE)</f>
        <v>2865</v>
      </c>
      <c r="Q1324" s="35">
        <f t="shared" si="62"/>
        <v>0.27833753148614609</v>
      </c>
    </row>
    <row r="1325" spans="1:17">
      <c r="A1325" s="12" t="s">
        <v>1828</v>
      </c>
      <c r="B1325" s="13">
        <v>45369</v>
      </c>
      <c r="C1325" s="12" t="s">
        <v>353</v>
      </c>
      <c r="D1325" s="12" t="s">
        <v>532</v>
      </c>
      <c r="E1325" s="12" t="s">
        <v>175</v>
      </c>
      <c r="F1325" s="14">
        <v>7</v>
      </c>
      <c r="G1325" s="14">
        <v>6940</v>
      </c>
      <c r="H1325" s="14">
        <v>23.8</v>
      </c>
      <c r="I1325" s="14">
        <v>37017.96</v>
      </c>
      <c r="J1325" s="12" t="s">
        <v>161</v>
      </c>
      <c r="K1325" s="12" t="s">
        <v>129</v>
      </c>
      <c r="L1325" s="23" t="str">
        <f>VLOOKUP(D1325,Products!$A:$F,3,FALSE)</f>
        <v>Sports</v>
      </c>
      <c r="M1325" s="23" t="str">
        <f>VLOOKUP(E1325,Sales_Reps!$A:$E,3,FALSE)</f>
        <v>East</v>
      </c>
      <c r="N1325" s="23" t="str">
        <f t="shared" si="60"/>
        <v>Mar-24</v>
      </c>
      <c r="O1325" s="23" t="str">
        <f t="shared" si="61"/>
        <v>Q1 2024</v>
      </c>
      <c r="P1325" s="23">
        <f>VLOOKUP(D1325,Products!$A:$F,4,FALSE)</f>
        <v>2827</v>
      </c>
      <c r="Q1325" s="35">
        <f t="shared" si="62"/>
        <v>0.5926512968299712</v>
      </c>
    </row>
    <row r="1326" spans="1:17">
      <c r="A1326" s="12" t="s">
        <v>1829</v>
      </c>
      <c r="B1326" s="13">
        <v>45544</v>
      </c>
      <c r="C1326" s="12" t="s">
        <v>660</v>
      </c>
      <c r="D1326" s="12" t="s">
        <v>168</v>
      </c>
      <c r="E1326" s="12" t="s">
        <v>156</v>
      </c>
      <c r="F1326" s="14">
        <v>3</v>
      </c>
      <c r="G1326" s="14">
        <v>2400</v>
      </c>
      <c r="H1326" s="14">
        <v>9.8000000000000007</v>
      </c>
      <c r="I1326" s="14">
        <v>6494.4</v>
      </c>
      <c r="J1326" s="12" t="s">
        <v>104</v>
      </c>
      <c r="K1326" s="12" t="s">
        <v>129</v>
      </c>
      <c r="L1326" s="23" t="str">
        <f>VLOOKUP(D1326,Products!$A:$F,3,FALSE)</f>
        <v>Sports</v>
      </c>
      <c r="M1326" s="23" t="str">
        <f>VLOOKUP(E1326,Sales_Reps!$A:$E,3,FALSE)</f>
        <v>North</v>
      </c>
      <c r="N1326" s="23" t="str">
        <f t="shared" si="60"/>
        <v>Sep-24</v>
      </c>
      <c r="O1326" s="23" t="str">
        <f t="shared" si="61"/>
        <v>Q3 2024</v>
      </c>
      <c r="P1326" s="23">
        <f>VLOOKUP(D1326,Products!$A:$F,4,FALSE)</f>
        <v>974</v>
      </c>
      <c r="Q1326" s="35">
        <f t="shared" si="62"/>
        <v>0.59416666666666662</v>
      </c>
    </row>
    <row r="1327" spans="1:17">
      <c r="A1327" s="12" t="s">
        <v>1830</v>
      </c>
      <c r="B1327" s="13">
        <v>45395</v>
      </c>
      <c r="C1327" s="12" t="s">
        <v>1267</v>
      </c>
      <c r="D1327" s="12" t="s">
        <v>178</v>
      </c>
      <c r="E1327" s="12" t="s">
        <v>171</v>
      </c>
      <c r="F1327" s="14">
        <v>8</v>
      </c>
      <c r="G1327" s="14">
        <v>3450</v>
      </c>
      <c r="H1327" s="14">
        <v>26.6</v>
      </c>
      <c r="I1327" s="14">
        <v>20258.400000000001</v>
      </c>
      <c r="J1327" s="12" t="s">
        <v>157</v>
      </c>
      <c r="K1327" s="12" t="s">
        <v>105</v>
      </c>
      <c r="L1327" s="23" t="str">
        <f>VLOOKUP(D1327,Products!$A:$F,3,FALSE)</f>
        <v>Sports</v>
      </c>
      <c r="M1327" s="23" t="str">
        <f>VLOOKUP(E1327,Sales_Reps!$A:$E,3,FALSE)</f>
        <v>East</v>
      </c>
      <c r="N1327" s="23" t="str">
        <f t="shared" si="60"/>
        <v>Apr-24</v>
      </c>
      <c r="O1327" s="23" t="str">
        <f t="shared" si="61"/>
        <v>Q2 2024</v>
      </c>
      <c r="P1327" s="23">
        <f>VLOOKUP(D1327,Products!$A:$F,4,FALSE)</f>
        <v>2467</v>
      </c>
      <c r="Q1327" s="35">
        <f t="shared" si="62"/>
        <v>0.28492753623188405</v>
      </c>
    </row>
    <row r="1328" spans="1:17">
      <c r="A1328" s="12" t="s">
        <v>1831</v>
      </c>
      <c r="B1328" s="13">
        <v>45389</v>
      </c>
      <c r="C1328" s="12" t="s">
        <v>457</v>
      </c>
      <c r="D1328" s="12" t="s">
        <v>284</v>
      </c>
      <c r="E1328" s="12" t="s">
        <v>156</v>
      </c>
      <c r="F1328" s="14">
        <v>4</v>
      </c>
      <c r="G1328" s="14">
        <v>1220</v>
      </c>
      <c r="H1328" s="14">
        <v>5.5</v>
      </c>
      <c r="I1328" s="14">
        <v>4611.6000000000004</v>
      </c>
      <c r="J1328" s="12" t="s">
        <v>104</v>
      </c>
      <c r="K1328" s="12" t="s">
        <v>105</v>
      </c>
      <c r="L1328" s="23" t="str">
        <f>VLOOKUP(D1328,Products!$A:$F,3,FALSE)</f>
        <v>Electronics</v>
      </c>
      <c r="M1328" s="23" t="str">
        <f>VLOOKUP(E1328,Sales_Reps!$A:$E,3,FALSE)</f>
        <v>North</v>
      </c>
      <c r="N1328" s="23" t="str">
        <f t="shared" si="60"/>
        <v>Apr-24</v>
      </c>
      <c r="O1328" s="23" t="str">
        <f t="shared" si="61"/>
        <v>Q2 2024</v>
      </c>
      <c r="P1328" s="23">
        <f>VLOOKUP(D1328,Products!$A:$F,4,FALSE)</f>
        <v>517</v>
      </c>
      <c r="Q1328" s="35">
        <f t="shared" si="62"/>
        <v>0.57622950819672136</v>
      </c>
    </row>
    <row r="1329" spans="1:17">
      <c r="A1329" s="12" t="s">
        <v>1832</v>
      </c>
      <c r="B1329" s="13">
        <v>45536</v>
      </c>
      <c r="C1329" s="12" t="s">
        <v>1833</v>
      </c>
      <c r="D1329" s="12" t="s">
        <v>309</v>
      </c>
      <c r="E1329" s="12" t="s">
        <v>103</v>
      </c>
      <c r="F1329" s="14">
        <v>1</v>
      </c>
      <c r="G1329" s="14">
        <v>620</v>
      </c>
      <c r="H1329" s="14">
        <v>22.3</v>
      </c>
      <c r="I1329" s="14">
        <v>481.74</v>
      </c>
      <c r="J1329" s="12" t="s">
        <v>110</v>
      </c>
      <c r="K1329" s="12" t="s">
        <v>116</v>
      </c>
      <c r="L1329" s="23" t="str">
        <f>VLOOKUP(D1329,Products!$A:$F,3,FALSE)</f>
        <v>Apparel</v>
      </c>
      <c r="M1329" s="23" t="str">
        <f>VLOOKUP(E1329,Sales_Reps!$A:$E,3,FALSE)</f>
        <v>North</v>
      </c>
      <c r="N1329" s="23" t="str">
        <f t="shared" si="60"/>
        <v>Sep-24</v>
      </c>
      <c r="O1329" s="23" t="str">
        <f t="shared" si="61"/>
        <v>Q3 2024</v>
      </c>
      <c r="P1329" s="23">
        <f>VLOOKUP(D1329,Products!$A:$F,4,FALSE)</f>
        <v>396</v>
      </c>
      <c r="Q1329" s="35">
        <f t="shared" si="62"/>
        <v>0.36129032258064514</v>
      </c>
    </row>
    <row r="1330" spans="1:17">
      <c r="A1330" s="12" t="s">
        <v>1834</v>
      </c>
      <c r="B1330" s="13">
        <v>45348</v>
      </c>
      <c r="C1330" s="12" t="s">
        <v>248</v>
      </c>
      <c r="D1330" s="12" t="s">
        <v>299</v>
      </c>
      <c r="E1330" s="12" t="s">
        <v>171</v>
      </c>
      <c r="F1330" s="14">
        <v>1</v>
      </c>
      <c r="G1330" s="14">
        <v>300</v>
      </c>
      <c r="H1330" s="14">
        <v>12.5</v>
      </c>
      <c r="I1330" s="14">
        <v>262.5</v>
      </c>
      <c r="J1330" s="12" t="s">
        <v>104</v>
      </c>
      <c r="K1330" s="12" t="s">
        <v>134</v>
      </c>
      <c r="L1330" s="23" t="str">
        <f>VLOOKUP(D1330,Products!$A:$F,3,FALSE)</f>
        <v>Electronics</v>
      </c>
      <c r="M1330" s="23" t="str">
        <f>VLOOKUP(E1330,Sales_Reps!$A:$E,3,FALSE)</f>
        <v>East</v>
      </c>
      <c r="N1330" s="23" t="str">
        <f t="shared" si="60"/>
        <v>Feb-24</v>
      </c>
      <c r="O1330" s="23" t="str">
        <f t="shared" si="61"/>
        <v>Q1 2024</v>
      </c>
      <c r="P1330" s="23">
        <f>VLOOKUP(D1330,Products!$A:$F,4,FALSE)</f>
        <v>128</v>
      </c>
      <c r="Q1330" s="35">
        <f t="shared" si="62"/>
        <v>0.57333333333333336</v>
      </c>
    </row>
    <row r="1331" spans="1:17">
      <c r="A1331" s="12" t="s">
        <v>1835</v>
      </c>
      <c r="B1331" s="13">
        <v>45502</v>
      </c>
      <c r="C1331" s="12" t="s">
        <v>917</v>
      </c>
      <c r="D1331" s="12" t="s">
        <v>199</v>
      </c>
      <c r="E1331" s="12" t="s">
        <v>209</v>
      </c>
      <c r="F1331" s="14">
        <v>3</v>
      </c>
      <c r="G1331" s="14">
        <v>1010</v>
      </c>
      <c r="H1331" s="14">
        <v>14.1</v>
      </c>
      <c r="I1331" s="14">
        <v>2602.77</v>
      </c>
      <c r="J1331" s="12" t="s">
        <v>104</v>
      </c>
      <c r="K1331" s="12" t="s">
        <v>134</v>
      </c>
      <c r="L1331" s="23" t="str">
        <f>VLOOKUP(D1331,Products!$A:$F,3,FALSE)</f>
        <v>Sports</v>
      </c>
      <c r="M1331" s="23" t="str">
        <f>VLOOKUP(E1331,Sales_Reps!$A:$E,3,FALSE)</f>
        <v>East</v>
      </c>
      <c r="N1331" s="23" t="str">
        <f t="shared" si="60"/>
        <v>Jul-24</v>
      </c>
      <c r="O1331" s="23" t="str">
        <f t="shared" si="61"/>
        <v>Q3 2024</v>
      </c>
      <c r="P1331" s="23">
        <f>VLOOKUP(D1331,Products!$A:$F,4,FALSE)</f>
        <v>516</v>
      </c>
      <c r="Q1331" s="35">
        <f t="shared" si="62"/>
        <v>0.4891089108910891</v>
      </c>
    </row>
    <row r="1332" spans="1:17">
      <c r="A1332" s="12" t="s">
        <v>1836</v>
      </c>
      <c r="B1332" s="13">
        <v>45600</v>
      </c>
      <c r="C1332" s="12" t="s">
        <v>814</v>
      </c>
      <c r="D1332" s="12" t="s">
        <v>460</v>
      </c>
      <c r="E1332" s="12" t="s">
        <v>360</v>
      </c>
      <c r="F1332" s="14">
        <v>2</v>
      </c>
      <c r="G1332" s="14">
        <v>5080</v>
      </c>
      <c r="H1332" s="14">
        <v>16.8</v>
      </c>
      <c r="I1332" s="14">
        <v>8453.1200000000008</v>
      </c>
      <c r="J1332" s="12" t="s">
        <v>104</v>
      </c>
      <c r="K1332" s="12" t="s">
        <v>116</v>
      </c>
      <c r="L1332" s="23" t="str">
        <f>VLOOKUP(D1332,Products!$A:$F,3,FALSE)</f>
        <v>Home</v>
      </c>
      <c r="M1332" s="23" t="str">
        <f>VLOOKUP(E1332,Sales_Reps!$A:$E,3,FALSE)</f>
        <v>West</v>
      </c>
      <c r="N1332" s="23" t="str">
        <f t="shared" si="60"/>
        <v>Nov-24</v>
      </c>
      <c r="O1332" s="23" t="str">
        <f t="shared" si="61"/>
        <v>Q4 2024</v>
      </c>
      <c r="P1332" s="23">
        <f>VLOOKUP(D1332,Products!$A:$F,4,FALSE)</f>
        <v>2459</v>
      </c>
      <c r="Q1332" s="35">
        <f t="shared" si="62"/>
        <v>0.51594488188976373</v>
      </c>
    </row>
    <row r="1333" spans="1:17">
      <c r="A1333" s="12" t="s">
        <v>1837</v>
      </c>
      <c r="B1333" s="13">
        <v>45416</v>
      </c>
      <c r="C1333" s="12" t="s">
        <v>192</v>
      </c>
      <c r="D1333" s="12" t="s">
        <v>123</v>
      </c>
      <c r="E1333" s="12" t="s">
        <v>360</v>
      </c>
      <c r="F1333" s="14">
        <v>2</v>
      </c>
      <c r="G1333" s="14">
        <v>3160</v>
      </c>
      <c r="H1333" s="14">
        <v>21.4</v>
      </c>
      <c r="I1333" s="14">
        <v>4967.5200000000004</v>
      </c>
      <c r="J1333" s="12" t="s">
        <v>104</v>
      </c>
      <c r="K1333" s="12" t="s">
        <v>1838</v>
      </c>
      <c r="L1333" s="23" t="str">
        <f>VLOOKUP(D1333,Products!$A:$F,3,FALSE)</f>
        <v>Apparel</v>
      </c>
      <c r="M1333" s="23" t="str">
        <f>VLOOKUP(E1333,Sales_Reps!$A:$E,3,FALSE)</f>
        <v>West</v>
      </c>
      <c r="N1333" s="23" t="str">
        <f t="shared" si="60"/>
        <v>May-24</v>
      </c>
      <c r="O1333" s="23" t="str">
        <f t="shared" si="61"/>
        <v>Q2 2024</v>
      </c>
      <c r="P1333" s="23">
        <f>VLOOKUP(D1333,Products!$A:$F,4,FALSE)</f>
        <v>1886</v>
      </c>
      <c r="Q1333" s="35">
        <f t="shared" si="62"/>
        <v>0.4031645569620253</v>
      </c>
    </row>
    <row r="1334" spans="1:17">
      <c r="A1334" s="12" t="s">
        <v>1839</v>
      </c>
      <c r="B1334" s="13">
        <v>45535</v>
      </c>
      <c r="C1334" s="12" t="s">
        <v>1033</v>
      </c>
      <c r="D1334" s="12" t="s">
        <v>174</v>
      </c>
      <c r="E1334" s="12" t="s">
        <v>363</v>
      </c>
      <c r="F1334" s="14">
        <v>7</v>
      </c>
      <c r="G1334" s="14">
        <v>3450</v>
      </c>
      <c r="H1334" s="14">
        <v>21.3</v>
      </c>
      <c r="I1334" s="14">
        <v>19006.05</v>
      </c>
      <c r="J1334" s="12" t="s">
        <v>104</v>
      </c>
      <c r="K1334" s="12" t="s">
        <v>134</v>
      </c>
      <c r="L1334" s="23" t="str">
        <f>VLOOKUP(D1334,Products!$A:$F,3,FALSE)</f>
        <v>Beauty</v>
      </c>
      <c r="M1334" s="23" t="str">
        <f>VLOOKUP(E1334,Sales_Reps!$A:$E,3,FALSE)</f>
        <v>South</v>
      </c>
      <c r="N1334" s="23" t="str">
        <f t="shared" si="60"/>
        <v>Aug-24</v>
      </c>
      <c r="O1334" s="23" t="str">
        <f t="shared" si="61"/>
        <v>Q3 2024</v>
      </c>
      <c r="P1334" s="23">
        <f>VLOOKUP(D1334,Products!$A:$F,4,FALSE)</f>
        <v>2420</v>
      </c>
      <c r="Q1334" s="35">
        <f t="shared" si="62"/>
        <v>0.29855072463768118</v>
      </c>
    </row>
    <row r="1335" spans="1:17">
      <c r="A1335" s="12" t="s">
        <v>1840</v>
      </c>
      <c r="B1335" s="13">
        <v>45322</v>
      </c>
      <c r="C1335" s="12" t="s">
        <v>587</v>
      </c>
      <c r="D1335" s="12" t="s">
        <v>381</v>
      </c>
      <c r="E1335" s="12" t="s">
        <v>120</v>
      </c>
      <c r="F1335" s="14">
        <v>2</v>
      </c>
      <c r="G1335" s="14">
        <v>5330</v>
      </c>
      <c r="H1335" s="14">
        <v>4.3</v>
      </c>
      <c r="I1335" s="14">
        <v>10201.620000000001</v>
      </c>
      <c r="J1335" s="12" t="s">
        <v>104</v>
      </c>
      <c r="K1335" s="12" t="s">
        <v>116</v>
      </c>
      <c r="L1335" s="23" t="str">
        <f>VLOOKUP(D1335,Products!$A:$F,3,FALSE)</f>
        <v>Electronics</v>
      </c>
      <c r="M1335" s="23" t="str">
        <f>VLOOKUP(E1335,Sales_Reps!$A:$E,3,FALSE)</f>
        <v>North</v>
      </c>
      <c r="N1335" s="23" t="str">
        <f t="shared" si="60"/>
        <v>Jan-24</v>
      </c>
      <c r="O1335" s="23" t="str">
        <f t="shared" si="61"/>
        <v>Q1 2024</v>
      </c>
      <c r="P1335" s="23">
        <f>VLOOKUP(D1335,Products!$A:$F,4,FALSE)</f>
        <v>2405</v>
      </c>
      <c r="Q1335" s="35">
        <f t="shared" si="62"/>
        <v>0.54878048780487809</v>
      </c>
    </row>
    <row r="1336" spans="1:17">
      <c r="A1336" s="12" t="s">
        <v>1841</v>
      </c>
      <c r="B1336" s="13">
        <v>45626</v>
      </c>
      <c r="C1336" s="12" t="s">
        <v>630</v>
      </c>
      <c r="D1336" s="12" t="s">
        <v>532</v>
      </c>
      <c r="E1336" s="12" t="s">
        <v>115</v>
      </c>
      <c r="F1336" s="14">
        <v>5</v>
      </c>
      <c r="G1336" s="14">
        <v>6940</v>
      </c>
      <c r="H1336" s="14">
        <v>2.9</v>
      </c>
      <c r="I1336" s="14">
        <v>33693.699999999997</v>
      </c>
      <c r="J1336" s="12" t="s">
        <v>104</v>
      </c>
      <c r="K1336" s="12" t="s">
        <v>129</v>
      </c>
      <c r="L1336" s="23" t="str">
        <f>VLOOKUP(D1336,Products!$A:$F,3,FALSE)</f>
        <v>Sports</v>
      </c>
      <c r="M1336" s="23" t="str">
        <f>VLOOKUP(E1336,Sales_Reps!$A:$E,3,FALSE)</f>
        <v>South</v>
      </c>
      <c r="N1336" s="23" t="str">
        <f t="shared" si="60"/>
        <v>Nov-24</v>
      </c>
      <c r="O1336" s="23" t="str">
        <f t="shared" si="61"/>
        <v>Q4 2024</v>
      </c>
      <c r="P1336" s="23">
        <f>VLOOKUP(D1336,Products!$A:$F,4,FALSE)</f>
        <v>2827</v>
      </c>
      <c r="Q1336" s="35">
        <f t="shared" si="62"/>
        <v>0.5926512968299712</v>
      </c>
    </row>
    <row r="1337" spans="1:17">
      <c r="A1337" s="12" t="s">
        <v>1842</v>
      </c>
      <c r="B1337" s="13">
        <v>45534</v>
      </c>
      <c r="C1337" s="12" t="s">
        <v>621</v>
      </c>
      <c r="D1337" s="12" t="s">
        <v>220</v>
      </c>
      <c r="E1337" s="12" t="s">
        <v>145</v>
      </c>
      <c r="F1337" s="14">
        <v>5</v>
      </c>
      <c r="G1337" s="14">
        <v>660</v>
      </c>
      <c r="H1337" s="14">
        <v>15.8</v>
      </c>
      <c r="I1337" s="14">
        <v>2778.6</v>
      </c>
      <c r="J1337" s="12" t="s">
        <v>104</v>
      </c>
      <c r="K1337" s="12" t="s">
        <v>134</v>
      </c>
      <c r="L1337" s="23" t="str">
        <f>VLOOKUP(D1337,Products!$A:$F,3,FALSE)</f>
        <v>Home</v>
      </c>
      <c r="M1337" s="23" t="str">
        <f>VLOOKUP(E1337,Sales_Reps!$A:$E,3,FALSE)</f>
        <v>West</v>
      </c>
      <c r="N1337" s="23" t="str">
        <f t="shared" si="60"/>
        <v>Aug-24</v>
      </c>
      <c r="O1337" s="23" t="str">
        <f t="shared" si="61"/>
        <v>Q3 2024</v>
      </c>
      <c r="P1337" s="23">
        <f>VLOOKUP(D1337,Products!$A:$F,4,FALSE)</f>
        <v>329</v>
      </c>
      <c r="Q1337" s="35">
        <f t="shared" si="62"/>
        <v>0.50151515151515147</v>
      </c>
    </row>
    <row r="1338" spans="1:17">
      <c r="A1338" s="12" t="s">
        <v>1843</v>
      </c>
      <c r="B1338" s="13">
        <v>45519</v>
      </c>
      <c r="C1338" s="12" t="s">
        <v>1003</v>
      </c>
      <c r="D1338" s="12" t="s">
        <v>208</v>
      </c>
      <c r="E1338" s="12" t="s">
        <v>269</v>
      </c>
      <c r="F1338" s="14">
        <v>9</v>
      </c>
      <c r="G1338" s="14">
        <v>5100</v>
      </c>
      <c r="H1338" s="14">
        <v>0.4</v>
      </c>
      <c r="I1338" s="14">
        <v>45716.4</v>
      </c>
      <c r="J1338" s="12" t="s">
        <v>104</v>
      </c>
      <c r="K1338" s="12" t="s">
        <v>111</v>
      </c>
      <c r="L1338" s="23" t="str">
        <f>VLOOKUP(D1338,Products!$A:$F,3,FALSE)</f>
        <v>Beauty</v>
      </c>
      <c r="M1338" s="23" t="str">
        <f>VLOOKUP(E1338,Sales_Reps!$A:$E,3,FALSE)</f>
        <v>South</v>
      </c>
      <c r="N1338" s="23" t="str">
        <f t="shared" si="60"/>
        <v>Aug-24</v>
      </c>
      <c r="O1338" s="23" t="str">
        <f t="shared" si="61"/>
        <v>Q3 2024</v>
      </c>
      <c r="P1338" s="23">
        <f>VLOOKUP(D1338,Products!$A:$F,4,FALSE)</f>
        <v>2237</v>
      </c>
      <c r="Q1338" s="35">
        <f t="shared" si="62"/>
        <v>0.56137254901960787</v>
      </c>
    </row>
    <row r="1339" spans="1:17">
      <c r="A1339" s="12" t="s">
        <v>1844</v>
      </c>
      <c r="B1339" s="13">
        <v>45315</v>
      </c>
      <c r="C1339" s="12" t="s">
        <v>1845</v>
      </c>
      <c r="D1339" s="12" t="s">
        <v>193</v>
      </c>
      <c r="E1339" s="12" t="s">
        <v>115</v>
      </c>
      <c r="F1339" s="14">
        <v>5</v>
      </c>
      <c r="G1339" s="14">
        <v>1650</v>
      </c>
      <c r="H1339" s="14">
        <v>0.8</v>
      </c>
      <c r="I1339" s="14">
        <v>8184</v>
      </c>
      <c r="J1339" s="12" t="s">
        <v>110</v>
      </c>
      <c r="K1339" s="12" t="s">
        <v>111</v>
      </c>
      <c r="L1339" s="23" t="str">
        <f>VLOOKUP(D1339,Products!$A:$F,3,FALSE)</f>
        <v>Beauty</v>
      </c>
      <c r="M1339" s="23" t="str">
        <f>VLOOKUP(E1339,Sales_Reps!$A:$E,3,FALSE)</f>
        <v>South</v>
      </c>
      <c r="N1339" s="23" t="str">
        <f t="shared" si="60"/>
        <v>Jan-24</v>
      </c>
      <c r="O1339" s="23" t="str">
        <f t="shared" si="61"/>
        <v>Q1 2024</v>
      </c>
      <c r="P1339" s="23">
        <f>VLOOKUP(D1339,Products!$A:$F,4,FALSE)</f>
        <v>1222</v>
      </c>
      <c r="Q1339" s="35">
        <f t="shared" si="62"/>
        <v>0.2593939393939394</v>
      </c>
    </row>
    <row r="1340" spans="1:17">
      <c r="A1340" s="12" t="s">
        <v>1846</v>
      </c>
      <c r="B1340" s="13">
        <v>45566</v>
      </c>
      <c r="C1340" s="12" t="s">
        <v>734</v>
      </c>
      <c r="D1340" s="12" t="s">
        <v>254</v>
      </c>
      <c r="E1340" s="12" t="s">
        <v>320</v>
      </c>
      <c r="F1340" s="14">
        <v>7</v>
      </c>
      <c r="G1340" s="14">
        <v>3640</v>
      </c>
      <c r="H1340" s="14">
        <v>25.5</v>
      </c>
      <c r="I1340" s="14">
        <v>18982.599999999999</v>
      </c>
      <c r="J1340" s="12" t="s">
        <v>104</v>
      </c>
      <c r="K1340" s="12" t="s">
        <v>111</v>
      </c>
      <c r="L1340" s="23" t="str">
        <f>VLOOKUP(D1340,Products!$A:$F,3,FALSE)</f>
        <v>Apparel</v>
      </c>
      <c r="M1340" s="23" t="str">
        <f>VLOOKUP(E1340,Sales_Reps!$A:$E,3,FALSE)</f>
        <v>East</v>
      </c>
      <c r="N1340" s="23" t="str">
        <f t="shared" si="60"/>
        <v>Oct-24</v>
      </c>
      <c r="O1340" s="23" t="str">
        <f t="shared" si="61"/>
        <v>Q4 2024</v>
      </c>
      <c r="P1340" s="23">
        <f>VLOOKUP(D1340,Products!$A:$F,4,FALSE)</f>
        <v>2611</v>
      </c>
      <c r="Q1340" s="35">
        <f t="shared" si="62"/>
        <v>0.28269230769230769</v>
      </c>
    </row>
    <row r="1341" spans="1:17">
      <c r="A1341" s="12" t="s">
        <v>1847</v>
      </c>
      <c r="B1341" s="13">
        <v>45643</v>
      </c>
      <c r="C1341" s="12" t="s">
        <v>253</v>
      </c>
      <c r="D1341" s="12" t="s">
        <v>201</v>
      </c>
      <c r="E1341" s="12" t="s">
        <v>246</v>
      </c>
      <c r="F1341" s="14">
        <v>6</v>
      </c>
      <c r="G1341" s="14">
        <v>4880</v>
      </c>
      <c r="H1341" s="14">
        <v>12.6</v>
      </c>
      <c r="I1341" s="14">
        <v>25590.720000000001</v>
      </c>
      <c r="J1341" s="12" t="s">
        <v>157</v>
      </c>
      <c r="K1341" s="12" t="s">
        <v>150</v>
      </c>
      <c r="L1341" s="23" t="str">
        <f>VLOOKUP(D1341,Products!$A:$F,3,FALSE)</f>
        <v>Beauty</v>
      </c>
      <c r="M1341" s="23" t="str">
        <f>VLOOKUP(E1341,Sales_Reps!$A:$E,3,FALSE)</f>
        <v>West</v>
      </c>
      <c r="N1341" s="23" t="str">
        <f t="shared" si="60"/>
        <v>Dec-24</v>
      </c>
      <c r="O1341" s="23" t="str">
        <f t="shared" si="61"/>
        <v>Q4 2024</v>
      </c>
      <c r="P1341" s="23">
        <f>VLOOKUP(D1341,Products!$A:$F,4,FALSE)</f>
        <v>2768</v>
      </c>
      <c r="Q1341" s="35">
        <f t="shared" si="62"/>
        <v>0.43278688524590164</v>
      </c>
    </row>
    <row r="1342" spans="1:17">
      <c r="A1342" s="12" t="s">
        <v>1848</v>
      </c>
      <c r="B1342" s="13">
        <v>45422</v>
      </c>
      <c r="C1342" s="12" t="s">
        <v>917</v>
      </c>
      <c r="D1342" s="12" t="s">
        <v>381</v>
      </c>
      <c r="E1342" s="12" t="s">
        <v>145</v>
      </c>
      <c r="F1342" s="14">
        <v>4</v>
      </c>
      <c r="G1342" s="14">
        <v>5330</v>
      </c>
      <c r="H1342" s="14">
        <v>16.2</v>
      </c>
      <c r="I1342" s="14">
        <v>17866.16</v>
      </c>
      <c r="J1342" s="12" t="s">
        <v>104</v>
      </c>
      <c r="K1342" s="12" t="s">
        <v>134</v>
      </c>
      <c r="L1342" s="23" t="str">
        <f>VLOOKUP(D1342,Products!$A:$F,3,FALSE)</f>
        <v>Electronics</v>
      </c>
      <c r="M1342" s="23" t="str">
        <f>VLOOKUP(E1342,Sales_Reps!$A:$E,3,FALSE)</f>
        <v>West</v>
      </c>
      <c r="N1342" s="23" t="str">
        <f t="shared" si="60"/>
        <v>May-24</v>
      </c>
      <c r="O1342" s="23" t="str">
        <f t="shared" si="61"/>
        <v>Q2 2024</v>
      </c>
      <c r="P1342" s="23">
        <f>VLOOKUP(D1342,Products!$A:$F,4,FALSE)</f>
        <v>2405</v>
      </c>
      <c r="Q1342" s="35">
        <f t="shared" si="62"/>
        <v>0.54878048780487809</v>
      </c>
    </row>
    <row r="1343" spans="1:17">
      <c r="A1343" s="12" t="s">
        <v>1849</v>
      </c>
      <c r="B1343" s="13">
        <v>45400</v>
      </c>
      <c r="C1343" s="12" t="s">
        <v>496</v>
      </c>
      <c r="D1343" s="12" t="s">
        <v>141</v>
      </c>
      <c r="E1343" s="12" t="s">
        <v>171</v>
      </c>
      <c r="F1343" s="14">
        <v>3</v>
      </c>
      <c r="G1343" s="14">
        <v>5490</v>
      </c>
      <c r="H1343" s="14">
        <v>26.7</v>
      </c>
      <c r="I1343" s="14">
        <v>12072.51</v>
      </c>
      <c r="J1343" s="12" t="s">
        <v>104</v>
      </c>
      <c r="K1343" s="12" t="s">
        <v>105</v>
      </c>
      <c r="L1343" s="23" t="str">
        <f>VLOOKUP(D1343,Products!$A:$F,3,FALSE)</f>
        <v>Home</v>
      </c>
      <c r="M1343" s="23" t="str">
        <f>VLOOKUP(E1343,Sales_Reps!$A:$E,3,FALSE)</f>
        <v>East</v>
      </c>
      <c r="N1343" s="23" t="str">
        <f t="shared" si="60"/>
        <v>Apr-24</v>
      </c>
      <c r="O1343" s="23" t="str">
        <f t="shared" si="61"/>
        <v>Q2 2024</v>
      </c>
      <c r="P1343" s="23">
        <f>VLOOKUP(D1343,Products!$A:$F,4,FALSE)</f>
        <v>2549</v>
      </c>
      <c r="Q1343" s="35">
        <f t="shared" si="62"/>
        <v>0.53570127504553733</v>
      </c>
    </row>
    <row r="1344" spans="1:17">
      <c r="A1344" s="12" t="s">
        <v>1850</v>
      </c>
      <c r="B1344" s="13">
        <v>45564</v>
      </c>
      <c r="C1344" s="12" t="s">
        <v>195</v>
      </c>
      <c r="D1344" s="12" t="s">
        <v>164</v>
      </c>
      <c r="E1344" s="12" t="s">
        <v>314</v>
      </c>
      <c r="F1344" s="14">
        <v>7</v>
      </c>
      <c r="G1344" s="14">
        <v>190</v>
      </c>
      <c r="H1344" s="14">
        <v>11.6</v>
      </c>
      <c r="I1344" s="14">
        <v>1175.72</v>
      </c>
      <c r="J1344" s="12" t="s">
        <v>104</v>
      </c>
      <c r="K1344" s="12" t="s">
        <v>111</v>
      </c>
      <c r="L1344" s="23" t="str">
        <f>VLOOKUP(D1344,Products!$A:$F,3,FALSE)</f>
        <v>Sports</v>
      </c>
      <c r="M1344" s="23" t="str">
        <f>VLOOKUP(E1344,Sales_Reps!$A:$E,3,FALSE)</f>
        <v>North</v>
      </c>
      <c r="N1344" s="23" t="str">
        <f t="shared" si="60"/>
        <v>Sep-24</v>
      </c>
      <c r="O1344" s="23" t="str">
        <f t="shared" si="61"/>
        <v>Q3 2024</v>
      </c>
      <c r="P1344" s="23">
        <f>VLOOKUP(D1344,Products!$A:$F,4,FALSE)</f>
        <v>147</v>
      </c>
      <c r="Q1344" s="35">
        <f t="shared" si="62"/>
        <v>0.22631578947368422</v>
      </c>
    </row>
    <row r="1345" spans="1:17">
      <c r="A1345" s="12" t="s">
        <v>1851</v>
      </c>
      <c r="B1345" s="13">
        <v>45437</v>
      </c>
      <c r="C1345" s="12" t="s">
        <v>131</v>
      </c>
      <c r="D1345" s="12" t="s">
        <v>123</v>
      </c>
      <c r="E1345" s="12" t="s">
        <v>363</v>
      </c>
      <c r="F1345" s="14">
        <v>5</v>
      </c>
      <c r="G1345" s="14">
        <v>3160</v>
      </c>
      <c r="H1345" s="14">
        <v>24.1</v>
      </c>
      <c r="I1345" s="14">
        <v>11992.2</v>
      </c>
      <c r="J1345" s="12" t="s">
        <v>104</v>
      </c>
      <c r="K1345" s="12" t="s">
        <v>134</v>
      </c>
      <c r="L1345" s="23" t="str">
        <f>VLOOKUP(D1345,Products!$A:$F,3,FALSE)</f>
        <v>Apparel</v>
      </c>
      <c r="M1345" s="23" t="str">
        <f>VLOOKUP(E1345,Sales_Reps!$A:$E,3,FALSE)</f>
        <v>South</v>
      </c>
      <c r="N1345" s="23" t="str">
        <f t="shared" si="60"/>
        <v>May-24</v>
      </c>
      <c r="O1345" s="23" t="str">
        <f t="shared" si="61"/>
        <v>Q2 2024</v>
      </c>
      <c r="P1345" s="23">
        <f>VLOOKUP(D1345,Products!$A:$F,4,FALSE)</f>
        <v>1886</v>
      </c>
      <c r="Q1345" s="35">
        <f t="shared" si="62"/>
        <v>0.4031645569620253</v>
      </c>
    </row>
    <row r="1346" spans="1:17">
      <c r="A1346" s="12" t="s">
        <v>1852</v>
      </c>
      <c r="B1346" s="13">
        <v>45395</v>
      </c>
      <c r="C1346" s="12" t="s">
        <v>402</v>
      </c>
      <c r="D1346" s="12" t="s">
        <v>519</v>
      </c>
      <c r="E1346" s="12" t="s">
        <v>171</v>
      </c>
      <c r="F1346" s="14">
        <v>1</v>
      </c>
      <c r="G1346" s="14">
        <v>1090</v>
      </c>
      <c r="H1346" s="14">
        <v>9.6</v>
      </c>
      <c r="I1346" s="14">
        <v>985.36</v>
      </c>
      <c r="J1346" s="12" t="s">
        <v>161</v>
      </c>
      <c r="K1346" s="12" t="s">
        <v>134</v>
      </c>
      <c r="L1346" s="23" t="str">
        <f>VLOOKUP(D1346,Products!$A:$F,3,FALSE)</f>
        <v>Home</v>
      </c>
      <c r="M1346" s="23" t="str">
        <f>VLOOKUP(E1346,Sales_Reps!$A:$E,3,FALSE)</f>
        <v>East</v>
      </c>
      <c r="N1346" s="23" t="str">
        <f t="shared" si="60"/>
        <v>Apr-24</v>
      </c>
      <c r="O1346" s="23" t="str">
        <f t="shared" si="61"/>
        <v>Q2 2024</v>
      </c>
      <c r="P1346" s="23">
        <f>VLOOKUP(D1346,Products!$A:$F,4,FALSE)</f>
        <v>464</v>
      </c>
      <c r="Q1346" s="35">
        <f t="shared" si="62"/>
        <v>0.57431192660550456</v>
      </c>
    </row>
    <row r="1347" spans="1:17">
      <c r="A1347" s="12" t="s">
        <v>1853</v>
      </c>
      <c r="B1347" s="13">
        <v>45447</v>
      </c>
      <c r="C1347" s="12" t="s">
        <v>399</v>
      </c>
      <c r="D1347" s="12" t="s">
        <v>127</v>
      </c>
      <c r="E1347" s="12" t="s">
        <v>156</v>
      </c>
      <c r="F1347" s="14">
        <v>9</v>
      </c>
      <c r="G1347" s="14">
        <v>370</v>
      </c>
      <c r="H1347" s="14">
        <v>4</v>
      </c>
      <c r="I1347" s="14">
        <v>3196.8</v>
      </c>
      <c r="J1347" s="12" t="s">
        <v>104</v>
      </c>
      <c r="K1347" s="12" t="s">
        <v>116</v>
      </c>
      <c r="L1347" s="23" t="str">
        <f>VLOOKUP(D1347,Products!$A:$F,3,FALSE)</f>
        <v>Home</v>
      </c>
      <c r="M1347" s="23" t="str">
        <f>VLOOKUP(E1347,Sales_Reps!$A:$E,3,FALSE)</f>
        <v>North</v>
      </c>
      <c r="N1347" s="23" t="str">
        <f t="shared" ref="N1347:N1410" si="63">TEXT(B1347, "mmm-yy")</f>
        <v>Jun-24</v>
      </c>
      <c r="O1347" s="23" t="str">
        <f t="shared" ref="O1347:O1410" si="64">"Q" &amp; INT((MONTH(B1347)-1)/3)+1 &amp; " " &amp; YEAR(B1347)</f>
        <v>Q2 2024</v>
      </c>
      <c r="P1347" s="23">
        <f>VLOOKUP(D1347,Products!$A:$F,4,FALSE)</f>
        <v>288</v>
      </c>
      <c r="Q1347" s="35">
        <f t="shared" ref="Q1347:Q1410" si="65">(G1347 - P1347) / G1347</f>
        <v>0.22162162162162163</v>
      </c>
    </row>
    <row r="1348" spans="1:17">
      <c r="A1348" s="12" t="s">
        <v>1854</v>
      </c>
      <c r="B1348" s="13">
        <v>45300</v>
      </c>
      <c r="C1348" s="12" t="s">
        <v>234</v>
      </c>
      <c r="D1348" s="12" t="s">
        <v>296</v>
      </c>
      <c r="E1348" s="12" t="s">
        <v>314</v>
      </c>
      <c r="F1348" s="14">
        <v>5</v>
      </c>
      <c r="G1348" s="14">
        <v>2660</v>
      </c>
      <c r="H1348" s="14">
        <v>24.6</v>
      </c>
      <c r="I1348" s="14">
        <v>10028.200000000001</v>
      </c>
      <c r="J1348" s="12" t="s">
        <v>157</v>
      </c>
      <c r="K1348" s="12" t="s">
        <v>111</v>
      </c>
      <c r="L1348" s="23" t="str">
        <f>VLOOKUP(D1348,Products!$A:$F,3,FALSE)</f>
        <v>Electronics</v>
      </c>
      <c r="M1348" s="23" t="str">
        <f>VLOOKUP(E1348,Sales_Reps!$A:$E,3,FALSE)</f>
        <v>North</v>
      </c>
      <c r="N1348" s="23" t="str">
        <f t="shared" si="63"/>
        <v>Jan-24</v>
      </c>
      <c r="O1348" s="23" t="str">
        <f t="shared" si="64"/>
        <v>Q1 2024</v>
      </c>
      <c r="P1348" s="23">
        <f>VLOOKUP(D1348,Products!$A:$F,4,FALSE)</f>
        <v>1259</v>
      </c>
      <c r="Q1348" s="35">
        <f t="shared" si="65"/>
        <v>0.52669172932330832</v>
      </c>
    </row>
    <row r="1349" spans="1:17">
      <c r="A1349" s="12" t="s">
        <v>1855</v>
      </c>
      <c r="B1349" s="13">
        <v>45327</v>
      </c>
      <c r="C1349" s="12" t="s">
        <v>1378</v>
      </c>
      <c r="D1349" s="12" t="s">
        <v>676</v>
      </c>
      <c r="E1349" s="12" t="s">
        <v>320</v>
      </c>
      <c r="F1349" s="14">
        <v>4</v>
      </c>
      <c r="G1349" s="14">
        <v>3560</v>
      </c>
      <c r="H1349" s="14">
        <v>25.7</v>
      </c>
      <c r="I1349" s="14">
        <v>10580.32</v>
      </c>
      <c r="J1349" s="12" t="s">
        <v>104</v>
      </c>
      <c r="K1349" s="12" t="s">
        <v>111</v>
      </c>
      <c r="L1349" s="23" t="str">
        <f>VLOOKUP(D1349,Products!$A:$F,3,FALSE)</f>
        <v>Apparel</v>
      </c>
      <c r="M1349" s="23" t="str">
        <f>VLOOKUP(E1349,Sales_Reps!$A:$E,3,FALSE)</f>
        <v>East</v>
      </c>
      <c r="N1349" s="23" t="str">
        <f t="shared" si="63"/>
        <v>Feb-24</v>
      </c>
      <c r="O1349" s="23" t="str">
        <f t="shared" si="64"/>
        <v>Q1 2024</v>
      </c>
      <c r="P1349" s="23">
        <f>VLOOKUP(D1349,Products!$A:$F,4,FALSE)</f>
        <v>2629</v>
      </c>
      <c r="Q1349" s="35">
        <f t="shared" si="65"/>
        <v>0.26151685393258428</v>
      </c>
    </row>
    <row r="1350" spans="1:17">
      <c r="A1350" s="12" t="s">
        <v>1856</v>
      </c>
      <c r="B1350" s="13">
        <v>45410</v>
      </c>
      <c r="C1350" s="12" t="s">
        <v>1003</v>
      </c>
      <c r="D1350" s="12" t="s">
        <v>397</v>
      </c>
      <c r="E1350" s="12" t="s">
        <v>109</v>
      </c>
      <c r="F1350" s="14">
        <v>8</v>
      </c>
      <c r="G1350" s="14">
        <v>960</v>
      </c>
      <c r="H1350" s="14">
        <v>0.1</v>
      </c>
      <c r="I1350" s="14">
        <v>7672.32</v>
      </c>
      <c r="J1350" s="12" t="s">
        <v>104</v>
      </c>
      <c r="K1350" s="12" t="s">
        <v>111</v>
      </c>
      <c r="L1350" s="23" t="str">
        <f>VLOOKUP(D1350,Products!$A:$F,3,FALSE)</f>
        <v>Beauty</v>
      </c>
      <c r="M1350" s="23" t="str">
        <f>VLOOKUP(E1350,Sales_Reps!$A:$E,3,FALSE)</f>
        <v>North</v>
      </c>
      <c r="N1350" s="23" t="str">
        <f t="shared" si="63"/>
        <v>Apr-24</v>
      </c>
      <c r="O1350" s="23" t="str">
        <f t="shared" si="64"/>
        <v>Q2 2024</v>
      </c>
      <c r="P1350" s="23">
        <f>VLOOKUP(D1350,Products!$A:$F,4,FALSE)</f>
        <v>675</v>
      </c>
      <c r="Q1350" s="35">
        <f t="shared" si="65"/>
        <v>0.296875</v>
      </c>
    </row>
    <row r="1351" spans="1:17">
      <c r="A1351" s="12" t="s">
        <v>1857</v>
      </c>
      <c r="B1351" s="13">
        <v>45644</v>
      </c>
      <c r="C1351" s="12" t="s">
        <v>242</v>
      </c>
      <c r="D1351" s="12" t="s">
        <v>127</v>
      </c>
      <c r="E1351" s="12" t="s">
        <v>133</v>
      </c>
      <c r="F1351" s="14">
        <v>10</v>
      </c>
      <c r="G1351" s="14">
        <v>370</v>
      </c>
      <c r="H1351" s="14">
        <v>16.399999999999999</v>
      </c>
      <c r="I1351" s="14">
        <v>3093.2</v>
      </c>
      <c r="J1351" s="12" t="s">
        <v>157</v>
      </c>
      <c r="K1351" s="12" t="s">
        <v>111</v>
      </c>
      <c r="L1351" s="23" t="str">
        <f>VLOOKUP(D1351,Products!$A:$F,3,FALSE)</f>
        <v>Home</v>
      </c>
      <c r="M1351" s="23" t="str">
        <f>VLOOKUP(E1351,Sales_Reps!$A:$E,3,FALSE)</f>
        <v>West</v>
      </c>
      <c r="N1351" s="23" t="str">
        <f t="shared" si="63"/>
        <v>Dec-24</v>
      </c>
      <c r="O1351" s="23" t="str">
        <f t="shared" si="64"/>
        <v>Q4 2024</v>
      </c>
      <c r="P1351" s="23">
        <f>VLOOKUP(D1351,Products!$A:$F,4,FALSE)</f>
        <v>288</v>
      </c>
      <c r="Q1351" s="35">
        <f t="shared" si="65"/>
        <v>0.22162162162162163</v>
      </c>
    </row>
    <row r="1352" spans="1:17">
      <c r="A1352" s="12" t="s">
        <v>1858</v>
      </c>
      <c r="B1352" s="13">
        <v>45399</v>
      </c>
      <c r="C1352" s="12" t="s">
        <v>854</v>
      </c>
      <c r="D1352" s="12" t="s">
        <v>190</v>
      </c>
      <c r="E1352" s="12" t="s">
        <v>246</v>
      </c>
      <c r="F1352" s="14">
        <v>4</v>
      </c>
      <c r="G1352" s="14">
        <v>2720</v>
      </c>
      <c r="H1352" s="14">
        <v>3.1</v>
      </c>
      <c r="I1352" s="14">
        <v>10542.72</v>
      </c>
      <c r="J1352" s="12" t="s">
        <v>104</v>
      </c>
      <c r="K1352" s="12" t="s">
        <v>134</v>
      </c>
      <c r="L1352" s="23" t="str">
        <f>VLOOKUP(D1352,Products!$A:$F,3,FALSE)</f>
        <v>Apparel</v>
      </c>
      <c r="M1352" s="23" t="str">
        <f>VLOOKUP(E1352,Sales_Reps!$A:$E,3,FALSE)</f>
        <v>West</v>
      </c>
      <c r="N1352" s="23" t="str">
        <f t="shared" si="63"/>
        <v>Apr-24</v>
      </c>
      <c r="O1352" s="23" t="str">
        <f t="shared" si="64"/>
        <v>Q2 2024</v>
      </c>
      <c r="P1352" s="23">
        <f>VLOOKUP(D1352,Products!$A:$F,4,FALSE)</f>
        <v>1962</v>
      </c>
      <c r="Q1352" s="35">
        <f t="shared" si="65"/>
        <v>0.2786764705882353</v>
      </c>
    </row>
    <row r="1353" spans="1:17">
      <c r="A1353" s="12" t="s">
        <v>1859</v>
      </c>
      <c r="B1353" s="13">
        <v>45441</v>
      </c>
      <c r="C1353" s="12" t="s">
        <v>422</v>
      </c>
      <c r="D1353" s="12" t="s">
        <v>460</v>
      </c>
      <c r="E1353" s="12" t="s">
        <v>109</v>
      </c>
      <c r="F1353" s="14">
        <v>10</v>
      </c>
      <c r="G1353" s="14">
        <v>5080</v>
      </c>
      <c r="H1353" s="14">
        <v>6.8</v>
      </c>
      <c r="I1353" s="14">
        <v>47345.599999999999</v>
      </c>
      <c r="J1353" s="12" t="s">
        <v>104</v>
      </c>
      <c r="K1353" s="12" t="s">
        <v>111</v>
      </c>
      <c r="L1353" s="23" t="str">
        <f>VLOOKUP(D1353,Products!$A:$F,3,FALSE)</f>
        <v>Home</v>
      </c>
      <c r="M1353" s="23" t="str">
        <f>VLOOKUP(E1353,Sales_Reps!$A:$E,3,FALSE)</f>
        <v>North</v>
      </c>
      <c r="N1353" s="23" t="str">
        <f t="shared" si="63"/>
        <v>May-24</v>
      </c>
      <c r="O1353" s="23" t="str">
        <f t="shared" si="64"/>
        <v>Q2 2024</v>
      </c>
      <c r="P1353" s="23">
        <f>VLOOKUP(D1353,Products!$A:$F,4,FALSE)</f>
        <v>2459</v>
      </c>
      <c r="Q1353" s="35">
        <f t="shared" si="65"/>
        <v>0.51594488188976373</v>
      </c>
    </row>
    <row r="1354" spans="1:17">
      <c r="A1354" s="12" t="s">
        <v>1860</v>
      </c>
      <c r="B1354" s="13">
        <v>45379</v>
      </c>
      <c r="C1354" s="12" t="s">
        <v>1551</v>
      </c>
      <c r="D1354" s="12" t="s">
        <v>403</v>
      </c>
      <c r="E1354" s="12" t="s">
        <v>124</v>
      </c>
      <c r="F1354" s="14">
        <v>6</v>
      </c>
      <c r="G1354" s="14">
        <v>2290</v>
      </c>
      <c r="H1354" s="14">
        <v>22.6</v>
      </c>
      <c r="I1354" s="14">
        <v>10634.76</v>
      </c>
      <c r="J1354" s="12" t="s">
        <v>104</v>
      </c>
      <c r="K1354" s="12" t="s">
        <v>150</v>
      </c>
      <c r="L1354" s="23" t="str">
        <f>VLOOKUP(D1354,Products!$A:$F,3,FALSE)</f>
        <v>Beauty</v>
      </c>
      <c r="M1354" s="23" t="str">
        <f>VLOOKUP(E1354,Sales_Reps!$A:$E,3,FALSE)</f>
        <v>North</v>
      </c>
      <c r="N1354" s="23" t="str">
        <f t="shared" si="63"/>
        <v>Mar-24</v>
      </c>
      <c r="O1354" s="23" t="str">
        <f t="shared" si="64"/>
        <v>Q1 2024</v>
      </c>
      <c r="P1354" s="23">
        <f>VLOOKUP(D1354,Products!$A:$F,4,FALSE)</f>
        <v>1219</v>
      </c>
      <c r="Q1354" s="35">
        <f t="shared" si="65"/>
        <v>0.46768558951965067</v>
      </c>
    </row>
    <row r="1355" spans="1:17">
      <c r="A1355" s="12" t="s">
        <v>1861</v>
      </c>
      <c r="B1355" s="13">
        <v>45502</v>
      </c>
      <c r="C1355" s="12" t="s">
        <v>785</v>
      </c>
      <c r="D1355" s="12" t="s">
        <v>217</v>
      </c>
      <c r="E1355" s="12" t="s">
        <v>120</v>
      </c>
      <c r="F1355" s="14">
        <v>4</v>
      </c>
      <c r="G1355" s="14">
        <v>2760</v>
      </c>
      <c r="H1355" s="14">
        <v>27.2</v>
      </c>
      <c r="I1355" s="14">
        <v>8037.12</v>
      </c>
      <c r="J1355" s="12" t="s">
        <v>161</v>
      </c>
      <c r="K1355" s="12" t="s">
        <v>105</v>
      </c>
      <c r="L1355" s="23" t="str">
        <f>VLOOKUP(D1355,Products!$A:$F,3,FALSE)</f>
        <v>Grocery</v>
      </c>
      <c r="M1355" s="23" t="str">
        <f>VLOOKUP(E1355,Sales_Reps!$A:$E,3,FALSE)</f>
        <v>North</v>
      </c>
      <c r="N1355" s="23" t="str">
        <f t="shared" si="63"/>
        <v>Jul-24</v>
      </c>
      <c r="O1355" s="23" t="str">
        <f t="shared" si="64"/>
        <v>Q3 2024</v>
      </c>
      <c r="P1355" s="23">
        <f>VLOOKUP(D1355,Products!$A:$F,4,FALSE)</f>
        <v>1435</v>
      </c>
      <c r="Q1355" s="35">
        <f t="shared" si="65"/>
        <v>0.48007246376811596</v>
      </c>
    </row>
    <row r="1356" spans="1:17">
      <c r="A1356" s="12" t="s">
        <v>1862</v>
      </c>
      <c r="B1356" s="13">
        <v>45466</v>
      </c>
      <c r="C1356" s="12" t="s">
        <v>459</v>
      </c>
      <c r="D1356" s="12" t="s">
        <v>148</v>
      </c>
      <c r="E1356" s="12" t="s">
        <v>360</v>
      </c>
      <c r="F1356" s="14">
        <v>9</v>
      </c>
      <c r="G1356" s="14">
        <v>2270</v>
      </c>
      <c r="H1356" s="14">
        <v>5.2</v>
      </c>
      <c r="I1356" s="14">
        <v>19367.64</v>
      </c>
      <c r="J1356" s="12" t="s">
        <v>104</v>
      </c>
      <c r="K1356" s="12" t="s">
        <v>105</v>
      </c>
      <c r="L1356" s="23" t="str">
        <f>VLOOKUP(D1356,Products!$A:$F,3,FALSE)</f>
        <v>Grocery</v>
      </c>
      <c r="M1356" s="23" t="str">
        <f>VLOOKUP(E1356,Sales_Reps!$A:$E,3,FALSE)</f>
        <v>West</v>
      </c>
      <c r="N1356" s="23" t="str">
        <f t="shared" si="63"/>
        <v>Jun-24</v>
      </c>
      <c r="O1356" s="23" t="str">
        <f t="shared" si="64"/>
        <v>Q2 2024</v>
      </c>
      <c r="P1356" s="23">
        <f>VLOOKUP(D1356,Products!$A:$F,4,FALSE)</f>
        <v>1203</v>
      </c>
      <c r="Q1356" s="35">
        <f t="shared" si="65"/>
        <v>0.47004405286343615</v>
      </c>
    </row>
    <row r="1357" spans="1:17">
      <c r="A1357" s="12" t="s">
        <v>1863</v>
      </c>
      <c r="B1357" s="13">
        <v>45500</v>
      </c>
      <c r="C1357" s="12" t="s">
        <v>395</v>
      </c>
      <c r="D1357" s="12" t="s">
        <v>372</v>
      </c>
      <c r="E1357" s="12" t="s">
        <v>124</v>
      </c>
      <c r="F1357" s="14">
        <v>3</v>
      </c>
      <c r="G1357" s="14">
        <v>2510</v>
      </c>
      <c r="H1357" s="14">
        <v>16.399999999999999</v>
      </c>
      <c r="I1357" s="14">
        <v>6295.08</v>
      </c>
      <c r="J1357" s="12" t="s">
        <v>104</v>
      </c>
      <c r="K1357" s="12" t="s">
        <v>111</v>
      </c>
      <c r="L1357" s="23" t="str">
        <f>VLOOKUP(D1357,Products!$A:$F,3,FALSE)</f>
        <v>Apparel</v>
      </c>
      <c r="M1357" s="23" t="str">
        <f>VLOOKUP(E1357,Sales_Reps!$A:$E,3,FALSE)</f>
        <v>North</v>
      </c>
      <c r="N1357" s="23" t="str">
        <f t="shared" si="63"/>
        <v>Jul-24</v>
      </c>
      <c r="O1357" s="23" t="str">
        <f t="shared" si="64"/>
        <v>Q3 2024</v>
      </c>
      <c r="P1357" s="23">
        <f>VLOOKUP(D1357,Products!$A:$F,4,FALSE)</f>
        <v>1075</v>
      </c>
      <c r="Q1357" s="35">
        <f t="shared" si="65"/>
        <v>0.57171314741035861</v>
      </c>
    </row>
    <row r="1358" spans="1:17">
      <c r="A1358" s="12" t="s">
        <v>1864</v>
      </c>
      <c r="B1358" s="13">
        <v>45337</v>
      </c>
      <c r="C1358" s="12" t="s">
        <v>329</v>
      </c>
      <c r="D1358" s="12" t="s">
        <v>384</v>
      </c>
      <c r="E1358" s="12" t="s">
        <v>342</v>
      </c>
      <c r="F1358" s="14">
        <v>1</v>
      </c>
      <c r="G1358" s="14">
        <v>2380</v>
      </c>
      <c r="H1358" s="14">
        <v>23.5</v>
      </c>
      <c r="I1358" s="14">
        <v>1820.7</v>
      </c>
      <c r="J1358" s="12" t="s">
        <v>104</v>
      </c>
      <c r="K1358" s="12" t="s">
        <v>150</v>
      </c>
      <c r="L1358" s="23" t="str">
        <f>VLOOKUP(D1358,Products!$A:$F,3,FALSE)</f>
        <v>Grocery</v>
      </c>
      <c r="M1358" s="23" t="str">
        <f>VLOOKUP(E1358,Sales_Reps!$A:$E,3,FALSE)</f>
        <v>South</v>
      </c>
      <c r="N1358" s="23" t="str">
        <f t="shared" si="63"/>
        <v>Feb-24</v>
      </c>
      <c r="O1358" s="23" t="str">
        <f t="shared" si="64"/>
        <v>Q1 2024</v>
      </c>
      <c r="P1358" s="23">
        <f>VLOOKUP(D1358,Products!$A:$F,4,FALSE)</f>
        <v>1182</v>
      </c>
      <c r="Q1358" s="35">
        <f t="shared" si="65"/>
        <v>0.50336134453781511</v>
      </c>
    </row>
    <row r="1359" spans="1:17">
      <c r="A1359" s="12" t="s">
        <v>1865</v>
      </c>
      <c r="B1359" s="13">
        <v>45447</v>
      </c>
      <c r="C1359" s="12" t="s">
        <v>854</v>
      </c>
      <c r="D1359" s="12" t="s">
        <v>478</v>
      </c>
      <c r="E1359" s="12" t="s">
        <v>138</v>
      </c>
      <c r="F1359" s="14">
        <v>2</v>
      </c>
      <c r="G1359" s="14">
        <v>3780</v>
      </c>
      <c r="H1359" s="14">
        <v>29.1</v>
      </c>
      <c r="I1359" s="14">
        <v>5360.04</v>
      </c>
      <c r="J1359" s="12" t="s">
        <v>104</v>
      </c>
      <c r="K1359" s="12" t="s">
        <v>134</v>
      </c>
      <c r="L1359" s="23" t="str">
        <f>VLOOKUP(D1359,Products!$A:$F,3,FALSE)</f>
        <v>Sports</v>
      </c>
      <c r="M1359" s="23" t="str">
        <f>VLOOKUP(E1359,Sales_Reps!$A:$E,3,FALSE)</f>
        <v>East</v>
      </c>
      <c r="N1359" s="23" t="str">
        <f t="shared" si="63"/>
        <v>Jun-24</v>
      </c>
      <c r="O1359" s="23" t="str">
        <f t="shared" si="64"/>
        <v>Q2 2024</v>
      </c>
      <c r="P1359" s="23">
        <f>VLOOKUP(D1359,Products!$A:$F,4,FALSE)</f>
        <v>1860</v>
      </c>
      <c r="Q1359" s="35">
        <f t="shared" si="65"/>
        <v>0.50793650793650791</v>
      </c>
    </row>
    <row r="1360" spans="1:17">
      <c r="A1360" s="12" t="s">
        <v>1866</v>
      </c>
      <c r="B1360" s="13">
        <v>45546</v>
      </c>
      <c r="C1360" s="12" t="s">
        <v>969</v>
      </c>
      <c r="D1360" s="12" t="s">
        <v>469</v>
      </c>
      <c r="E1360" s="12" t="s">
        <v>218</v>
      </c>
      <c r="F1360" s="14">
        <v>1</v>
      </c>
      <c r="G1360" s="14">
        <v>3450</v>
      </c>
      <c r="H1360" s="14">
        <v>17.8</v>
      </c>
      <c r="I1360" s="14">
        <v>2835.9</v>
      </c>
      <c r="J1360" s="12" t="s">
        <v>104</v>
      </c>
      <c r="K1360" s="12" t="s">
        <v>150</v>
      </c>
      <c r="L1360" s="23" t="str">
        <f>VLOOKUP(D1360,Products!$A:$F,3,FALSE)</f>
        <v>Apparel</v>
      </c>
      <c r="M1360" s="23" t="str">
        <f>VLOOKUP(E1360,Sales_Reps!$A:$E,3,FALSE)</f>
        <v>West</v>
      </c>
      <c r="N1360" s="23" t="str">
        <f t="shared" si="63"/>
        <v>Sep-24</v>
      </c>
      <c r="O1360" s="23" t="str">
        <f t="shared" si="64"/>
        <v>Q3 2024</v>
      </c>
      <c r="P1360" s="23">
        <f>VLOOKUP(D1360,Products!$A:$F,4,FALSE)</f>
        <v>1748</v>
      </c>
      <c r="Q1360" s="35">
        <f t="shared" si="65"/>
        <v>0.49333333333333335</v>
      </c>
    </row>
    <row r="1361" spans="1:17">
      <c r="A1361" s="12" t="s">
        <v>1867</v>
      </c>
      <c r="B1361" s="13">
        <v>45451</v>
      </c>
      <c r="C1361" s="12" t="s">
        <v>405</v>
      </c>
      <c r="D1361" s="12" t="s">
        <v>201</v>
      </c>
      <c r="E1361" s="12" t="s">
        <v>120</v>
      </c>
      <c r="F1361" s="14">
        <v>6</v>
      </c>
      <c r="G1361" s="14">
        <v>4880</v>
      </c>
      <c r="H1361" s="14">
        <v>15.6</v>
      </c>
      <c r="I1361" s="14">
        <v>24712.32</v>
      </c>
      <c r="J1361" s="12" t="s">
        <v>110</v>
      </c>
      <c r="K1361" s="12" t="s">
        <v>150</v>
      </c>
      <c r="L1361" s="23" t="str">
        <f>VLOOKUP(D1361,Products!$A:$F,3,FALSE)</f>
        <v>Beauty</v>
      </c>
      <c r="M1361" s="23" t="str">
        <f>VLOOKUP(E1361,Sales_Reps!$A:$E,3,FALSE)</f>
        <v>North</v>
      </c>
      <c r="N1361" s="23" t="str">
        <f t="shared" si="63"/>
        <v>Jun-24</v>
      </c>
      <c r="O1361" s="23" t="str">
        <f t="shared" si="64"/>
        <v>Q2 2024</v>
      </c>
      <c r="P1361" s="23">
        <f>VLOOKUP(D1361,Products!$A:$F,4,FALSE)</f>
        <v>2768</v>
      </c>
      <c r="Q1361" s="35">
        <f t="shared" si="65"/>
        <v>0.43278688524590164</v>
      </c>
    </row>
    <row r="1362" spans="1:17">
      <c r="A1362" s="12" t="s">
        <v>1868</v>
      </c>
      <c r="B1362" s="13">
        <v>45427</v>
      </c>
      <c r="C1362" s="12" t="s">
        <v>192</v>
      </c>
      <c r="D1362" s="12" t="s">
        <v>397</v>
      </c>
      <c r="E1362" s="12" t="s">
        <v>363</v>
      </c>
      <c r="F1362" s="14">
        <v>6</v>
      </c>
      <c r="G1362" s="14">
        <v>960</v>
      </c>
      <c r="H1362" s="14">
        <v>7.5</v>
      </c>
      <c r="I1362" s="14">
        <v>5328</v>
      </c>
      <c r="J1362" s="12" t="s">
        <v>110</v>
      </c>
      <c r="K1362" s="12" t="s">
        <v>150</v>
      </c>
      <c r="L1362" s="23" t="str">
        <f>VLOOKUP(D1362,Products!$A:$F,3,FALSE)</f>
        <v>Beauty</v>
      </c>
      <c r="M1362" s="23" t="str">
        <f>VLOOKUP(E1362,Sales_Reps!$A:$E,3,FALSE)</f>
        <v>South</v>
      </c>
      <c r="N1362" s="23" t="str">
        <f t="shared" si="63"/>
        <v>May-24</v>
      </c>
      <c r="O1362" s="23" t="str">
        <f t="shared" si="64"/>
        <v>Q2 2024</v>
      </c>
      <c r="P1362" s="23">
        <f>VLOOKUP(D1362,Products!$A:$F,4,FALSE)</f>
        <v>675</v>
      </c>
      <c r="Q1362" s="35">
        <f t="shared" si="65"/>
        <v>0.296875</v>
      </c>
    </row>
    <row r="1363" spans="1:17">
      <c r="A1363" s="12" t="s">
        <v>1869</v>
      </c>
      <c r="B1363" s="13">
        <v>45532</v>
      </c>
      <c r="C1363" s="12" t="s">
        <v>430</v>
      </c>
      <c r="D1363" s="12" t="s">
        <v>676</v>
      </c>
      <c r="E1363" s="12" t="s">
        <v>171</v>
      </c>
      <c r="F1363" s="14">
        <v>1</v>
      </c>
      <c r="G1363" s="14">
        <v>3560</v>
      </c>
      <c r="H1363" s="14">
        <v>12.9</v>
      </c>
      <c r="I1363" s="14">
        <v>3100.76</v>
      </c>
      <c r="J1363" s="12" t="s">
        <v>104</v>
      </c>
      <c r="K1363" s="12" t="s">
        <v>105</v>
      </c>
      <c r="L1363" s="23" t="str">
        <f>VLOOKUP(D1363,Products!$A:$F,3,FALSE)</f>
        <v>Apparel</v>
      </c>
      <c r="M1363" s="23" t="str">
        <f>VLOOKUP(E1363,Sales_Reps!$A:$E,3,FALSE)</f>
        <v>East</v>
      </c>
      <c r="N1363" s="23" t="str">
        <f t="shared" si="63"/>
        <v>Aug-24</v>
      </c>
      <c r="O1363" s="23" t="str">
        <f t="shared" si="64"/>
        <v>Q3 2024</v>
      </c>
      <c r="P1363" s="23">
        <f>VLOOKUP(D1363,Products!$A:$F,4,FALSE)</f>
        <v>2629</v>
      </c>
      <c r="Q1363" s="35">
        <f t="shared" si="65"/>
        <v>0.26151685393258428</v>
      </c>
    </row>
    <row r="1364" spans="1:17">
      <c r="A1364" s="12" t="s">
        <v>1870</v>
      </c>
      <c r="B1364" s="13">
        <v>45466</v>
      </c>
      <c r="C1364" s="12" t="s">
        <v>602</v>
      </c>
      <c r="D1364" s="12" t="s">
        <v>368</v>
      </c>
      <c r="E1364" s="12" t="s">
        <v>109</v>
      </c>
      <c r="F1364" s="14">
        <v>5</v>
      </c>
      <c r="G1364" s="14">
        <v>4060</v>
      </c>
      <c r="H1364" s="14">
        <v>18.100000000000001</v>
      </c>
      <c r="I1364" s="14">
        <v>16625.7</v>
      </c>
      <c r="J1364" s="12" t="s">
        <v>110</v>
      </c>
      <c r="K1364" s="12" t="s">
        <v>111</v>
      </c>
      <c r="L1364" s="23" t="str">
        <f>VLOOKUP(D1364,Products!$A:$F,3,FALSE)</f>
        <v>Grocery</v>
      </c>
      <c r="M1364" s="23" t="str">
        <f>VLOOKUP(E1364,Sales_Reps!$A:$E,3,FALSE)</f>
        <v>North</v>
      </c>
      <c r="N1364" s="23" t="str">
        <f t="shared" si="63"/>
        <v>Jun-24</v>
      </c>
      <c r="O1364" s="23" t="str">
        <f t="shared" si="64"/>
        <v>Q2 2024</v>
      </c>
      <c r="P1364" s="23">
        <f>VLOOKUP(D1364,Products!$A:$F,4,FALSE)</f>
        <v>2911</v>
      </c>
      <c r="Q1364" s="35">
        <f t="shared" si="65"/>
        <v>0.28300492610837441</v>
      </c>
    </row>
    <row r="1365" spans="1:17">
      <c r="A1365" s="12" t="s">
        <v>1871</v>
      </c>
      <c r="B1365" s="13">
        <v>45545</v>
      </c>
      <c r="C1365" s="12" t="s">
        <v>118</v>
      </c>
      <c r="D1365" s="12" t="s">
        <v>190</v>
      </c>
      <c r="E1365" s="12" t="s">
        <v>209</v>
      </c>
      <c r="F1365" s="14">
        <v>10</v>
      </c>
      <c r="G1365" s="14">
        <v>2720</v>
      </c>
      <c r="H1365" s="14">
        <v>23.2</v>
      </c>
      <c r="I1365" s="14">
        <v>20889.599999999999</v>
      </c>
      <c r="J1365" s="12" t="s">
        <v>104</v>
      </c>
      <c r="K1365" s="12" t="s">
        <v>116</v>
      </c>
      <c r="L1365" s="23" t="str">
        <f>VLOOKUP(D1365,Products!$A:$F,3,FALSE)</f>
        <v>Apparel</v>
      </c>
      <c r="M1365" s="23" t="str">
        <f>VLOOKUP(E1365,Sales_Reps!$A:$E,3,FALSE)</f>
        <v>East</v>
      </c>
      <c r="N1365" s="23" t="str">
        <f t="shared" si="63"/>
        <v>Sep-24</v>
      </c>
      <c r="O1365" s="23" t="str">
        <f t="shared" si="64"/>
        <v>Q3 2024</v>
      </c>
      <c r="P1365" s="23">
        <f>VLOOKUP(D1365,Products!$A:$F,4,FALSE)</f>
        <v>1962</v>
      </c>
      <c r="Q1365" s="35">
        <f t="shared" si="65"/>
        <v>0.2786764705882353</v>
      </c>
    </row>
    <row r="1366" spans="1:17">
      <c r="A1366" s="12" t="s">
        <v>1745</v>
      </c>
      <c r="B1366" s="13">
        <v>45547</v>
      </c>
      <c r="C1366" s="12" t="s">
        <v>578</v>
      </c>
      <c r="D1366" s="12" t="s">
        <v>355</v>
      </c>
      <c r="E1366" s="12" t="s">
        <v>302</v>
      </c>
      <c r="F1366" s="14">
        <v>1</v>
      </c>
      <c r="G1366" s="14">
        <v>2210</v>
      </c>
      <c r="H1366" s="14">
        <v>5.8</v>
      </c>
      <c r="I1366" s="14">
        <v>2081.8200000000002</v>
      </c>
      <c r="J1366" s="12" t="s">
        <v>110</v>
      </c>
      <c r="K1366" s="12" t="s">
        <v>150</v>
      </c>
      <c r="L1366" s="23" t="str">
        <f>VLOOKUP(D1366,Products!$A:$F,3,FALSE)</f>
        <v>Grocery</v>
      </c>
      <c r="M1366" s="23" t="str">
        <f>VLOOKUP(E1366,Sales_Reps!$A:$E,3,FALSE)</f>
        <v>East</v>
      </c>
      <c r="N1366" s="23" t="str">
        <f t="shared" si="63"/>
        <v>Sep-24</v>
      </c>
      <c r="O1366" s="23" t="str">
        <f t="shared" si="64"/>
        <v>Q3 2024</v>
      </c>
      <c r="P1366" s="23">
        <f>VLOOKUP(D1366,Products!$A:$F,4,FALSE)</f>
        <v>1010</v>
      </c>
      <c r="Q1366" s="35">
        <f t="shared" si="65"/>
        <v>0.54298642533936647</v>
      </c>
    </row>
    <row r="1367" spans="1:17">
      <c r="A1367" s="12" t="s">
        <v>1872</v>
      </c>
      <c r="B1367" s="13">
        <v>45547</v>
      </c>
      <c r="C1367" s="12" t="s">
        <v>177</v>
      </c>
      <c r="D1367" s="12" t="s">
        <v>174</v>
      </c>
      <c r="E1367" s="12" t="s">
        <v>269</v>
      </c>
      <c r="F1367" s="14">
        <v>5</v>
      </c>
      <c r="G1367" s="14">
        <v>3450</v>
      </c>
      <c r="H1367" s="14">
        <v>27.9</v>
      </c>
      <c r="I1367" s="14">
        <v>12437.25</v>
      </c>
      <c r="J1367" s="12" t="s">
        <v>110</v>
      </c>
      <c r="K1367" s="12" t="s">
        <v>129</v>
      </c>
      <c r="L1367" s="23" t="str">
        <f>VLOOKUP(D1367,Products!$A:$F,3,FALSE)</f>
        <v>Beauty</v>
      </c>
      <c r="M1367" s="23" t="str">
        <f>VLOOKUP(E1367,Sales_Reps!$A:$E,3,FALSE)</f>
        <v>South</v>
      </c>
      <c r="N1367" s="23" t="str">
        <f t="shared" si="63"/>
        <v>Sep-24</v>
      </c>
      <c r="O1367" s="23" t="str">
        <f t="shared" si="64"/>
        <v>Q3 2024</v>
      </c>
      <c r="P1367" s="23">
        <f>VLOOKUP(D1367,Products!$A:$F,4,FALSE)</f>
        <v>2420</v>
      </c>
      <c r="Q1367" s="35">
        <f t="shared" si="65"/>
        <v>0.29855072463768118</v>
      </c>
    </row>
    <row r="1368" spans="1:17">
      <c r="A1368" s="12" t="s">
        <v>1873</v>
      </c>
      <c r="B1368" s="13">
        <v>45550</v>
      </c>
      <c r="C1368" s="12" t="s">
        <v>229</v>
      </c>
      <c r="D1368" s="12" t="s">
        <v>384</v>
      </c>
      <c r="E1368" s="12" t="s">
        <v>171</v>
      </c>
      <c r="F1368" s="14">
        <v>9</v>
      </c>
      <c r="G1368" s="14">
        <v>2380</v>
      </c>
      <c r="H1368" s="14">
        <v>15.2</v>
      </c>
      <c r="I1368" s="14">
        <v>18164.16</v>
      </c>
      <c r="J1368" s="12" t="s">
        <v>161</v>
      </c>
      <c r="K1368" s="12" t="s">
        <v>129</v>
      </c>
      <c r="L1368" s="23" t="str">
        <f>VLOOKUP(D1368,Products!$A:$F,3,FALSE)</f>
        <v>Grocery</v>
      </c>
      <c r="M1368" s="23" t="str">
        <f>VLOOKUP(E1368,Sales_Reps!$A:$E,3,FALSE)</f>
        <v>East</v>
      </c>
      <c r="N1368" s="23" t="str">
        <f t="shared" si="63"/>
        <v>Sep-24</v>
      </c>
      <c r="O1368" s="23" t="str">
        <f t="shared" si="64"/>
        <v>Q3 2024</v>
      </c>
      <c r="P1368" s="23">
        <f>VLOOKUP(D1368,Products!$A:$F,4,FALSE)</f>
        <v>1182</v>
      </c>
      <c r="Q1368" s="35">
        <f t="shared" si="65"/>
        <v>0.50336134453781511</v>
      </c>
    </row>
    <row r="1369" spans="1:17">
      <c r="A1369" s="12" t="s">
        <v>1874</v>
      </c>
      <c r="B1369" s="13">
        <v>45551</v>
      </c>
      <c r="C1369" s="12" t="s">
        <v>416</v>
      </c>
      <c r="D1369" s="12" t="s">
        <v>384</v>
      </c>
      <c r="E1369" s="12" t="s">
        <v>314</v>
      </c>
      <c r="F1369" s="14">
        <v>2</v>
      </c>
      <c r="G1369" s="14">
        <v>2380</v>
      </c>
      <c r="H1369" s="14">
        <v>24.3</v>
      </c>
      <c r="I1369" s="14">
        <v>3603.32</v>
      </c>
      <c r="J1369" s="12" t="s">
        <v>104</v>
      </c>
      <c r="K1369" s="12" t="s">
        <v>116</v>
      </c>
      <c r="L1369" s="23" t="str">
        <f>VLOOKUP(D1369,Products!$A:$F,3,FALSE)</f>
        <v>Grocery</v>
      </c>
      <c r="M1369" s="23" t="str">
        <f>VLOOKUP(E1369,Sales_Reps!$A:$E,3,FALSE)</f>
        <v>North</v>
      </c>
      <c r="N1369" s="23" t="str">
        <f t="shared" si="63"/>
        <v>Sep-24</v>
      </c>
      <c r="O1369" s="23" t="str">
        <f t="shared" si="64"/>
        <v>Q3 2024</v>
      </c>
      <c r="P1369" s="23">
        <f>VLOOKUP(D1369,Products!$A:$F,4,FALSE)</f>
        <v>1182</v>
      </c>
      <c r="Q1369" s="35">
        <f t="shared" si="65"/>
        <v>0.50336134453781511</v>
      </c>
    </row>
    <row r="1370" spans="1:17">
      <c r="A1370" s="12" t="s">
        <v>1875</v>
      </c>
      <c r="B1370" s="13">
        <v>45560</v>
      </c>
      <c r="C1370" s="12" t="s">
        <v>118</v>
      </c>
      <c r="D1370" s="12" t="s">
        <v>676</v>
      </c>
      <c r="E1370" s="12" t="s">
        <v>342</v>
      </c>
      <c r="F1370" s="14">
        <v>9</v>
      </c>
      <c r="G1370" s="14">
        <v>3560</v>
      </c>
      <c r="H1370" s="14">
        <v>6.6</v>
      </c>
      <c r="I1370" s="14">
        <v>29925.360000000001</v>
      </c>
      <c r="J1370" s="12" t="s">
        <v>161</v>
      </c>
      <c r="K1370" s="12" t="s">
        <v>116</v>
      </c>
      <c r="L1370" s="23" t="str">
        <f>VLOOKUP(D1370,Products!$A:$F,3,FALSE)</f>
        <v>Apparel</v>
      </c>
      <c r="M1370" s="23" t="str">
        <f>VLOOKUP(E1370,Sales_Reps!$A:$E,3,FALSE)</f>
        <v>South</v>
      </c>
      <c r="N1370" s="23" t="str">
        <f t="shared" si="63"/>
        <v>Sep-24</v>
      </c>
      <c r="O1370" s="23" t="str">
        <f t="shared" si="64"/>
        <v>Q3 2024</v>
      </c>
      <c r="P1370" s="23">
        <f>VLOOKUP(D1370,Products!$A:$F,4,FALSE)</f>
        <v>2629</v>
      </c>
      <c r="Q1370" s="35">
        <f t="shared" si="65"/>
        <v>0.26151685393258428</v>
      </c>
    </row>
    <row r="1371" spans="1:17">
      <c r="A1371" s="12" t="s">
        <v>1876</v>
      </c>
      <c r="B1371" s="13">
        <v>45330</v>
      </c>
      <c r="C1371" s="12" t="s">
        <v>489</v>
      </c>
      <c r="D1371" s="12" t="s">
        <v>284</v>
      </c>
      <c r="E1371" s="12" t="s">
        <v>320</v>
      </c>
      <c r="F1371" s="14">
        <v>7</v>
      </c>
      <c r="G1371" s="14">
        <v>1220</v>
      </c>
      <c r="H1371" s="14">
        <v>29.4</v>
      </c>
      <c r="I1371" s="14">
        <v>6029.24</v>
      </c>
      <c r="J1371" s="12" t="s">
        <v>104</v>
      </c>
      <c r="K1371" s="12" t="s">
        <v>111</v>
      </c>
      <c r="L1371" s="23" t="str">
        <f>VLOOKUP(D1371,Products!$A:$F,3,FALSE)</f>
        <v>Electronics</v>
      </c>
      <c r="M1371" s="23" t="str">
        <f>VLOOKUP(E1371,Sales_Reps!$A:$E,3,FALSE)</f>
        <v>East</v>
      </c>
      <c r="N1371" s="23" t="str">
        <f t="shared" si="63"/>
        <v>Feb-24</v>
      </c>
      <c r="O1371" s="23" t="str">
        <f t="shared" si="64"/>
        <v>Q1 2024</v>
      </c>
      <c r="P1371" s="23">
        <f>VLOOKUP(D1371,Products!$A:$F,4,FALSE)</f>
        <v>517</v>
      </c>
      <c r="Q1371" s="35">
        <f t="shared" si="65"/>
        <v>0.57622950819672136</v>
      </c>
    </row>
    <row r="1372" spans="1:17">
      <c r="A1372" s="12" t="s">
        <v>1877</v>
      </c>
      <c r="B1372" s="13">
        <v>45560</v>
      </c>
      <c r="C1372" s="12" t="s">
        <v>572</v>
      </c>
      <c r="D1372" s="12" t="s">
        <v>532</v>
      </c>
      <c r="E1372" s="12" t="s">
        <v>255</v>
      </c>
      <c r="F1372" s="14">
        <v>7</v>
      </c>
      <c r="G1372" s="14">
        <v>6940</v>
      </c>
      <c r="H1372" s="14">
        <v>9.6</v>
      </c>
      <c r="I1372" s="14">
        <v>43916.32</v>
      </c>
      <c r="J1372" s="12" t="s">
        <v>104</v>
      </c>
      <c r="K1372" s="12" t="s">
        <v>129</v>
      </c>
      <c r="L1372" s="23" t="str">
        <f>VLOOKUP(D1372,Products!$A:$F,3,FALSE)</f>
        <v>Sports</v>
      </c>
      <c r="M1372" s="23" t="str">
        <f>VLOOKUP(E1372,Sales_Reps!$A:$E,3,FALSE)</f>
        <v>East</v>
      </c>
      <c r="N1372" s="23" t="str">
        <f t="shared" si="63"/>
        <v>Sep-24</v>
      </c>
      <c r="O1372" s="23" t="str">
        <f t="shared" si="64"/>
        <v>Q3 2024</v>
      </c>
      <c r="P1372" s="23">
        <f>VLOOKUP(D1372,Products!$A:$F,4,FALSE)</f>
        <v>2827</v>
      </c>
      <c r="Q1372" s="35">
        <f t="shared" si="65"/>
        <v>0.5926512968299712</v>
      </c>
    </row>
    <row r="1373" spans="1:17">
      <c r="A1373" s="12" t="s">
        <v>1878</v>
      </c>
      <c r="B1373" s="13">
        <v>45395</v>
      </c>
      <c r="C1373" s="12" t="s">
        <v>922</v>
      </c>
      <c r="D1373" s="12" t="s">
        <v>519</v>
      </c>
      <c r="E1373" s="12" t="s">
        <v>302</v>
      </c>
      <c r="F1373" s="14">
        <v>2</v>
      </c>
      <c r="G1373" s="14">
        <v>1090</v>
      </c>
      <c r="H1373" s="14">
        <v>17</v>
      </c>
      <c r="I1373" s="14">
        <v>1809.4</v>
      </c>
      <c r="J1373" s="12" t="s">
        <v>104</v>
      </c>
      <c r="K1373" s="12" t="s">
        <v>129</v>
      </c>
      <c r="L1373" s="23" t="str">
        <f>VLOOKUP(D1373,Products!$A:$F,3,FALSE)</f>
        <v>Home</v>
      </c>
      <c r="M1373" s="23" t="str">
        <f>VLOOKUP(E1373,Sales_Reps!$A:$E,3,FALSE)</f>
        <v>East</v>
      </c>
      <c r="N1373" s="23" t="str">
        <f t="shared" si="63"/>
        <v>Apr-24</v>
      </c>
      <c r="O1373" s="23" t="str">
        <f t="shared" si="64"/>
        <v>Q2 2024</v>
      </c>
      <c r="P1373" s="23">
        <f>VLOOKUP(D1373,Products!$A:$F,4,FALSE)</f>
        <v>464</v>
      </c>
      <c r="Q1373" s="35">
        <f t="shared" si="65"/>
        <v>0.57431192660550456</v>
      </c>
    </row>
    <row r="1374" spans="1:17">
      <c r="A1374" s="12" t="s">
        <v>1879</v>
      </c>
      <c r="B1374" s="13">
        <v>45486</v>
      </c>
      <c r="C1374" s="12" t="s">
        <v>802</v>
      </c>
      <c r="D1374" s="12" t="s">
        <v>384</v>
      </c>
      <c r="E1374" s="12" t="s">
        <v>145</v>
      </c>
      <c r="F1374" s="14">
        <v>4</v>
      </c>
      <c r="G1374" s="14">
        <v>2380</v>
      </c>
      <c r="H1374" s="14">
        <v>18.899999999999999</v>
      </c>
      <c r="I1374" s="14">
        <v>7720.72</v>
      </c>
      <c r="J1374" s="12" t="s">
        <v>110</v>
      </c>
      <c r="K1374" s="12" t="s">
        <v>105</v>
      </c>
      <c r="L1374" s="23" t="str">
        <f>VLOOKUP(D1374,Products!$A:$F,3,FALSE)</f>
        <v>Grocery</v>
      </c>
      <c r="M1374" s="23" t="str">
        <f>VLOOKUP(E1374,Sales_Reps!$A:$E,3,FALSE)</f>
        <v>West</v>
      </c>
      <c r="N1374" s="23" t="str">
        <f t="shared" si="63"/>
        <v>Jul-24</v>
      </c>
      <c r="O1374" s="23" t="str">
        <f t="shared" si="64"/>
        <v>Q3 2024</v>
      </c>
      <c r="P1374" s="23">
        <f>VLOOKUP(D1374,Products!$A:$F,4,FALSE)</f>
        <v>1182</v>
      </c>
      <c r="Q1374" s="35">
        <f t="shared" si="65"/>
        <v>0.50336134453781511</v>
      </c>
    </row>
    <row r="1375" spans="1:17">
      <c r="A1375" s="12" t="s">
        <v>1880</v>
      </c>
      <c r="B1375" s="13">
        <v>45578</v>
      </c>
      <c r="C1375" s="12" t="s">
        <v>922</v>
      </c>
      <c r="D1375" s="12" t="s">
        <v>148</v>
      </c>
      <c r="E1375" s="12" t="s">
        <v>156</v>
      </c>
      <c r="F1375" s="14">
        <v>6</v>
      </c>
      <c r="G1375" s="14">
        <v>2270</v>
      </c>
      <c r="H1375" s="14">
        <v>20.9</v>
      </c>
      <c r="I1375" s="14">
        <v>10773.42</v>
      </c>
      <c r="J1375" s="12" t="s">
        <v>110</v>
      </c>
      <c r="K1375" s="12" t="s">
        <v>129</v>
      </c>
      <c r="L1375" s="23" t="str">
        <f>VLOOKUP(D1375,Products!$A:$F,3,FALSE)</f>
        <v>Grocery</v>
      </c>
      <c r="M1375" s="23" t="str">
        <f>VLOOKUP(E1375,Sales_Reps!$A:$E,3,FALSE)</f>
        <v>North</v>
      </c>
      <c r="N1375" s="23" t="str">
        <f t="shared" si="63"/>
        <v>Oct-24</v>
      </c>
      <c r="O1375" s="23" t="str">
        <f t="shared" si="64"/>
        <v>Q4 2024</v>
      </c>
      <c r="P1375" s="23">
        <f>VLOOKUP(D1375,Products!$A:$F,4,FALSE)</f>
        <v>1203</v>
      </c>
      <c r="Q1375" s="35">
        <f t="shared" si="65"/>
        <v>0.47004405286343615</v>
      </c>
    </row>
    <row r="1376" spans="1:17">
      <c r="A1376" s="12" t="s">
        <v>1881</v>
      </c>
      <c r="B1376" s="13">
        <v>45581</v>
      </c>
      <c r="C1376" s="12" t="s">
        <v>833</v>
      </c>
      <c r="D1376" s="12" t="s">
        <v>312</v>
      </c>
      <c r="E1376" s="12" t="s">
        <v>138</v>
      </c>
      <c r="F1376" s="14">
        <v>10</v>
      </c>
      <c r="G1376" s="14">
        <v>2030</v>
      </c>
      <c r="H1376" s="14">
        <v>25</v>
      </c>
      <c r="I1376" s="14">
        <v>15225</v>
      </c>
      <c r="J1376" s="12" t="s">
        <v>104</v>
      </c>
      <c r="K1376" s="12" t="s">
        <v>105</v>
      </c>
      <c r="L1376" s="23" t="str">
        <f>VLOOKUP(D1376,Products!$A:$F,3,FALSE)</f>
        <v>Home</v>
      </c>
      <c r="M1376" s="23" t="str">
        <f>VLOOKUP(E1376,Sales_Reps!$A:$E,3,FALSE)</f>
        <v>East</v>
      </c>
      <c r="N1376" s="23" t="str">
        <f t="shared" si="63"/>
        <v>Oct-24</v>
      </c>
      <c r="O1376" s="23" t="str">
        <f t="shared" si="64"/>
        <v>Q4 2024</v>
      </c>
      <c r="P1376" s="23">
        <f>VLOOKUP(D1376,Products!$A:$F,4,FALSE)</f>
        <v>1143</v>
      </c>
      <c r="Q1376" s="35">
        <f t="shared" si="65"/>
        <v>0.43694581280788175</v>
      </c>
    </row>
    <row r="1377" spans="1:17">
      <c r="A1377" s="12" t="s">
        <v>1882</v>
      </c>
      <c r="B1377" s="13">
        <v>45508</v>
      </c>
      <c r="C1377" s="12" t="s">
        <v>407</v>
      </c>
      <c r="D1377" s="12" t="s">
        <v>519</v>
      </c>
      <c r="E1377" s="12" t="s">
        <v>360</v>
      </c>
      <c r="F1377" s="14">
        <v>3</v>
      </c>
      <c r="G1377" s="14">
        <v>1090</v>
      </c>
      <c r="H1377" s="14">
        <v>12.1</v>
      </c>
      <c r="I1377" s="14">
        <v>2874.33</v>
      </c>
      <c r="J1377" s="12" t="s">
        <v>104</v>
      </c>
      <c r="K1377" s="12" t="s">
        <v>105</v>
      </c>
      <c r="L1377" s="23" t="str">
        <f>VLOOKUP(D1377,Products!$A:$F,3,FALSE)</f>
        <v>Home</v>
      </c>
      <c r="M1377" s="23" t="str">
        <f>VLOOKUP(E1377,Sales_Reps!$A:$E,3,FALSE)</f>
        <v>West</v>
      </c>
      <c r="N1377" s="23" t="str">
        <f t="shared" si="63"/>
        <v>Aug-24</v>
      </c>
      <c r="O1377" s="23" t="str">
        <f t="shared" si="64"/>
        <v>Q3 2024</v>
      </c>
      <c r="P1377" s="23">
        <f>VLOOKUP(D1377,Products!$A:$F,4,FALSE)</f>
        <v>464</v>
      </c>
      <c r="Q1377" s="35">
        <f t="shared" si="65"/>
        <v>0.57431192660550456</v>
      </c>
    </row>
    <row r="1378" spans="1:17">
      <c r="A1378" s="12" t="s">
        <v>1883</v>
      </c>
      <c r="B1378" s="13">
        <v>45303</v>
      </c>
      <c r="C1378" s="12" t="s">
        <v>922</v>
      </c>
      <c r="D1378" s="12" t="s">
        <v>372</v>
      </c>
      <c r="E1378" s="12" t="s">
        <v>255</v>
      </c>
      <c r="F1378" s="14">
        <v>3</v>
      </c>
      <c r="G1378" s="14">
        <v>2510</v>
      </c>
      <c r="H1378" s="14">
        <v>28.7</v>
      </c>
      <c r="I1378" s="14">
        <v>5368.89</v>
      </c>
      <c r="J1378" s="12" t="s">
        <v>104</v>
      </c>
      <c r="K1378" s="12" t="s">
        <v>129</v>
      </c>
      <c r="L1378" s="23" t="str">
        <f>VLOOKUP(D1378,Products!$A:$F,3,FALSE)</f>
        <v>Apparel</v>
      </c>
      <c r="M1378" s="23" t="str">
        <f>VLOOKUP(E1378,Sales_Reps!$A:$E,3,FALSE)</f>
        <v>East</v>
      </c>
      <c r="N1378" s="23" t="str">
        <f t="shared" si="63"/>
        <v>Jan-24</v>
      </c>
      <c r="O1378" s="23" t="str">
        <f t="shared" si="64"/>
        <v>Q1 2024</v>
      </c>
      <c r="P1378" s="23">
        <f>VLOOKUP(D1378,Products!$A:$F,4,FALSE)</f>
        <v>1075</v>
      </c>
      <c r="Q1378" s="35">
        <f t="shared" si="65"/>
        <v>0.57171314741035861</v>
      </c>
    </row>
    <row r="1379" spans="1:17">
      <c r="A1379" s="12" t="s">
        <v>1884</v>
      </c>
      <c r="B1379" s="13">
        <v>45412</v>
      </c>
      <c r="C1379" s="12" t="s">
        <v>1640</v>
      </c>
      <c r="D1379" s="12" t="s">
        <v>148</v>
      </c>
      <c r="E1379" s="12" t="s">
        <v>218</v>
      </c>
      <c r="F1379" s="14">
        <v>9</v>
      </c>
      <c r="G1379" s="14">
        <v>2270</v>
      </c>
      <c r="H1379" s="14">
        <v>25.4</v>
      </c>
      <c r="I1379" s="14">
        <v>15240.78</v>
      </c>
      <c r="J1379" s="12" t="s">
        <v>110</v>
      </c>
      <c r="K1379" s="12" t="s">
        <v>134</v>
      </c>
      <c r="L1379" s="23" t="str">
        <f>VLOOKUP(D1379,Products!$A:$F,3,FALSE)</f>
        <v>Grocery</v>
      </c>
      <c r="M1379" s="23" t="str">
        <f>VLOOKUP(E1379,Sales_Reps!$A:$E,3,FALSE)</f>
        <v>West</v>
      </c>
      <c r="N1379" s="23" t="str">
        <f t="shared" si="63"/>
        <v>Apr-24</v>
      </c>
      <c r="O1379" s="23" t="str">
        <f t="shared" si="64"/>
        <v>Q2 2024</v>
      </c>
      <c r="P1379" s="23">
        <f>VLOOKUP(D1379,Products!$A:$F,4,FALSE)</f>
        <v>1203</v>
      </c>
      <c r="Q1379" s="35">
        <f t="shared" si="65"/>
        <v>0.47004405286343615</v>
      </c>
    </row>
    <row r="1380" spans="1:17">
      <c r="A1380" s="12" t="s">
        <v>1885</v>
      </c>
      <c r="B1380" s="13">
        <v>45400</v>
      </c>
      <c r="C1380" s="12" t="s">
        <v>118</v>
      </c>
      <c r="D1380" s="12" t="s">
        <v>425</v>
      </c>
      <c r="E1380" s="12" t="s">
        <v>246</v>
      </c>
      <c r="F1380" s="14">
        <v>9</v>
      </c>
      <c r="G1380" s="14">
        <v>3970</v>
      </c>
      <c r="H1380" s="14">
        <v>10.1</v>
      </c>
      <c r="I1380" s="14">
        <v>32121.27</v>
      </c>
      <c r="J1380" s="12" t="s">
        <v>157</v>
      </c>
      <c r="K1380" s="12" t="s">
        <v>116</v>
      </c>
      <c r="L1380" s="23" t="str">
        <f>VLOOKUP(D1380,Products!$A:$F,3,FALSE)</f>
        <v>Electronics</v>
      </c>
      <c r="M1380" s="23" t="str">
        <f>VLOOKUP(E1380,Sales_Reps!$A:$E,3,FALSE)</f>
        <v>West</v>
      </c>
      <c r="N1380" s="23" t="str">
        <f t="shared" si="63"/>
        <v>Apr-24</v>
      </c>
      <c r="O1380" s="23" t="str">
        <f t="shared" si="64"/>
        <v>Q2 2024</v>
      </c>
      <c r="P1380" s="23">
        <f>VLOOKUP(D1380,Products!$A:$F,4,FALSE)</f>
        <v>2865</v>
      </c>
      <c r="Q1380" s="35">
        <f t="shared" si="65"/>
        <v>0.27833753148614609</v>
      </c>
    </row>
    <row r="1381" spans="1:17">
      <c r="A1381" s="12" t="s">
        <v>1886</v>
      </c>
      <c r="B1381" s="13">
        <v>45570</v>
      </c>
      <c r="C1381" s="12" t="s">
        <v>634</v>
      </c>
      <c r="D1381" s="12" t="s">
        <v>355</v>
      </c>
      <c r="E1381" s="12" t="s">
        <v>115</v>
      </c>
      <c r="F1381" s="14">
        <v>6</v>
      </c>
      <c r="G1381" s="14">
        <v>2210</v>
      </c>
      <c r="H1381" s="14">
        <v>7.4</v>
      </c>
      <c r="I1381" s="14">
        <v>12278.76</v>
      </c>
      <c r="J1381" s="12" t="s">
        <v>104</v>
      </c>
      <c r="K1381" s="12" t="s">
        <v>129</v>
      </c>
      <c r="L1381" s="23" t="str">
        <f>VLOOKUP(D1381,Products!$A:$F,3,FALSE)</f>
        <v>Grocery</v>
      </c>
      <c r="M1381" s="23" t="str">
        <f>VLOOKUP(E1381,Sales_Reps!$A:$E,3,FALSE)</f>
        <v>South</v>
      </c>
      <c r="N1381" s="23" t="str">
        <f t="shared" si="63"/>
        <v>Oct-24</v>
      </c>
      <c r="O1381" s="23" t="str">
        <f t="shared" si="64"/>
        <v>Q4 2024</v>
      </c>
      <c r="P1381" s="23">
        <f>VLOOKUP(D1381,Products!$A:$F,4,FALSE)</f>
        <v>1010</v>
      </c>
      <c r="Q1381" s="35">
        <f t="shared" si="65"/>
        <v>0.54298642533936647</v>
      </c>
    </row>
    <row r="1382" spans="1:17">
      <c r="A1382" s="12" t="s">
        <v>1887</v>
      </c>
      <c r="B1382" s="13">
        <v>45360</v>
      </c>
      <c r="C1382" s="12" t="s">
        <v>292</v>
      </c>
      <c r="D1382" s="12" t="s">
        <v>276</v>
      </c>
      <c r="E1382" s="12" t="s">
        <v>255</v>
      </c>
      <c r="F1382" s="14">
        <v>7</v>
      </c>
      <c r="G1382" s="14">
        <v>1540</v>
      </c>
      <c r="H1382" s="14">
        <v>20.6</v>
      </c>
      <c r="I1382" s="14">
        <v>8559.32</v>
      </c>
      <c r="J1382" s="12" t="s">
        <v>104</v>
      </c>
      <c r="K1382" s="12" t="s">
        <v>105</v>
      </c>
      <c r="L1382" s="23" t="str">
        <f>VLOOKUP(D1382,Products!$A:$F,3,FALSE)</f>
        <v>Beauty</v>
      </c>
      <c r="M1382" s="23" t="str">
        <f>VLOOKUP(E1382,Sales_Reps!$A:$E,3,FALSE)</f>
        <v>East</v>
      </c>
      <c r="N1382" s="23" t="str">
        <f t="shared" si="63"/>
        <v>Mar-24</v>
      </c>
      <c r="O1382" s="23" t="str">
        <f t="shared" si="64"/>
        <v>Q1 2024</v>
      </c>
      <c r="P1382" s="23">
        <f>VLOOKUP(D1382,Products!$A:$F,4,FALSE)</f>
        <v>647</v>
      </c>
      <c r="Q1382" s="35">
        <f t="shared" si="65"/>
        <v>0.57987012987012987</v>
      </c>
    </row>
    <row r="1383" spans="1:17">
      <c r="A1383" s="12" t="s">
        <v>1888</v>
      </c>
      <c r="B1383" s="13">
        <v>45334</v>
      </c>
      <c r="C1383" s="12" t="s">
        <v>814</v>
      </c>
      <c r="D1383" s="12" t="s">
        <v>287</v>
      </c>
      <c r="E1383" s="12" t="s">
        <v>360</v>
      </c>
      <c r="F1383" s="14">
        <v>9</v>
      </c>
      <c r="G1383" s="14">
        <v>4610</v>
      </c>
      <c r="H1383" s="14">
        <v>2.1</v>
      </c>
      <c r="I1383" s="14">
        <v>40618.71</v>
      </c>
      <c r="J1383" s="12" t="s">
        <v>104</v>
      </c>
      <c r="K1383" s="12" t="s">
        <v>116</v>
      </c>
      <c r="L1383" s="23" t="str">
        <f>VLOOKUP(D1383,Products!$A:$F,3,FALSE)</f>
        <v>Home</v>
      </c>
      <c r="M1383" s="23" t="str">
        <f>VLOOKUP(E1383,Sales_Reps!$A:$E,3,FALSE)</f>
        <v>West</v>
      </c>
      <c r="N1383" s="23" t="str">
        <f t="shared" si="63"/>
        <v>Feb-24</v>
      </c>
      <c r="O1383" s="23" t="str">
        <f t="shared" si="64"/>
        <v>Q1 2024</v>
      </c>
      <c r="P1383" s="23">
        <f>VLOOKUP(D1383,Products!$A:$F,4,FALSE)</f>
        <v>1850</v>
      </c>
      <c r="Q1383" s="35">
        <f t="shared" si="65"/>
        <v>0.59869848156182215</v>
      </c>
    </row>
    <row r="1384" spans="1:17">
      <c r="A1384" s="12" t="s">
        <v>1889</v>
      </c>
      <c r="B1384" s="13">
        <v>45527</v>
      </c>
      <c r="C1384" s="12" t="s">
        <v>746</v>
      </c>
      <c r="D1384" s="12" t="s">
        <v>425</v>
      </c>
      <c r="E1384" s="12" t="s">
        <v>314</v>
      </c>
      <c r="F1384" s="14">
        <v>10</v>
      </c>
      <c r="G1384" s="14">
        <v>3970</v>
      </c>
      <c r="H1384" s="14">
        <v>13.3</v>
      </c>
      <c r="I1384" s="14">
        <v>34419.9</v>
      </c>
      <c r="J1384" s="12" t="s">
        <v>110</v>
      </c>
      <c r="K1384" s="12" t="s">
        <v>129</v>
      </c>
      <c r="L1384" s="23" t="str">
        <f>VLOOKUP(D1384,Products!$A:$F,3,FALSE)</f>
        <v>Electronics</v>
      </c>
      <c r="M1384" s="23" t="str">
        <f>VLOOKUP(E1384,Sales_Reps!$A:$E,3,FALSE)</f>
        <v>North</v>
      </c>
      <c r="N1384" s="23" t="str">
        <f t="shared" si="63"/>
        <v>Aug-24</v>
      </c>
      <c r="O1384" s="23" t="str">
        <f t="shared" si="64"/>
        <v>Q3 2024</v>
      </c>
      <c r="P1384" s="23">
        <f>VLOOKUP(D1384,Products!$A:$F,4,FALSE)</f>
        <v>2865</v>
      </c>
      <c r="Q1384" s="35">
        <f t="shared" si="65"/>
        <v>0.27833753148614609</v>
      </c>
    </row>
    <row r="1385" spans="1:17">
      <c r="A1385" s="12" t="s">
        <v>1890</v>
      </c>
      <c r="B1385" s="13">
        <v>45534</v>
      </c>
      <c r="C1385" s="12" t="s">
        <v>701</v>
      </c>
      <c r="D1385" s="12" t="s">
        <v>296</v>
      </c>
      <c r="E1385" s="12" t="s">
        <v>124</v>
      </c>
      <c r="F1385" s="14">
        <v>8</v>
      </c>
      <c r="G1385" s="14">
        <v>2660</v>
      </c>
      <c r="H1385" s="14">
        <v>16.8</v>
      </c>
      <c r="I1385" s="14">
        <v>17704.96</v>
      </c>
      <c r="J1385" s="12" t="s">
        <v>104</v>
      </c>
      <c r="K1385" s="12" t="s">
        <v>116</v>
      </c>
      <c r="L1385" s="23" t="str">
        <f>VLOOKUP(D1385,Products!$A:$F,3,FALSE)</f>
        <v>Electronics</v>
      </c>
      <c r="M1385" s="23" t="str">
        <f>VLOOKUP(E1385,Sales_Reps!$A:$E,3,FALSE)</f>
        <v>North</v>
      </c>
      <c r="N1385" s="23" t="str">
        <f t="shared" si="63"/>
        <v>Aug-24</v>
      </c>
      <c r="O1385" s="23" t="str">
        <f t="shared" si="64"/>
        <v>Q3 2024</v>
      </c>
      <c r="P1385" s="23">
        <f>VLOOKUP(D1385,Products!$A:$F,4,FALSE)</f>
        <v>1259</v>
      </c>
      <c r="Q1385" s="35">
        <f t="shared" si="65"/>
        <v>0.52669172932330832</v>
      </c>
    </row>
    <row r="1386" spans="1:17">
      <c r="A1386" s="12" t="s">
        <v>1891</v>
      </c>
      <c r="B1386" s="13">
        <v>45329</v>
      </c>
      <c r="C1386" s="12" t="s">
        <v>1892</v>
      </c>
      <c r="D1386" s="12" t="s">
        <v>174</v>
      </c>
      <c r="E1386" s="12" t="s">
        <v>175</v>
      </c>
      <c r="F1386" s="14">
        <v>6</v>
      </c>
      <c r="G1386" s="14">
        <v>3450</v>
      </c>
      <c r="H1386" s="14">
        <v>23.4</v>
      </c>
      <c r="I1386" s="14">
        <v>15856.2</v>
      </c>
      <c r="J1386" s="12" t="s">
        <v>104</v>
      </c>
      <c r="K1386" s="12" t="s">
        <v>111</v>
      </c>
      <c r="L1386" s="23" t="str">
        <f>VLOOKUP(D1386,Products!$A:$F,3,FALSE)</f>
        <v>Beauty</v>
      </c>
      <c r="M1386" s="23" t="str">
        <f>VLOOKUP(E1386,Sales_Reps!$A:$E,3,FALSE)</f>
        <v>East</v>
      </c>
      <c r="N1386" s="23" t="str">
        <f t="shared" si="63"/>
        <v>Feb-24</v>
      </c>
      <c r="O1386" s="23" t="str">
        <f t="shared" si="64"/>
        <v>Q1 2024</v>
      </c>
      <c r="P1386" s="23">
        <f>VLOOKUP(D1386,Products!$A:$F,4,FALSE)</f>
        <v>2420</v>
      </c>
      <c r="Q1386" s="35">
        <f t="shared" si="65"/>
        <v>0.29855072463768118</v>
      </c>
    </row>
    <row r="1387" spans="1:17">
      <c r="A1387" s="12" t="s">
        <v>1893</v>
      </c>
      <c r="B1387" s="13">
        <v>45621</v>
      </c>
      <c r="C1387" s="12" t="s">
        <v>612</v>
      </c>
      <c r="D1387" s="12" t="s">
        <v>114</v>
      </c>
      <c r="E1387" s="12" t="s">
        <v>103</v>
      </c>
      <c r="F1387" s="14">
        <v>10</v>
      </c>
      <c r="G1387" s="14">
        <v>470</v>
      </c>
      <c r="H1387" s="14">
        <v>21.2</v>
      </c>
      <c r="I1387" s="14">
        <v>3703.6</v>
      </c>
      <c r="J1387" s="12" t="s">
        <v>104</v>
      </c>
      <c r="K1387" s="12" t="s">
        <v>116</v>
      </c>
      <c r="L1387" s="23" t="str">
        <f>VLOOKUP(D1387,Products!$A:$F,3,FALSE)</f>
        <v>Sports</v>
      </c>
      <c r="M1387" s="23" t="str">
        <f>VLOOKUP(E1387,Sales_Reps!$A:$E,3,FALSE)</f>
        <v>North</v>
      </c>
      <c r="N1387" s="23" t="str">
        <f t="shared" si="63"/>
        <v>Nov-24</v>
      </c>
      <c r="O1387" s="23" t="str">
        <f t="shared" si="64"/>
        <v>Q4 2024</v>
      </c>
      <c r="P1387" s="23">
        <f>VLOOKUP(D1387,Products!$A:$F,4,FALSE)</f>
        <v>302</v>
      </c>
      <c r="Q1387" s="35">
        <f t="shared" si="65"/>
        <v>0.35744680851063831</v>
      </c>
    </row>
    <row r="1388" spans="1:17">
      <c r="A1388" s="12" t="s">
        <v>493</v>
      </c>
      <c r="B1388" s="13">
        <v>45334</v>
      </c>
      <c r="C1388" s="12" t="s">
        <v>430</v>
      </c>
      <c r="D1388" s="12" t="s">
        <v>478</v>
      </c>
      <c r="E1388" s="12" t="s">
        <v>302</v>
      </c>
      <c r="F1388" s="14">
        <v>7</v>
      </c>
      <c r="G1388" s="14">
        <v>3780</v>
      </c>
      <c r="H1388" s="14">
        <v>10.1</v>
      </c>
      <c r="I1388" s="14">
        <v>23787.54</v>
      </c>
      <c r="J1388" s="12" t="s">
        <v>104</v>
      </c>
      <c r="K1388" s="12" t="s">
        <v>105</v>
      </c>
      <c r="L1388" s="23" t="str">
        <f>VLOOKUP(D1388,Products!$A:$F,3,FALSE)</f>
        <v>Sports</v>
      </c>
      <c r="M1388" s="23" t="str">
        <f>VLOOKUP(E1388,Sales_Reps!$A:$E,3,FALSE)</f>
        <v>East</v>
      </c>
      <c r="N1388" s="23" t="str">
        <f t="shared" si="63"/>
        <v>Feb-24</v>
      </c>
      <c r="O1388" s="23" t="str">
        <f t="shared" si="64"/>
        <v>Q1 2024</v>
      </c>
      <c r="P1388" s="23">
        <f>VLOOKUP(D1388,Products!$A:$F,4,FALSE)</f>
        <v>1860</v>
      </c>
      <c r="Q1388" s="35">
        <f t="shared" si="65"/>
        <v>0.50793650793650791</v>
      </c>
    </row>
    <row r="1389" spans="1:17">
      <c r="A1389" s="12" t="s">
        <v>1894</v>
      </c>
      <c r="B1389" s="13">
        <v>45324</v>
      </c>
      <c r="C1389" s="12" t="s">
        <v>1000</v>
      </c>
      <c r="D1389" s="12" t="s">
        <v>102</v>
      </c>
      <c r="E1389" s="12" t="s">
        <v>360</v>
      </c>
      <c r="F1389" s="14">
        <v>3</v>
      </c>
      <c r="G1389" s="14">
        <v>3620</v>
      </c>
      <c r="H1389" s="14">
        <v>4.2</v>
      </c>
      <c r="I1389" s="14">
        <v>10403.879999999999</v>
      </c>
      <c r="J1389" s="12" t="s">
        <v>104</v>
      </c>
      <c r="K1389" s="12" t="s">
        <v>134</v>
      </c>
      <c r="L1389" s="23" t="str">
        <f>VLOOKUP(D1389,Products!$A:$F,3,FALSE)</f>
        <v>Apparel</v>
      </c>
      <c r="M1389" s="23" t="str">
        <f>VLOOKUP(E1389,Sales_Reps!$A:$E,3,FALSE)</f>
        <v>West</v>
      </c>
      <c r="N1389" s="23" t="str">
        <f t="shared" si="63"/>
        <v>Feb-24</v>
      </c>
      <c r="O1389" s="23" t="str">
        <f t="shared" si="64"/>
        <v>Q1 2024</v>
      </c>
      <c r="P1389" s="23">
        <f>VLOOKUP(D1389,Products!$A:$F,4,FALSE)</f>
        <v>2509</v>
      </c>
      <c r="Q1389" s="35">
        <f t="shared" si="65"/>
        <v>0.3069060773480663</v>
      </c>
    </row>
    <row r="1390" spans="1:17">
      <c r="A1390" s="12" t="s">
        <v>1895</v>
      </c>
      <c r="B1390" s="13">
        <v>45541</v>
      </c>
      <c r="C1390" s="12" t="s">
        <v>280</v>
      </c>
      <c r="D1390" s="12" t="s">
        <v>397</v>
      </c>
      <c r="E1390" s="12" t="s">
        <v>145</v>
      </c>
      <c r="F1390" s="14">
        <v>7</v>
      </c>
      <c r="G1390" s="14">
        <v>960</v>
      </c>
      <c r="H1390" s="14">
        <v>9</v>
      </c>
      <c r="I1390" s="14">
        <v>6115.2</v>
      </c>
      <c r="J1390" s="12" t="s">
        <v>104</v>
      </c>
      <c r="K1390" s="12" t="s">
        <v>150</v>
      </c>
      <c r="L1390" s="23" t="str">
        <f>VLOOKUP(D1390,Products!$A:$F,3,FALSE)</f>
        <v>Beauty</v>
      </c>
      <c r="M1390" s="23" t="str">
        <f>VLOOKUP(E1390,Sales_Reps!$A:$E,3,FALSE)</f>
        <v>West</v>
      </c>
      <c r="N1390" s="23" t="str">
        <f t="shared" si="63"/>
        <v>Sep-24</v>
      </c>
      <c r="O1390" s="23" t="str">
        <f t="shared" si="64"/>
        <v>Q3 2024</v>
      </c>
      <c r="P1390" s="23">
        <f>VLOOKUP(D1390,Products!$A:$F,4,FALSE)</f>
        <v>675</v>
      </c>
      <c r="Q1390" s="35">
        <f t="shared" si="65"/>
        <v>0.296875</v>
      </c>
    </row>
    <row r="1391" spans="1:17">
      <c r="A1391" s="12" t="s">
        <v>1896</v>
      </c>
      <c r="B1391" s="13">
        <v>45344</v>
      </c>
      <c r="C1391" s="12" t="s">
        <v>706</v>
      </c>
      <c r="D1391" s="12" t="s">
        <v>196</v>
      </c>
      <c r="E1391" s="12" t="s">
        <v>103</v>
      </c>
      <c r="F1391" s="14">
        <v>10</v>
      </c>
      <c r="G1391" s="14">
        <v>3350</v>
      </c>
      <c r="H1391" s="14">
        <v>1.2</v>
      </c>
      <c r="I1391" s="14">
        <v>33098</v>
      </c>
      <c r="J1391" s="12" t="s">
        <v>157</v>
      </c>
      <c r="K1391" s="12" t="s">
        <v>150</v>
      </c>
      <c r="L1391" s="23" t="str">
        <f>VLOOKUP(D1391,Products!$A:$F,3,FALSE)</f>
        <v>Beauty</v>
      </c>
      <c r="M1391" s="23" t="str">
        <f>VLOOKUP(E1391,Sales_Reps!$A:$E,3,FALSE)</f>
        <v>North</v>
      </c>
      <c r="N1391" s="23" t="str">
        <f t="shared" si="63"/>
        <v>Feb-24</v>
      </c>
      <c r="O1391" s="23" t="str">
        <f t="shared" si="64"/>
        <v>Q1 2024</v>
      </c>
      <c r="P1391" s="23">
        <f>VLOOKUP(D1391,Products!$A:$F,4,FALSE)</f>
        <v>1728</v>
      </c>
      <c r="Q1391" s="35">
        <f t="shared" si="65"/>
        <v>0.48417910447761192</v>
      </c>
    </row>
    <row r="1392" spans="1:17">
      <c r="A1392" s="12" t="s">
        <v>1897</v>
      </c>
      <c r="B1392" s="13">
        <v>45388</v>
      </c>
      <c r="C1392" s="12" t="s">
        <v>376</v>
      </c>
      <c r="D1392" s="12" t="s">
        <v>168</v>
      </c>
      <c r="E1392" s="12" t="s">
        <v>187</v>
      </c>
      <c r="F1392" s="14">
        <v>3</v>
      </c>
      <c r="G1392" s="14">
        <v>2400</v>
      </c>
      <c r="H1392" s="14">
        <v>15.4</v>
      </c>
      <c r="I1392" s="14">
        <v>6091.2</v>
      </c>
      <c r="J1392" s="12" t="s">
        <v>104</v>
      </c>
      <c r="K1392" s="12" t="s">
        <v>116</v>
      </c>
      <c r="L1392" s="23" t="str">
        <f>VLOOKUP(D1392,Products!$A:$F,3,FALSE)</f>
        <v>Sports</v>
      </c>
      <c r="M1392" s="23" t="str">
        <f>VLOOKUP(E1392,Sales_Reps!$A:$E,3,FALSE)</f>
        <v>West</v>
      </c>
      <c r="N1392" s="23" t="str">
        <f t="shared" si="63"/>
        <v>Apr-24</v>
      </c>
      <c r="O1392" s="23" t="str">
        <f t="shared" si="64"/>
        <v>Q2 2024</v>
      </c>
      <c r="P1392" s="23">
        <f>VLOOKUP(D1392,Products!$A:$F,4,FALSE)</f>
        <v>974</v>
      </c>
      <c r="Q1392" s="35">
        <f t="shared" si="65"/>
        <v>0.59416666666666662</v>
      </c>
    </row>
    <row r="1393" spans="1:17">
      <c r="A1393" s="12" t="s">
        <v>1898</v>
      </c>
      <c r="B1393" s="13">
        <v>45407</v>
      </c>
      <c r="C1393" s="12" t="s">
        <v>776</v>
      </c>
      <c r="D1393" s="12" t="s">
        <v>212</v>
      </c>
      <c r="E1393" s="12" t="s">
        <v>314</v>
      </c>
      <c r="F1393" s="14">
        <v>2</v>
      </c>
      <c r="G1393" s="14">
        <v>2860</v>
      </c>
      <c r="H1393" s="14">
        <v>10.5</v>
      </c>
      <c r="I1393" s="14">
        <v>5119.3999999999996</v>
      </c>
      <c r="J1393" s="12" t="s">
        <v>104</v>
      </c>
      <c r="K1393" s="12" t="s">
        <v>134</v>
      </c>
      <c r="L1393" s="23" t="str">
        <f>VLOOKUP(D1393,Products!$A:$F,3,FALSE)</f>
        <v>Sports</v>
      </c>
      <c r="M1393" s="23" t="str">
        <f>VLOOKUP(E1393,Sales_Reps!$A:$E,3,FALSE)</f>
        <v>North</v>
      </c>
      <c r="N1393" s="23" t="str">
        <f t="shared" si="63"/>
        <v>Apr-24</v>
      </c>
      <c r="O1393" s="23" t="str">
        <f t="shared" si="64"/>
        <v>Q2 2024</v>
      </c>
      <c r="P1393" s="23">
        <f>VLOOKUP(D1393,Products!$A:$F,4,FALSE)</f>
        <v>2028</v>
      </c>
      <c r="Q1393" s="35">
        <f t="shared" si="65"/>
        <v>0.29090909090909089</v>
      </c>
    </row>
    <row r="1394" spans="1:17">
      <c r="A1394" s="12" t="s">
        <v>1899</v>
      </c>
      <c r="B1394" s="13">
        <v>45620</v>
      </c>
      <c r="C1394" s="12" t="s">
        <v>717</v>
      </c>
      <c r="D1394" s="12" t="s">
        <v>403</v>
      </c>
      <c r="E1394" s="12" t="s">
        <v>124</v>
      </c>
      <c r="F1394" s="14">
        <v>4</v>
      </c>
      <c r="G1394" s="14">
        <v>2290</v>
      </c>
      <c r="H1394" s="14">
        <v>5.9</v>
      </c>
      <c r="I1394" s="14">
        <v>8619.56</v>
      </c>
      <c r="J1394" s="12" t="s">
        <v>104</v>
      </c>
      <c r="K1394" s="12" t="s">
        <v>111</v>
      </c>
      <c r="L1394" s="23" t="str">
        <f>VLOOKUP(D1394,Products!$A:$F,3,FALSE)</f>
        <v>Beauty</v>
      </c>
      <c r="M1394" s="23" t="str">
        <f>VLOOKUP(E1394,Sales_Reps!$A:$E,3,FALSE)</f>
        <v>North</v>
      </c>
      <c r="N1394" s="23" t="str">
        <f t="shared" si="63"/>
        <v>Nov-24</v>
      </c>
      <c r="O1394" s="23" t="str">
        <f t="shared" si="64"/>
        <v>Q4 2024</v>
      </c>
      <c r="P1394" s="23">
        <f>VLOOKUP(D1394,Products!$A:$F,4,FALSE)</f>
        <v>1219</v>
      </c>
      <c r="Q1394" s="35">
        <f t="shared" si="65"/>
        <v>0.46768558951965067</v>
      </c>
    </row>
    <row r="1395" spans="1:17">
      <c r="A1395" s="12" t="s">
        <v>1900</v>
      </c>
      <c r="B1395" s="13">
        <v>45499</v>
      </c>
      <c r="C1395" s="12" t="s">
        <v>409</v>
      </c>
      <c r="D1395" s="12" t="s">
        <v>381</v>
      </c>
      <c r="E1395" s="12" t="s">
        <v>171</v>
      </c>
      <c r="F1395" s="14">
        <v>7</v>
      </c>
      <c r="G1395" s="14">
        <v>5330</v>
      </c>
      <c r="H1395" s="14">
        <v>3.5</v>
      </c>
      <c r="I1395" s="14">
        <v>36004.15</v>
      </c>
      <c r="J1395" s="12" t="s">
        <v>157</v>
      </c>
      <c r="K1395" s="12" t="s">
        <v>129</v>
      </c>
      <c r="L1395" s="23" t="str">
        <f>VLOOKUP(D1395,Products!$A:$F,3,FALSE)</f>
        <v>Electronics</v>
      </c>
      <c r="M1395" s="23" t="str">
        <f>VLOOKUP(E1395,Sales_Reps!$A:$E,3,FALSE)</f>
        <v>East</v>
      </c>
      <c r="N1395" s="23" t="str">
        <f t="shared" si="63"/>
        <v>Jul-24</v>
      </c>
      <c r="O1395" s="23" t="str">
        <f t="shared" si="64"/>
        <v>Q3 2024</v>
      </c>
      <c r="P1395" s="23">
        <f>VLOOKUP(D1395,Products!$A:$F,4,FALSE)</f>
        <v>2405</v>
      </c>
      <c r="Q1395" s="35">
        <f t="shared" si="65"/>
        <v>0.54878048780487809</v>
      </c>
    </row>
    <row r="1396" spans="1:17">
      <c r="A1396" s="12" t="s">
        <v>1901</v>
      </c>
      <c r="B1396" s="13">
        <v>45585</v>
      </c>
      <c r="C1396" s="12" t="s">
        <v>318</v>
      </c>
      <c r="D1396" s="12" t="s">
        <v>254</v>
      </c>
      <c r="E1396" s="12" t="s">
        <v>320</v>
      </c>
      <c r="F1396" s="14">
        <v>10</v>
      </c>
      <c r="G1396" s="14">
        <v>3640</v>
      </c>
      <c r="H1396" s="14">
        <v>20.100000000000001</v>
      </c>
      <c r="I1396" s="14">
        <v>29083.599999999999</v>
      </c>
      <c r="J1396" s="12" t="s">
        <v>104</v>
      </c>
      <c r="K1396" s="12" t="s">
        <v>111</v>
      </c>
      <c r="L1396" s="23" t="str">
        <f>VLOOKUP(D1396,Products!$A:$F,3,FALSE)</f>
        <v>Apparel</v>
      </c>
      <c r="M1396" s="23" t="str">
        <f>VLOOKUP(E1396,Sales_Reps!$A:$E,3,FALSE)</f>
        <v>East</v>
      </c>
      <c r="N1396" s="23" t="str">
        <f t="shared" si="63"/>
        <v>Oct-24</v>
      </c>
      <c r="O1396" s="23" t="str">
        <f t="shared" si="64"/>
        <v>Q4 2024</v>
      </c>
      <c r="P1396" s="23">
        <f>VLOOKUP(D1396,Products!$A:$F,4,FALSE)</f>
        <v>2611</v>
      </c>
      <c r="Q1396" s="35">
        <f t="shared" si="65"/>
        <v>0.28269230769230769</v>
      </c>
    </row>
    <row r="1397" spans="1:17">
      <c r="A1397" s="12" t="s">
        <v>1902</v>
      </c>
      <c r="B1397" s="13">
        <v>45633</v>
      </c>
      <c r="C1397" s="12" t="s">
        <v>223</v>
      </c>
      <c r="D1397" s="12" t="s">
        <v>460</v>
      </c>
      <c r="E1397" s="12" t="s">
        <v>133</v>
      </c>
      <c r="F1397" s="14">
        <v>10</v>
      </c>
      <c r="G1397" s="14">
        <v>5080</v>
      </c>
      <c r="H1397" s="14">
        <v>2.1</v>
      </c>
      <c r="I1397" s="14">
        <v>49733.2</v>
      </c>
      <c r="J1397" s="12" t="s">
        <v>104</v>
      </c>
      <c r="K1397" s="12" t="s">
        <v>150</v>
      </c>
      <c r="L1397" s="23" t="str">
        <f>VLOOKUP(D1397,Products!$A:$F,3,FALSE)</f>
        <v>Home</v>
      </c>
      <c r="M1397" s="23" t="str">
        <f>VLOOKUP(E1397,Sales_Reps!$A:$E,3,FALSE)</f>
        <v>West</v>
      </c>
      <c r="N1397" s="23" t="str">
        <f t="shared" si="63"/>
        <v>Dec-24</v>
      </c>
      <c r="O1397" s="23" t="str">
        <f t="shared" si="64"/>
        <v>Q4 2024</v>
      </c>
      <c r="P1397" s="23">
        <f>VLOOKUP(D1397,Products!$A:$F,4,FALSE)</f>
        <v>2459</v>
      </c>
      <c r="Q1397" s="35">
        <f t="shared" si="65"/>
        <v>0.51594488188976373</v>
      </c>
    </row>
    <row r="1398" spans="1:17">
      <c r="A1398" s="12" t="s">
        <v>1903</v>
      </c>
      <c r="B1398" s="13">
        <v>45517</v>
      </c>
      <c r="C1398" s="12" t="s">
        <v>742</v>
      </c>
      <c r="D1398" s="12" t="s">
        <v>519</v>
      </c>
      <c r="E1398" s="12" t="s">
        <v>320</v>
      </c>
      <c r="F1398" s="14">
        <v>4</v>
      </c>
      <c r="G1398" s="14">
        <v>1090</v>
      </c>
      <c r="H1398" s="14">
        <v>18.5</v>
      </c>
      <c r="I1398" s="14">
        <v>3553.4</v>
      </c>
      <c r="J1398" s="12" t="s">
        <v>161</v>
      </c>
      <c r="K1398" s="12" t="s">
        <v>116</v>
      </c>
      <c r="L1398" s="23" t="str">
        <f>VLOOKUP(D1398,Products!$A:$F,3,FALSE)</f>
        <v>Home</v>
      </c>
      <c r="M1398" s="23" t="str">
        <f>VLOOKUP(E1398,Sales_Reps!$A:$E,3,FALSE)</f>
        <v>East</v>
      </c>
      <c r="N1398" s="23" t="str">
        <f t="shared" si="63"/>
        <v>Aug-24</v>
      </c>
      <c r="O1398" s="23" t="str">
        <f t="shared" si="64"/>
        <v>Q3 2024</v>
      </c>
      <c r="P1398" s="23">
        <f>VLOOKUP(D1398,Products!$A:$F,4,FALSE)</f>
        <v>464</v>
      </c>
      <c r="Q1398" s="35">
        <f t="shared" si="65"/>
        <v>0.57431192660550456</v>
      </c>
    </row>
    <row r="1399" spans="1:17">
      <c r="A1399" s="12" t="s">
        <v>1904</v>
      </c>
      <c r="B1399" s="13">
        <v>45645</v>
      </c>
      <c r="C1399" s="12" t="s">
        <v>587</v>
      </c>
      <c r="D1399" s="12" t="s">
        <v>174</v>
      </c>
      <c r="E1399" s="12" t="s">
        <v>187</v>
      </c>
      <c r="F1399" s="14">
        <v>10</v>
      </c>
      <c r="G1399" s="14">
        <v>3450</v>
      </c>
      <c r="H1399" s="14">
        <v>26.5</v>
      </c>
      <c r="I1399" s="14">
        <v>25357.5</v>
      </c>
      <c r="J1399" s="12" t="s">
        <v>161</v>
      </c>
      <c r="K1399" s="12" t="s">
        <v>116</v>
      </c>
      <c r="L1399" s="23" t="str">
        <f>VLOOKUP(D1399,Products!$A:$F,3,FALSE)</f>
        <v>Beauty</v>
      </c>
      <c r="M1399" s="23" t="str">
        <f>VLOOKUP(E1399,Sales_Reps!$A:$E,3,FALSE)</f>
        <v>West</v>
      </c>
      <c r="N1399" s="23" t="str">
        <f t="shared" si="63"/>
        <v>Dec-24</v>
      </c>
      <c r="O1399" s="23" t="str">
        <f t="shared" si="64"/>
        <v>Q4 2024</v>
      </c>
      <c r="P1399" s="23">
        <f>VLOOKUP(D1399,Products!$A:$F,4,FALSE)</f>
        <v>2420</v>
      </c>
      <c r="Q1399" s="35">
        <f t="shared" si="65"/>
        <v>0.29855072463768118</v>
      </c>
    </row>
    <row r="1400" spans="1:17">
      <c r="A1400" s="12" t="s">
        <v>1905</v>
      </c>
      <c r="B1400" s="13">
        <v>45483</v>
      </c>
      <c r="C1400" s="12" t="s">
        <v>280</v>
      </c>
      <c r="D1400" s="12" t="s">
        <v>377</v>
      </c>
      <c r="E1400" s="12" t="s">
        <v>221</v>
      </c>
      <c r="F1400" s="14">
        <v>9</v>
      </c>
      <c r="G1400" s="14">
        <v>5410</v>
      </c>
      <c r="H1400" s="14">
        <v>11.5</v>
      </c>
      <c r="I1400" s="14">
        <v>43090.65</v>
      </c>
      <c r="J1400" s="12" t="s">
        <v>104</v>
      </c>
      <c r="K1400" s="12" t="s">
        <v>150</v>
      </c>
      <c r="L1400" s="23" t="str">
        <f>VLOOKUP(D1400,Products!$A:$F,3,FALSE)</f>
        <v>Sports</v>
      </c>
      <c r="M1400" s="23" t="str">
        <f>VLOOKUP(E1400,Sales_Reps!$A:$E,3,FALSE)</f>
        <v>South</v>
      </c>
      <c r="N1400" s="23" t="str">
        <f t="shared" si="63"/>
        <v>Jul-24</v>
      </c>
      <c r="O1400" s="23" t="str">
        <f t="shared" si="64"/>
        <v>Q3 2024</v>
      </c>
      <c r="P1400" s="23">
        <f>VLOOKUP(D1400,Products!$A:$F,4,FALSE)</f>
        <v>2265</v>
      </c>
      <c r="Q1400" s="35">
        <f t="shared" si="65"/>
        <v>0.58133086876155271</v>
      </c>
    </row>
    <row r="1401" spans="1:17">
      <c r="A1401" s="12" t="s">
        <v>1906</v>
      </c>
      <c r="B1401" s="13">
        <v>45445</v>
      </c>
      <c r="C1401" s="12" t="s">
        <v>1907</v>
      </c>
      <c r="D1401" s="12" t="s">
        <v>469</v>
      </c>
      <c r="E1401" s="12" t="s">
        <v>187</v>
      </c>
      <c r="F1401" s="14">
        <v>9</v>
      </c>
      <c r="G1401" s="14">
        <v>3450</v>
      </c>
      <c r="H1401" s="14">
        <v>0.3</v>
      </c>
      <c r="I1401" s="14">
        <v>30956.85</v>
      </c>
      <c r="J1401" s="12" t="s">
        <v>161</v>
      </c>
      <c r="K1401" s="12" t="s">
        <v>150</v>
      </c>
      <c r="L1401" s="23" t="str">
        <f>VLOOKUP(D1401,Products!$A:$F,3,FALSE)</f>
        <v>Apparel</v>
      </c>
      <c r="M1401" s="23" t="str">
        <f>VLOOKUP(E1401,Sales_Reps!$A:$E,3,FALSE)</f>
        <v>West</v>
      </c>
      <c r="N1401" s="23" t="str">
        <f t="shared" si="63"/>
        <v>Jun-24</v>
      </c>
      <c r="O1401" s="23" t="str">
        <f t="shared" si="64"/>
        <v>Q2 2024</v>
      </c>
      <c r="P1401" s="23">
        <f>VLOOKUP(D1401,Products!$A:$F,4,FALSE)</f>
        <v>1748</v>
      </c>
      <c r="Q1401" s="35">
        <f t="shared" si="65"/>
        <v>0.49333333333333335</v>
      </c>
    </row>
    <row r="1402" spans="1:17">
      <c r="A1402" s="12" t="s">
        <v>1908</v>
      </c>
      <c r="B1402" s="13">
        <v>45614</v>
      </c>
      <c r="C1402" s="12" t="s">
        <v>474</v>
      </c>
      <c r="D1402" s="12" t="s">
        <v>123</v>
      </c>
      <c r="E1402" s="12" t="s">
        <v>128</v>
      </c>
      <c r="F1402" s="14">
        <v>10</v>
      </c>
      <c r="G1402" s="14">
        <v>3160</v>
      </c>
      <c r="H1402" s="14">
        <v>13.6</v>
      </c>
      <c r="I1402" s="14">
        <v>27302.400000000001</v>
      </c>
      <c r="J1402" s="12" t="s">
        <v>104</v>
      </c>
      <c r="K1402" s="12" t="s">
        <v>105</v>
      </c>
      <c r="L1402" s="23" t="str">
        <f>VLOOKUP(D1402,Products!$A:$F,3,FALSE)</f>
        <v>Apparel</v>
      </c>
      <c r="M1402" s="23" t="str">
        <f>VLOOKUP(E1402,Sales_Reps!$A:$E,3,FALSE)</f>
        <v>West</v>
      </c>
      <c r="N1402" s="23" t="str">
        <f t="shared" si="63"/>
        <v>Nov-24</v>
      </c>
      <c r="O1402" s="23" t="str">
        <f t="shared" si="64"/>
        <v>Q4 2024</v>
      </c>
      <c r="P1402" s="23">
        <f>VLOOKUP(D1402,Products!$A:$F,4,FALSE)</f>
        <v>1886</v>
      </c>
      <c r="Q1402" s="35">
        <f t="shared" si="65"/>
        <v>0.4031645569620253</v>
      </c>
    </row>
    <row r="1403" spans="1:17">
      <c r="A1403" s="12" t="s">
        <v>1909</v>
      </c>
      <c r="B1403" s="13">
        <v>45433</v>
      </c>
      <c r="C1403" s="12" t="s">
        <v>136</v>
      </c>
      <c r="D1403" s="12" t="s">
        <v>276</v>
      </c>
      <c r="E1403" s="12" t="s">
        <v>218</v>
      </c>
      <c r="F1403" s="14">
        <v>3</v>
      </c>
      <c r="G1403" s="14">
        <v>1540</v>
      </c>
      <c r="H1403" s="14">
        <v>21.2</v>
      </c>
      <c r="I1403" s="14">
        <v>3640.56</v>
      </c>
      <c r="J1403" s="12" t="s">
        <v>104</v>
      </c>
      <c r="K1403" s="12" t="s">
        <v>134</v>
      </c>
      <c r="L1403" s="23" t="str">
        <f>VLOOKUP(D1403,Products!$A:$F,3,FALSE)</f>
        <v>Beauty</v>
      </c>
      <c r="M1403" s="23" t="str">
        <f>VLOOKUP(E1403,Sales_Reps!$A:$E,3,FALSE)</f>
        <v>West</v>
      </c>
      <c r="N1403" s="23" t="str">
        <f t="shared" si="63"/>
        <v>May-24</v>
      </c>
      <c r="O1403" s="23" t="str">
        <f t="shared" si="64"/>
        <v>Q2 2024</v>
      </c>
      <c r="P1403" s="23">
        <f>VLOOKUP(D1403,Products!$A:$F,4,FALSE)</f>
        <v>647</v>
      </c>
      <c r="Q1403" s="35">
        <f t="shared" si="65"/>
        <v>0.57987012987012987</v>
      </c>
    </row>
    <row r="1404" spans="1:17">
      <c r="A1404" s="12" t="s">
        <v>1910</v>
      </c>
      <c r="B1404" s="13">
        <v>45402</v>
      </c>
      <c r="C1404" s="12" t="s">
        <v>407</v>
      </c>
      <c r="D1404" s="12" t="s">
        <v>254</v>
      </c>
      <c r="E1404" s="12" t="s">
        <v>302</v>
      </c>
      <c r="F1404" s="14">
        <v>5</v>
      </c>
      <c r="G1404" s="14">
        <v>3640</v>
      </c>
      <c r="H1404" s="14">
        <v>17.5</v>
      </c>
      <c r="I1404" s="14">
        <v>15015</v>
      </c>
      <c r="J1404" s="12" t="s">
        <v>104</v>
      </c>
      <c r="K1404" s="12" t="s">
        <v>105</v>
      </c>
      <c r="L1404" s="23" t="str">
        <f>VLOOKUP(D1404,Products!$A:$F,3,FALSE)</f>
        <v>Apparel</v>
      </c>
      <c r="M1404" s="23" t="str">
        <f>VLOOKUP(E1404,Sales_Reps!$A:$E,3,FALSE)</f>
        <v>East</v>
      </c>
      <c r="N1404" s="23" t="str">
        <f t="shared" si="63"/>
        <v>Apr-24</v>
      </c>
      <c r="O1404" s="23" t="str">
        <f t="shared" si="64"/>
        <v>Q2 2024</v>
      </c>
      <c r="P1404" s="23">
        <f>VLOOKUP(D1404,Products!$A:$F,4,FALSE)</f>
        <v>2611</v>
      </c>
      <c r="Q1404" s="35">
        <f t="shared" si="65"/>
        <v>0.28269230769230769</v>
      </c>
    </row>
    <row r="1405" spans="1:17">
      <c r="A1405" s="12" t="s">
        <v>1911</v>
      </c>
      <c r="B1405" s="13">
        <v>45302</v>
      </c>
      <c r="C1405" s="12" t="s">
        <v>147</v>
      </c>
      <c r="D1405" s="12" t="s">
        <v>478</v>
      </c>
      <c r="E1405" s="12" t="s">
        <v>314</v>
      </c>
      <c r="F1405" s="14">
        <v>4</v>
      </c>
      <c r="G1405" s="14">
        <v>3780</v>
      </c>
      <c r="H1405" s="14">
        <v>9</v>
      </c>
      <c r="I1405" s="14">
        <v>13759.2</v>
      </c>
      <c r="J1405" s="12" t="s">
        <v>110</v>
      </c>
      <c r="K1405" s="12" t="s">
        <v>150</v>
      </c>
      <c r="L1405" s="23" t="str">
        <f>VLOOKUP(D1405,Products!$A:$F,3,FALSE)</f>
        <v>Sports</v>
      </c>
      <c r="M1405" s="23" t="str">
        <f>VLOOKUP(E1405,Sales_Reps!$A:$E,3,FALSE)</f>
        <v>North</v>
      </c>
      <c r="N1405" s="23" t="str">
        <f t="shared" si="63"/>
        <v>Jan-24</v>
      </c>
      <c r="O1405" s="23" t="str">
        <f t="shared" si="64"/>
        <v>Q1 2024</v>
      </c>
      <c r="P1405" s="23">
        <f>VLOOKUP(D1405,Products!$A:$F,4,FALSE)</f>
        <v>1860</v>
      </c>
      <c r="Q1405" s="35">
        <f t="shared" si="65"/>
        <v>0.50793650793650791</v>
      </c>
    </row>
    <row r="1406" spans="1:17">
      <c r="A1406" s="12" t="s">
        <v>1912</v>
      </c>
      <c r="B1406" s="13">
        <v>45526</v>
      </c>
      <c r="C1406" s="12" t="s">
        <v>420</v>
      </c>
      <c r="D1406" s="12" t="s">
        <v>190</v>
      </c>
      <c r="E1406" s="12" t="s">
        <v>128</v>
      </c>
      <c r="F1406" s="14">
        <v>9</v>
      </c>
      <c r="G1406" s="14">
        <v>2720</v>
      </c>
      <c r="H1406" s="14">
        <v>8.9</v>
      </c>
      <c r="I1406" s="14">
        <v>22301.279999999999</v>
      </c>
      <c r="J1406" s="12" t="s">
        <v>104</v>
      </c>
      <c r="K1406" s="12" t="s">
        <v>134</v>
      </c>
      <c r="L1406" s="23" t="str">
        <f>VLOOKUP(D1406,Products!$A:$F,3,FALSE)</f>
        <v>Apparel</v>
      </c>
      <c r="M1406" s="23" t="str">
        <f>VLOOKUP(E1406,Sales_Reps!$A:$E,3,FALSE)</f>
        <v>West</v>
      </c>
      <c r="N1406" s="23" t="str">
        <f t="shared" si="63"/>
        <v>Aug-24</v>
      </c>
      <c r="O1406" s="23" t="str">
        <f t="shared" si="64"/>
        <v>Q3 2024</v>
      </c>
      <c r="P1406" s="23">
        <f>VLOOKUP(D1406,Products!$A:$F,4,FALSE)</f>
        <v>1962</v>
      </c>
      <c r="Q1406" s="35">
        <f t="shared" si="65"/>
        <v>0.2786764705882353</v>
      </c>
    </row>
    <row r="1407" spans="1:17">
      <c r="A1407" s="12" t="s">
        <v>1913</v>
      </c>
      <c r="B1407" s="13">
        <v>45648</v>
      </c>
      <c r="C1407" s="12" t="s">
        <v>1082</v>
      </c>
      <c r="D1407" s="12" t="s">
        <v>102</v>
      </c>
      <c r="E1407" s="12" t="s">
        <v>156</v>
      </c>
      <c r="F1407" s="14">
        <v>4</v>
      </c>
      <c r="G1407" s="14">
        <v>3620</v>
      </c>
      <c r="H1407" s="14">
        <v>8</v>
      </c>
      <c r="I1407" s="14">
        <v>13321.6</v>
      </c>
      <c r="J1407" s="12" t="s">
        <v>110</v>
      </c>
      <c r="K1407" s="12" t="s">
        <v>111</v>
      </c>
      <c r="L1407" s="23" t="str">
        <f>VLOOKUP(D1407,Products!$A:$F,3,FALSE)</f>
        <v>Apparel</v>
      </c>
      <c r="M1407" s="23" t="str">
        <f>VLOOKUP(E1407,Sales_Reps!$A:$E,3,FALSE)</f>
        <v>North</v>
      </c>
      <c r="N1407" s="23" t="str">
        <f t="shared" si="63"/>
        <v>Dec-24</v>
      </c>
      <c r="O1407" s="23" t="str">
        <f t="shared" si="64"/>
        <v>Q4 2024</v>
      </c>
      <c r="P1407" s="23">
        <f>VLOOKUP(D1407,Products!$A:$F,4,FALSE)</f>
        <v>2509</v>
      </c>
      <c r="Q1407" s="35">
        <f t="shared" si="65"/>
        <v>0.3069060773480663</v>
      </c>
    </row>
    <row r="1408" spans="1:17">
      <c r="A1408" s="12" t="s">
        <v>1914</v>
      </c>
      <c r="B1408" s="13">
        <v>45325</v>
      </c>
      <c r="C1408" s="12" t="s">
        <v>529</v>
      </c>
      <c r="D1408" s="12" t="s">
        <v>469</v>
      </c>
      <c r="E1408" s="12" t="s">
        <v>156</v>
      </c>
      <c r="F1408" s="14">
        <v>1</v>
      </c>
      <c r="G1408" s="14">
        <v>3450</v>
      </c>
      <c r="H1408" s="14">
        <v>0.2</v>
      </c>
      <c r="I1408" s="14">
        <v>3443.1</v>
      </c>
      <c r="J1408" s="12" t="s">
        <v>104</v>
      </c>
      <c r="K1408" s="12" t="s">
        <v>150</v>
      </c>
      <c r="L1408" s="23" t="str">
        <f>VLOOKUP(D1408,Products!$A:$F,3,FALSE)</f>
        <v>Apparel</v>
      </c>
      <c r="M1408" s="23" t="str">
        <f>VLOOKUP(E1408,Sales_Reps!$A:$E,3,FALSE)</f>
        <v>North</v>
      </c>
      <c r="N1408" s="23" t="str">
        <f t="shared" si="63"/>
        <v>Feb-24</v>
      </c>
      <c r="O1408" s="23" t="str">
        <f t="shared" si="64"/>
        <v>Q1 2024</v>
      </c>
      <c r="P1408" s="23">
        <f>VLOOKUP(D1408,Products!$A:$F,4,FALSE)</f>
        <v>1748</v>
      </c>
      <c r="Q1408" s="35">
        <f t="shared" si="65"/>
        <v>0.49333333333333335</v>
      </c>
    </row>
    <row r="1409" spans="1:17">
      <c r="A1409" s="12" t="s">
        <v>1915</v>
      </c>
      <c r="B1409" s="13">
        <v>45640</v>
      </c>
      <c r="C1409" s="12" t="s">
        <v>563</v>
      </c>
      <c r="D1409" s="12" t="s">
        <v>254</v>
      </c>
      <c r="E1409" s="12" t="s">
        <v>115</v>
      </c>
      <c r="F1409" s="14">
        <v>7</v>
      </c>
      <c r="G1409" s="14">
        <v>3640</v>
      </c>
      <c r="H1409" s="14">
        <v>4.5999999999999996</v>
      </c>
      <c r="I1409" s="14">
        <v>24307.919999999998</v>
      </c>
      <c r="J1409" s="12" t="s">
        <v>104</v>
      </c>
      <c r="K1409" s="12" t="s">
        <v>116</v>
      </c>
      <c r="L1409" s="23" t="str">
        <f>VLOOKUP(D1409,Products!$A:$F,3,FALSE)</f>
        <v>Apparel</v>
      </c>
      <c r="M1409" s="23" t="str">
        <f>VLOOKUP(E1409,Sales_Reps!$A:$E,3,FALSE)</f>
        <v>South</v>
      </c>
      <c r="N1409" s="23" t="str">
        <f t="shared" si="63"/>
        <v>Dec-24</v>
      </c>
      <c r="O1409" s="23" t="str">
        <f t="shared" si="64"/>
        <v>Q4 2024</v>
      </c>
      <c r="P1409" s="23">
        <f>VLOOKUP(D1409,Products!$A:$F,4,FALSE)</f>
        <v>2611</v>
      </c>
      <c r="Q1409" s="35">
        <f t="shared" si="65"/>
        <v>0.28269230769230769</v>
      </c>
    </row>
    <row r="1410" spans="1:17">
      <c r="A1410" s="12" t="s">
        <v>1916</v>
      </c>
      <c r="B1410" s="13">
        <v>45423</v>
      </c>
      <c r="C1410" s="12" t="s">
        <v>1053</v>
      </c>
      <c r="D1410" s="12" t="s">
        <v>309</v>
      </c>
      <c r="E1410" s="12" t="s">
        <v>171</v>
      </c>
      <c r="F1410" s="14">
        <v>9</v>
      </c>
      <c r="G1410" s="14">
        <v>620</v>
      </c>
      <c r="H1410" s="14">
        <v>8.5</v>
      </c>
      <c r="I1410" s="14">
        <v>5105.7</v>
      </c>
      <c r="J1410" s="12" t="s">
        <v>104</v>
      </c>
      <c r="K1410" s="12" t="s">
        <v>129</v>
      </c>
      <c r="L1410" s="23" t="str">
        <f>VLOOKUP(D1410,Products!$A:$F,3,FALSE)</f>
        <v>Apparel</v>
      </c>
      <c r="M1410" s="23" t="str">
        <f>VLOOKUP(E1410,Sales_Reps!$A:$E,3,FALSE)</f>
        <v>East</v>
      </c>
      <c r="N1410" s="23" t="str">
        <f t="shared" si="63"/>
        <v>May-24</v>
      </c>
      <c r="O1410" s="23" t="str">
        <f t="shared" si="64"/>
        <v>Q2 2024</v>
      </c>
      <c r="P1410" s="23">
        <f>VLOOKUP(D1410,Products!$A:$F,4,FALSE)</f>
        <v>396</v>
      </c>
      <c r="Q1410" s="35">
        <f t="shared" si="65"/>
        <v>0.36129032258064514</v>
      </c>
    </row>
    <row r="1411" spans="1:17">
      <c r="A1411" s="12" t="s">
        <v>1917</v>
      </c>
      <c r="B1411" s="13">
        <v>45423</v>
      </c>
      <c r="C1411" s="12" t="s">
        <v>731</v>
      </c>
      <c r="D1411" s="12" t="s">
        <v>478</v>
      </c>
      <c r="E1411" s="12" t="s">
        <v>363</v>
      </c>
      <c r="F1411" s="14">
        <v>10</v>
      </c>
      <c r="G1411" s="14">
        <v>3780</v>
      </c>
      <c r="H1411" s="14">
        <v>5.8</v>
      </c>
      <c r="I1411" s="14">
        <v>35607.599999999999</v>
      </c>
      <c r="J1411" s="12" t="s">
        <v>104</v>
      </c>
      <c r="K1411" s="12" t="s">
        <v>116</v>
      </c>
      <c r="L1411" s="23" t="str">
        <f>VLOOKUP(D1411,Products!$A:$F,3,FALSE)</f>
        <v>Sports</v>
      </c>
      <c r="M1411" s="23" t="str">
        <f>VLOOKUP(E1411,Sales_Reps!$A:$E,3,FALSE)</f>
        <v>South</v>
      </c>
      <c r="N1411" s="23" t="str">
        <f t="shared" ref="N1411:N1474" si="66">TEXT(B1411, "mmm-yy")</f>
        <v>May-24</v>
      </c>
      <c r="O1411" s="23" t="str">
        <f t="shared" ref="O1411:O1474" si="67">"Q" &amp; INT((MONTH(B1411)-1)/3)+1 &amp; " " &amp; YEAR(B1411)</f>
        <v>Q2 2024</v>
      </c>
      <c r="P1411" s="23">
        <f>VLOOKUP(D1411,Products!$A:$F,4,FALSE)</f>
        <v>1860</v>
      </c>
      <c r="Q1411" s="35">
        <f t="shared" ref="Q1411:Q1474" si="68">(G1411 - P1411) / G1411</f>
        <v>0.50793650793650791</v>
      </c>
    </row>
    <row r="1412" spans="1:17">
      <c r="A1412" s="12" t="s">
        <v>1918</v>
      </c>
      <c r="B1412" s="13">
        <v>45518</v>
      </c>
      <c r="C1412" s="12" t="s">
        <v>539</v>
      </c>
      <c r="D1412" s="12" t="s">
        <v>204</v>
      </c>
      <c r="E1412" s="12" t="s">
        <v>221</v>
      </c>
      <c r="F1412" s="14">
        <v>7</v>
      </c>
      <c r="G1412" s="14">
        <v>3570</v>
      </c>
      <c r="H1412" s="14">
        <v>26.1</v>
      </c>
      <c r="I1412" s="14">
        <v>18467.61</v>
      </c>
      <c r="J1412" s="12" t="s">
        <v>104</v>
      </c>
      <c r="K1412" s="12" t="s">
        <v>116</v>
      </c>
      <c r="L1412" s="23" t="str">
        <f>VLOOKUP(D1412,Products!$A:$F,3,FALSE)</f>
        <v>Electronics</v>
      </c>
      <c r="M1412" s="23" t="str">
        <f>VLOOKUP(E1412,Sales_Reps!$A:$E,3,FALSE)</f>
        <v>South</v>
      </c>
      <c r="N1412" s="23" t="str">
        <f t="shared" si="66"/>
        <v>Aug-24</v>
      </c>
      <c r="O1412" s="23" t="str">
        <f t="shared" si="67"/>
        <v>Q3 2024</v>
      </c>
      <c r="P1412" s="23">
        <f>VLOOKUP(D1412,Products!$A:$F,4,FALSE)</f>
        <v>1665</v>
      </c>
      <c r="Q1412" s="35">
        <f t="shared" si="68"/>
        <v>0.53361344537815125</v>
      </c>
    </row>
    <row r="1413" spans="1:17">
      <c r="A1413" s="12" t="s">
        <v>1919</v>
      </c>
      <c r="B1413" s="13">
        <v>45306</v>
      </c>
      <c r="C1413" s="12" t="s">
        <v>731</v>
      </c>
      <c r="D1413" s="12" t="s">
        <v>193</v>
      </c>
      <c r="E1413" s="12" t="s">
        <v>314</v>
      </c>
      <c r="F1413" s="14">
        <v>2</v>
      </c>
      <c r="G1413" s="14">
        <v>1650</v>
      </c>
      <c r="H1413" s="14">
        <v>3.8</v>
      </c>
      <c r="I1413" s="14">
        <v>3174.6</v>
      </c>
      <c r="J1413" s="12" t="s">
        <v>104</v>
      </c>
      <c r="K1413" s="12" t="s">
        <v>116</v>
      </c>
      <c r="L1413" s="23" t="str">
        <f>VLOOKUP(D1413,Products!$A:$F,3,FALSE)</f>
        <v>Beauty</v>
      </c>
      <c r="M1413" s="23" t="str">
        <f>VLOOKUP(E1413,Sales_Reps!$A:$E,3,FALSE)</f>
        <v>North</v>
      </c>
      <c r="N1413" s="23" t="str">
        <f t="shared" si="66"/>
        <v>Jan-24</v>
      </c>
      <c r="O1413" s="23" t="str">
        <f t="shared" si="67"/>
        <v>Q1 2024</v>
      </c>
      <c r="P1413" s="23">
        <f>VLOOKUP(D1413,Products!$A:$F,4,FALSE)</f>
        <v>1222</v>
      </c>
      <c r="Q1413" s="35">
        <f t="shared" si="68"/>
        <v>0.2593939393939394</v>
      </c>
    </row>
    <row r="1414" spans="1:17">
      <c r="A1414" s="12" t="s">
        <v>1920</v>
      </c>
      <c r="B1414" s="13">
        <v>45346</v>
      </c>
      <c r="C1414" s="12" t="s">
        <v>1741</v>
      </c>
      <c r="D1414" s="12" t="s">
        <v>397</v>
      </c>
      <c r="E1414" s="12" t="s">
        <v>342</v>
      </c>
      <c r="F1414" s="14">
        <v>2</v>
      </c>
      <c r="G1414" s="14">
        <v>960</v>
      </c>
      <c r="H1414" s="14">
        <v>6.8</v>
      </c>
      <c r="I1414" s="14">
        <v>1789.44</v>
      </c>
      <c r="J1414" s="12" t="s">
        <v>104</v>
      </c>
      <c r="K1414" s="12" t="s">
        <v>134</v>
      </c>
      <c r="L1414" s="23" t="str">
        <f>VLOOKUP(D1414,Products!$A:$F,3,FALSE)</f>
        <v>Beauty</v>
      </c>
      <c r="M1414" s="23" t="str">
        <f>VLOOKUP(E1414,Sales_Reps!$A:$E,3,FALSE)</f>
        <v>South</v>
      </c>
      <c r="N1414" s="23" t="str">
        <f t="shared" si="66"/>
        <v>Feb-24</v>
      </c>
      <c r="O1414" s="23" t="str">
        <f t="shared" si="67"/>
        <v>Q1 2024</v>
      </c>
      <c r="P1414" s="23">
        <f>VLOOKUP(D1414,Products!$A:$F,4,FALSE)</f>
        <v>675</v>
      </c>
      <c r="Q1414" s="35">
        <f t="shared" si="68"/>
        <v>0.296875</v>
      </c>
    </row>
    <row r="1415" spans="1:17">
      <c r="A1415" s="12" t="s">
        <v>1921</v>
      </c>
      <c r="B1415" s="13">
        <v>45376</v>
      </c>
      <c r="C1415" s="12" t="s">
        <v>889</v>
      </c>
      <c r="D1415" s="12" t="s">
        <v>299</v>
      </c>
      <c r="E1415" s="12" t="s">
        <v>120</v>
      </c>
      <c r="F1415" s="14">
        <v>2</v>
      </c>
      <c r="G1415" s="14">
        <v>300</v>
      </c>
      <c r="H1415" s="14">
        <v>2.8</v>
      </c>
      <c r="I1415" s="14">
        <v>583.20000000000005</v>
      </c>
      <c r="J1415" s="12" t="s">
        <v>104</v>
      </c>
      <c r="K1415" s="12" t="s">
        <v>129</v>
      </c>
      <c r="L1415" s="23" t="str">
        <f>VLOOKUP(D1415,Products!$A:$F,3,FALSE)</f>
        <v>Electronics</v>
      </c>
      <c r="M1415" s="23" t="str">
        <f>VLOOKUP(E1415,Sales_Reps!$A:$E,3,FALSE)</f>
        <v>North</v>
      </c>
      <c r="N1415" s="23" t="str">
        <f t="shared" si="66"/>
        <v>Mar-24</v>
      </c>
      <c r="O1415" s="23" t="str">
        <f t="shared" si="67"/>
        <v>Q1 2024</v>
      </c>
      <c r="P1415" s="23">
        <f>VLOOKUP(D1415,Products!$A:$F,4,FALSE)</f>
        <v>128</v>
      </c>
      <c r="Q1415" s="35">
        <f t="shared" si="68"/>
        <v>0.57333333333333336</v>
      </c>
    </row>
    <row r="1416" spans="1:17">
      <c r="A1416" s="12" t="s">
        <v>1922</v>
      </c>
      <c r="B1416" s="13">
        <v>45561</v>
      </c>
      <c r="C1416" s="12" t="s">
        <v>510</v>
      </c>
      <c r="D1416" s="12" t="s">
        <v>368</v>
      </c>
      <c r="E1416" s="12" t="s">
        <v>360</v>
      </c>
      <c r="F1416" s="14">
        <v>10</v>
      </c>
      <c r="G1416" s="14">
        <v>4060</v>
      </c>
      <c r="H1416" s="14">
        <v>15.1</v>
      </c>
      <c r="I1416" s="14">
        <v>34469.4</v>
      </c>
      <c r="J1416" s="12" t="s">
        <v>104</v>
      </c>
      <c r="K1416" s="12" t="s">
        <v>105</v>
      </c>
      <c r="L1416" s="23" t="str">
        <f>VLOOKUP(D1416,Products!$A:$F,3,FALSE)</f>
        <v>Grocery</v>
      </c>
      <c r="M1416" s="23" t="str">
        <f>VLOOKUP(E1416,Sales_Reps!$A:$E,3,FALSE)</f>
        <v>West</v>
      </c>
      <c r="N1416" s="23" t="str">
        <f t="shared" si="66"/>
        <v>Sep-24</v>
      </c>
      <c r="O1416" s="23" t="str">
        <f t="shared" si="67"/>
        <v>Q3 2024</v>
      </c>
      <c r="P1416" s="23">
        <f>VLOOKUP(D1416,Products!$A:$F,4,FALSE)</f>
        <v>2911</v>
      </c>
      <c r="Q1416" s="35">
        <f t="shared" si="68"/>
        <v>0.28300492610837441</v>
      </c>
    </row>
    <row r="1417" spans="1:17">
      <c r="A1417" s="12" t="s">
        <v>1923</v>
      </c>
      <c r="B1417" s="13">
        <v>45320</v>
      </c>
      <c r="C1417" s="12" t="s">
        <v>1208</v>
      </c>
      <c r="D1417" s="12" t="s">
        <v>381</v>
      </c>
      <c r="E1417" s="12" t="s">
        <v>302</v>
      </c>
      <c r="F1417" s="14">
        <v>6</v>
      </c>
      <c r="G1417" s="14">
        <v>5330</v>
      </c>
      <c r="H1417" s="14">
        <v>2</v>
      </c>
      <c r="I1417" s="14">
        <v>31340.400000000001</v>
      </c>
      <c r="J1417" s="12" t="s">
        <v>104</v>
      </c>
      <c r="K1417" s="12" t="s">
        <v>134</v>
      </c>
      <c r="L1417" s="23" t="str">
        <f>VLOOKUP(D1417,Products!$A:$F,3,FALSE)</f>
        <v>Electronics</v>
      </c>
      <c r="M1417" s="23" t="str">
        <f>VLOOKUP(E1417,Sales_Reps!$A:$E,3,FALSE)</f>
        <v>East</v>
      </c>
      <c r="N1417" s="23" t="str">
        <f t="shared" si="66"/>
        <v>Jan-24</v>
      </c>
      <c r="O1417" s="23" t="str">
        <f t="shared" si="67"/>
        <v>Q1 2024</v>
      </c>
      <c r="P1417" s="23">
        <f>VLOOKUP(D1417,Products!$A:$F,4,FALSE)</f>
        <v>2405</v>
      </c>
      <c r="Q1417" s="35">
        <f t="shared" si="68"/>
        <v>0.54878048780487809</v>
      </c>
    </row>
    <row r="1418" spans="1:17">
      <c r="A1418" s="12" t="s">
        <v>1924</v>
      </c>
      <c r="B1418" s="13">
        <v>45572</v>
      </c>
      <c r="C1418" s="12" t="s">
        <v>437</v>
      </c>
      <c r="D1418" s="12" t="s">
        <v>243</v>
      </c>
      <c r="E1418" s="12" t="s">
        <v>175</v>
      </c>
      <c r="F1418" s="14">
        <v>9</v>
      </c>
      <c r="G1418" s="14">
        <v>3730</v>
      </c>
      <c r="H1418" s="14">
        <v>24.5</v>
      </c>
      <c r="I1418" s="14">
        <v>25345.35</v>
      </c>
      <c r="J1418" s="12" t="s">
        <v>161</v>
      </c>
      <c r="K1418" s="12" t="s">
        <v>116</v>
      </c>
      <c r="L1418" s="23" t="str">
        <f>VLOOKUP(D1418,Products!$A:$F,3,FALSE)</f>
        <v>Home</v>
      </c>
      <c r="M1418" s="23" t="str">
        <f>VLOOKUP(E1418,Sales_Reps!$A:$E,3,FALSE)</f>
        <v>East</v>
      </c>
      <c r="N1418" s="23" t="str">
        <f t="shared" si="66"/>
        <v>Oct-24</v>
      </c>
      <c r="O1418" s="23" t="str">
        <f t="shared" si="67"/>
        <v>Q4 2024</v>
      </c>
      <c r="P1418" s="23">
        <f>VLOOKUP(D1418,Products!$A:$F,4,FALSE)</f>
        <v>2135</v>
      </c>
      <c r="Q1418" s="35">
        <f t="shared" si="68"/>
        <v>0.42761394101876676</v>
      </c>
    </row>
    <row r="1419" spans="1:17">
      <c r="A1419" s="12" t="s">
        <v>1925</v>
      </c>
      <c r="B1419" s="13">
        <v>45611</v>
      </c>
      <c r="C1419" s="12" t="s">
        <v>370</v>
      </c>
      <c r="D1419" s="12" t="s">
        <v>258</v>
      </c>
      <c r="E1419" s="12" t="s">
        <v>187</v>
      </c>
      <c r="F1419" s="14">
        <v>1</v>
      </c>
      <c r="G1419" s="14">
        <v>6080</v>
      </c>
      <c r="H1419" s="14">
        <v>4.4000000000000004</v>
      </c>
      <c r="I1419" s="14">
        <v>5812.48</v>
      </c>
      <c r="J1419" s="12" t="s">
        <v>157</v>
      </c>
      <c r="K1419" s="12" t="s">
        <v>111</v>
      </c>
      <c r="L1419" s="23" t="str">
        <f>VLOOKUP(D1419,Products!$A:$F,3,FALSE)</f>
        <v>Beauty</v>
      </c>
      <c r="M1419" s="23" t="str">
        <f>VLOOKUP(E1419,Sales_Reps!$A:$E,3,FALSE)</f>
        <v>West</v>
      </c>
      <c r="N1419" s="23" t="str">
        <f t="shared" si="66"/>
        <v>Nov-24</v>
      </c>
      <c r="O1419" s="23" t="str">
        <f t="shared" si="67"/>
        <v>Q4 2024</v>
      </c>
      <c r="P1419" s="23">
        <f>VLOOKUP(D1419,Products!$A:$F,4,FALSE)</f>
        <v>2617</v>
      </c>
      <c r="Q1419" s="35">
        <f t="shared" si="68"/>
        <v>0.56957236842105263</v>
      </c>
    </row>
    <row r="1420" spans="1:17">
      <c r="A1420" s="12" t="s">
        <v>1926</v>
      </c>
      <c r="B1420" s="13">
        <v>45524</v>
      </c>
      <c r="C1420" s="12" t="s">
        <v>724</v>
      </c>
      <c r="D1420" s="12" t="s">
        <v>190</v>
      </c>
      <c r="E1420" s="12" t="s">
        <v>128</v>
      </c>
      <c r="F1420" s="14">
        <v>5</v>
      </c>
      <c r="G1420" s="14">
        <v>2720</v>
      </c>
      <c r="H1420" s="14">
        <v>9.1999999999999993</v>
      </c>
      <c r="I1420" s="14">
        <v>12348.8</v>
      </c>
      <c r="J1420" s="12" t="s">
        <v>104</v>
      </c>
      <c r="K1420" s="12" t="s">
        <v>129</v>
      </c>
      <c r="L1420" s="23" t="str">
        <f>VLOOKUP(D1420,Products!$A:$F,3,FALSE)</f>
        <v>Apparel</v>
      </c>
      <c r="M1420" s="23" t="str">
        <f>VLOOKUP(E1420,Sales_Reps!$A:$E,3,FALSE)</f>
        <v>West</v>
      </c>
      <c r="N1420" s="23" t="str">
        <f t="shared" si="66"/>
        <v>Aug-24</v>
      </c>
      <c r="O1420" s="23" t="str">
        <f t="shared" si="67"/>
        <v>Q3 2024</v>
      </c>
      <c r="P1420" s="23">
        <f>VLOOKUP(D1420,Products!$A:$F,4,FALSE)</f>
        <v>1962</v>
      </c>
      <c r="Q1420" s="35">
        <f t="shared" si="68"/>
        <v>0.2786764705882353</v>
      </c>
    </row>
    <row r="1421" spans="1:17">
      <c r="A1421" s="12" t="s">
        <v>1927</v>
      </c>
      <c r="B1421" s="13">
        <v>45438</v>
      </c>
      <c r="C1421" s="12" t="s">
        <v>428</v>
      </c>
      <c r="D1421" s="12" t="s">
        <v>469</v>
      </c>
      <c r="E1421" s="12" t="s">
        <v>171</v>
      </c>
      <c r="F1421" s="14">
        <v>1</v>
      </c>
      <c r="G1421" s="14">
        <v>3450</v>
      </c>
      <c r="H1421" s="14">
        <v>15.6</v>
      </c>
      <c r="I1421" s="14">
        <v>2911.8</v>
      </c>
      <c r="J1421" s="12" t="s">
        <v>104</v>
      </c>
      <c r="K1421" s="12" t="s">
        <v>129</v>
      </c>
      <c r="L1421" s="23" t="str">
        <f>VLOOKUP(D1421,Products!$A:$F,3,FALSE)</f>
        <v>Apparel</v>
      </c>
      <c r="M1421" s="23" t="str">
        <f>VLOOKUP(E1421,Sales_Reps!$A:$E,3,FALSE)</f>
        <v>East</v>
      </c>
      <c r="N1421" s="23" t="str">
        <f t="shared" si="66"/>
        <v>May-24</v>
      </c>
      <c r="O1421" s="23" t="str">
        <f t="shared" si="67"/>
        <v>Q2 2024</v>
      </c>
      <c r="P1421" s="23">
        <f>VLOOKUP(D1421,Products!$A:$F,4,FALSE)</f>
        <v>1748</v>
      </c>
      <c r="Q1421" s="35">
        <f t="shared" si="68"/>
        <v>0.49333333333333335</v>
      </c>
    </row>
    <row r="1422" spans="1:17">
      <c r="A1422" s="12" t="s">
        <v>1928</v>
      </c>
      <c r="B1422" s="13">
        <v>45484</v>
      </c>
      <c r="C1422" s="12" t="s">
        <v>1640</v>
      </c>
      <c r="D1422" s="12" t="s">
        <v>519</v>
      </c>
      <c r="E1422" s="12" t="s">
        <v>302</v>
      </c>
      <c r="F1422" s="14">
        <v>2</v>
      </c>
      <c r="G1422" s="14">
        <v>1090</v>
      </c>
      <c r="H1422" s="14">
        <v>0.4</v>
      </c>
      <c r="I1422" s="14">
        <v>2171.2800000000002</v>
      </c>
      <c r="J1422" s="12" t="s">
        <v>161</v>
      </c>
      <c r="K1422" s="12" t="s">
        <v>134</v>
      </c>
      <c r="L1422" s="23" t="str">
        <f>VLOOKUP(D1422,Products!$A:$F,3,FALSE)</f>
        <v>Home</v>
      </c>
      <c r="M1422" s="23" t="str">
        <f>VLOOKUP(E1422,Sales_Reps!$A:$E,3,FALSE)</f>
        <v>East</v>
      </c>
      <c r="N1422" s="23" t="str">
        <f t="shared" si="66"/>
        <v>Jul-24</v>
      </c>
      <c r="O1422" s="23" t="str">
        <f t="shared" si="67"/>
        <v>Q3 2024</v>
      </c>
      <c r="P1422" s="23">
        <f>VLOOKUP(D1422,Products!$A:$F,4,FALSE)</f>
        <v>464</v>
      </c>
      <c r="Q1422" s="35">
        <f t="shared" si="68"/>
        <v>0.57431192660550456</v>
      </c>
    </row>
    <row r="1423" spans="1:17">
      <c r="A1423" s="12" t="s">
        <v>1929</v>
      </c>
      <c r="B1423" s="13">
        <v>45643</v>
      </c>
      <c r="C1423" s="12" t="s">
        <v>556</v>
      </c>
      <c r="D1423" s="12" t="s">
        <v>204</v>
      </c>
      <c r="E1423" s="12" t="s">
        <v>255</v>
      </c>
      <c r="F1423" s="14">
        <v>2</v>
      </c>
      <c r="G1423" s="14">
        <v>3570</v>
      </c>
      <c r="H1423" s="14">
        <v>9</v>
      </c>
      <c r="I1423" s="14">
        <v>6497.4</v>
      </c>
      <c r="J1423" s="12" t="s">
        <v>104</v>
      </c>
      <c r="K1423" s="12" t="s">
        <v>150</v>
      </c>
      <c r="L1423" s="23" t="str">
        <f>VLOOKUP(D1423,Products!$A:$F,3,FALSE)</f>
        <v>Electronics</v>
      </c>
      <c r="M1423" s="23" t="str">
        <f>VLOOKUP(E1423,Sales_Reps!$A:$E,3,FALSE)</f>
        <v>East</v>
      </c>
      <c r="N1423" s="23" t="str">
        <f t="shared" si="66"/>
        <v>Dec-24</v>
      </c>
      <c r="O1423" s="23" t="str">
        <f t="shared" si="67"/>
        <v>Q4 2024</v>
      </c>
      <c r="P1423" s="23">
        <f>VLOOKUP(D1423,Products!$A:$F,4,FALSE)</f>
        <v>1665</v>
      </c>
      <c r="Q1423" s="35">
        <f t="shared" si="68"/>
        <v>0.53361344537815125</v>
      </c>
    </row>
    <row r="1424" spans="1:17">
      <c r="A1424" s="12" t="s">
        <v>1930</v>
      </c>
      <c r="B1424" s="13">
        <v>45437</v>
      </c>
      <c r="C1424" s="12" t="s">
        <v>539</v>
      </c>
      <c r="D1424" s="12" t="s">
        <v>184</v>
      </c>
      <c r="E1424" s="12" t="s">
        <v>115</v>
      </c>
      <c r="F1424" s="14">
        <v>9</v>
      </c>
      <c r="G1424" s="14">
        <v>2480</v>
      </c>
      <c r="H1424" s="14">
        <v>3.6</v>
      </c>
      <c r="I1424" s="14">
        <v>21516.48</v>
      </c>
      <c r="J1424" s="12" t="s">
        <v>110</v>
      </c>
      <c r="K1424" s="12" t="s">
        <v>116</v>
      </c>
      <c r="L1424" s="23" t="str">
        <f>VLOOKUP(D1424,Products!$A:$F,3,FALSE)</f>
        <v>Apparel</v>
      </c>
      <c r="M1424" s="23" t="str">
        <f>VLOOKUP(E1424,Sales_Reps!$A:$E,3,FALSE)</f>
        <v>South</v>
      </c>
      <c r="N1424" s="23" t="str">
        <f t="shared" si="66"/>
        <v>May-24</v>
      </c>
      <c r="O1424" s="23" t="str">
        <f t="shared" si="67"/>
        <v>Q2 2024</v>
      </c>
      <c r="P1424" s="23">
        <f>VLOOKUP(D1424,Products!$A:$F,4,FALSE)</f>
        <v>1173</v>
      </c>
      <c r="Q1424" s="35">
        <f t="shared" si="68"/>
        <v>0.52701612903225803</v>
      </c>
    </row>
    <row r="1425" spans="1:17">
      <c r="A1425" s="12" t="s">
        <v>1931</v>
      </c>
      <c r="B1425" s="13">
        <v>45303</v>
      </c>
      <c r="C1425" s="12" t="s">
        <v>561</v>
      </c>
      <c r="D1425" s="12" t="s">
        <v>251</v>
      </c>
      <c r="E1425" s="12" t="s">
        <v>302</v>
      </c>
      <c r="F1425" s="14">
        <v>9</v>
      </c>
      <c r="G1425" s="14">
        <v>3780</v>
      </c>
      <c r="H1425" s="14">
        <v>4.5</v>
      </c>
      <c r="I1425" s="14">
        <v>32489.1</v>
      </c>
      <c r="J1425" s="12" t="s">
        <v>104</v>
      </c>
      <c r="K1425" s="12" t="s">
        <v>150</v>
      </c>
      <c r="L1425" s="23" t="str">
        <f>VLOOKUP(D1425,Products!$A:$F,3,FALSE)</f>
        <v>Grocery</v>
      </c>
      <c r="M1425" s="23" t="str">
        <f>VLOOKUP(E1425,Sales_Reps!$A:$E,3,FALSE)</f>
        <v>East</v>
      </c>
      <c r="N1425" s="23" t="str">
        <f t="shared" si="66"/>
        <v>Jan-24</v>
      </c>
      <c r="O1425" s="23" t="str">
        <f t="shared" si="67"/>
        <v>Q1 2024</v>
      </c>
      <c r="P1425" s="23">
        <f>VLOOKUP(D1425,Products!$A:$F,4,FALSE)</f>
        <v>2436</v>
      </c>
      <c r="Q1425" s="35">
        <f t="shared" si="68"/>
        <v>0.35555555555555557</v>
      </c>
    </row>
    <row r="1426" spans="1:17">
      <c r="A1426" s="12" t="s">
        <v>1932</v>
      </c>
      <c r="B1426" s="13">
        <v>45631</v>
      </c>
      <c r="C1426" s="12" t="s">
        <v>376</v>
      </c>
      <c r="D1426" s="12" t="s">
        <v>368</v>
      </c>
      <c r="E1426" s="12" t="s">
        <v>149</v>
      </c>
      <c r="F1426" s="14">
        <v>5</v>
      </c>
      <c r="G1426" s="14">
        <v>4060</v>
      </c>
      <c r="H1426" s="14">
        <v>2.7</v>
      </c>
      <c r="I1426" s="14">
        <v>19751.900000000001</v>
      </c>
      <c r="J1426" s="12" t="s">
        <v>104</v>
      </c>
      <c r="K1426" s="12" t="s">
        <v>116</v>
      </c>
      <c r="L1426" s="23" t="str">
        <f>VLOOKUP(D1426,Products!$A:$F,3,FALSE)</f>
        <v>Grocery</v>
      </c>
      <c r="M1426" s="23" t="str">
        <f>VLOOKUP(E1426,Sales_Reps!$A:$E,3,FALSE)</f>
        <v>South</v>
      </c>
      <c r="N1426" s="23" t="str">
        <f t="shared" si="66"/>
        <v>Dec-24</v>
      </c>
      <c r="O1426" s="23" t="str">
        <f t="shared" si="67"/>
        <v>Q4 2024</v>
      </c>
      <c r="P1426" s="23">
        <f>VLOOKUP(D1426,Products!$A:$F,4,FALSE)</f>
        <v>2911</v>
      </c>
      <c r="Q1426" s="35">
        <f t="shared" si="68"/>
        <v>0.28300492610837441</v>
      </c>
    </row>
    <row r="1427" spans="1:17">
      <c r="A1427" s="12" t="s">
        <v>1933</v>
      </c>
      <c r="B1427" s="13">
        <v>45564</v>
      </c>
      <c r="C1427" s="12" t="s">
        <v>625</v>
      </c>
      <c r="D1427" s="12" t="s">
        <v>299</v>
      </c>
      <c r="E1427" s="12" t="s">
        <v>314</v>
      </c>
      <c r="F1427" s="14">
        <v>8</v>
      </c>
      <c r="G1427" s="14">
        <v>300</v>
      </c>
      <c r="H1427" s="14">
        <v>19.8</v>
      </c>
      <c r="I1427" s="14">
        <v>1924.8</v>
      </c>
      <c r="J1427" s="12" t="s">
        <v>157</v>
      </c>
      <c r="K1427" s="12" t="s">
        <v>105</v>
      </c>
      <c r="L1427" s="23" t="str">
        <f>VLOOKUP(D1427,Products!$A:$F,3,FALSE)</f>
        <v>Electronics</v>
      </c>
      <c r="M1427" s="23" t="str">
        <f>VLOOKUP(E1427,Sales_Reps!$A:$E,3,FALSE)</f>
        <v>North</v>
      </c>
      <c r="N1427" s="23" t="str">
        <f t="shared" si="66"/>
        <v>Sep-24</v>
      </c>
      <c r="O1427" s="23" t="str">
        <f t="shared" si="67"/>
        <v>Q3 2024</v>
      </c>
      <c r="P1427" s="23">
        <f>VLOOKUP(D1427,Products!$A:$F,4,FALSE)</f>
        <v>128</v>
      </c>
      <c r="Q1427" s="35">
        <f t="shared" si="68"/>
        <v>0.57333333333333336</v>
      </c>
    </row>
    <row r="1428" spans="1:17">
      <c r="A1428" s="12" t="s">
        <v>1934</v>
      </c>
      <c r="B1428" s="13">
        <v>45454</v>
      </c>
      <c r="C1428" s="12" t="s">
        <v>367</v>
      </c>
      <c r="D1428" s="12" t="s">
        <v>160</v>
      </c>
      <c r="E1428" s="12" t="s">
        <v>314</v>
      </c>
      <c r="F1428" s="14">
        <v>10</v>
      </c>
      <c r="G1428" s="14">
        <v>3250</v>
      </c>
      <c r="H1428" s="14">
        <v>21.3</v>
      </c>
      <c r="I1428" s="14">
        <v>25577.5</v>
      </c>
      <c r="J1428" s="12" t="s">
        <v>157</v>
      </c>
      <c r="K1428" s="12" t="s">
        <v>129</v>
      </c>
      <c r="L1428" s="23" t="str">
        <f>VLOOKUP(D1428,Products!$A:$F,3,FALSE)</f>
        <v>Home</v>
      </c>
      <c r="M1428" s="23" t="str">
        <f>VLOOKUP(E1428,Sales_Reps!$A:$E,3,FALSE)</f>
        <v>North</v>
      </c>
      <c r="N1428" s="23" t="str">
        <f t="shared" si="66"/>
        <v>Jun-24</v>
      </c>
      <c r="O1428" s="23" t="str">
        <f t="shared" si="67"/>
        <v>Q2 2024</v>
      </c>
      <c r="P1428" s="23">
        <f>VLOOKUP(D1428,Products!$A:$F,4,FALSE)</f>
        <v>1556</v>
      </c>
      <c r="Q1428" s="35">
        <f t="shared" si="68"/>
        <v>0.52123076923076928</v>
      </c>
    </row>
    <row r="1429" spans="1:17">
      <c r="A1429" s="12" t="s">
        <v>1935</v>
      </c>
      <c r="B1429" s="13">
        <v>45616</v>
      </c>
      <c r="C1429" s="12" t="s">
        <v>122</v>
      </c>
      <c r="D1429" s="12" t="s">
        <v>212</v>
      </c>
      <c r="E1429" s="12" t="s">
        <v>221</v>
      </c>
      <c r="F1429" s="14">
        <v>2</v>
      </c>
      <c r="G1429" s="14">
        <v>2860</v>
      </c>
      <c r="H1429" s="14">
        <v>13.7</v>
      </c>
      <c r="I1429" s="14">
        <v>4936.3599999999997</v>
      </c>
      <c r="J1429" s="12" t="s">
        <v>104</v>
      </c>
      <c r="K1429" s="12" t="s">
        <v>111</v>
      </c>
      <c r="L1429" s="23" t="str">
        <f>VLOOKUP(D1429,Products!$A:$F,3,FALSE)</f>
        <v>Sports</v>
      </c>
      <c r="M1429" s="23" t="str">
        <f>VLOOKUP(E1429,Sales_Reps!$A:$E,3,FALSE)</f>
        <v>South</v>
      </c>
      <c r="N1429" s="23" t="str">
        <f t="shared" si="66"/>
        <v>Nov-24</v>
      </c>
      <c r="O1429" s="23" t="str">
        <f t="shared" si="67"/>
        <v>Q4 2024</v>
      </c>
      <c r="P1429" s="23">
        <f>VLOOKUP(D1429,Products!$A:$F,4,FALSE)</f>
        <v>2028</v>
      </c>
      <c r="Q1429" s="35">
        <f t="shared" si="68"/>
        <v>0.29090909090909089</v>
      </c>
    </row>
    <row r="1430" spans="1:17">
      <c r="A1430" s="12" t="s">
        <v>1936</v>
      </c>
      <c r="B1430" s="13">
        <v>45523</v>
      </c>
      <c r="C1430" s="12" t="s">
        <v>731</v>
      </c>
      <c r="D1430" s="12" t="s">
        <v>284</v>
      </c>
      <c r="E1430" s="12" t="s">
        <v>255</v>
      </c>
      <c r="F1430" s="14">
        <v>10</v>
      </c>
      <c r="G1430" s="14">
        <v>1220</v>
      </c>
      <c r="H1430" s="14">
        <v>15.4</v>
      </c>
      <c r="I1430" s="14">
        <v>10321.200000000001</v>
      </c>
      <c r="J1430" s="12" t="s">
        <v>104</v>
      </c>
      <c r="K1430" s="12" t="s">
        <v>116</v>
      </c>
      <c r="L1430" s="23" t="str">
        <f>VLOOKUP(D1430,Products!$A:$F,3,FALSE)</f>
        <v>Electronics</v>
      </c>
      <c r="M1430" s="23" t="str">
        <f>VLOOKUP(E1430,Sales_Reps!$A:$E,3,FALSE)</f>
        <v>East</v>
      </c>
      <c r="N1430" s="23" t="str">
        <f t="shared" si="66"/>
        <v>Aug-24</v>
      </c>
      <c r="O1430" s="23" t="str">
        <f t="shared" si="67"/>
        <v>Q3 2024</v>
      </c>
      <c r="P1430" s="23">
        <f>VLOOKUP(D1430,Products!$A:$F,4,FALSE)</f>
        <v>517</v>
      </c>
      <c r="Q1430" s="35">
        <f t="shared" si="68"/>
        <v>0.57622950819672136</v>
      </c>
    </row>
    <row r="1431" spans="1:17">
      <c r="A1431" s="12" t="s">
        <v>1937</v>
      </c>
      <c r="B1431" s="13">
        <v>45439</v>
      </c>
      <c r="C1431" s="12" t="s">
        <v>273</v>
      </c>
      <c r="D1431" s="12" t="s">
        <v>251</v>
      </c>
      <c r="E1431" s="12" t="s">
        <v>149</v>
      </c>
      <c r="F1431" s="14">
        <v>3</v>
      </c>
      <c r="G1431" s="14">
        <v>3780</v>
      </c>
      <c r="H1431" s="14">
        <v>1.9</v>
      </c>
      <c r="I1431" s="14">
        <v>11124.54</v>
      </c>
      <c r="J1431" s="12" t="s">
        <v>104</v>
      </c>
      <c r="K1431" s="12" t="s">
        <v>150</v>
      </c>
      <c r="L1431" s="23" t="str">
        <f>VLOOKUP(D1431,Products!$A:$F,3,FALSE)</f>
        <v>Grocery</v>
      </c>
      <c r="M1431" s="23" t="str">
        <f>VLOOKUP(E1431,Sales_Reps!$A:$E,3,FALSE)</f>
        <v>South</v>
      </c>
      <c r="N1431" s="23" t="str">
        <f t="shared" si="66"/>
        <v>May-24</v>
      </c>
      <c r="O1431" s="23" t="str">
        <f t="shared" si="67"/>
        <v>Q2 2024</v>
      </c>
      <c r="P1431" s="23">
        <f>VLOOKUP(D1431,Products!$A:$F,4,FALSE)</f>
        <v>2436</v>
      </c>
      <c r="Q1431" s="35">
        <f t="shared" si="68"/>
        <v>0.35555555555555557</v>
      </c>
    </row>
    <row r="1432" spans="1:17">
      <c r="A1432" s="12" t="s">
        <v>1938</v>
      </c>
      <c r="B1432" s="13">
        <v>45579</v>
      </c>
      <c r="C1432" s="12" t="s">
        <v>985</v>
      </c>
      <c r="D1432" s="12" t="s">
        <v>141</v>
      </c>
      <c r="E1432" s="12" t="s">
        <v>320</v>
      </c>
      <c r="F1432" s="14">
        <v>6</v>
      </c>
      <c r="G1432" s="14">
        <v>5490</v>
      </c>
      <c r="H1432" s="14">
        <v>0.5</v>
      </c>
      <c r="I1432" s="14">
        <v>32775.300000000003</v>
      </c>
      <c r="J1432" s="12" t="s">
        <v>110</v>
      </c>
      <c r="K1432" s="12" t="s">
        <v>116</v>
      </c>
      <c r="L1432" s="23" t="str">
        <f>VLOOKUP(D1432,Products!$A:$F,3,FALSE)</f>
        <v>Home</v>
      </c>
      <c r="M1432" s="23" t="str">
        <f>VLOOKUP(E1432,Sales_Reps!$A:$E,3,FALSE)</f>
        <v>East</v>
      </c>
      <c r="N1432" s="23" t="str">
        <f t="shared" si="66"/>
        <v>Oct-24</v>
      </c>
      <c r="O1432" s="23" t="str">
        <f t="shared" si="67"/>
        <v>Q4 2024</v>
      </c>
      <c r="P1432" s="23">
        <f>VLOOKUP(D1432,Products!$A:$F,4,FALSE)</f>
        <v>2549</v>
      </c>
      <c r="Q1432" s="35">
        <f t="shared" si="68"/>
        <v>0.53570127504553733</v>
      </c>
    </row>
    <row r="1433" spans="1:17">
      <c r="A1433" s="12" t="s">
        <v>1939</v>
      </c>
      <c r="B1433" s="13">
        <v>45495</v>
      </c>
      <c r="C1433" s="12" t="s">
        <v>1892</v>
      </c>
      <c r="D1433" s="12" t="s">
        <v>262</v>
      </c>
      <c r="E1433" s="12" t="s">
        <v>246</v>
      </c>
      <c r="F1433" s="14">
        <v>6</v>
      </c>
      <c r="G1433" s="14">
        <v>2270</v>
      </c>
      <c r="H1433" s="14">
        <v>21.5</v>
      </c>
      <c r="I1433" s="14">
        <v>10691.7</v>
      </c>
      <c r="J1433" s="12" t="s">
        <v>104</v>
      </c>
      <c r="K1433" s="12" t="s">
        <v>111</v>
      </c>
      <c r="L1433" s="23" t="str">
        <f>VLOOKUP(D1433,Products!$A:$F,3,FALSE)</f>
        <v>Grocery</v>
      </c>
      <c r="M1433" s="23" t="str">
        <f>VLOOKUP(E1433,Sales_Reps!$A:$E,3,FALSE)</f>
        <v>West</v>
      </c>
      <c r="N1433" s="23" t="str">
        <f t="shared" si="66"/>
        <v>Jul-24</v>
      </c>
      <c r="O1433" s="23" t="str">
        <f t="shared" si="67"/>
        <v>Q3 2024</v>
      </c>
      <c r="P1433" s="23">
        <f>VLOOKUP(D1433,Products!$A:$F,4,FALSE)</f>
        <v>1412</v>
      </c>
      <c r="Q1433" s="35">
        <f t="shared" si="68"/>
        <v>0.37797356828193834</v>
      </c>
    </row>
    <row r="1434" spans="1:17">
      <c r="A1434" s="12" t="s">
        <v>1940</v>
      </c>
      <c r="B1434" s="13">
        <v>45600</v>
      </c>
      <c r="C1434" s="12" t="s">
        <v>422</v>
      </c>
      <c r="D1434" s="12" t="s">
        <v>355</v>
      </c>
      <c r="E1434" s="12" t="s">
        <v>171</v>
      </c>
      <c r="F1434" s="14">
        <v>7</v>
      </c>
      <c r="G1434" s="14">
        <v>2210</v>
      </c>
      <c r="H1434" s="14">
        <v>10.3</v>
      </c>
      <c r="I1434" s="14">
        <v>13876.59</v>
      </c>
      <c r="J1434" s="12" t="s">
        <v>104</v>
      </c>
      <c r="K1434" s="12" t="s">
        <v>111</v>
      </c>
      <c r="L1434" s="23" t="str">
        <f>VLOOKUP(D1434,Products!$A:$F,3,FALSE)</f>
        <v>Grocery</v>
      </c>
      <c r="M1434" s="23" t="str">
        <f>VLOOKUP(E1434,Sales_Reps!$A:$E,3,FALSE)</f>
        <v>East</v>
      </c>
      <c r="N1434" s="23" t="str">
        <f t="shared" si="66"/>
        <v>Nov-24</v>
      </c>
      <c r="O1434" s="23" t="str">
        <f t="shared" si="67"/>
        <v>Q4 2024</v>
      </c>
      <c r="P1434" s="23">
        <f>VLOOKUP(D1434,Products!$A:$F,4,FALSE)</f>
        <v>1010</v>
      </c>
      <c r="Q1434" s="35">
        <f t="shared" si="68"/>
        <v>0.54298642533936647</v>
      </c>
    </row>
    <row r="1435" spans="1:17">
      <c r="A1435" s="12" t="s">
        <v>1941</v>
      </c>
      <c r="B1435" s="13">
        <v>45605</v>
      </c>
      <c r="C1435" s="12" t="s">
        <v>1942</v>
      </c>
      <c r="D1435" s="12" t="s">
        <v>519</v>
      </c>
      <c r="E1435" s="12" t="s">
        <v>221</v>
      </c>
      <c r="F1435" s="14">
        <v>8</v>
      </c>
      <c r="G1435" s="14">
        <v>1090</v>
      </c>
      <c r="H1435" s="14">
        <v>21.7</v>
      </c>
      <c r="I1435" s="14">
        <v>6827.76</v>
      </c>
      <c r="J1435" s="12" t="s">
        <v>104</v>
      </c>
      <c r="K1435" s="12" t="s">
        <v>105</v>
      </c>
      <c r="L1435" s="23" t="str">
        <f>VLOOKUP(D1435,Products!$A:$F,3,FALSE)</f>
        <v>Home</v>
      </c>
      <c r="M1435" s="23" t="str">
        <f>VLOOKUP(E1435,Sales_Reps!$A:$E,3,FALSE)</f>
        <v>South</v>
      </c>
      <c r="N1435" s="23" t="str">
        <f t="shared" si="66"/>
        <v>Nov-24</v>
      </c>
      <c r="O1435" s="23" t="str">
        <f t="shared" si="67"/>
        <v>Q4 2024</v>
      </c>
      <c r="P1435" s="23">
        <f>VLOOKUP(D1435,Products!$A:$F,4,FALSE)</f>
        <v>464</v>
      </c>
      <c r="Q1435" s="35">
        <f t="shared" si="68"/>
        <v>0.57431192660550456</v>
      </c>
    </row>
    <row r="1436" spans="1:17">
      <c r="A1436" s="12" t="s">
        <v>1943</v>
      </c>
      <c r="B1436" s="13">
        <v>45598</v>
      </c>
      <c r="C1436" s="12" t="s">
        <v>858</v>
      </c>
      <c r="D1436" s="12" t="s">
        <v>676</v>
      </c>
      <c r="E1436" s="12" t="s">
        <v>314</v>
      </c>
      <c r="F1436" s="14">
        <v>5</v>
      </c>
      <c r="G1436" s="14">
        <v>3560</v>
      </c>
      <c r="H1436" s="14">
        <v>19.399999999999999</v>
      </c>
      <c r="I1436" s="14">
        <v>14346.8</v>
      </c>
      <c r="J1436" s="12" t="s">
        <v>110</v>
      </c>
      <c r="K1436" s="12" t="s">
        <v>134</v>
      </c>
      <c r="L1436" s="23" t="str">
        <f>VLOOKUP(D1436,Products!$A:$F,3,FALSE)</f>
        <v>Apparel</v>
      </c>
      <c r="M1436" s="23" t="str">
        <f>VLOOKUP(E1436,Sales_Reps!$A:$E,3,FALSE)</f>
        <v>North</v>
      </c>
      <c r="N1436" s="23" t="str">
        <f t="shared" si="66"/>
        <v>Nov-24</v>
      </c>
      <c r="O1436" s="23" t="str">
        <f t="shared" si="67"/>
        <v>Q4 2024</v>
      </c>
      <c r="P1436" s="23">
        <f>VLOOKUP(D1436,Products!$A:$F,4,FALSE)</f>
        <v>2629</v>
      </c>
      <c r="Q1436" s="35">
        <f t="shared" si="68"/>
        <v>0.26151685393258428</v>
      </c>
    </row>
    <row r="1437" spans="1:17">
      <c r="A1437" s="12" t="s">
        <v>1944</v>
      </c>
      <c r="B1437" s="13">
        <v>45452</v>
      </c>
      <c r="C1437" s="12" t="s">
        <v>1189</v>
      </c>
      <c r="D1437" s="12" t="s">
        <v>199</v>
      </c>
      <c r="E1437" s="12" t="s">
        <v>145</v>
      </c>
      <c r="F1437" s="14">
        <v>7</v>
      </c>
      <c r="G1437" s="14">
        <v>1010</v>
      </c>
      <c r="H1437" s="14">
        <v>28.2</v>
      </c>
      <c r="I1437" s="14">
        <v>5076.26</v>
      </c>
      <c r="J1437" s="12" t="s">
        <v>104</v>
      </c>
      <c r="K1437" s="12" t="s">
        <v>105</v>
      </c>
      <c r="L1437" s="23" t="str">
        <f>VLOOKUP(D1437,Products!$A:$F,3,FALSE)</f>
        <v>Sports</v>
      </c>
      <c r="M1437" s="23" t="str">
        <f>VLOOKUP(E1437,Sales_Reps!$A:$E,3,FALSE)</f>
        <v>West</v>
      </c>
      <c r="N1437" s="23" t="str">
        <f t="shared" si="66"/>
        <v>Jun-24</v>
      </c>
      <c r="O1437" s="23" t="str">
        <f t="shared" si="67"/>
        <v>Q2 2024</v>
      </c>
      <c r="P1437" s="23">
        <f>VLOOKUP(D1437,Products!$A:$F,4,FALSE)</f>
        <v>516</v>
      </c>
      <c r="Q1437" s="35">
        <f t="shared" si="68"/>
        <v>0.4891089108910891</v>
      </c>
    </row>
    <row r="1438" spans="1:17">
      <c r="A1438" s="12" t="s">
        <v>1945</v>
      </c>
      <c r="B1438" s="13">
        <v>45470</v>
      </c>
      <c r="C1438" s="12" t="s">
        <v>729</v>
      </c>
      <c r="D1438" s="12" t="s">
        <v>312</v>
      </c>
      <c r="E1438" s="12" t="s">
        <v>205</v>
      </c>
      <c r="F1438" s="14">
        <v>2</v>
      </c>
      <c r="G1438" s="14">
        <v>2030</v>
      </c>
      <c r="H1438" s="14">
        <v>27.3</v>
      </c>
      <c r="I1438" s="14">
        <v>2951.62</v>
      </c>
      <c r="J1438" s="12" t="s">
        <v>161</v>
      </c>
      <c r="K1438" s="12" t="s">
        <v>129</v>
      </c>
      <c r="L1438" s="23" t="str">
        <f>VLOOKUP(D1438,Products!$A:$F,3,FALSE)</f>
        <v>Home</v>
      </c>
      <c r="M1438" s="23" t="str">
        <f>VLOOKUP(E1438,Sales_Reps!$A:$E,3,FALSE)</f>
        <v>South</v>
      </c>
      <c r="N1438" s="23" t="str">
        <f t="shared" si="66"/>
        <v>Jun-24</v>
      </c>
      <c r="O1438" s="23" t="str">
        <f t="shared" si="67"/>
        <v>Q2 2024</v>
      </c>
      <c r="P1438" s="23">
        <f>VLOOKUP(D1438,Products!$A:$F,4,FALSE)</f>
        <v>1143</v>
      </c>
      <c r="Q1438" s="35">
        <f t="shared" si="68"/>
        <v>0.43694581280788175</v>
      </c>
    </row>
    <row r="1439" spans="1:17">
      <c r="A1439" s="12" t="s">
        <v>1946</v>
      </c>
      <c r="B1439" s="13">
        <v>45350</v>
      </c>
      <c r="C1439" s="12" t="s">
        <v>227</v>
      </c>
      <c r="D1439" s="12" t="s">
        <v>381</v>
      </c>
      <c r="E1439" s="12" t="s">
        <v>342</v>
      </c>
      <c r="F1439" s="14">
        <v>6</v>
      </c>
      <c r="G1439" s="14">
        <v>5330</v>
      </c>
      <c r="H1439" s="14">
        <v>0.6</v>
      </c>
      <c r="I1439" s="14">
        <v>31788.12</v>
      </c>
      <c r="J1439" s="12" t="s">
        <v>104</v>
      </c>
      <c r="K1439" s="12" t="s">
        <v>116</v>
      </c>
      <c r="L1439" s="23" t="str">
        <f>VLOOKUP(D1439,Products!$A:$F,3,FALSE)</f>
        <v>Electronics</v>
      </c>
      <c r="M1439" s="23" t="str">
        <f>VLOOKUP(E1439,Sales_Reps!$A:$E,3,FALSE)</f>
        <v>South</v>
      </c>
      <c r="N1439" s="23" t="str">
        <f t="shared" si="66"/>
        <v>Feb-24</v>
      </c>
      <c r="O1439" s="23" t="str">
        <f t="shared" si="67"/>
        <v>Q1 2024</v>
      </c>
      <c r="P1439" s="23">
        <f>VLOOKUP(D1439,Products!$A:$F,4,FALSE)</f>
        <v>2405</v>
      </c>
      <c r="Q1439" s="35">
        <f t="shared" si="68"/>
        <v>0.54878048780487809</v>
      </c>
    </row>
    <row r="1440" spans="1:17">
      <c r="A1440" s="12" t="s">
        <v>1947</v>
      </c>
      <c r="B1440" s="13">
        <v>45514</v>
      </c>
      <c r="C1440" s="12" t="s">
        <v>327</v>
      </c>
      <c r="D1440" s="12" t="s">
        <v>152</v>
      </c>
      <c r="E1440" s="12" t="s">
        <v>103</v>
      </c>
      <c r="F1440" s="14">
        <v>2</v>
      </c>
      <c r="G1440" s="14">
        <v>2640</v>
      </c>
      <c r="H1440" s="14">
        <v>26</v>
      </c>
      <c r="I1440" s="14">
        <v>3907.2</v>
      </c>
      <c r="J1440" s="12" t="s">
        <v>110</v>
      </c>
      <c r="K1440" s="12" t="s">
        <v>134</v>
      </c>
      <c r="L1440" s="23" t="str">
        <f>VLOOKUP(D1440,Products!$A:$F,3,FALSE)</f>
        <v>Electronics</v>
      </c>
      <c r="M1440" s="23" t="str">
        <f>VLOOKUP(E1440,Sales_Reps!$A:$E,3,FALSE)</f>
        <v>North</v>
      </c>
      <c r="N1440" s="23" t="str">
        <f t="shared" si="66"/>
        <v>Aug-24</v>
      </c>
      <c r="O1440" s="23" t="str">
        <f t="shared" si="67"/>
        <v>Q3 2024</v>
      </c>
      <c r="P1440" s="23">
        <f>VLOOKUP(D1440,Products!$A:$F,4,FALSE)</f>
        <v>1149</v>
      </c>
      <c r="Q1440" s="35">
        <f t="shared" si="68"/>
        <v>0.56477272727272732</v>
      </c>
    </row>
    <row r="1441" spans="1:17">
      <c r="A1441" s="12" t="s">
        <v>1948</v>
      </c>
      <c r="B1441" s="13">
        <v>45447</v>
      </c>
      <c r="C1441" s="12" t="s">
        <v>367</v>
      </c>
      <c r="D1441" s="12" t="s">
        <v>296</v>
      </c>
      <c r="E1441" s="12" t="s">
        <v>342</v>
      </c>
      <c r="F1441" s="14">
        <v>8</v>
      </c>
      <c r="G1441" s="14">
        <v>2660</v>
      </c>
      <c r="H1441" s="14">
        <v>2.9</v>
      </c>
      <c r="I1441" s="14">
        <v>20662.88</v>
      </c>
      <c r="J1441" s="12" t="s">
        <v>104</v>
      </c>
      <c r="K1441" s="12" t="s">
        <v>129</v>
      </c>
      <c r="L1441" s="23" t="str">
        <f>VLOOKUP(D1441,Products!$A:$F,3,FALSE)</f>
        <v>Electronics</v>
      </c>
      <c r="M1441" s="23" t="str">
        <f>VLOOKUP(E1441,Sales_Reps!$A:$E,3,FALSE)</f>
        <v>South</v>
      </c>
      <c r="N1441" s="23" t="str">
        <f t="shared" si="66"/>
        <v>Jun-24</v>
      </c>
      <c r="O1441" s="23" t="str">
        <f t="shared" si="67"/>
        <v>Q2 2024</v>
      </c>
      <c r="P1441" s="23">
        <f>VLOOKUP(D1441,Products!$A:$F,4,FALSE)</f>
        <v>1259</v>
      </c>
      <c r="Q1441" s="35">
        <f t="shared" si="68"/>
        <v>0.52669172932330832</v>
      </c>
    </row>
    <row r="1442" spans="1:17">
      <c r="A1442" s="12" t="s">
        <v>1949</v>
      </c>
      <c r="B1442" s="13">
        <v>45390</v>
      </c>
      <c r="C1442" s="12" t="s">
        <v>1089</v>
      </c>
      <c r="D1442" s="12" t="s">
        <v>160</v>
      </c>
      <c r="E1442" s="12" t="s">
        <v>171</v>
      </c>
      <c r="F1442" s="14">
        <v>6</v>
      </c>
      <c r="G1442" s="14">
        <v>3250</v>
      </c>
      <c r="H1442" s="14">
        <v>11.1</v>
      </c>
      <c r="I1442" s="14">
        <v>17335.5</v>
      </c>
      <c r="J1442" s="12" t="s">
        <v>104</v>
      </c>
      <c r="K1442" s="12" t="s">
        <v>129</v>
      </c>
      <c r="L1442" s="23" t="str">
        <f>VLOOKUP(D1442,Products!$A:$F,3,FALSE)</f>
        <v>Home</v>
      </c>
      <c r="M1442" s="23" t="str">
        <f>VLOOKUP(E1442,Sales_Reps!$A:$E,3,FALSE)</f>
        <v>East</v>
      </c>
      <c r="N1442" s="23" t="str">
        <f t="shared" si="66"/>
        <v>Apr-24</v>
      </c>
      <c r="O1442" s="23" t="str">
        <f t="shared" si="67"/>
        <v>Q2 2024</v>
      </c>
      <c r="P1442" s="23">
        <f>VLOOKUP(D1442,Products!$A:$F,4,FALSE)</f>
        <v>1556</v>
      </c>
      <c r="Q1442" s="35">
        <f t="shared" si="68"/>
        <v>0.52123076923076928</v>
      </c>
    </row>
    <row r="1443" spans="1:17">
      <c r="A1443" s="12" t="s">
        <v>1950</v>
      </c>
      <c r="B1443" s="13">
        <v>45307</v>
      </c>
      <c r="C1443" s="12" t="s">
        <v>298</v>
      </c>
      <c r="D1443" s="12" t="s">
        <v>355</v>
      </c>
      <c r="E1443" s="12" t="s">
        <v>156</v>
      </c>
      <c r="F1443" s="14">
        <v>1</v>
      </c>
      <c r="G1443" s="14">
        <v>2210</v>
      </c>
      <c r="H1443" s="14">
        <v>3.5</v>
      </c>
      <c r="I1443" s="14">
        <v>2132.65</v>
      </c>
      <c r="J1443" s="12" t="s">
        <v>104</v>
      </c>
      <c r="K1443" s="12" t="s">
        <v>105</v>
      </c>
      <c r="L1443" s="23" t="str">
        <f>VLOOKUP(D1443,Products!$A:$F,3,FALSE)</f>
        <v>Grocery</v>
      </c>
      <c r="M1443" s="23" t="str">
        <f>VLOOKUP(E1443,Sales_Reps!$A:$E,3,FALSE)</f>
        <v>North</v>
      </c>
      <c r="N1443" s="23" t="str">
        <f t="shared" si="66"/>
        <v>Jan-24</v>
      </c>
      <c r="O1443" s="23" t="str">
        <f t="shared" si="67"/>
        <v>Q1 2024</v>
      </c>
      <c r="P1443" s="23">
        <f>VLOOKUP(D1443,Products!$A:$F,4,FALSE)</f>
        <v>1010</v>
      </c>
      <c r="Q1443" s="35">
        <f t="shared" si="68"/>
        <v>0.54298642533936647</v>
      </c>
    </row>
    <row r="1444" spans="1:17">
      <c r="A1444" s="12" t="s">
        <v>1951</v>
      </c>
      <c r="B1444" s="13">
        <v>45432</v>
      </c>
      <c r="C1444" s="12" t="s">
        <v>510</v>
      </c>
      <c r="D1444" s="12" t="s">
        <v>127</v>
      </c>
      <c r="E1444" s="12" t="s">
        <v>138</v>
      </c>
      <c r="F1444" s="14">
        <v>9</v>
      </c>
      <c r="G1444" s="14">
        <v>370</v>
      </c>
      <c r="H1444" s="14">
        <v>12.4</v>
      </c>
      <c r="I1444" s="14">
        <v>2917.08</v>
      </c>
      <c r="J1444" s="12" t="s">
        <v>104</v>
      </c>
      <c r="K1444" s="12" t="s">
        <v>105</v>
      </c>
      <c r="L1444" s="23" t="str">
        <f>VLOOKUP(D1444,Products!$A:$F,3,FALSE)</f>
        <v>Home</v>
      </c>
      <c r="M1444" s="23" t="str">
        <f>VLOOKUP(E1444,Sales_Reps!$A:$E,3,FALSE)</f>
        <v>East</v>
      </c>
      <c r="N1444" s="23" t="str">
        <f t="shared" si="66"/>
        <v>May-24</v>
      </c>
      <c r="O1444" s="23" t="str">
        <f t="shared" si="67"/>
        <v>Q2 2024</v>
      </c>
      <c r="P1444" s="23">
        <f>VLOOKUP(D1444,Products!$A:$F,4,FALSE)</f>
        <v>288</v>
      </c>
      <c r="Q1444" s="35">
        <f t="shared" si="68"/>
        <v>0.22162162162162163</v>
      </c>
    </row>
    <row r="1445" spans="1:17">
      <c r="A1445" s="12" t="s">
        <v>1952</v>
      </c>
      <c r="B1445" s="13">
        <v>45453</v>
      </c>
      <c r="C1445" s="12" t="s">
        <v>734</v>
      </c>
      <c r="D1445" s="12" t="s">
        <v>478</v>
      </c>
      <c r="E1445" s="12" t="s">
        <v>302</v>
      </c>
      <c r="F1445" s="14">
        <v>3</v>
      </c>
      <c r="G1445" s="14">
        <v>3780</v>
      </c>
      <c r="H1445" s="14">
        <v>8.5</v>
      </c>
      <c r="I1445" s="14">
        <v>10376.1</v>
      </c>
      <c r="J1445" s="12" t="s">
        <v>110</v>
      </c>
      <c r="K1445" s="12" t="s">
        <v>111</v>
      </c>
      <c r="L1445" s="23" t="str">
        <f>VLOOKUP(D1445,Products!$A:$F,3,FALSE)</f>
        <v>Sports</v>
      </c>
      <c r="M1445" s="23" t="str">
        <f>VLOOKUP(E1445,Sales_Reps!$A:$E,3,FALSE)</f>
        <v>East</v>
      </c>
      <c r="N1445" s="23" t="str">
        <f t="shared" si="66"/>
        <v>Jun-24</v>
      </c>
      <c r="O1445" s="23" t="str">
        <f t="shared" si="67"/>
        <v>Q2 2024</v>
      </c>
      <c r="P1445" s="23">
        <f>VLOOKUP(D1445,Products!$A:$F,4,FALSE)</f>
        <v>1860</v>
      </c>
      <c r="Q1445" s="35">
        <f t="shared" si="68"/>
        <v>0.50793650793650791</v>
      </c>
    </row>
    <row r="1446" spans="1:17">
      <c r="A1446" s="12" t="s">
        <v>440</v>
      </c>
      <c r="B1446" s="13">
        <v>45397</v>
      </c>
      <c r="C1446" s="12" t="s">
        <v>435</v>
      </c>
      <c r="D1446" s="12" t="s">
        <v>199</v>
      </c>
      <c r="E1446" s="12" t="s">
        <v>314</v>
      </c>
      <c r="F1446" s="14">
        <v>2</v>
      </c>
      <c r="G1446" s="14">
        <v>1010</v>
      </c>
      <c r="H1446" s="14">
        <v>2.7</v>
      </c>
      <c r="I1446" s="14">
        <v>1965.46</v>
      </c>
      <c r="J1446" s="12" t="s">
        <v>104</v>
      </c>
      <c r="K1446" s="12" t="s">
        <v>150</v>
      </c>
      <c r="L1446" s="23" t="str">
        <f>VLOOKUP(D1446,Products!$A:$F,3,FALSE)</f>
        <v>Sports</v>
      </c>
      <c r="M1446" s="23" t="str">
        <f>VLOOKUP(E1446,Sales_Reps!$A:$E,3,FALSE)</f>
        <v>North</v>
      </c>
      <c r="N1446" s="23" t="str">
        <f t="shared" si="66"/>
        <v>Apr-24</v>
      </c>
      <c r="O1446" s="23" t="str">
        <f t="shared" si="67"/>
        <v>Q2 2024</v>
      </c>
      <c r="P1446" s="23">
        <f>VLOOKUP(D1446,Products!$A:$F,4,FALSE)</f>
        <v>516</v>
      </c>
      <c r="Q1446" s="35">
        <f t="shared" si="68"/>
        <v>0.4891089108910891</v>
      </c>
    </row>
    <row r="1447" spans="1:17">
      <c r="A1447" s="12" t="s">
        <v>1953</v>
      </c>
      <c r="B1447" s="13">
        <v>45639</v>
      </c>
      <c r="C1447" s="12" t="s">
        <v>1007</v>
      </c>
      <c r="D1447" s="12" t="s">
        <v>108</v>
      </c>
      <c r="E1447" s="12" t="s">
        <v>342</v>
      </c>
      <c r="F1447" s="14">
        <v>2</v>
      </c>
      <c r="G1447" s="14">
        <v>820</v>
      </c>
      <c r="H1447" s="14">
        <v>13.2</v>
      </c>
      <c r="I1447" s="14">
        <v>1423.52</v>
      </c>
      <c r="J1447" s="12" t="s">
        <v>110</v>
      </c>
      <c r="K1447" s="12" t="s">
        <v>134</v>
      </c>
      <c r="L1447" s="23" t="str">
        <f>VLOOKUP(D1447,Products!$A:$F,3,FALSE)</f>
        <v>Apparel</v>
      </c>
      <c r="M1447" s="23" t="str">
        <f>VLOOKUP(E1447,Sales_Reps!$A:$E,3,FALSE)</f>
        <v>South</v>
      </c>
      <c r="N1447" s="23" t="str">
        <f t="shared" si="66"/>
        <v>Dec-24</v>
      </c>
      <c r="O1447" s="23" t="str">
        <f t="shared" si="67"/>
        <v>Q4 2024</v>
      </c>
      <c r="P1447" s="23">
        <f>VLOOKUP(D1447,Products!$A:$F,4,FALSE)</f>
        <v>391</v>
      </c>
      <c r="Q1447" s="35">
        <f t="shared" si="68"/>
        <v>0.52317073170731709</v>
      </c>
    </row>
    <row r="1448" spans="1:17">
      <c r="A1448" s="12" t="s">
        <v>1954</v>
      </c>
      <c r="B1448" s="13">
        <v>45482</v>
      </c>
      <c r="C1448" s="12" t="s">
        <v>250</v>
      </c>
      <c r="D1448" s="12" t="s">
        <v>119</v>
      </c>
      <c r="E1448" s="12" t="s">
        <v>342</v>
      </c>
      <c r="F1448" s="14">
        <v>1</v>
      </c>
      <c r="G1448" s="14">
        <v>3660</v>
      </c>
      <c r="H1448" s="14">
        <v>14</v>
      </c>
      <c r="I1448" s="14">
        <v>3147.6</v>
      </c>
      <c r="J1448" s="12" t="s">
        <v>161</v>
      </c>
      <c r="K1448" s="12" t="s">
        <v>105</v>
      </c>
      <c r="L1448" s="23" t="str">
        <f>VLOOKUP(D1448,Products!$A:$F,3,FALSE)</f>
        <v>Grocery</v>
      </c>
      <c r="M1448" s="23" t="str">
        <f>VLOOKUP(E1448,Sales_Reps!$A:$E,3,FALSE)</f>
        <v>South</v>
      </c>
      <c r="N1448" s="23" t="str">
        <f t="shared" si="66"/>
        <v>Jul-24</v>
      </c>
      <c r="O1448" s="23" t="str">
        <f t="shared" si="67"/>
        <v>Q3 2024</v>
      </c>
      <c r="P1448" s="23">
        <f>VLOOKUP(D1448,Products!$A:$F,4,FALSE)</f>
        <v>2214</v>
      </c>
      <c r="Q1448" s="35">
        <f t="shared" si="68"/>
        <v>0.39508196721311473</v>
      </c>
    </row>
    <row r="1449" spans="1:17">
      <c r="A1449" s="12" t="s">
        <v>1955</v>
      </c>
      <c r="B1449" s="13">
        <v>45447</v>
      </c>
      <c r="C1449" s="12" t="s">
        <v>242</v>
      </c>
      <c r="D1449" s="12" t="s">
        <v>262</v>
      </c>
      <c r="E1449" s="12" t="s">
        <v>255</v>
      </c>
      <c r="F1449" s="14">
        <v>6</v>
      </c>
      <c r="G1449" s="14">
        <v>2270</v>
      </c>
      <c r="H1449" s="14">
        <v>16</v>
      </c>
      <c r="I1449" s="14">
        <v>11440.8</v>
      </c>
      <c r="J1449" s="12" t="s">
        <v>104</v>
      </c>
      <c r="K1449" s="12" t="s">
        <v>111</v>
      </c>
      <c r="L1449" s="23" t="str">
        <f>VLOOKUP(D1449,Products!$A:$F,3,FALSE)</f>
        <v>Grocery</v>
      </c>
      <c r="M1449" s="23" t="str">
        <f>VLOOKUP(E1449,Sales_Reps!$A:$E,3,FALSE)</f>
        <v>East</v>
      </c>
      <c r="N1449" s="23" t="str">
        <f t="shared" si="66"/>
        <v>Jun-24</v>
      </c>
      <c r="O1449" s="23" t="str">
        <f t="shared" si="67"/>
        <v>Q2 2024</v>
      </c>
      <c r="P1449" s="23">
        <f>VLOOKUP(D1449,Products!$A:$F,4,FALSE)</f>
        <v>1412</v>
      </c>
      <c r="Q1449" s="35">
        <f t="shared" si="68"/>
        <v>0.37797356828193834</v>
      </c>
    </row>
    <row r="1450" spans="1:17">
      <c r="A1450" s="12" t="s">
        <v>1956</v>
      </c>
      <c r="B1450" s="13">
        <v>45598</v>
      </c>
      <c r="C1450" s="12" t="s">
        <v>464</v>
      </c>
      <c r="D1450" s="12" t="s">
        <v>397</v>
      </c>
      <c r="E1450" s="12" t="s">
        <v>138</v>
      </c>
      <c r="F1450" s="14">
        <v>7</v>
      </c>
      <c r="G1450" s="14">
        <v>960</v>
      </c>
      <c r="H1450" s="14">
        <v>28.8</v>
      </c>
      <c r="I1450" s="14">
        <v>4784.6400000000003</v>
      </c>
      <c r="J1450" s="12" t="s">
        <v>161</v>
      </c>
      <c r="K1450" s="12" t="s">
        <v>129</v>
      </c>
      <c r="L1450" s="23" t="str">
        <f>VLOOKUP(D1450,Products!$A:$F,3,FALSE)</f>
        <v>Beauty</v>
      </c>
      <c r="M1450" s="23" t="str">
        <f>VLOOKUP(E1450,Sales_Reps!$A:$E,3,FALSE)</f>
        <v>East</v>
      </c>
      <c r="N1450" s="23" t="str">
        <f t="shared" si="66"/>
        <v>Nov-24</v>
      </c>
      <c r="O1450" s="23" t="str">
        <f t="shared" si="67"/>
        <v>Q4 2024</v>
      </c>
      <c r="P1450" s="23">
        <f>VLOOKUP(D1450,Products!$A:$F,4,FALSE)</f>
        <v>675</v>
      </c>
      <c r="Q1450" s="35">
        <f t="shared" si="68"/>
        <v>0.296875</v>
      </c>
    </row>
    <row r="1451" spans="1:17">
      <c r="A1451" s="12" t="s">
        <v>1957</v>
      </c>
      <c r="B1451" s="13">
        <v>45645</v>
      </c>
      <c r="C1451" s="12" t="s">
        <v>424</v>
      </c>
      <c r="D1451" s="12" t="s">
        <v>312</v>
      </c>
      <c r="E1451" s="12" t="s">
        <v>128</v>
      </c>
      <c r="F1451" s="14">
        <v>9</v>
      </c>
      <c r="G1451" s="14">
        <v>2030</v>
      </c>
      <c r="H1451" s="14">
        <v>3.4</v>
      </c>
      <c r="I1451" s="14">
        <v>17648.82</v>
      </c>
      <c r="J1451" s="12" t="s">
        <v>104</v>
      </c>
      <c r="K1451" s="12" t="s">
        <v>105</v>
      </c>
      <c r="L1451" s="23" t="str">
        <f>VLOOKUP(D1451,Products!$A:$F,3,FALSE)</f>
        <v>Home</v>
      </c>
      <c r="M1451" s="23" t="str">
        <f>VLOOKUP(E1451,Sales_Reps!$A:$E,3,FALSE)</f>
        <v>West</v>
      </c>
      <c r="N1451" s="23" t="str">
        <f t="shared" si="66"/>
        <v>Dec-24</v>
      </c>
      <c r="O1451" s="23" t="str">
        <f t="shared" si="67"/>
        <v>Q4 2024</v>
      </c>
      <c r="P1451" s="23">
        <f>VLOOKUP(D1451,Products!$A:$F,4,FALSE)</f>
        <v>1143</v>
      </c>
      <c r="Q1451" s="35">
        <f t="shared" si="68"/>
        <v>0.43694581280788175</v>
      </c>
    </row>
    <row r="1452" spans="1:17">
      <c r="A1452" s="12" t="s">
        <v>1958</v>
      </c>
      <c r="B1452" s="13">
        <v>45299</v>
      </c>
      <c r="C1452" s="12" t="s">
        <v>1033</v>
      </c>
      <c r="D1452" s="12" t="s">
        <v>384</v>
      </c>
      <c r="E1452" s="12" t="s">
        <v>109</v>
      </c>
      <c r="F1452" s="14">
        <v>6</v>
      </c>
      <c r="G1452" s="14">
        <v>2380</v>
      </c>
      <c r="H1452" s="14">
        <v>13.2</v>
      </c>
      <c r="I1452" s="14">
        <v>12395.04</v>
      </c>
      <c r="J1452" s="12" t="s">
        <v>104</v>
      </c>
      <c r="K1452" s="12" t="s">
        <v>134</v>
      </c>
      <c r="L1452" s="23" t="str">
        <f>VLOOKUP(D1452,Products!$A:$F,3,FALSE)</f>
        <v>Grocery</v>
      </c>
      <c r="M1452" s="23" t="str">
        <f>VLOOKUP(E1452,Sales_Reps!$A:$E,3,FALSE)</f>
        <v>North</v>
      </c>
      <c r="N1452" s="23" t="str">
        <f t="shared" si="66"/>
        <v>Jan-24</v>
      </c>
      <c r="O1452" s="23" t="str">
        <f t="shared" si="67"/>
        <v>Q1 2024</v>
      </c>
      <c r="P1452" s="23">
        <f>VLOOKUP(D1452,Products!$A:$F,4,FALSE)</f>
        <v>1182</v>
      </c>
      <c r="Q1452" s="35">
        <f t="shared" si="68"/>
        <v>0.50336134453781511</v>
      </c>
    </row>
    <row r="1453" spans="1:17">
      <c r="A1453" s="12" t="s">
        <v>1959</v>
      </c>
      <c r="B1453" s="13">
        <v>45308</v>
      </c>
      <c r="C1453" s="12" t="s">
        <v>418</v>
      </c>
      <c r="D1453" s="12" t="s">
        <v>174</v>
      </c>
      <c r="E1453" s="12" t="s">
        <v>221</v>
      </c>
      <c r="F1453" s="14">
        <v>10</v>
      </c>
      <c r="G1453" s="14">
        <v>3450</v>
      </c>
      <c r="H1453" s="14">
        <v>8.6999999999999993</v>
      </c>
      <c r="I1453" s="14">
        <v>31498.5</v>
      </c>
      <c r="J1453" s="12" t="s">
        <v>104</v>
      </c>
      <c r="K1453" s="12" t="s">
        <v>111</v>
      </c>
      <c r="L1453" s="23" t="str">
        <f>VLOOKUP(D1453,Products!$A:$F,3,FALSE)</f>
        <v>Beauty</v>
      </c>
      <c r="M1453" s="23" t="str">
        <f>VLOOKUP(E1453,Sales_Reps!$A:$E,3,FALSE)</f>
        <v>South</v>
      </c>
      <c r="N1453" s="23" t="str">
        <f t="shared" si="66"/>
        <v>Jan-24</v>
      </c>
      <c r="O1453" s="23" t="str">
        <f t="shared" si="67"/>
        <v>Q1 2024</v>
      </c>
      <c r="P1453" s="23">
        <f>VLOOKUP(D1453,Products!$A:$F,4,FALSE)</f>
        <v>2420</v>
      </c>
      <c r="Q1453" s="35">
        <f t="shared" si="68"/>
        <v>0.29855072463768118</v>
      </c>
    </row>
    <row r="1454" spans="1:17">
      <c r="A1454" s="12" t="s">
        <v>1960</v>
      </c>
      <c r="B1454" s="13">
        <v>45487</v>
      </c>
      <c r="C1454" s="12" t="s">
        <v>1640</v>
      </c>
      <c r="D1454" s="12" t="s">
        <v>397</v>
      </c>
      <c r="E1454" s="12" t="s">
        <v>175</v>
      </c>
      <c r="F1454" s="14">
        <v>6</v>
      </c>
      <c r="G1454" s="14">
        <v>960</v>
      </c>
      <c r="H1454" s="14">
        <v>20.6</v>
      </c>
      <c r="I1454" s="14">
        <v>4573.4399999999996</v>
      </c>
      <c r="J1454" s="12" t="s">
        <v>110</v>
      </c>
      <c r="K1454" s="12" t="s">
        <v>134</v>
      </c>
      <c r="L1454" s="23" t="str">
        <f>VLOOKUP(D1454,Products!$A:$F,3,FALSE)</f>
        <v>Beauty</v>
      </c>
      <c r="M1454" s="23" t="str">
        <f>VLOOKUP(E1454,Sales_Reps!$A:$E,3,FALSE)</f>
        <v>East</v>
      </c>
      <c r="N1454" s="23" t="str">
        <f t="shared" si="66"/>
        <v>Jul-24</v>
      </c>
      <c r="O1454" s="23" t="str">
        <f t="shared" si="67"/>
        <v>Q3 2024</v>
      </c>
      <c r="P1454" s="23">
        <f>VLOOKUP(D1454,Products!$A:$F,4,FALSE)</f>
        <v>675</v>
      </c>
      <c r="Q1454" s="35">
        <f t="shared" si="68"/>
        <v>0.296875</v>
      </c>
    </row>
    <row r="1455" spans="1:17">
      <c r="A1455" s="12" t="s">
        <v>1961</v>
      </c>
      <c r="B1455" s="13">
        <v>45341</v>
      </c>
      <c r="C1455" s="12" t="s">
        <v>814</v>
      </c>
      <c r="D1455" s="12" t="s">
        <v>676</v>
      </c>
      <c r="E1455" s="12" t="s">
        <v>269</v>
      </c>
      <c r="F1455" s="14">
        <v>10</v>
      </c>
      <c r="G1455" s="14">
        <v>3560</v>
      </c>
      <c r="H1455" s="14">
        <v>1.4</v>
      </c>
      <c r="I1455" s="14">
        <v>35101.599999999999</v>
      </c>
      <c r="J1455" s="12" t="s">
        <v>110</v>
      </c>
      <c r="K1455" s="12" t="s">
        <v>116</v>
      </c>
      <c r="L1455" s="23" t="str">
        <f>VLOOKUP(D1455,Products!$A:$F,3,FALSE)</f>
        <v>Apparel</v>
      </c>
      <c r="M1455" s="23" t="str">
        <f>VLOOKUP(E1455,Sales_Reps!$A:$E,3,FALSE)</f>
        <v>South</v>
      </c>
      <c r="N1455" s="23" t="str">
        <f t="shared" si="66"/>
        <v>Feb-24</v>
      </c>
      <c r="O1455" s="23" t="str">
        <f t="shared" si="67"/>
        <v>Q1 2024</v>
      </c>
      <c r="P1455" s="23">
        <f>VLOOKUP(D1455,Products!$A:$F,4,FALSE)</f>
        <v>2629</v>
      </c>
      <c r="Q1455" s="35">
        <f t="shared" si="68"/>
        <v>0.26151685393258428</v>
      </c>
    </row>
    <row r="1456" spans="1:17">
      <c r="A1456" s="12" t="s">
        <v>1962</v>
      </c>
      <c r="B1456" s="13">
        <v>45354</v>
      </c>
      <c r="C1456" s="12" t="s">
        <v>240</v>
      </c>
      <c r="D1456" s="12" t="s">
        <v>190</v>
      </c>
      <c r="E1456" s="12" t="s">
        <v>115</v>
      </c>
      <c r="F1456" s="14">
        <v>4</v>
      </c>
      <c r="G1456" s="14">
        <v>2720</v>
      </c>
      <c r="H1456" s="14">
        <v>19.399999999999999</v>
      </c>
      <c r="I1456" s="14">
        <v>8769.2800000000007</v>
      </c>
      <c r="J1456" s="12" t="s">
        <v>161</v>
      </c>
      <c r="K1456" s="12" t="s">
        <v>116</v>
      </c>
      <c r="L1456" s="23" t="str">
        <f>VLOOKUP(D1456,Products!$A:$F,3,FALSE)</f>
        <v>Apparel</v>
      </c>
      <c r="M1456" s="23" t="str">
        <f>VLOOKUP(E1456,Sales_Reps!$A:$E,3,FALSE)</f>
        <v>South</v>
      </c>
      <c r="N1456" s="23" t="str">
        <f t="shared" si="66"/>
        <v>Mar-24</v>
      </c>
      <c r="O1456" s="23" t="str">
        <f t="shared" si="67"/>
        <v>Q1 2024</v>
      </c>
      <c r="P1456" s="23">
        <f>VLOOKUP(D1456,Products!$A:$F,4,FALSE)</f>
        <v>1962</v>
      </c>
      <c r="Q1456" s="35">
        <f t="shared" si="68"/>
        <v>0.2786764705882353</v>
      </c>
    </row>
    <row r="1457" spans="1:17">
      <c r="A1457" s="12" t="s">
        <v>1963</v>
      </c>
      <c r="B1457" s="13">
        <v>45458</v>
      </c>
      <c r="C1457" s="12" t="s">
        <v>758</v>
      </c>
      <c r="D1457" s="12" t="s">
        <v>284</v>
      </c>
      <c r="E1457" s="12" t="s">
        <v>246</v>
      </c>
      <c r="F1457" s="14">
        <v>5</v>
      </c>
      <c r="G1457" s="14">
        <v>1220</v>
      </c>
      <c r="H1457" s="14">
        <v>15.6</v>
      </c>
      <c r="I1457" s="14">
        <v>5148.3999999999996</v>
      </c>
      <c r="J1457" s="12" t="s">
        <v>104</v>
      </c>
      <c r="K1457" s="12" t="s">
        <v>150</v>
      </c>
      <c r="L1457" s="23" t="str">
        <f>VLOOKUP(D1457,Products!$A:$F,3,FALSE)</f>
        <v>Electronics</v>
      </c>
      <c r="M1457" s="23" t="str">
        <f>VLOOKUP(E1457,Sales_Reps!$A:$E,3,FALSE)</f>
        <v>West</v>
      </c>
      <c r="N1457" s="23" t="str">
        <f t="shared" si="66"/>
        <v>Jun-24</v>
      </c>
      <c r="O1457" s="23" t="str">
        <f t="shared" si="67"/>
        <v>Q2 2024</v>
      </c>
      <c r="P1457" s="23">
        <f>VLOOKUP(D1457,Products!$A:$F,4,FALSE)</f>
        <v>517</v>
      </c>
      <c r="Q1457" s="35">
        <f t="shared" si="68"/>
        <v>0.57622950819672136</v>
      </c>
    </row>
    <row r="1458" spans="1:17">
      <c r="A1458" s="12" t="s">
        <v>1964</v>
      </c>
      <c r="B1458" s="13">
        <v>45364</v>
      </c>
      <c r="C1458" s="12" t="s">
        <v>273</v>
      </c>
      <c r="D1458" s="12" t="s">
        <v>519</v>
      </c>
      <c r="E1458" s="12" t="s">
        <v>218</v>
      </c>
      <c r="F1458" s="14">
        <v>5</v>
      </c>
      <c r="G1458" s="14">
        <v>1090</v>
      </c>
      <c r="H1458" s="14">
        <v>15</v>
      </c>
      <c r="I1458" s="14">
        <v>4632.5</v>
      </c>
      <c r="J1458" s="12" t="s">
        <v>104</v>
      </c>
      <c r="K1458" s="12" t="s">
        <v>150</v>
      </c>
      <c r="L1458" s="23" t="str">
        <f>VLOOKUP(D1458,Products!$A:$F,3,FALSE)</f>
        <v>Home</v>
      </c>
      <c r="M1458" s="23" t="str">
        <f>VLOOKUP(E1458,Sales_Reps!$A:$E,3,FALSE)</f>
        <v>West</v>
      </c>
      <c r="N1458" s="23" t="str">
        <f t="shared" si="66"/>
        <v>Mar-24</v>
      </c>
      <c r="O1458" s="23" t="str">
        <f t="shared" si="67"/>
        <v>Q1 2024</v>
      </c>
      <c r="P1458" s="23">
        <f>VLOOKUP(D1458,Products!$A:$F,4,FALSE)</f>
        <v>464</v>
      </c>
      <c r="Q1458" s="35">
        <f t="shared" si="68"/>
        <v>0.57431192660550456</v>
      </c>
    </row>
    <row r="1459" spans="1:17">
      <c r="A1459" s="12" t="s">
        <v>1965</v>
      </c>
      <c r="B1459" s="13">
        <v>45618</v>
      </c>
      <c r="C1459" s="12" t="s">
        <v>1079</v>
      </c>
      <c r="D1459" s="12" t="s">
        <v>127</v>
      </c>
      <c r="E1459" s="12" t="s">
        <v>246</v>
      </c>
      <c r="F1459" s="14">
        <v>9</v>
      </c>
      <c r="G1459" s="14">
        <v>370</v>
      </c>
      <c r="H1459" s="14">
        <v>25.4</v>
      </c>
      <c r="I1459" s="14">
        <v>2484.1799999999998</v>
      </c>
      <c r="J1459" s="12" t="s">
        <v>104</v>
      </c>
      <c r="K1459" s="12" t="s">
        <v>129</v>
      </c>
      <c r="L1459" s="23" t="str">
        <f>VLOOKUP(D1459,Products!$A:$F,3,FALSE)</f>
        <v>Home</v>
      </c>
      <c r="M1459" s="23" t="str">
        <f>VLOOKUP(E1459,Sales_Reps!$A:$E,3,FALSE)</f>
        <v>West</v>
      </c>
      <c r="N1459" s="23" t="str">
        <f t="shared" si="66"/>
        <v>Nov-24</v>
      </c>
      <c r="O1459" s="23" t="str">
        <f t="shared" si="67"/>
        <v>Q4 2024</v>
      </c>
      <c r="P1459" s="23">
        <f>VLOOKUP(D1459,Products!$A:$F,4,FALSE)</f>
        <v>288</v>
      </c>
      <c r="Q1459" s="35">
        <f t="shared" si="68"/>
        <v>0.22162162162162163</v>
      </c>
    </row>
    <row r="1460" spans="1:17">
      <c r="A1460" s="12" t="s">
        <v>1966</v>
      </c>
      <c r="B1460" s="13">
        <v>45456</v>
      </c>
      <c r="C1460" s="12" t="s">
        <v>922</v>
      </c>
      <c r="D1460" s="12" t="s">
        <v>212</v>
      </c>
      <c r="E1460" s="12" t="s">
        <v>103</v>
      </c>
      <c r="F1460" s="14">
        <v>7</v>
      </c>
      <c r="G1460" s="14">
        <v>2860</v>
      </c>
      <c r="H1460" s="14">
        <v>14</v>
      </c>
      <c r="I1460" s="14">
        <v>17217.2</v>
      </c>
      <c r="J1460" s="12" t="s">
        <v>104</v>
      </c>
      <c r="K1460" s="12" t="s">
        <v>129</v>
      </c>
      <c r="L1460" s="23" t="str">
        <f>VLOOKUP(D1460,Products!$A:$F,3,FALSE)</f>
        <v>Sports</v>
      </c>
      <c r="M1460" s="23" t="str">
        <f>VLOOKUP(E1460,Sales_Reps!$A:$E,3,FALSE)</f>
        <v>North</v>
      </c>
      <c r="N1460" s="23" t="str">
        <f t="shared" si="66"/>
        <v>Jun-24</v>
      </c>
      <c r="O1460" s="23" t="str">
        <f t="shared" si="67"/>
        <v>Q2 2024</v>
      </c>
      <c r="P1460" s="23">
        <f>VLOOKUP(D1460,Products!$A:$F,4,FALSE)</f>
        <v>2028</v>
      </c>
      <c r="Q1460" s="35">
        <f t="shared" si="68"/>
        <v>0.29090909090909089</v>
      </c>
    </row>
    <row r="1461" spans="1:17">
      <c r="A1461" s="12" t="s">
        <v>1967</v>
      </c>
      <c r="B1461" s="13">
        <v>45490</v>
      </c>
      <c r="C1461" s="12" t="s">
        <v>616</v>
      </c>
      <c r="D1461" s="12" t="s">
        <v>355</v>
      </c>
      <c r="E1461" s="12" t="s">
        <v>218</v>
      </c>
      <c r="F1461" s="14">
        <v>1</v>
      </c>
      <c r="G1461" s="14">
        <v>2210</v>
      </c>
      <c r="H1461" s="14">
        <v>1.7</v>
      </c>
      <c r="I1461" s="14">
        <v>2172.4299999999998</v>
      </c>
      <c r="J1461" s="12" t="s">
        <v>104</v>
      </c>
      <c r="K1461" s="12" t="s">
        <v>134</v>
      </c>
      <c r="L1461" s="23" t="str">
        <f>VLOOKUP(D1461,Products!$A:$F,3,FALSE)</f>
        <v>Grocery</v>
      </c>
      <c r="M1461" s="23" t="str">
        <f>VLOOKUP(E1461,Sales_Reps!$A:$E,3,FALSE)</f>
        <v>West</v>
      </c>
      <c r="N1461" s="23" t="str">
        <f t="shared" si="66"/>
        <v>Jul-24</v>
      </c>
      <c r="O1461" s="23" t="str">
        <f t="shared" si="67"/>
        <v>Q3 2024</v>
      </c>
      <c r="P1461" s="23">
        <f>VLOOKUP(D1461,Products!$A:$F,4,FALSE)</f>
        <v>1010</v>
      </c>
      <c r="Q1461" s="35">
        <f t="shared" si="68"/>
        <v>0.54298642533936647</v>
      </c>
    </row>
    <row r="1462" spans="1:17">
      <c r="A1462" s="12" t="s">
        <v>1968</v>
      </c>
      <c r="B1462" s="13">
        <v>45584</v>
      </c>
      <c r="C1462" s="12" t="s">
        <v>580</v>
      </c>
      <c r="D1462" s="12" t="s">
        <v>144</v>
      </c>
      <c r="E1462" s="12" t="s">
        <v>128</v>
      </c>
      <c r="F1462" s="14">
        <v>3</v>
      </c>
      <c r="G1462" s="14">
        <v>970</v>
      </c>
      <c r="H1462" s="14">
        <v>20.3</v>
      </c>
      <c r="I1462" s="14">
        <v>2319.27</v>
      </c>
      <c r="J1462" s="12" t="s">
        <v>110</v>
      </c>
      <c r="K1462" s="12" t="s">
        <v>105</v>
      </c>
      <c r="L1462" s="23" t="str">
        <f>VLOOKUP(D1462,Products!$A:$F,3,FALSE)</f>
        <v>Grocery</v>
      </c>
      <c r="M1462" s="23" t="str">
        <f>VLOOKUP(E1462,Sales_Reps!$A:$E,3,FALSE)</f>
        <v>West</v>
      </c>
      <c r="N1462" s="23" t="str">
        <f t="shared" si="66"/>
        <v>Oct-24</v>
      </c>
      <c r="O1462" s="23" t="str">
        <f t="shared" si="67"/>
        <v>Q4 2024</v>
      </c>
      <c r="P1462" s="23">
        <f>VLOOKUP(D1462,Products!$A:$F,4,FALSE)</f>
        <v>434</v>
      </c>
      <c r="Q1462" s="35">
        <f t="shared" si="68"/>
        <v>0.5525773195876289</v>
      </c>
    </row>
    <row r="1463" spans="1:17">
      <c r="A1463" s="12" t="s">
        <v>1969</v>
      </c>
      <c r="B1463" s="13">
        <v>45476</v>
      </c>
      <c r="C1463" s="12" t="s">
        <v>1017</v>
      </c>
      <c r="D1463" s="12" t="s">
        <v>676</v>
      </c>
      <c r="E1463" s="12" t="s">
        <v>175</v>
      </c>
      <c r="F1463" s="14">
        <v>5</v>
      </c>
      <c r="G1463" s="14">
        <v>3560</v>
      </c>
      <c r="H1463" s="14">
        <v>17.100000000000001</v>
      </c>
      <c r="I1463" s="14">
        <v>14756.2</v>
      </c>
      <c r="J1463" s="12" t="s">
        <v>104</v>
      </c>
      <c r="K1463" s="12" t="s">
        <v>134</v>
      </c>
      <c r="L1463" s="23" t="str">
        <f>VLOOKUP(D1463,Products!$A:$F,3,FALSE)</f>
        <v>Apparel</v>
      </c>
      <c r="M1463" s="23" t="str">
        <f>VLOOKUP(E1463,Sales_Reps!$A:$E,3,FALSE)</f>
        <v>East</v>
      </c>
      <c r="N1463" s="23" t="str">
        <f t="shared" si="66"/>
        <v>Jul-24</v>
      </c>
      <c r="O1463" s="23" t="str">
        <f t="shared" si="67"/>
        <v>Q3 2024</v>
      </c>
      <c r="P1463" s="23">
        <f>VLOOKUP(D1463,Products!$A:$F,4,FALSE)</f>
        <v>2629</v>
      </c>
      <c r="Q1463" s="35">
        <f t="shared" si="68"/>
        <v>0.26151685393258428</v>
      </c>
    </row>
    <row r="1464" spans="1:17">
      <c r="A1464" s="12" t="s">
        <v>1970</v>
      </c>
      <c r="B1464" s="13">
        <v>45387</v>
      </c>
      <c r="C1464" s="12" t="s">
        <v>207</v>
      </c>
      <c r="D1464" s="12" t="s">
        <v>181</v>
      </c>
      <c r="E1464" s="12" t="s">
        <v>171</v>
      </c>
      <c r="F1464" s="14">
        <v>10</v>
      </c>
      <c r="G1464" s="14">
        <v>1080</v>
      </c>
      <c r="H1464" s="14">
        <v>12.8</v>
      </c>
      <c r="I1464" s="14">
        <v>9417.6</v>
      </c>
      <c r="J1464" s="12" t="s">
        <v>104</v>
      </c>
      <c r="K1464" s="12" t="s">
        <v>150</v>
      </c>
      <c r="L1464" s="23" t="str">
        <f>VLOOKUP(D1464,Products!$A:$F,3,FALSE)</f>
        <v>Home</v>
      </c>
      <c r="M1464" s="23" t="str">
        <f>VLOOKUP(E1464,Sales_Reps!$A:$E,3,FALSE)</f>
        <v>East</v>
      </c>
      <c r="N1464" s="23" t="str">
        <f t="shared" si="66"/>
        <v>Apr-24</v>
      </c>
      <c r="O1464" s="23" t="str">
        <f t="shared" si="67"/>
        <v>Q2 2024</v>
      </c>
      <c r="P1464" s="23">
        <f>VLOOKUP(D1464,Products!$A:$F,4,FALSE)</f>
        <v>519</v>
      </c>
      <c r="Q1464" s="35">
        <f t="shared" si="68"/>
        <v>0.51944444444444449</v>
      </c>
    </row>
    <row r="1465" spans="1:17">
      <c r="A1465" s="12" t="s">
        <v>1971</v>
      </c>
      <c r="B1465" s="13">
        <v>45324</v>
      </c>
      <c r="C1465" s="12" t="s">
        <v>524</v>
      </c>
      <c r="D1465" s="12" t="s">
        <v>284</v>
      </c>
      <c r="E1465" s="12" t="s">
        <v>290</v>
      </c>
      <c r="F1465" s="14">
        <v>3</v>
      </c>
      <c r="G1465" s="14">
        <v>1220</v>
      </c>
      <c r="H1465" s="14">
        <v>1.9</v>
      </c>
      <c r="I1465" s="14">
        <v>3590.46</v>
      </c>
      <c r="J1465" s="12" t="s">
        <v>104</v>
      </c>
      <c r="K1465" s="12" t="s">
        <v>105</v>
      </c>
      <c r="L1465" s="23" t="str">
        <f>VLOOKUP(D1465,Products!$A:$F,3,FALSE)</f>
        <v>Electronics</v>
      </c>
      <c r="M1465" s="23" t="str">
        <f>VLOOKUP(E1465,Sales_Reps!$A:$E,3,FALSE)</f>
        <v>South</v>
      </c>
      <c r="N1465" s="23" t="str">
        <f t="shared" si="66"/>
        <v>Feb-24</v>
      </c>
      <c r="O1465" s="23" t="str">
        <f t="shared" si="67"/>
        <v>Q1 2024</v>
      </c>
      <c r="P1465" s="23">
        <f>VLOOKUP(D1465,Products!$A:$F,4,FALSE)</f>
        <v>517</v>
      </c>
      <c r="Q1465" s="35">
        <f t="shared" si="68"/>
        <v>0.57622950819672136</v>
      </c>
    </row>
    <row r="1466" spans="1:17">
      <c r="A1466" s="12" t="s">
        <v>1972</v>
      </c>
      <c r="B1466" s="13">
        <v>45479</v>
      </c>
      <c r="C1466" s="12" t="s">
        <v>1973</v>
      </c>
      <c r="D1466" s="12" t="s">
        <v>243</v>
      </c>
      <c r="E1466" s="12" t="s">
        <v>221</v>
      </c>
      <c r="F1466" s="14">
        <v>1</v>
      </c>
      <c r="G1466" s="14">
        <v>3730</v>
      </c>
      <c r="H1466" s="14">
        <v>14.7</v>
      </c>
      <c r="I1466" s="14">
        <v>3181.69</v>
      </c>
      <c r="J1466" s="12" t="s">
        <v>110</v>
      </c>
      <c r="K1466" s="12" t="s">
        <v>105</v>
      </c>
      <c r="L1466" s="23" t="str">
        <f>VLOOKUP(D1466,Products!$A:$F,3,FALSE)</f>
        <v>Home</v>
      </c>
      <c r="M1466" s="23" t="str">
        <f>VLOOKUP(E1466,Sales_Reps!$A:$E,3,FALSE)</f>
        <v>South</v>
      </c>
      <c r="N1466" s="23" t="str">
        <f t="shared" si="66"/>
        <v>Jul-24</v>
      </c>
      <c r="O1466" s="23" t="str">
        <f t="shared" si="67"/>
        <v>Q3 2024</v>
      </c>
      <c r="P1466" s="23">
        <f>VLOOKUP(D1466,Products!$A:$F,4,FALSE)</f>
        <v>2135</v>
      </c>
      <c r="Q1466" s="35">
        <f t="shared" si="68"/>
        <v>0.42761394101876676</v>
      </c>
    </row>
    <row r="1467" spans="1:17">
      <c r="A1467" s="12" t="s">
        <v>1974</v>
      </c>
      <c r="B1467" s="13">
        <v>45628</v>
      </c>
      <c r="C1467" s="12" t="s">
        <v>203</v>
      </c>
      <c r="D1467" s="12" t="s">
        <v>137</v>
      </c>
      <c r="E1467" s="12" t="s">
        <v>232</v>
      </c>
      <c r="F1467" s="14">
        <v>3</v>
      </c>
      <c r="G1467" s="14">
        <v>1430</v>
      </c>
      <c r="H1467" s="14">
        <v>13.2</v>
      </c>
      <c r="I1467" s="14">
        <v>3723.72</v>
      </c>
      <c r="J1467" s="12" t="s">
        <v>104</v>
      </c>
      <c r="K1467" s="12" t="s">
        <v>111</v>
      </c>
      <c r="L1467" s="23" t="str">
        <f>VLOOKUP(D1467,Products!$A:$F,3,FALSE)</f>
        <v>Electronics</v>
      </c>
      <c r="M1467" s="23" t="str">
        <f>VLOOKUP(E1467,Sales_Reps!$A:$E,3,FALSE)</f>
        <v>North</v>
      </c>
      <c r="N1467" s="23" t="str">
        <f t="shared" si="66"/>
        <v>Dec-24</v>
      </c>
      <c r="O1467" s="23" t="str">
        <f t="shared" si="67"/>
        <v>Q4 2024</v>
      </c>
      <c r="P1467" s="23">
        <f>VLOOKUP(D1467,Products!$A:$F,4,FALSE)</f>
        <v>861</v>
      </c>
      <c r="Q1467" s="35">
        <f t="shared" si="68"/>
        <v>0.39790209790209791</v>
      </c>
    </row>
    <row r="1468" spans="1:17">
      <c r="A1468" s="12" t="s">
        <v>1975</v>
      </c>
      <c r="B1468" s="13">
        <v>45413</v>
      </c>
      <c r="C1468" s="12" t="s">
        <v>207</v>
      </c>
      <c r="D1468" s="12" t="s">
        <v>258</v>
      </c>
      <c r="E1468" s="12" t="s">
        <v>320</v>
      </c>
      <c r="F1468" s="14">
        <v>2</v>
      </c>
      <c r="G1468" s="14">
        <v>6080</v>
      </c>
      <c r="H1468" s="14">
        <v>21.8</v>
      </c>
      <c r="I1468" s="14">
        <v>9509.1200000000008</v>
      </c>
      <c r="J1468" s="12" t="s">
        <v>157</v>
      </c>
      <c r="K1468" s="12" t="s">
        <v>150</v>
      </c>
      <c r="L1468" s="23" t="str">
        <f>VLOOKUP(D1468,Products!$A:$F,3,FALSE)</f>
        <v>Beauty</v>
      </c>
      <c r="M1468" s="23" t="str">
        <f>VLOOKUP(E1468,Sales_Reps!$A:$E,3,FALSE)</f>
        <v>East</v>
      </c>
      <c r="N1468" s="23" t="str">
        <f t="shared" si="66"/>
        <v>May-24</v>
      </c>
      <c r="O1468" s="23" t="str">
        <f t="shared" si="67"/>
        <v>Q2 2024</v>
      </c>
      <c r="P1468" s="23">
        <f>VLOOKUP(D1468,Products!$A:$F,4,FALSE)</f>
        <v>2617</v>
      </c>
      <c r="Q1468" s="35">
        <f t="shared" si="68"/>
        <v>0.56957236842105263</v>
      </c>
    </row>
    <row r="1469" spans="1:17">
      <c r="A1469" s="12" t="s">
        <v>1976</v>
      </c>
      <c r="B1469" s="13">
        <v>45343</v>
      </c>
      <c r="C1469" s="12" t="s">
        <v>697</v>
      </c>
      <c r="D1469" s="12" t="s">
        <v>208</v>
      </c>
      <c r="E1469" s="12" t="s">
        <v>205</v>
      </c>
      <c r="F1469" s="14">
        <v>9</v>
      </c>
      <c r="G1469" s="14">
        <v>5100</v>
      </c>
      <c r="H1469" s="14">
        <v>29.3</v>
      </c>
      <c r="I1469" s="14">
        <v>32451.3</v>
      </c>
      <c r="J1469" s="12" t="s">
        <v>104</v>
      </c>
      <c r="K1469" s="12" t="s">
        <v>111</v>
      </c>
      <c r="L1469" s="23" t="str">
        <f>VLOOKUP(D1469,Products!$A:$F,3,FALSE)</f>
        <v>Beauty</v>
      </c>
      <c r="M1469" s="23" t="str">
        <f>VLOOKUP(E1469,Sales_Reps!$A:$E,3,FALSE)</f>
        <v>South</v>
      </c>
      <c r="N1469" s="23" t="str">
        <f t="shared" si="66"/>
        <v>Feb-24</v>
      </c>
      <c r="O1469" s="23" t="str">
        <f t="shared" si="67"/>
        <v>Q1 2024</v>
      </c>
      <c r="P1469" s="23">
        <f>VLOOKUP(D1469,Products!$A:$F,4,FALSE)</f>
        <v>2237</v>
      </c>
      <c r="Q1469" s="35">
        <f t="shared" si="68"/>
        <v>0.56137254901960787</v>
      </c>
    </row>
    <row r="1470" spans="1:17">
      <c r="A1470" s="12" t="s">
        <v>1977</v>
      </c>
      <c r="B1470" s="13">
        <v>45424</v>
      </c>
      <c r="C1470" s="12" t="s">
        <v>922</v>
      </c>
      <c r="D1470" s="12" t="s">
        <v>469</v>
      </c>
      <c r="E1470" s="12" t="s">
        <v>115</v>
      </c>
      <c r="F1470" s="14">
        <v>5</v>
      </c>
      <c r="G1470" s="14">
        <v>3450</v>
      </c>
      <c r="H1470" s="14">
        <v>5.3</v>
      </c>
      <c r="I1470" s="14">
        <v>16335.75</v>
      </c>
      <c r="J1470" s="12" t="s">
        <v>104</v>
      </c>
      <c r="K1470" s="12" t="s">
        <v>129</v>
      </c>
      <c r="L1470" s="23" t="str">
        <f>VLOOKUP(D1470,Products!$A:$F,3,FALSE)</f>
        <v>Apparel</v>
      </c>
      <c r="M1470" s="23" t="str">
        <f>VLOOKUP(E1470,Sales_Reps!$A:$E,3,FALSE)</f>
        <v>South</v>
      </c>
      <c r="N1470" s="23" t="str">
        <f t="shared" si="66"/>
        <v>May-24</v>
      </c>
      <c r="O1470" s="23" t="str">
        <f t="shared" si="67"/>
        <v>Q2 2024</v>
      </c>
      <c r="P1470" s="23">
        <f>VLOOKUP(D1470,Products!$A:$F,4,FALSE)</f>
        <v>1748</v>
      </c>
      <c r="Q1470" s="35">
        <f t="shared" si="68"/>
        <v>0.49333333333333335</v>
      </c>
    </row>
    <row r="1471" spans="1:17">
      <c r="A1471" s="12" t="s">
        <v>1978</v>
      </c>
      <c r="B1471" s="13">
        <v>45632</v>
      </c>
      <c r="C1471" s="12" t="s">
        <v>405</v>
      </c>
      <c r="D1471" s="12" t="s">
        <v>204</v>
      </c>
      <c r="E1471" s="12" t="s">
        <v>314</v>
      </c>
      <c r="F1471" s="14">
        <v>6</v>
      </c>
      <c r="G1471" s="14">
        <v>3570</v>
      </c>
      <c r="H1471" s="14">
        <v>17.3</v>
      </c>
      <c r="I1471" s="14">
        <v>17714.34</v>
      </c>
      <c r="J1471" s="12" t="s">
        <v>104</v>
      </c>
      <c r="K1471" s="12" t="s">
        <v>150</v>
      </c>
      <c r="L1471" s="23" t="str">
        <f>VLOOKUP(D1471,Products!$A:$F,3,FALSE)</f>
        <v>Electronics</v>
      </c>
      <c r="M1471" s="23" t="str">
        <f>VLOOKUP(E1471,Sales_Reps!$A:$E,3,FALSE)</f>
        <v>North</v>
      </c>
      <c r="N1471" s="23" t="str">
        <f t="shared" si="66"/>
        <v>Dec-24</v>
      </c>
      <c r="O1471" s="23" t="str">
        <f t="shared" si="67"/>
        <v>Q4 2024</v>
      </c>
      <c r="P1471" s="23">
        <f>VLOOKUP(D1471,Products!$A:$F,4,FALSE)</f>
        <v>1665</v>
      </c>
      <c r="Q1471" s="35">
        <f t="shared" si="68"/>
        <v>0.53361344537815125</v>
      </c>
    </row>
    <row r="1472" spans="1:17">
      <c r="A1472" s="12" t="s">
        <v>1979</v>
      </c>
      <c r="B1472" s="13">
        <v>45444</v>
      </c>
      <c r="C1472" s="12" t="s">
        <v>306</v>
      </c>
      <c r="D1472" s="12" t="s">
        <v>243</v>
      </c>
      <c r="E1472" s="12" t="s">
        <v>320</v>
      </c>
      <c r="F1472" s="14">
        <v>6</v>
      </c>
      <c r="G1472" s="14">
        <v>3730</v>
      </c>
      <c r="H1472" s="14">
        <v>1</v>
      </c>
      <c r="I1472" s="14">
        <v>22156.2</v>
      </c>
      <c r="J1472" s="12" t="s">
        <v>104</v>
      </c>
      <c r="K1472" s="12" t="s">
        <v>111</v>
      </c>
      <c r="L1472" s="23" t="str">
        <f>VLOOKUP(D1472,Products!$A:$F,3,FALSE)</f>
        <v>Home</v>
      </c>
      <c r="M1472" s="23" t="str">
        <f>VLOOKUP(E1472,Sales_Reps!$A:$E,3,FALSE)</f>
        <v>East</v>
      </c>
      <c r="N1472" s="23" t="str">
        <f t="shared" si="66"/>
        <v>Jun-24</v>
      </c>
      <c r="O1472" s="23" t="str">
        <f t="shared" si="67"/>
        <v>Q2 2024</v>
      </c>
      <c r="P1472" s="23">
        <f>VLOOKUP(D1472,Products!$A:$F,4,FALSE)</f>
        <v>2135</v>
      </c>
      <c r="Q1472" s="35">
        <f t="shared" si="68"/>
        <v>0.42761394101876676</v>
      </c>
    </row>
    <row r="1473" spans="1:17">
      <c r="A1473" s="12" t="s">
        <v>1980</v>
      </c>
      <c r="B1473" s="13">
        <v>45545</v>
      </c>
      <c r="C1473" s="12" t="s">
        <v>1055</v>
      </c>
      <c r="D1473" s="12" t="s">
        <v>478</v>
      </c>
      <c r="E1473" s="12" t="s">
        <v>138</v>
      </c>
      <c r="F1473" s="14">
        <v>4</v>
      </c>
      <c r="G1473" s="14">
        <v>3780</v>
      </c>
      <c r="H1473" s="14">
        <v>13.1</v>
      </c>
      <c r="I1473" s="14">
        <v>13139.28</v>
      </c>
      <c r="J1473" s="12" t="s">
        <v>104</v>
      </c>
      <c r="K1473" s="12" t="s">
        <v>134</v>
      </c>
      <c r="L1473" s="23" t="str">
        <f>VLOOKUP(D1473,Products!$A:$F,3,FALSE)</f>
        <v>Sports</v>
      </c>
      <c r="M1473" s="23" t="str">
        <f>VLOOKUP(E1473,Sales_Reps!$A:$E,3,FALSE)</f>
        <v>East</v>
      </c>
      <c r="N1473" s="23" t="str">
        <f t="shared" si="66"/>
        <v>Sep-24</v>
      </c>
      <c r="O1473" s="23" t="str">
        <f t="shared" si="67"/>
        <v>Q3 2024</v>
      </c>
      <c r="P1473" s="23">
        <f>VLOOKUP(D1473,Products!$A:$F,4,FALSE)</f>
        <v>1860</v>
      </c>
      <c r="Q1473" s="35">
        <f t="shared" si="68"/>
        <v>0.50793650793650791</v>
      </c>
    </row>
    <row r="1474" spans="1:17">
      <c r="A1474" s="12" t="s">
        <v>1981</v>
      </c>
      <c r="B1474" s="13">
        <v>45511</v>
      </c>
      <c r="C1474" s="12" t="s">
        <v>627</v>
      </c>
      <c r="D1474" s="12" t="s">
        <v>372</v>
      </c>
      <c r="E1474" s="12" t="s">
        <v>290</v>
      </c>
      <c r="F1474" s="14">
        <v>1</v>
      </c>
      <c r="G1474" s="14">
        <v>2510</v>
      </c>
      <c r="H1474" s="14">
        <v>27.8</v>
      </c>
      <c r="I1474" s="14">
        <v>1812.22</v>
      </c>
      <c r="J1474" s="12" t="s">
        <v>157</v>
      </c>
      <c r="K1474" s="12" t="s">
        <v>134</v>
      </c>
      <c r="L1474" s="23" t="str">
        <f>VLOOKUP(D1474,Products!$A:$F,3,FALSE)</f>
        <v>Apparel</v>
      </c>
      <c r="M1474" s="23" t="str">
        <f>VLOOKUP(E1474,Sales_Reps!$A:$E,3,FALSE)</f>
        <v>South</v>
      </c>
      <c r="N1474" s="23" t="str">
        <f t="shared" si="66"/>
        <v>Aug-24</v>
      </c>
      <c r="O1474" s="23" t="str">
        <f t="shared" si="67"/>
        <v>Q3 2024</v>
      </c>
      <c r="P1474" s="23">
        <f>VLOOKUP(D1474,Products!$A:$F,4,FALSE)</f>
        <v>1075</v>
      </c>
      <c r="Q1474" s="35">
        <f t="shared" si="68"/>
        <v>0.57171314741035861</v>
      </c>
    </row>
    <row r="1475" spans="1:17">
      <c r="A1475" s="12" t="s">
        <v>1982</v>
      </c>
      <c r="B1475" s="13">
        <v>45577</v>
      </c>
      <c r="C1475" s="12" t="s">
        <v>814</v>
      </c>
      <c r="D1475" s="12" t="s">
        <v>220</v>
      </c>
      <c r="E1475" s="12" t="s">
        <v>103</v>
      </c>
      <c r="F1475" s="14">
        <v>9</v>
      </c>
      <c r="G1475" s="14">
        <v>660</v>
      </c>
      <c r="H1475" s="14">
        <v>29.3</v>
      </c>
      <c r="I1475" s="14">
        <v>4199.58</v>
      </c>
      <c r="J1475" s="12" t="s">
        <v>104</v>
      </c>
      <c r="K1475" s="12" t="s">
        <v>116</v>
      </c>
      <c r="L1475" s="23" t="str">
        <f>VLOOKUP(D1475,Products!$A:$F,3,FALSE)</f>
        <v>Home</v>
      </c>
      <c r="M1475" s="23" t="str">
        <f>VLOOKUP(E1475,Sales_Reps!$A:$E,3,FALSE)</f>
        <v>North</v>
      </c>
      <c r="N1475" s="23" t="str">
        <f t="shared" ref="N1475:N1538" si="69">TEXT(B1475, "mmm-yy")</f>
        <v>Oct-24</v>
      </c>
      <c r="O1475" s="23" t="str">
        <f t="shared" ref="O1475:O1538" si="70">"Q" &amp; INT((MONTH(B1475)-1)/3)+1 &amp; " " &amp; YEAR(B1475)</f>
        <v>Q4 2024</v>
      </c>
      <c r="P1475" s="23">
        <f>VLOOKUP(D1475,Products!$A:$F,4,FALSE)</f>
        <v>329</v>
      </c>
      <c r="Q1475" s="35">
        <f t="shared" ref="Q1475:Q1538" si="71">(G1475 - P1475) / G1475</f>
        <v>0.50151515151515147</v>
      </c>
    </row>
    <row r="1476" spans="1:17">
      <c r="A1476" s="12" t="s">
        <v>1983</v>
      </c>
      <c r="B1476" s="13">
        <v>45507</v>
      </c>
      <c r="C1476" s="12" t="s">
        <v>1053</v>
      </c>
      <c r="D1476" s="12" t="s">
        <v>254</v>
      </c>
      <c r="E1476" s="12" t="s">
        <v>187</v>
      </c>
      <c r="F1476" s="14">
        <v>7</v>
      </c>
      <c r="G1476" s="14">
        <v>3640</v>
      </c>
      <c r="H1476" s="14">
        <v>11.6</v>
      </c>
      <c r="I1476" s="14">
        <v>22524.32</v>
      </c>
      <c r="J1476" s="12" t="s">
        <v>104</v>
      </c>
      <c r="K1476" s="12" t="s">
        <v>129</v>
      </c>
      <c r="L1476" s="23" t="str">
        <f>VLOOKUP(D1476,Products!$A:$F,3,FALSE)</f>
        <v>Apparel</v>
      </c>
      <c r="M1476" s="23" t="str">
        <f>VLOOKUP(E1476,Sales_Reps!$A:$E,3,FALSE)</f>
        <v>West</v>
      </c>
      <c r="N1476" s="23" t="str">
        <f t="shared" si="69"/>
        <v>Aug-24</v>
      </c>
      <c r="O1476" s="23" t="str">
        <f t="shared" si="70"/>
        <v>Q3 2024</v>
      </c>
      <c r="P1476" s="23">
        <f>VLOOKUP(D1476,Products!$A:$F,4,FALSE)</f>
        <v>2611</v>
      </c>
      <c r="Q1476" s="35">
        <f t="shared" si="71"/>
        <v>0.28269230769230769</v>
      </c>
    </row>
    <row r="1477" spans="1:17">
      <c r="A1477" s="12" t="s">
        <v>1984</v>
      </c>
      <c r="B1477" s="13">
        <v>45415</v>
      </c>
      <c r="C1477" s="12" t="s">
        <v>1003</v>
      </c>
      <c r="D1477" s="12" t="s">
        <v>377</v>
      </c>
      <c r="E1477" s="12" t="s">
        <v>138</v>
      </c>
      <c r="F1477" s="14">
        <v>8</v>
      </c>
      <c r="G1477" s="14">
        <v>5410</v>
      </c>
      <c r="H1477" s="14">
        <v>25.6</v>
      </c>
      <c r="I1477" s="14">
        <v>32200.32</v>
      </c>
      <c r="J1477" s="12" t="s">
        <v>104</v>
      </c>
      <c r="K1477" s="12" t="s">
        <v>111</v>
      </c>
      <c r="L1477" s="23" t="str">
        <f>VLOOKUP(D1477,Products!$A:$F,3,FALSE)</f>
        <v>Sports</v>
      </c>
      <c r="M1477" s="23" t="str">
        <f>VLOOKUP(E1477,Sales_Reps!$A:$E,3,FALSE)</f>
        <v>East</v>
      </c>
      <c r="N1477" s="23" t="str">
        <f t="shared" si="69"/>
        <v>May-24</v>
      </c>
      <c r="O1477" s="23" t="str">
        <f t="shared" si="70"/>
        <v>Q2 2024</v>
      </c>
      <c r="P1477" s="23">
        <f>VLOOKUP(D1477,Products!$A:$F,4,FALSE)</f>
        <v>2265</v>
      </c>
      <c r="Q1477" s="35">
        <f t="shared" si="71"/>
        <v>0.58133086876155271</v>
      </c>
    </row>
    <row r="1478" spans="1:17">
      <c r="A1478" s="12" t="s">
        <v>1985</v>
      </c>
      <c r="B1478" s="13">
        <v>45342</v>
      </c>
      <c r="C1478" s="12" t="s">
        <v>987</v>
      </c>
      <c r="D1478" s="12" t="s">
        <v>168</v>
      </c>
      <c r="E1478" s="12" t="s">
        <v>124</v>
      </c>
      <c r="F1478" s="14">
        <v>4</v>
      </c>
      <c r="G1478" s="14">
        <v>2400</v>
      </c>
      <c r="H1478" s="14">
        <v>10.4</v>
      </c>
      <c r="I1478" s="14">
        <v>8601.6</v>
      </c>
      <c r="J1478" s="12" t="s">
        <v>104</v>
      </c>
      <c r="K1478" s="12" t="s">
        <v>129</v>
      </c>
      <c r="L1478" s="23" t="str">
        <f>VLOOKUP(D1478,Products!$A:$F,3,FALSE)</f>
        <v>Sports</v>
      </c>
      <c r="M1478" s="23" t="str">
        <f>VLOOKUP(E1478,Sales_Reps!$A:$E,3,FALSE)</f>
        <v>North</v>
      </c>
      <c r="N1478" s="23" t="str">
        <f t="shared" si="69"/>
        <v>Feb-24</v>
      </c>
      <c r="O1478" s="23" t="str">
        <f t="shared" si="70"/>
        <v>Q1 2024</v>
      </c>
      <c r="P1478" s="23">
        <f>VLOOKUP(D1478,Products!$A:$F,4,FALSE)</f>
        <v>974</v>
      </c>
      <c r="Q1478" s="35">
        <f t="shared" si="71"/>
        <v>0.59416666666666662</v>
      </c>
    </row>
    <row r="1479" spans="1:17">
      <c r="A1479" s="12" t="s">
        <v>1986</v>
      </c>
      <c r="B1479" s="13">
        <v>45333</v>
      </c>
      <c r="C1479" s="12" t="s">
        <v>489</v>
      </c>
      <c r="D1479" s="12" t="s">
        <v>141</v>
      </c>
      <c r="E1479" s="12" t="s">
        <v>145</v>
      </c>
      <c r="F1479" s="14">
        <v>2</v>
      </c>
      <c r="G1479" s="14">
        <v>5490</v>
      </c>
      <c r="H1479" s="14">
        <v>5.4</v>
      </c>
      <c r="I1479" s="14">
        <v>10387.08</v>
      </c>
      <c r="J1479" s="12" t="s">
        <v>104</v>
      </c>
      <c r="K1479" s="12" t="s">
        <v>111</v>
      </c>
      <c r="L1479" s="23" t="str">
        <f>VLOOKUP(D1479,Products!$A:$F,3,FALSE)</f>
        <v>Home</v>
      </c>
      <c r="M1479" s="23" t="str">
        <f>VLOOKUP(E1479,Sales_Reps!$A:$E,3,FALSE)</f>
        <v>West</v>
      </c>
      <c r="N1479" s="23" t="str">
        <f t="shared" si="69"/>
        <v>Feb-24</v>
      </c>
      <c r="O1479" s="23" t="str">
        <f t="shared" si="70"/>
        <v>Q1 2024</v>
      </c>
      <c r="P1479" s="23">
        <f>VLOOKUP(D1479,Products!$A:$F,4,FALSE)</f>
        <v>2549</v>
      </c>
      <c r="Q1479" s="35">
        <f t="shared" si="71"/>
        <v>0.53570127504553733</v>
      </c>
    </row>
    <row r="1480" spans="1:17">
      <c r="A1480" s="12" t="s">
        <v>1987</v>
      </c>
      <c r="B1480" s="13">
        <v>45516</v>
      </c>
      <c r="C1480" s="12" t="s">
        <v>1248</v>
      </c>
      <c r="D1480" s="12" t="s">
        <v>276</v>
      </c>
      <c r="E1480" s="12" t="s">
        <v>363</v>
      </c>
      <c r="F1480" s="14">
        <v>6</v>
      </c>
      <c r="G1480" s="14">
        <v>1540</v>
      </c>
      <c r="H1480" s="14">
        <v>0.6</v>
      </c>
      <c r="I1480" s="14">
        <v>9184.56</v>
      </c>
      <c r="J1480" s="12" t="s">
        <v>104</v>
      </c>
      <c r="K1480" s="12" t="s">
        <v>105</v>
      </c>
      <c r="L1480" s="23" t="str">
        <f>VLOOKUP(D1480,Products!$A:$F,3,FALSE)</f>
        <v>Beauty</v>
      </c>
      <c r="M1480" s="23" t="str">
        <f>VLOOKUP(E1480,Sales_Reps!$A:$E,3,FALSE)</f>
        <v>South</v>
      </c>
      <c r="N1480" s="23" t="str">
        <f t="shared" si="69"/>
        <v>Aug-24</v>
      </c>
      <c r="O1480" s="23" t="str">
        <f t="shared" si="70"/>
        <v>Q3 2024</v>
      </c>
      <c r="P1480" s="23">
        <f>VLOOKUP(D1480,Products!$A:$F,4,FALSE)</f>
        <v>647</v>
      </c>
      <c r="Q1480" s="35">
        <f t="shared" si="71"/>
        <v>0.57987012987012987</v>
      </c>
    </row>
    <row r="1481" spans="1:17">
      <c r="A1481" s="12" t="s">
        <v>1988</v>
      </c>
      <c r="B1481" s="13">
        <v>45343</v>
      </c>
      <c r="C1481" s="12" t="s">
        <v>925</v>
      </c>
      <c r="D1481" s="12" t="s">
        <v>381</v>
      </c>
      <c r="E1481" s="12" t="s">
        <v>232</v>
      </c>
      <c r="F1481" s="14">
        <v>3</v>
      </c>
      <c r="G1481" s="14">
        <v>5330</v>
      </c>
      <c r="H1481" s="14">
        <v>1</v>
      </c>
      <c r="I1481" s="14">
        <v>15830.1</v>
      </c>
      <c r="J1481" s="12" t="s">
        <v>110</v>
      </c>
      <c r="K1481" s="12" t="s">
        <v>150</v>
      </c>
      <c r="L1481" s="23" t="str">
        <f>VLOOKUP(D1481,Products!$A:$F,3,FALSE)</f>
        <v>Electronics</v>
      </c>
      <c r="M1481" s="23" t="str">
        <f>VLOOKUP(E1481,Sales_Reps!$A:$E,3,FALSE)</f>
        <v>North</v>
      </c>
      <c r="N1481" s="23" t="str">
        <f t="shared" si="69"/>
        <v>Feb-24</v>
      </c>
      <c r="O1481" s="23" t="str">
        <f t="shared" si="70"/>
        <v>Q1 2024</v>
      </c>
      <c r="P1481" s="23">
        <f>VLOOKUP(D1481,Products!$A:$F,4,FALSE)</f>
        <v>2405</v>
      </c>
      <c r="Q1481" s="35">
        <f t="shared" si="71"/>
        <v>0.54878048780487809</v>
      </c>
    </row>
    <row r="1482" spans="1:17">
      <c r="A1482" s="12" t="s">
        <v>1989</v>
      </c>
      <c r="B1482" s="13">
        <v>45522</v>
      </c>
      <c r="C1482" s="12" t="s">
        <v>1592</v>
      </c>
      <c r="D1482" s="12" t="s">
        <v>212</v>
      </c>
      <c r="E1482" s="12" t="s">
        <v>342</v>
      </c>
      <c r="F1482" s="14">
        <v>6</v>
      </c>
      <c r="G1482" s="14">
        <v>2860</v>
      </c>
      <c r="H1482" s="14">
        <v>13.3</v>
      </c>
      <c r="I1482" s="14">
        <v>14877.72</v>
      </c>
      <c r="J1482" s="12" t="s">
        <v>104</v>
      </c>
      <c r="K1482" s="12" t="s">
        <v>150</v>
      </c>
      <c r="L1482" s="23" t="str">
        <f>VLOOKUP(D1482,Products!$A:$F,3,FALSE)</f>
        <v>Sports</v>
      </c>
      <c r="M1482" s="23" t="str">
        <f>VLOOKUP(E1482,Sales_Reps!$A:$E,3,FALSE)</f>
        <v>South</v>
      </c>
      <c r="N1482" s="23" t="str">
        <f t="shared" si="69"/>
        <v>Aug-24</v>
      </c>
      <c r="O1482" s="23" t="str">
        <f t="shared" si="70"/>
        <v>Q3 2024</v>
      </c>
      <c r="P1482" s="23">
        <f>VLOOKUP(D1482,Products!$A:$F,4,FALSE)</f>
        <v>2028</v>
      </c>
      <c r="Q1482" s="35">
        <f t="shared" si="71"/>
        <v>0.29090909090909089</v>
      </c>
    </row>
    <row r="1483" spans="1:17">
      <c r="A1483" s="12" t="s">
        <v>1990</v>
      </c>
      <c r="B1483" s="13">
        <v>45305</v>
      </c>
      <c r="C1483" s="12" t="s">
        <v>623</v>
      </c>
      <c r="D1483" s="12" t="s">
        <v>201</v>
      </c>
      <c r="E1483" s="12" t="s">
        <v>120</v>
      </c>
      <c r="F1483" s="14">
        <v>3</v>
      </c>
      <c r="G1483" s="14">
        <v>4880</v>
      </c>
      <c r="H1483" s="14">
        <v>12.1</v>
      </c>
      <c r="I1483" s="14">
        <v>12868.56</v>
      </c>
      <c r="J1483" s="12" t="s">
        <v>104</v>
      </c>
      <c r="K1483" s="12" t="s">
        <v>129</v>
      </c>
      <c r="L1483" s="23" t="str">
        <f>VLOOKUP(D1483,Products!$A:$F,3,FALSE)</f>
        <v>Beauty</v>
      </c>
      <c r="M1483" s="23" t="str">
        <f>VLOOKUP(E1483,Sales_Reps!$A:$E,3,FALSE)</f>
        <v>North</v>
      </c>
      <c r="N1483" s="23" t="str">
        <f t="shared" si="69"/>
        <v>Jan-24</v>
      </c>
      <c r="O1483" s="23" t="str">
        <f t="shared" si="70"/>
        <v>Q1 2024</v>
      </c>
      <c r="P1483" s="23">
        <f>VLOOKUP(D1483,Products!$A:$F,4,FALSE)</f>
        <v>2768</v>
      </c>
      <c r="Q1483" s="35">
        <f t="shared" si="71"/>
        <v>0.43278688524590164</v>
      </c>
    </row>
    <row r="1484" spans="1:17">
      <c r="A1484" s="12" t="s">
        <v>1991</v>
      </c>
      <c r="B1484" s="13">
        <v>45353</v>
      </c>
      <c r="C1484" s="12" t="s">
        <v>491</v>
      </c>
      <c r="D1484" s="12" t="s">
        <v>372</v>
      </c>
      <c r="E1484" s="12" t="s">
        <v>109</v>
      </c>
      <c r="F1484" s="14">
        <v>5</v>
      </c>
      <c r="G1484" s="14">
        <v>2510</v>
      </c>
      <c r="H1484" s="14">
        <v>2.9</v>
      </c>
      <c r="I1484" s="14">
        <v>12186.05</v>
      </c>
      <c r="J1484" s="12" t="s">
        <v>110</v>
      </c>
      <c r="K1484" s="12" t="s">
        <v>116</v>
      </c>
      <c r="L1484" s="23" t="str">
        <f>VLOOKUP(D1484,Products!$A:$F,3,FALSE)</f>
        <v>Apparel</v>
      </c>
      <c r="M1484" s="23" t="str">
        <f>VLOOKUP(E1484,Sales_Reps!$A:$E,3,FALSE)</f>
        <v>North</v>
      </c>
      <c r="N1484" s="23" t="str">
        <f t="shared" si="69"/>
        <v>Mar-24</v>
      </c>
      <c r="O1484" s="23" t="str">
        <f t="shared" si="70"/>
        <v>Q1 2024</v>
      </c>
      <c r="P1484" s="23">
        <f>VLOOKUP(D1484,Products!$A:$F,4,FALSE)</f>
        <v>1075</v>
      </c>
      <c r="Q1484" s="35">
        <f t="shared" si="71"/>
        <v>0.57171314741035861</v>
      </c>
    </row>
    <row r="1485" spans="1:17">
      <c r="A1485" s="12" t="s">
        <v>1992</v>
      </c>
      <c r="B1485" s="13">
        <v>45525</v>
      </c>
      <c r="C1485" s="12" t="s">
        <v>1993</v>
      </c>
      <c r="D1485" s="12" t="s">
        <v>425</v>
      </c>
      <c r="E1485" s="12" t="s">
        <v>209</v>
      </c>
      <c r="F1485" s="14">
        <v>9</v>
      </c>
      <c r="G1485" s="14">
        <v>3970</v>
      </c>
      <c r="H1485" s="14">
        <v>28</v>
      </c>
      <c r="I1485" s="14">
        <v>25725.599999999999</v>
      </c>
      <c r="J1485" s="12" t="s">
        <v>104</v>
      </c>
      <c r="K1485" s="12" t="s">
        <v>105</v>
      </c>
      <c r="L1485" s="23" t="str">
        <f>VLOOKUP(D1485,Products!$A:$F,3,FALSE)</f>
        <v>Electronics</v>
      </c>
      <c r="M1485" s="23" t="str">
        <f>VLOOKUP(E1485,Sales_Reps!$A:$E,3,FALSE)</f>
        <v>East</v>
      </c>
      <c r="N1485" s="23" t="str">
        <f t="shared" si="69"/>
        <v>Aug-24</v>
      </c>
      <c r="O1485" s="23" t="str">
        <f t="shared" si="70"/>
        <v>Q3 2024</v>
      </c>
      <c r="P1485" s="23">
        <f>VLOOKUP(D1485,Products!$A:$F,4,FALSE)</f>
        <v>2865</v>
      </c>
      <c r="Q1485" s="35">
        <f t="shared" si="71"/>
        <v>0.27833753148614609</v>
      </c>
    </row>
    <row r="1486" spans="1:17">
      <c r="A1486" s="12" t="s">
        <v>1994</v>
      </c>
      <c r="B1486" s="13">
        <v>45593</v>
      </c>
      <c r="C1486" s="12" t="s">
        <v>1234</v>
      </c>
      <c r="D1486" s="12" t="s">
        <v>114</v>
      </c>
      <c r="E1486" s="12" t="s">
        <v>360</v>
      </c>
      <c r="F1486" s="14">
        <v>4</v>
      </c>
      <c r="G1486" s="14">
        <v>470</v>
      </c>
      <c r="H1486" s="14">
        <v>19.100000000000001</v>
      </c>
      <c r="I1486" s="14">
        <v>1520.92</v>
      </c>
      <c r="J1486" s="12" t="s">
        <v>110</v>
      </c>
      <c r="K1486" s="12" t="s">
        <v>129</v>
      </c>
      <c r="L1486" s="23" t="str">
        <f>VLOOKUP(D1486,Products!$A:$F,3,FALSE)</f>
        <v>Sports</v>
      </c>
      <c r="M1486" s="23" t="str">
        <f>VLOOKUP(E1486,Sales_Reps!$A:$E,3,FALSE)</f>
        <v>West</v>
      </c>
      <c r="N1486" s="23" t="str">
        <f t="shared" si="69"/>
        <v>Oct-24</v>
      </c>
      <c r="O1486" s="23" t="str">
        <f t="shared" si="70"/>
        <v>Q4 2024</v>
      </c>
      <c r="P1486" s="23">
        <f>VLOOKUP(D1486,Products!$A:$F,4,FALSE)</f>
        <v>302</v>
      </c>
      <c r="Q1486" s="35">
        <f t="shared" si="71"/>
        <v>0.35744680851063831</v>
      </c>
    </row>
    <row r="1487" spans="1:17">
      <c r="A1487" s="12" t="s">
        <v>1995</v>
      </c>
      <c r="B1487" s="13">
        <v>45550</v>
      </c>
      <c r="C1487" s="12" t="s">
        <v>316</v>
      </c>
      <c r="D1487" s="12" t="s">
        <v>381</v>
      </c>
      <c r="E1487" s="12" t="s">
        <v>128</v>
      </c>
      <c r="F1487" s="14">
        <v>7</v>
      </c>
      <c r="G1487" s="14">
        <v>5330</v>
      </c>
      <c r="H1487" s="14">
        <v>17.2</v>
      </c>
      <c r="I1487" s="14">
        <v>30892.68</v>
      </c>
      <c r="J1487" s="12" t="s">
        <v>157</v>
      </c>
      <c r="K1487" s="12" t="s">
        <v>150</v>
      </c>
      <c r="L1487" s="23" t="str">
        <f>VLOOKUP(D1487,Products!$A:$F,3,FALSE)</f>
        <v>Electronics</v>
      </c>
      <c r="M1487" s="23" t="str">
        <f>VLOOKUP(E1487,Sales_Reps!$A:$E,3,FALSE)</f>
        <v>West</v>
      </c>
      <c r="N1487" s="23" t="str">
        <f t="shared" si="69"/>
        <v>Sep-24</v>
      </c>
      <c r="O1487" s="23" t="str">
        <f t="shared" si="70"/>
        <v>Q3 2024</v>
      </c>
      <c r="P1487" s="23">
        <f>VLOOKUP(D1487,Products!$A:$F,4,FALSE)</f>
        <v>2405</v>
      </c>
      <c r="Q1487" s="35">
        <f t="shared" si="71"/>
        <v>0.54878048780487809</v>
      </c>
    </row>
    <row r="1488" spans="1:17">
      <c r="A1488" s="12" t="s">
        <v>1996</v>
      </c>
      <c r="B1488" s="13">
        <v>45511</v>
      </c>
      <c r="C1488" s="12" t="s">
        <v>170</v>
      </c>
      <c r="D1488" s="12" t="s">
        <v>519</v>
      </c>
      <c r="E1488" s="12" t="s">
        <v>342</v>
      </c>
      <c r="F1488" s="14">
        <v>4</v>
      </c>
      <c r="G1488" s="14">
        <v>1090</v>
      </c>
      <c r="H1488" s="14">
        <v>4.9000000000000004</v>
      </c>
      <c r="I1488" s="14">
        <v>4146.3599999999997</v>
      </c>
      <c r="J1488" s="12" t="s">
        <v>157</v>
      </c>
      <c r="K1488" s="12" t="s">
        <v>134</v>
      </c>
      <c r="L1488" s="23" t="str">
        <f>VLOOKUP(D1488,Products!$A:$F,3,FALSE)</f>
        <v>Home</v>
      </c>
      <c r="M1488" s="23" t="str">
        <f>VLOOKUP(E1488,Sales_Reps!$A:$E,3,FALSE)</f>
        <v>South</v>
      </c>
      <c r="N1488" s="23" t="str">
        <f t="shared" si="69"/>
        <v>Aug-24</v>
      </c>
      <c r="O1488" s="23" t="str">
        <f t="shared" si="70"/>
        <v>Q3 2024</v>
      </c>
      <c r="P1488" s="23">
        <f>VLOOKUP(D1488,Products!$A:$F,4,FALSE)</f>
        <v>464</v>
      </c>
      <c r="Q1488" s="35">
        <f t="shared" si="71"/>
        <v>0.57431192660550456</v>
      </c>
    </row>
    <row r="1489" spans="1:17">
      <c r="A1489" s="12" t="s">
        <v>1997</v>
      </c>
      <c r="B1489" s="13">
        <v>45456</v>
      </c>
      <c r="C1489" s="12" t="s">
        <v>457</v>
      </c>
      <c r="D1489" s="12" t="s">
        <v>199</v>
      </c>
      <c r="E1489" s="12" t="s">
        <v>221</v>
      </c>
      <c r="F1489" s="14">
        <v>2</v>
      </c>
      <c r="G1489" s="14">
        <v>1010</v>
      </c>
      <c r="H1489" s="14">
        <v>14</v>
      </c>
      <c r="I1489" s="14">
        <v>1737.2</v>
      </c>
      <c r="J1489" s="12" t="s">
        <v>104</v>
      </c>
      <c r="K1489" s="12" t="s">
        <v>105</v>
      </c>
      <c r="L1489" s="23" t="str">
        <f>VLOOKUP(D1489,Products!$A:$F,3,FALSE)</f>
        <v>Sports</v>
      </c>
      <c r="M1489" s="23" t="str">
        <f>VLOOKUP(E1489,Sales_Reps!$A:$E,3,FALSE)</f>
        <v>South</v>
      </c>
      <c r="N1489" s="23" t="str">
        <f t="shared" si="69"/>
        <v>Jun-24</v>
      </c>
      <c r="O1489" s="23" t="str">
        <f t="shared" si="70"/>
        <v>Q2 2024</v>
      </c>
      <c r="P1489" s="23">
        <f>VLOOKUP(D1489,Products!$A:$F,4,FALSE)</f>
        <v>516</v>
      </c>
      <c r="Q1489" s="35">
        <f t="shared" si="71"/>
        <v>0.4891089108910891</v>
      </c>
    </row>
    <row r="1490" spans="1:17">
      <c r="A1490" s="12" t="s">
        <v>1998</v>
      </c>
      <c r="B1490" s="13">
        <v>45343</v>
      </c>
      <c r="C1490" s="12" t="s">
        <v>625</v>
      </c>
      <c r="D1490" s="12" t="s">
        <v>265</v>
      </c>
      <c r="E1490" s="12" t="s">
        <v>363</v>
      </c>
      <c r="F1490" s="14">
        <v>9</v>
      </c>
      <c r="G1490" s="14">
        <v>3870</v>
      </c>
      <c r="H1490" s="14">
        <v>8.1999999999999993</v>
      </c>
      <c r="I1490" s="14">
        <v>31973.94</v>
      </c>
      <c r="J1490" s="12" t="s">
        <v>104</v>
      </c>
      <c r="K1490" s="12" t="s">
        <v>803</v>
      </c>
      <c r="L1490" s="23" t="str">
        <f>VLOOKUP(D1490,Products!$A:$F,3,FALSE)</f>
        <v>Electronics</v>
      </c>
      <c r="M1490" s="23" t="str">
        <f>VLOOKUP(E1490,Sales_Reps!$A:$E,3,FALSE)</f>
        <v>South</v>
      </c>
      <c r="N1490" s="23" t="str">
        <f t="shared" si="69"/>
        <v>Feb-24</v>
      </c>
      <c r="O1490" s="23" t="str">
        <f t="shared" si="70"/>
        <v>Q1 2024</v>
      </c>
      <c r="P1490" s="23">
        <f>VLOOKUP(D1490,Products!$A:$F,4,FALSE)</f>
        <v>1559</v>
      </c>
      <c r="Q1490" s="35">
        <f t="shared" si="71"/>
        <v>0.59715762273901807</v>
      </c>
    </row>
    <row r="1491" spans="1:17">
      <c r="A1491" s="12" t="s">
        <v>1999</v>
      </c>
      <c r="B1491" s="13">
        <v>45491</v>
      </c>
      <c r="C1491" s="12" t="s">
        <v>1064</v>
      </c>
      <c r="D1491" s="12" t="s">
        <v>296</v>
      </c>
      <c r="E1491" s="12" t="s">
        <v>269</v>
      </c>
      <c r="F1491" s="14">
        <v>7</v>
      </c>
      <c r="G1491" s="14">
        <v>2660</v>
      </c>
      <c r="H1491" s="14">
        <v>15.9</v>
      </c>
      <c r="I1491" s="14">
        <v>15659.42</v>
      </c>
      <c r="J1491" s="12" t="s">
        <v>104</v>
      </c>
      <c r="K1491" s="12" t="s">
        <v>150</v>
      </c>
      <c r="L1491" s="23" t="str">
        <f>VLOOKUP(D1491,Products!$A:$F,3,FALSE)</f>
        <v>Electronics</v>
      </c>
      <c r="M1491" s="23" t="str">
        <f>VLOOKUP(E1491,Sales_Reps!$A:$E,3,FALSE)</f>
        <v>South</v>
      </c>
      <c r="N1491" s="23" t="str">
        <f t="shared" si="69"/>
        <v>Jul-24</v>
      </c>
      <c r="O1491" s="23" t="str">
        <f t="shared" si="70"/>
        <v>Q3 2024</v>
      </c>
      <c r="P1491" s="23">
        <f>VLOOKUP(D1491,Products!$A:$F,4,FALSE)</f>
        <v>1259</v>
      </c>
      <c r="Q1491" s="35">
        <f t="shared" si="71"/>
        <v>0.52669172932330832</v>
      </c>
    </row>
    <row r="1492" spans="1:17">
      <c r="A1492" s="12" t="s">
        <v>2000</v>
      </c>
      <c r="B1492" s="13">
        <v>45619</v>
      </c>
      <c r="C1492" s="12" t="s">
        <v>541</v>
      </c>
      <c r="D1492" s="12" t="s">
        <v>137</v>
      </c>
      <c r="E1492" s="12" t="s">
        <v>138</v>
      </c>
      <c r="F1492" s="14">
        <v>4</v>
      </c>
      <c r="G1492" s="14">
        <v>1430</v>
      </c>
      <c r="H1492" s="14">
        <v>25.6</v>
      </c>
      <c r="I1492" s="14">
        <v>4255.68</v>
      </c>
      <c r="J1492" s="12" t="s">
        <v>104</v>
      </c>
      <c r="K1492" s="12" t="s">
        <v>129</v>
      </c>
      <c r="L1492" s="23" t="str">
        <f>VLOOKUP(D1492,Products!$A:$F,3,FALSE)</f>
        <v>Electronics</v>
      </c>
      <c r="M1492" s="23" t="str">
        <f>VLOOKUP(E1492,Sales_Reps!$A:$E,3,FALSE)</f>
        <v>East</v>
      </c>
      <c r="N1492" s="23" t="str">
        <f t="shared" si="69"/>
        <v>Nov-24</v>
      </c>
      <c r="O1492" s="23" t="str">
        <f t="shared" si="70"/>
        <v>Q4 2024</v>
      </c>
      <c r="P1492" s="23">
        <f>VLOOKUP(D1492,Products!$A:$F,4,FALSE)</f>
        <v>861</v>
      </c>
      <c r="Q1492" s="35">
        <f t="shared" si="71"/>
        <v>0.39790209790209791</v>
      </c>
    </row>
    <row r="1493" spans="1:17">
      <c r="A1493" s="12" t="s">
        <v>2001</v>
      </c>
      <c r="B1493" s="13">
        <v>45374</v>
      </c>
      <c r="C1493" s="12" t="s">
        <v>521</v>
      </c>
      <c r="D1493" s="12" t="s">
        <v>201</v>
      </c>
      <c r="E1493" s="12" t="s">
        <v>171</v>
      </c>
      <c r="F1493" s="14">
        <v>4</v>
      </c>
      <c r="G1493" s="14">
        <v>4880</v>
      </c>
      <c r="H1493" s="14">
        <v>19.399999999999999</v>
      </c>
      <c r="I1493" s="14">
        <v>15733.12</v>
      </c>
      <c r="J1493" s="12" t="s">
        <v>157</v>
      </c>
      <c r="K1493" s="12" t="s">
        <v>134</v>
      </c>
      <c r="L1493" s="23" t="str">
        <f>VLOOKUP(D1493,Products!$A:$F,3,FALSE)</f>
        <v>Beauty</v>
      </c>
      <c r="M1493" s="23" t="str">
        <f>VLOOKUP(E1493,Sales_Reps!$A:$E,3,FALSE)</f>
        <v>East</v>
      </c>
      <c r="N1493" s="23" t="str">
        <f t="shared" si="69"/>
        <v>Mar-24</v>
      </c>
      <c r="O1493" s="23" t="str">
        <f t="shared" si="70"/>
        <v>Q1 2024</v>
      </c>
      <c r="P1493" s="23">
        <f>VLOOKUP(D1493,Products!$A:$F,4,FALSE)</f>
        <v>2768</v>
      </c>
      <c r="Q1493" s="35">
        <f t="shared" si="71"/>
        <v>0.43278688524590164</v>
      </c>
    </row>
    <row r="1494" spans="1:17">
      <c r="A1494" s="12" t="s">
        <v>2002</v>
      </c>
      <c r="B1494" s="13">
        <v>45566</v>
      </c>
      <c r="C1494" s="12" t="s">
        <v>480</v>
      </c>
      <c r="D1494" s="12" t="s">
        <v>164</v>
      </c>
      <c r="E1494" s="12" t="s">
        <v>232</v>
      </c>
      <c r="F1494" s="14">
        <v>2</v>
      </c>
      <c r="G1494" s="14">
        <v>190</v>
      </c>
      <c r="H1494" s="14">
        <v>9</v>
      </c>
      <c r="I1494" s="14">
        <v>345.8</v>
      </c>
      <c r="J1494" s="12" t="s">
        <v>104</v>
      </c>
      <c r="K1494" s="12" t="s">
        <v>134</v>
      </c>
      <c r="L1494" s="23" t="str">
        <f>VLOOKUP(D1494,Products!$A:$F,3,FALSE)</f>
        <v>Sports</v>
      </c>
      <c r="M1494" s="23" t="str">
        <f>VLOOKUP(E1494,Sales_Reps!$A:$E,3,FALSE)</f>
        <v>North</v>
      </c>
      <c r="N1494" s="23" t="str">
        <f t="shared" si="69"/>
        <v>Oct-24</v>
      </c>
      <c r="O1494" s="23" t="str">
        <f t="shared" si="70"/>
        <v>Q4 2024</v>
      </c>
      <c r="P1494" s="23">
        <f>VLOOKUP(D1494,Products!$A:$F,4,FALSE)</f>
        <v>147</v>
      </c>
      <c r="Q1494" s="35">
        <f t="shared" si="71"/>
        <v>0.22631578947368422</v>
      </c>
    </row>
    <row r="1495" spans="1:17">
      <c r="A1495" s="12" t="s">
        <v>2003</v>
      </c>
      <c r="B1495" s="13">
        <v>45415</v>
      </c>
      <c r="C1495" s="12" t="s">
        <v>451</v>
      </c>
      <c r="D1495" s="12" t="s">
        <v>293</v>
      </c>
      <c r="E1495" s="12" t="s">
        <v>138</v>
      </c>
      <c r="F1495" s="14">
        <v>1</v>
      </c>
      <c r="G1495" s="14">
        <v>3020</v>
      </c>
      <c r="H1495" s="14">
        <v>3.6</v>
      </c>
      <c r="I1495" s="14">
        <v>2911.28</v>
      </c>
      <c r="J1495" s="12" t="s">
        <v>161</v>
      </c>
      <c r="K1495" s="12" t="s">
        <v>116</v>
      </c>
      <c r="L1495" s="23" t="str">
        <f>VLOOKUP(D1495,Products!$A:$F,3,FALSE)</f>
        <v>Beauty</v>
      </c>
      <c r="M1495" s="23" t="str">
        <f>VLOOKUP(E1495,Sales_Reps!$A:$E,3,FALSE)</f>
        <v>East</v>
      </c>
      <c r="N1495" s="23" t="str">
        <f t="shared" si="69"/>
        <v>May-24</v>
      </c>
      <c r="O1495" s="23" t="str">
        <f t="shared" si="70"/>
        <v>Q2 2024</v>
      </c>
      <c r="P1495" s="23">
        <f>VLOOKUP(D1495,Products!$A:$F,4,FALSE)</f>
        <v>1626</v>
      </c>
      <c r="Q1495" s="35">
        <f t="shared" si="71"/>
        <v>0.46158940397350995</v>
      </c>
    </row>
    <row r="1496" spans="1:17">
      <c r="A1496" s="12" t="s">
        <v>2004</v>
      </c>
      <c r="B1496" s="13">
        <v>45601</v>
      </c>
      <c r="C1496" s="12" t="s">
        <v>136</v>
      </c>
      <c r="D1496" s="12" t="s">
        <v>201</v>
      </c>
      <c r="E1496" s="12" t="s">
        <v>138</v>
      </c>
      <c r="F1496" s="14">
        <v>2</v>
      </c>
      <c r="G1496" s="14">
        <v>4880</v>
      </c>
      <c r="H1496" s="14">
        <v>2</v>
      </c>
      <c r="I1496" s="14">
        <v>9564.7999999999993</v>
      </c>
      <c r="J1496" s="12" t="s">
        <v>157</v>
      </c>
      <c r="K1496" s="12" t="s">
        <v>134</v>
      </c>
      <c r="L1496" s="23" t="str">
        <f>VLOOKUP(D1496,Products!$A:$F,3,FALSE)</f>
        <v>Beauty</v>
      </c>
      <c r="M1496" s="23" t="str">
        <f>VLOOKUP(E1496,Sales_Reps!$A:$E,3,FALSE)</f>
        <v>East</v>
      </c>
      <c r="N1496" s="23" t="str">
        <f t="shared" si="69"/>
        <v>Nov-24</v>
      </c>
      <c r="O1496" s="23" t="str">
        <f t="shared" si="70"/>
        <v>Q4 2024</v>
      </c>
      <c r="P1496" s="23">
        <f>VLOOKUP(D1496,Products!$A:$F,4,FALSE)</f>
        <v>2768</v>
      </c>
      <c r="Q1496" s="35">
        <f t="shared" si="71"/>
        <v>0.43278688524590164</v>
      </c>
    </row>
    <row r="1497" spans="1:17">
      <c r="A1497" s="12" t="s">
        <v>2005</v>
      </c>
      <c r="B1497" s="13">
        <v>45319</v>
      </c>
      <c r="C1497" s="12" t="s">
        <v>858</v>
      </c>
      <c r="D1497" s="12" t="s">
        <v>168</v>
      </c>
      <c r="E1497" s="12" t="s">
        <v>360</v>
      </c>
      <c r="F1497" s="14">
        <v>4</v>
      </c>
      <c r="G1497" s="14">
        <v>2400</v>
      </c>
      <c r="H1497" s="14">
        <v>11.5</v>
      </c>
      <c r="I1497" s="14">
        <v>8496</v>
      </c>
      <c r="J1497" s="12" t="s">
        <v>104</v>
      </c>
      <c r="K1497" s="12" t="s">
        <v>134</v>
      </c>
      <c r="L1497" s="23" t="str">
        <f>VLOOKUP(D1497,Products!$A:$F,3,FALSE)</f>
        <v>Sports</v>
      </c>
      <c r="M1497" s="23" t="str">
        <f>VLOOKUP(E1497,Sales_Reps!$A:$E,3,FALSE)</f>
        <v>West</v>
      </c>
      <c r="N1497" s="23" t="str">
        <f t="shared" si="69"/>
        <v>Jan-24</v>
      </c>
      <c r="O1497" s="23" t="str">
        <f t="shared" si="70"/>
        <v>Q1 2024</v>
      </c>
      <c r="P1497" s="23">
        <f>VLOOKUP(D1497,Products!$A:$F,4,FALSE)</f>
        <v>974</v>
      </c>
      <c r="Q1497" s="35">
        <f t="shared" si="71"/>
        <v>0.59416666666666662</v>
      </c>
    </row>
    <row r="1498" spans="1:17">
      <c r="A1498" s="12" t="s">
        <v>2006</v>
      </c>
      <c r="B1498" s="13">
        <v>45357</v>
      </c>
      <c r="C1498" s="12" t="s">
        <v>574</v>
      </c>
      <c r="D1498" s="12" t="s">
        <v>258</v>
      </c>
      <c r="E1498" s="12" t="s">
        <v>314</v>
      </c>
      <c r="F1498" s="14">
        <v>2</v>
      </c>
      <c r="G1498" s="14">
        <v>6080</v>
      </c>
      <c r="H1498" s="14">
        <v>0.5</v>
      </c>
      <c r="I1498" s="14">
        <v>12099.2</v>
      </c>
      <c r="J1498" s="12" t="s">
        <v>157</v>
      </c>
      <c r="K1498" s="12" t="s">
        <v>129</v>
      </c>
      <c r="L1498" s="23" t="str">
        <f>VLOOKUP(D1498,Products!$A:$F,3,FALSE)</f>
        <v>Beauty</v>
      </c>
      <c r="M1498" s="23" t="str">
        <f>VLOOKUP(E1498,Sales_Reps!$A:$E,3,FALSE)</f>
        <v>North</v>
      </c>
      <c r="N1498" s="23" t="str">
        <f t="shared" si="69"/>
        <v>Mar-24</v>
      </c>
      <c r="O1498" s="23" t="str">
        <f t="shared" si="70"/>
        <v>Q1 2024</v>
      </c>
      <c r="P1498" s="23">
        <f>VLOOKUP(D1498,Products!$A:$F,4,FALSE)</f>
        <v>2617</v>
      </c>
      <c r="Q1498" s="35">
        <f t="shared" si="71"/>
        <v>0.56957236842105263</v>
      </c>
    </row>
    <row r="1499" spans="1:17">
      <c r="A1499" s="12" t="s">
        <v>2007</v>
      </c>
      <c r="B1499" s="13">
        <v>45384</v>
      </c>
      <c r="C1499" s="12" t="s">
        <v>840</v>
      </c>
      <c r="D1499" s="12" t="s">
        <v>384</v>
      </c>
      <c r="E1499" s="12" t="s">
        <v>171</v>
      </c>
      <c r="F1499" s="14">
        <v>7</v>
      </c>
      <c r="G1499" s="14">
        <v>2380</v>
      </c>
      <c r="H1499" s="14">
        <v>12.3</v>
      </c>
      <c r="I1499" s="14">
        <v>14610.82</v>
      </c>
      <c r="J1499" s="12" t="s">
        <v>104</v>
      </c>
      <c r="K1499" s="12" t="s">
        <v>111</v>
      </c>
      <c r="L1499" s="23" t="str">
        <f>VLOOKUP(D1499,Products!$A:$F,3,FALSE)</f>
        <v>Grocery</v>
      </c>
      <c r="M1499" s="23" t="str">
        <f>VLOOKUP(E1499,Sales_Reps!$A:$E,3,FALSE)</f>
        <v>East</v>
      </c>
      <c r="N1499" s="23" t="str">
        <f t="shared" si="69"/>
        <v>Apr-24</v>
      </c>
      <c r="O1499" s="23" t="str">
        <f t="shared" si="70"/>
        <v>Q2 2024</v>
      </c>
      <c r="P1499" s="23">
        <f>VLOOKUP(D1499,Products!$A:$F,4,FALSE)</f>
        <v>1182</v>
      </c>
      <c r="Q1499" s="35">
        <f t="shared" si="71"/>
        <v>0.50336134453781511</v>
      </c>
    </row>
    <row r="1500" spans="1:17">
      <c r="A1500" s="12" t="s">
        <v>2008</v>
      </c>
      <c r="B1500" s="13">
        <v>45509</v>
      </c>
      <c r="C1500" s="12" t="s">
        <v>386</v>
      </c>
      <c r="D1500" s="12" t="s">
        <v>276</v>
      </c>
      <c r="E1500" s="12" t="s">
        <v>232</v>
      </c>
      <c r="F1500" s="14">
        <v>10</v>
      </c>
      <c r="G1500" s="14">
        <v>1540</v>
      </c>
      <c r="H1500" s="14">
        <v>20.6</v>
      </c>
      <c r="I1500" s="14">
        <v>12227.6</v>
      </c>
      <c r="J1500" s="12" t="s">
        <v>104</v>
      </c>
      <c r="K1500" s="12" t="s">
        <v>111</v>
      </c>
      <c r="L1500" s="23" t="str">
        <f>VLOOKUP(D1500,Products!$A:$F,3,FALSE)</f>
        <v>Beauty</v>
      </c>
      <c r="M1500" s="23" t="str">
        <f>VLOOKUP(E1500,Sales_Reps!$A:$E,3,FALSE)</f>
        <v>North</v>
      </c>
      <c r="N1500" s="23" t="str">
        <f t="shared" si="69"/>
        <v>Aug-24</v>
      </c>
      <c r="O1500" s="23" t="str">
        <f t="shared" si="70"/>
        <v>Q3 2024</v>
      </c>
      <c r="P1500" s="23">
        <f>VLOOKUP(D1500,Products!$A:$F,4,FALSE)</f>
        <v>647</v>
      </c>
      <c r="Q1500" s="35">
        <f t="shared" si="71"/>
        <v>0.57987012987012987</v>
      </c>
    </row>
    <row r="1501" spans="1:17">
      <c r="A1501" s="12" t="s">
        <v>2009</v>
      </c>
      <c r="B1501" s="13">
        <v>45520</v>
      </c>
      <c r="C1501" s="12" t="s">
        <v>180</v>
      </c>
      <c r="D1501" s="12" t="s">
        <v>265</v>
      </c>
      <c r="E1501" s="12" t="s">
        <v>145</v>
      </c>
      <c r="F1501" s="14">
        <v>7</v>
      </c>
      <c r="G1501" s="14">
        <v>3870</v>
      </c>
      <c r="H1501" s="14">
        <v>6.1</v>
      </c>
      <c r="I1501" s="14">
        <v>25437.51</v>
      </c>
      <c r="J1501" s="12" t="s">
        <v>104</v>
      </c>
      <c r="K1501" s="12" t="s">
        <v>111</v>
      </c>
      <c r="L1501" s="23" t="str">
        <f>VLOOKUP(D1501,Products!$A:$F,3,FALSE)</f>
        <v>Electronics</v>
      </c>
      <c r="M1501" s="23" t="str">
        <f>VLOOKUP(E1501,Sales_Reps!$A:$E,3,FALSE)</f>
        <v>West</v>
      </c>
      <c r="N1501" s="23" t="str">
        <f t="shared" si="69"/>
        <v>Aug-24</v>
      </c>
      <c r="O1501" s="23" t="str">
        <f t="shared" si="70"/>
        <v>Q3 2024</v>
      </c>
      <c r="P1501" s="23">
        <f>VLOOKUP(D1501,Products!$A:$F,4,FALSE)</f>
        <v>1559</v>
      </c>
      <c r="Q1501" s="35">
        <f t="shared" si="71"/>
        <v>0.59715762273901807</v>
      </c>
    </row>
    <row r="1502" spans="1:17">
      <c r="A1502" s="12" t="s">
        <v>2010</v>
      </c>
      <c r="B1502" s="13">
        <v>45383</v>
      </c>
      <c r="C1502" s="12" t="s">
        <v>597</v>
      </c>
      <c r="D1502" s="12" t="s">
        <v>127</v>
      </c>
      <c r="E1502" s="12" t="s">
        <v>175</v>
      </c>
      <c r="F1502" s="14">
        <v>3</v>
      </c>
      <c r="G1502" s="14">
        <v>370</v>
      </c>
      <c r="H1502" s="14">
        <v>13.7</v>
      </c>
      <c r="I1502" s="14">
        <v>957.93</v>
      </c>
      <c r="J1502" s="12" t="s">
        <v>104</v>
      </c>
      <c r="K1502" s="12" t="s">
        <v>105</v>
      </c>
      <c r="L1502" s="23" t="str">
        <f>VLOOKUP(D1502,Products!$A:$F,3,FALSE)</f>
        <v>Home</v>
      </c>
      <c r="M1502" s="23" t="str">
        <f>VLOOKUP(E1502,Sales_Reps!$A:$E,3,FALSE)</f>
        <v>East</v>
      </c>
      <c r="N1502" s="23" t="str">
        <f t="shared" si="69"/>
        <v>Apr-24</v>
      </c>
      <c r="O1502" s="23" t="str">
        <f t="shared" si="70"/>
        <v>Q2 2024</v>
      </c>
      <c r="P1502" s="23">
        <f>VLOOKUP(D1502,Products!$A:$F,4,FALSE)</f>
        <v>288</v>
      </c>
      <c r="Q1502" s="35">
        <f t="shared" si="71"/>
        <v>0.22162162162162163</v>
      </c>
    </row>
    <row r="1503" spans="1:17">
      <c r="A1503" s="12" t="s">
        <v>2011</v>
      </c>
      <c r="B1503" s="13">
        <v>45328</v>
      </c>
      <c r="C1503" s="12" t="s">
        <v>388</v>
      </c>
      <c r="D1503" s="12" t="s">
        <v>164</v>
      </c>
      <c r="E1503" s="12" t="s">
        <v>360</v>
      </c>
      <c r="F1503" s="14">
        <v>8</v>
      </c>
      <c r="G1503" s="14">
        <v>190</v>
      </c>
      <c r="H1503" s="14">
        <v>0.2</v>
      </c>
      <c r="I1503" s="14">
        <v>1516.96</v>
      </c>
      <c r="J1503" s="12" t="s">
        <v>104</v>
      </c>
      <c r="K1503" s="12" t="s">
        <v>129</v>
      </c>
      <c r="L1503" s="23" t="str">
        <f>VLOOKUP(D1503,Products!$A:$F,3,FALSE)</f>
        <v>Sports</v>
      </c>
      <c r="M1503" s="23" t="str">
        <f>VLOOKUP(E1503,Sales_Reps!$A:$E,3,FALSE)</f>
        <v>West</v>
      </c>
      <c r="N1503" s="23" t="str">
        <f t="shared" si="69"/>
        <v>Feb-24</v>
      </c>
      <c r="O1503" s="23" t="str">
        <f t="shared" si="70"/>
        <v>Q1 2024</v>
      </c>
      <c r="P1503" s="23">
        <f>VLOOKUP(D1503,Products!$A:$F,4,FALSE)</f>
        <v>147</v>
      </c>
      <c r="Q1503" s="35">
        <f t="shared" si="71"/>
        <v>0.22631578947368422</v>
      </c>
    </row>
    <row r="1504" spans="1:17">
      <c r="A1504" s="12" t="s">
        <v>2012</v>
      </c>
      <c r="B1504" s="13">
        <v>45501</v>
      </c>
      <c r="C1504" s="12" t="s">
        <v>107</v>
      </c>
      <c r="D1504" s="12" t="s">
        <v>137</v>
      </c>
      <c r="E1504" s="12" t="s">
        <v>290</v>
      </c>
      <c r="F1504" s="14">
        <v>6</v>
      </c>
      <c r="G1504" s="14">
        <v>1430</v>
      </c>
      <c r="H1504" s="14">
        <v>0.1</v>
      </c>
      <c r="I1504" s="14">
        <v>8571.42</v>
      </c>
      <c r="J1504" s="12" t="s">
        <v>104</v>
      </c>
      <c r="K1504" s="12" t="s">
        <v>111</v>
      </c>
      <c r="L1504" s="23" t="str">
        <f>VLOOKUP(D1504,Products!$A:$F,3,FALSE)</f>
        <v>Electronics</v>
      </c>
      <c r="M1504" s="23" t="str">
        <f>VLOOKUP(E1504,Sales_Reps!$A:$E,3,FALSE)</f>
        <v>South</v>
      </c>
      <c r="N1504" s="23" t="str">
        <f t="shared" si="69"/>
        <v>Jul-24</v>
      </c>
      <c r="O1504" s="23" t="str">
        <f t="shared" si="70"/>
        <v>Q3 2024</v>
      </c>
      <c r="P1504" s="23">
        <f>VLOOKUP(D1504,Products!$A:$F,4,FALSE)</f>
        <v>861</v>
      </c>
      <c r="Q1504" s="35">
        <f t="shared" si="71"/>
        <v>0.39790209790209791</v>
      </c>
    </row>
    <row r="1505" spans="1:17">
      <c r="A1505" s="12" t="s">
        <v>2013</v>
      </c>
      <c r="B1505" s="13">
        <v>45346</v>
      </c>
      <c r="C1505" s="12" t="s">
        <v>489</v>
      </c>
      <c r="D1505" s="12" t="s">
        <v>114</v>
      </c>
      <c r="E1505" s="12" t="s">
        <v>209</v>
      </c>
      <c r="F1505" s="14">
        <v>4</v>
      </c>
      <c r="G1505" s="14">
        <v>470</v>
      </c>
      <c r="H1505" s="14">
        <v>3</v>
      </c>
      <c r="I1505" s="14">
        <v>1823.6</v>
      </c>
      <c r="J1505" s="12" t="s">
        <v>104</v>
      </c>
      <c r="K1505" s="12" t="s">
        <v>111</v>
      </c>
      <c r="L1505" s="23" t="str">
        <f>VLOOKUP(D1505,Products!$A:$F,3,FALSE)</f>
        <v>Sports</v>
      </c>
      <c r="M1505" s="23" t="str">
        <f>VLOOKUP(E1505,Sales_Reps!$A:$E,3,FALSE)</f>
        <v>East</v>
      </c>
      <c r="N1505" s="23" t="str">
        <f t="shared" si="69"/>
        <v>Feb-24</v>
      </c>
      <c r="O1505" s="23" t="str">
        <f t="shared" si="70"/>
        <v>Q1 2024</v>
      </c>
      <c r="P1505" s="23">
        <f>VLOOKUP(D1505,Products!$A:$F,4,FALSE)</f>
        <v>302</v>
      </c>
      <c r="Q1505" s="35">
        <f t="shared" si="71"/>
        <v>0.35744680851063831</v>
      </c>
    </row>
    <row r="1506" spans="1:17">
      <c r="A1506" s="12" t="s">
        <v>2014</v>
      </c>
      <c r="B1506" s="13">
        <v>45446</v>
      </c>
      <c r="C1506" s="12" t="s">
        <v>502</v>
      </c>
      <c r="D1506" s="12" t="s">
        <v>676</v>
      </c>
      <c r="E1506" s="12" t="s">
        <v>156</v>
      </c>
      <c r="F1506" s="14">
        <v>4</v>
      </c>
      <c r="G1506" s="14">
        <v>3560</v>
      </c>
      <c r="H1506" s="14">
        <v>1.1000000000000001</v>
      </c>
      <c r="I1506" s="14">
        <v>14083.36</v>
      </c>
      <c r="J1506" s="12" t="s">
        <v>104</v>
      </c>
      <c r="K1506" s="12" t="s">
        <v>105</v>
      </c>
      <c r="L1506" s="23" t="str">
        <f>VLOOKUP(D1506,Products!$A:$F,3,FALSE)</f>
        <v>Apparel</v>
      </c>
      <c r="M1506" s="23" t="str">
        <f>VLOOKUP(E1506,Sales_Reps!$A:$E,3,FALSE)</f>
        <v>North</v>
      </c>
      <c r="N1506" s="23" t="str">
        <f t="shared" si="69"/>
        <v>Jun-24</v>
      </c>
      <c r="O1506" s="23" t="str">
        <f t="shared" si="70"/>
        <v>Q2 2024</v>
      </c>
      <c r="P1506" s="23">
        <f>VLOOKUP(D1506,Products!$A:$F,4,FALSE)</f>
        <v>2629</v>
      </c>
      <c r="Q1506" s="35">
        <f t="shared" si="71"/>
        <v>0.26151685393258428</v>
      </c>
    </row>
    <row r="1507" spans="1:17">
      <c r="A1507" s="12" t="s">
        <v>2015</v>
      </c>
      <c r="B1507" s="13">
        <v>45521</v>
      </c>
      <c r="C1507" s="12" t="s">
        <v>652</v>
      </c>
      <c r="D1507" s="12" t="s">
        <v>201</v>
      </c>
      <c r="E1507" s="12" t="s">
        <v>342</v>
      </c>
      <c r="F1507" s="14">
        <v>5</v>
      </c>
      <c r="G1507" s="14">
        <v>4880</v>
      </c>
      <c r="H1507" s="14">
        <v>17</v>
      </c>
      <c r="I1507" s="14">
        <v>20252</v>
      </c>
      <c r="J1507" s="12" t="s">
        <v>104</v>
      </c>
      <c r="K1507" s="12" t="s">
        <v>116</v>
      </c>
      <c r="L1507" s="23" t="str">
        <f>VLOOKUP(D1507,Products!$A:$F,3,FALSE)</f>
        <v>Beauty</v>
      </c>
      <c r="M1507" s="23" t="str">
        <f>VLOOKUP(E1507,Sales_Reps!$A:$E,3,FALSE)</f>
        <v>South</v>
      </c>
      <c r="N1507" s="23" t="str">
        <f t="shared" si="69"/>
        <v>Aug-24</v>
      </c>
      <c r="O1507" s="23" t="str">
        <f t="shared" si="70"/>
        <v>Q3 2024</v>
      </c>
      <c r="P1507" s="23">
        <f>VLOOKUP(D1507,Products!$A:$F,4,FALSE)</f>
        <v>2768</v>
      </c>
      <c r="Q1507" s="35">
        <f t="shared" si="71"/>
        <v>0.43278688524590164</v>
      </c>
    </row>
    <row r="1508" spans="1:17">
      <c r="A1508" s="12" t="s">
        <v>2016</v>
      </c>
      <c r="B1508" s="13">
        <v>45483</v>
      </c>
      <c r="C1508" s="12" t="s">
        <v>697</v>
      </c>
      <c r="D1508" s="12" t="s">
        <v>204</v>
      </c>
      <c r="E1508" s="12" t="s">
        <v>221</v>
      </c>
      <c r="F1508" s="14">
        <v>9</v>
      </c>
      <c r="G1508" s="14">
        <v>3570</v>
      </c>
      <c r="H1508" s="14">
        <v>12</v>
      </c>
      <c r="I1508" s="14">
        <v>28274.400000000001</v>
      </c>
      <c r="J1508" s="12" t="s">
        <v>104</v>
      </c>
      <c r="K1508" s="12" t="s">
        <v>111</v>
      </c>
      <c r="L1508" s="23" t="str">
        <f>VLOOKUP(D1508,Products!$A:$F,3,FALSE)</f>
        <v>Electronics</v>
      </c>
      <c r="M1508" s="23" t="str">
        <f>VLOOKUP(E1508,Sales_Reps!$A:$E,3,FALSE)</f>
        <v>South</v>
      </c>
      <c r="N1508" s="23" t="str">
        <f t="shared" si="69"/>
        <v>Jul-24</v>
      </c>
      <c r="O1508" s="23" t="str">
        <f t="shared" si="70"/>
        <v>Q3 2024</v>
      </c>
      <c r="P1508" s="23">
        <f>VLOOKUP(D1508,Products!$A:$F,4,FALSE)</f>
        <v>1665</v>
      </c>
      <c r="Q1508" s="35">
        <f t="shared" si="71"/>
        <v>0.53361344537815125</v>
      </c>
    </row>
    <row r="1509" spans="1:17">
      <c r="A1509" s="12" t="s">
        <v>2017</v>
      </c>
      <c r="B1509" s="13">
        <v>45370</v>
      </c>
      <c r="C1509" s="12" t="s">
        <v>1378</v>
      </c>
      <c r="D1509" s="12" t="s">
        <v>178</v>
      </c>
      <c r="E1509" s="12" t="s">
        <v>128</v>
      </c>
      <c r="F1509" s="14">
        <v>6</v>
      </c>
      <c r="G1509" s="14">
        <v>3450</v>
      </c>
      <c r="H1509" s="14">
        <v>22.7</v>
      </c>
      <c r="I1509" s="14">
        <v>16001.1</v>
      </c>
      <c r="J1509" s="12" t="s">
        <v>157</v>
      </c>
      <c r="K1509" s="12" t="s">
        <v>111</v>
      </c>
      <c r="L1509" s="23" t="str">
        <f>VLOOKUP(D1509,Products!$A:$F,3,FALSE)</f>
        <v>Sports</v>
      </c>
      <c r="M1509" s="23" t="str">
        <f>VLOOKUP(E1509,Sales_Reps!$A:$E,3,FALSE)</f>
        <v>West</v>
      </c>
      <c r="N1509" s="23" t="str">
        <f t="shared" si="69"/>
        <v>Mar-24</v>
      </c>
      <c r="O1509" s="23" t="str">
        <f t="shared" si="70"/>
        <v>Q1 2024</v>
      </c>
      <c r="P1509" s="23">
        <f>VLOOKUP(D1509,Products!$A:$F,4,FALSE)</f>
        <v>2467</v>
      </c>
      <c r="Q1509" s="35">
        <f t="shared" si="71"/>
        <v>0.28492753623188405</v>
      </c>
    </row>
    <row r="1510" spans="1:17">
      <c r="A1510" s="12" t="s">
        <v>2018</v>
      </c>
      <c r="B1510" s="13">
        <v>45456</v>
      </c>
      <c r="C1510" s="12" t="s">
        <v>195</v>
      </c>
      <c r="D1510" s="12" t="s">
        <v>181</v>
      </c>
      <c r="E1510" s="12" t="s">
        <v>314</v>
      </c>
      <c r="F1510" s="14">
        <v>10</v>
      </c>
      <c r="G1510" s="14">
        <v>1080</v>
      </c>
      <c r="H1510" s="14">
        <v>27.4</v>
      </c>
      <c r="I1510" s="14">
        <v>7840.8</v>
      </c>
      <c r="J1510" s="12" t="s">
        <v>104</v>
      </c>
      <c r="K1510" s="12" t="s">
        <v>111</v>
      </c>
      <c r="L1510" s="23" t="str">
        <f>VLOOKUP(D1510,Products!$A:$F,3,FALSE)</f>
        <v>Home</v>
      </c>
      <c r="M1510" s="23" t="str">
        <f>VLOOKUP(E1510,Sales_Reps!$A:$E,3,FALSE)</f>
        <v>North</v>
      </c>
      <c r="N1510" s="23" t="str">
        <f t="shared" si="69"/>
        <v>Jun-24</v>
      </c>
      <c r="O1510" s="23" t="str">
        <f t="shared" si="70"/>
        <v>Q2 2024</v>
      </c>
      <c r="P1510" s="23">
        <f>VLOOKUP(D1510,Products!$A:$F,4,FALSE)</f>
        <v>519</v>
      </c>
      <c r="Q1510" s="35">
        <f t="shared" si="71"/>
        <v>0.51944444444444449</v>
      </c>
    </row>
    <row r="1511" spans="1:17">
      <c r="A1511" s="12" t="s">
        <v>2019</v>
      </c>
      <c r="B1511" s="13">
        <v>45605</v>
      </c>
      <c r="C1511" s="12" t="s">
        <v>873</v>
      </c>
      <c r="D1511" s="12" t="s">
        <v>276</v>
      </c>
      <c r="E1511" s="12" t="s">
        <v>128</v>
      </c>
      <c r="F1511" s="14">
        <v>6</v>
      </c>
      <c r="G1511" s="14">
        <v>1540</v>
      </c>
      <c r="H1511" s="14">
        <v>17.100000000000001</v>
      </c>
      <c r="I1511" s="14">
        <v>7659.96</v>
      </c>
      <c r="J1511" s="12" t="s">
        <v>104</v>
      </c>
      <c r="K1511" s="12" t="s">
        <v>105</v>
      </c>
      <c r="L1511" s="23" t="str">
        <f>VLOOKUP(D1511,Products!$A:$F,3,FALSE)</f>
        <v>Beauty</v>
      </c>
      <c r="M1511" s="23" t="str">
        <f>VLOOKUP(E1511,Sales_Reps!$A:$E,3,FALSE)</f>
        <v>West</v>
      </c>
      <c r="N1511" s="23" t="str">
        <f t="shared" si="69"/>
        <v>Nov-24</v>
      </c>
      <c r="O1511" s="23" t="str">
        <f t="shared" si="70"/>
        <v>Q4 2024</v>
      </c>
      <c r="P1511" s="23">
        <f>VLOOKUP(D1511,Products!$A:$F,4,FALSE)</f>
        <v>647</v>
      </c>
      <c r="Q1511" s="35">
        <f t="shared" si="71"/>
        <v>0.57987012987012987</v>
      </c>
    </row>
    <row r="1512" spans="1:17">
      <c r="A1512" s="12" t="s">
        <v>2020</v>
      </c>
      <c r="B1512" s="13">
        <v>45556</v>
      </c>
      <c r="C1512" s="12" t="s">
        <v>2021</v>
      </c>
      <c r="D1512" s="12" t="s">
        <v>190</v>
      </c>
      <c r="E1512" s="12" t="s">
        <v>269</v>
      </c>
      <c r="F1512" s="14">
        <v>6</v>
      </c>
      <c r="G1512" s="14">
        <v>2720</v>
      </c>
      <c r="H1512" s="14">
        <v>28.1</v>
      </c>
      <c r="I1512" s="14">
        <v>11734.08</v>
      </c>
      <c r="J1512" s="12" t="s">
        <v>104</v>
      </c>
      <c r="K1512" s="12" t="s">
        <v>129</v>
      </c>
      <c r="L1512" s="23" t="str">
        <f>VLOOKUP(D1512,Products!$A:$F,3,FALSE)</f>
        <v>Apparel</v>
      </c>
      <c r="M1512" s="23" t="str">
        <f>VLOOKUP(E1512,Sales_Reps!$A:$E,3,FALSE)</f>
        <v>South</v>
      </c>
      <c r="N1512" s="23" t="str">
        <f t="shared" si="69"/>
        <v>Sep-24</v>
      </c>
      <c r="O1512" s="23" t="str">
        <f t="shared" si="70"/>
        <v>Q3 2024</v>
      </c>
      <c r="P1512" s="23">
        <f>VLOOKUP(D1512,Products!$A:$F,4,FALSE)</f>
        <v>1962</v>
      </c>
      <c r="Q1512" s="35">
        <f t="shared" si="71"/>
        <v>0.2786764705882353</v>
      </c>
    </row>
    <row r="1513" spans="1:17">
      <c r="A1513" s="12" t="s">
        <v>2022</v>
      </c>
      <c r="B1513" s="13">
        <v>45569</v>
      </c>
      <c r="C1513" s="12" t="s">
        <v>273</v>
      </c>
      <c r="D1513" s="12" t="s">
        <v>460</v>
      </c>
      <c r="E1513" s="12" t="s">
        <v>109</v>
      </c>
      <c r="F1513" s="14">
        <v>2</v>
      </c>
      <c r="G1513" s="14">
        <v>5080</v>
      </c>
      <c r="H1513" s="14">
        <v>11.1</v>
      </c>
      <c r="I1513" s="14">
        <v>9032.24</v>
      </c>
      <c r="J1513" s="12" t="s">
        <v>104</v>
      </c>
      <c r="K1513" s="12" t="s">
        <v>150</v>
      </c>
      <c r="L1513" s="23" t="str">
        <f>VLOOKUP(D1513,Products!$A:$F,3,FALSE)</f>
        <v>Home</v>
      </c>
      <c r="M1513" s="23" t="str">
        <f>VLOOKUP(E1513,Sales_Reps!$A:$E,3,FALSE)</f>
        <v>North</v>
      </c>
      <c r="N1513" s="23" t="str">
        <f t="shared" si="69"/>
        <v>Oct-24</v>
      </c>
      <c r="O1513" s="23" t="str">
        <f t="shared" si="70"/>
        <v>Q4 2024</v>
      </c>
      <c r="P1513" s="23">
        <f>VLOOKUP(D1513,Products!$A:$F,4,FALSE)</f>
        <v>2459</v>
      </c>
      <c r="Q1513" s="35">
        <f t="shared" si="71"/>
        <v>0.51594488188976373</v>
      </c>
    </row>
    <row r="1514" spans="1:17">
      <c r="A1514" s="12" t="s">
        <v>2023</v>
      </c>
      <c r="B1514" s="13">
        <v>45329</v>
      </c>
      <c r="C1514" s="12" t="s">
        <v>2024</v>
      </c>
      <c r="D1514" s="12" t="s">
        <v>309</v>
      </c>
      <c r="E1514" s="12" t="s">
        <v>124</v>
      </c>
      <c r="F1514" s="14">
        <v>5</v>
      </c>
      <c r="G1514" s="14">
        <v>620</v>
      </c>
      <c r="H1514" s="14">
        <v>10.9</v>
      </c>
      <c r="I1514" s="14">
        <v>2762.1</v>
      </c>
      <c r="J1514" s="12" t="s">
        <v>110</v>
      </c>
      <c r="K1514" s="12" t="s">
        <v>111</v>
      </c>
      <c r="L1514" s="23" t="str">
        <f>VLOOKUP(D1514,Products!$A:$F,3,FALSE)</f>
        <v>Apparel</v>
      </c>
      <c r="M1514" s="23" t="str">
        <f>VLOOKUP(E1514,Sales_Reps!$A:$E,3,FALSE)</f>
        <v>North</v>
      </c>
      <c r="N1514" s="23" t="str">
        <f t="shared" si="69"/>
        <v>Feb-24</v>
      </c>
      <c r="O1514" s="23" t="str">
        <f t="shared" si="70"/>
        <v>Q1 2024</v>
      </c>
      <c r="P1514" s="23">
        <f>VLOOKUP(D1514,Products!$A:$F,4,FALSE)</f>
        <v>396</v>
      </c>
      <c r="Q1514" s="35">
        <f t="shared" si="71"/>
        <v>0.36129032258064514</v>
      </c>
    </row>
    <row r="1515" spans="1:17">
      <c r="A1515" s="12" t="s">
        <v>2025</v>
      </c>
      <c r="B1515" s="13">
        <v>45377</v>
      </c>
      <c r="C1515" s="12" t="s">
        <v>325</v>
      </c>
      <c r="D1515" s="12" t="s">
        <v>184</v>
      </c>
      <c r="E1515" s="12" t="s">
        <v>165</v>
      </c>
      <c r="F1515" s="14">
        <v>3</v>
      </c>
      <c r="G1515" s="14">
        <v>2480</v>
      </c>
      <c r="H1515" s="14">
        <v>5</v>
      </c>
      <c r="I1515" s="14">
        <v>7068</v>
      </c>
      <c r="J1515" s="12" t="s">
        <v>104</v>
      </c>
      <c r="K1515" s="12" t="s">
        <v>105</v>
      </c>
      <c r="L1515" s="23" t="str">
        <f>VLOOKUP(D1515,Products!$A:$F,3,FALSE)</f>
        <v>Apparel</v>
      </c>
      <c r="M1515" s="23" t="str">
        <f>VLOOKUP(E1515,Sales_Reps!$A:$E,3,FALSE)</f>
        <v>North</v>
      </c>
      <c r="N1515" s="23" t="str">
        <f t="shared" si="69"/>
        <v>Mar-24</v>
      </c>
      <c r="O1515" s="23" t="str">
        <f t="shared" si="70"/>
        <v>Q1 2024</v>
      </c>
      <c r="P1515" s="23">
        <f>VLOOKUP(D1515,Products!$A:$F,4,FALSE)</f>
        <v>1173</v>
      </c>
      <c r="Q1515" s="35">
        <f t="shared" si="71"/>
        <v>0.52701612903225803</v>
      </c>
    </row>
    <row r="1516" spans="1:17">
      <c r="A1516" s="12" t="s">
        <v>2026</v>
      </c>
      <c r="B1516" s="13">
        <v>45537</v>
      </c>
      <c r="C1516" s="12" t="s">
        <v>541</v>
      </c>
      <c r="D1516" s="12" t="s">
        <v>199</v>
      </c>
      <c r="E1516" s="12" t="s">
        <v>109</v>
      </c>
      <c r="F1516" s="14">
        <v>9</v>
      </c>
      <c r="G1516" s="14">
        <v>1010</v>
      </c>
      <c r="H1516" s="14">
        <v>21.9</v>
      </c>
      <c r="I1516" s="14">
        <v>7099.29</v>
      </c>
      <c r="J1516" s="12" t="s">
        <v>104</v>
      </c>
      <c r="K1516" s="12" t="s">
        <v>129</v>
      </c>
      <c r="L1516" s="23" t="str">
        <f>VLOOKUP(D1516,Products!$A:$F,3,FALSE)</f>
        <v>Sports</v>
      </c>
      <c r="M1516" s="23" t="str">
        <f>VLOOKUP(E1516,Sales_Reps!$A:$E,3,FALSE)</f>
        <v>North</v>
      </c>
      <c r="N1516" s="23" t="str">
        <f t="shared" si="69"/>
        <v>Sep-24</v>
      </c>
      <c r="O1516" s="23" t="str">
        <f t="shared" si="70"/>
        <v>Q3 2024</v>
      </c>
      <c r="P1516" s="23">
        <f>VLOOKUP(D1516,Products!$A:$F,4,FALSE)</f>
        <v>516</v>
      </c>
      <c r="Q1516" s="35">
        <f t="shared" si="71"/>
        <v>0.4891089108910891</v>
      </c>
    </row>
    <row r="1517" spans="1:17">
      <c r="A1517" s="12" t="s">
        <v>2027</v>
      </c>
      <c r="B1517" s="13">
        <v>45550</v>
      </c>
      <c r="C1517" s="12" t="s">
        <v>430</v>
      </c>
      <c r="D1517" s="12" t="s">
        <v>181</v>
      </c>
      <c r="E1517" s="12" t="s">
        <v>156</v>
      </c>
      <c r="F1517" s="14">
        <v>2</v>
      </c>
      <c r="G1517" s="14">
        <v>1080</v>
      </c>
      <c r="H1517" s="14">
        <v>8.5</v>
      </c>
      <c r="I1517" s="14">
        <v>1976.4</v>
      </c>
      <c r="J1517" s="12" t="s">
        <v>104</v>
      </c>
      <c r="K1517" s="12" t="s">
        <v>105</v>
      </c>
      <c r="L1517" s="23" t="str">
        <f>VLOOKUP(D1517,Products!$A:$F,3,FALSE)</f>
        <v>Home</v>
      </c>
      <c r="M1517" s="23" t="str">
        <f>VLOOKUP(E1517,Sales_Reps!$A:$E,3,FALSE)</f>
        <v>North</v>
      </c>
      <c r="N1517" s="23" t="str">
        <f t="shared" si="69"/>
        <v>Sep-24</v>
      </c>
      <c r="O1517" s="23" t="str">
        <f t="shared" si="70"/>
        <v>Q3 2024</v>
      </c>
      <c r="P1517" s="23">
        <f>VLOOKUP(D1517,Products!$A:$F,4,FALSE)</f>
        <v>519</v>
      </c>
      <c r="Q1517" s="35">
        <f t="shared" si="71"/>
        <v>0.51944444444444449</v>
      </c>
    </row>
    <row r="1518" spans="1:17">
      <c r="A1518" s="12" t="s">
        <v>2028</v>
      </c>
      <c r="B1518" s="13">
        <v>45325</v>
      </c>
      <c r="C1518" s="12" t="s">
        <v>240</v>
      </c>
      <c r="D1518" s="12" t="s">
        <v>114</v>
      </c>
      <c r="E1518" s="12" t="s">
        <v>128</v>
      </c>
      <c r="F1518" s="14">
        <v>5</v>
      </c>
      <c r="G1518" s="14">
        <v>470</v>
      </c>
      <c r="H1518" s="14">
        <v>8</v>
      </c>
      <c r="I1518" s="14">
        <v>2162</v>
      </c>
      <c r="J1518" s="12" t="s">
        <v>104</v>
      </c>
      <c r="K1518" s="12" t="s">
        <v>116</v>
      </c>
      <c r="L1518" s="23" t="str">
        <f>VLOOKUP(D1518,Products!$A:$F,3,FALSE)</f>
        <v>Sports</v>
      </c>
      <c r="M1518" s="23" t="str">
        <f>VLOOKUP(E1518,Sales_Reps!$A:$E,3,FALSE)</f>
        <v>West</v>
      </c>
      <c r="N1518" s="23" t="str">
        <f t="shared" si="69"/>
        <v>Feb-24</v>
      </c>
      <c r="O1518" s="23" t="str">
        <f t="shared" si="70"/>
        <v>Q1 2024</v>
      </c>
      <c r="P1518" s="23">
        <f>VLOOKUP(D1518,Products!$A:$F,4,FALSE)</f>
        <v>302</v>
      </c>
      <c r="Q1518" s="35">
        <f t="shared" si="71"/>
        <v>0.35744680851063831</v>
      </c>
    </row>
    <row r="1519" spans="1:17">
      <c r="A1519" s="12" t="s">
        <v>2029</v>
      </c>
      <c r="B1519" s="13">
        <v>45375</v>
      </c>
      <c r="C1519" s="12" t="s">
        <v>357</v>
      </c>
      <c r="D1519" s="12" t="s">
        <v>425</v>
      </c>
      <c r="E1519" s="12" t="s">
        <v>209</v>
      </c>
      <c r="F1519" s="14">
        <v>9</v>
      </c>
      <c r="G1519" s="14">
        <v>3970</v>
      </c>
      <c r="H1519" s="14">
        <v>18.5</v>
      </c>
      <c r="I1519" s="14">
        <v>29119.95</v>
      </c>
      <c r="J1519" s="12" t="s">
        <v>104</v>
      </c>
      <c r="K1519" s="12" t="s">
        <v>105</v>
      </c>
      <c r="L1519" s="23" t="str">
        <f>VLOOKUP(D1519,Products!$A:$F,3,FALSE)</f>
        <v>Electronics</v>
      </c>
      <c r="M1519" s="23" t="str">
        <f>VLOOKUP(E1519,Sales_Reps!$A:$E,3,FALSE)</f>
        <v>East</v>
      </c>
      <c r="N1519" s="23" t="str">
        <f t="shared" si="69"/>
        <v>Mar-24</v>
      </c>
      <c r="O1519" s="23" t="str">
        <f t="shared" si="70"/>
        <v>Q1 2024</v>
      </c>
      <c r="P1519" s="23">
        <f>VLOOKUP(D1519,Products!$A:$F,4,FALSE)</f>
        <v>2865</v>
      </c>
      <c r="Q1519" s="35">
        <f t="shared" si="71"/>
        <v>0.27833753148614609</v>
      </c>
    </row>
    <row r="1520" spans="1:17">
      <c r="A1520" s="12" t="s">
        <v>2030</v>
      </c>
      <c r="B1520" s="13">
        <v>45614</v>
      </c>
      <c r="C1520" s="12" t="s">
        <v>1251</v>
      </c>
      <c r="D1520" s="12" t="s">
        <v>193</v>
      </c>
      <c r="E1520" s="12" t="s">
        <v>149</v>
      </c>
      <c r="F1520" s="14">
        <v>9</v>
      </c>
      <c r="G1520" s="14">
        <v>1650</v>
      </c>
      <c r="H1520" s="14">
        <v>19.5</v>
      </c>
      <c r="I1520" s="14">
        <v>11954.25</v>
      </c>
      <c r="J1520" s="12" t="s">
        <v>104</v>
      </c>
      <c r="K1520" s="12" t="s">
        <v>129</v>
      </c>
      <c r="L1520" s="23" t="str">
        <f>VLOOKUP(D1520,Products!$A:$F,3,FALSE)</f>
        <v>Beauty</v>
      </c>
      <c r="M1520" s="23" t="str">
        <f>VLOOKUP(E1520,Sales_Reps!$A:$E,3,FALSE)</f>
        <v>South</v>
      </c>
      <c r="N1520" s="23" t="str">
        <f t="shared" si="69"/>
        <v>Nov-24</v>
      </c>
      <c r="O1520" s="23" t="str">
        <f t="shared" si="70"/>
        <v>Q4 2024</v>
      </c>
      <c r="P1520" s="23">
        <f>VLOOKUP(D1520,Products!$A:$F,4,FALSE)</f>
        <v>1222</v>
      </c>
      <c r="Q1520" s="35">
        <f t="shared" si="71"/>
        <v>0.2593939393939394</v>
      </c>
    </row>
    <row r="1521" spans="1:17">
      <c r="A1521" s="12" t="s">
        <v>2031</v>
      </c>
      <c r="B1521" s="13">
        <v>45364</v>
      </c>
      <c r="C1521" s="12" t="s">
        <v>686</v>
      </c>
      <c r="D1521" s="12" t="s">
        <v>196</v>
      </c>
      <c r="E1521" s="12" t="s">
        <v>120</v>
      </c>
      <c r="F1521" s="14">
        <v>9</v>
      </c>
      <c r="G1521" s="14">
        <v>3350</v>
      </c>
      <c r="H1521" s="14">
        <v>4.0999999999999996</v>
      </c>
      <c r="I1521" s="14">
        <v>28913.85</v>
      </c>
      <c r="J1521" s="12" t="s">
        <v>104</v>
      </c>
      <c r="K1521" s="12" t="s">
        <v>150</v>
      </c>
      <c r="L1521" s="23" t="str">
        <f>VLOOKUP(D1521,Products!$A:$F,3,FALSE)</f>
        <v>Beauty</v>
      </c>
      <c r="M1521" s="23" t="str">
        <f>VLOOKUP(E1521,Sales_Reps!$A:$E,3,FALSE)</f>
        <v>North</v>
      </c>
      <c r="N1521" s="23" t="str">
        <f t="shared" si="69"/>
        <v>Mar-24</v>
      </c>
      <c r="O1521" s="23" t="str">
        <f t="shared" si="70"/>
        <v>Q1 2024</v>
      </c>
      <c r="P1521" s="23">
        <f>VLOOKUP(D1521,Products!$A:$F,4,FALSE)</f>
        <v>1728</v>
      </c>
      <c r="Q1521" s="35">
        <f t="shared" si="71"/>
        <v>0.48417910447761192</v>
      </c>
    </row>
    <row r="1522" spans="1:17">
      <c r="A1522" s="12" t="s">
        <v>2032</v>
      </c>
      <c r="B1522" s="13">
        <v>45342</v>
      </c>
      <c r="C1522" s="12" t="s">
        <v>283</v>
      </c>
      <c r="D1522" s="12" t="s">
        <v>425</v>
      </c>
      <c r="E1522" s="12" t="s">
        <v>171</v>
      </c>
      <c r="F1522" s="14">
        <v>7</v>
      </c>
      <c r="G1522" s="14">
        <v>3970</v>
      </c>
      <c r="H1522" s="14">
        <v>15.6</v>
      </c>
      <c r="I1522" s="14">
        <v>23454.76</v>
      </c>
      <c r="J1522" s="12" t="s">
        <v>104</v>
      </c>
      <c r="K1522" s="12" t="s">
        <v>116</v>
      </c>
      <c r="L1522" s="23" t="str">
        <f>VLOOKUP(D1522,Products!$A:$F,3,FALSE)</f>
        <v>Electronics</v>
      </c>
      <c r="M1522" s="23" t="str">
        <f>VLOOKUP(E1522,Sales_Reps!$A:$E,3,FALSE)</f>
        <v>East</v>
      </c>
      <c r="N1522" s="23" t="str">
        <f t="shared" si="69"/>
        <v>Feb-24</v>
      </c>
      <c r="O1522" s="23" t="str">
        <f t="shared" si="70"/>
        <v>Q1 2024</v>
      </c>
      <c r="P1522" s="23">
        <f>VLOOKUP(D1522,Products!$A:$F,4,FALSE)</f>
        <v>2865</v>
      </c>
      <c r="Q1522" s="35">
        <f t="shared" si="71"/>
        <v>0.27833753148614609</v>
      </c>
    </row>
    <row r="1523" spans="1:17">
      <c r="A1523" s="12" t="s">
        <v>2033</v>
      </c>
      <c r="B1523" s="13">
        <v>45454</v>
      </c>
      <c r="C1523" s="12" t="s">
        <v>755</v>
      </c>
      <c r="D1523" s="12" t="s">
        <v>251</v>
      </c>
      <c r="E1523" s="12" t="s">
        <v>320</v>
      </c>
      <c r="F1523" s="14">
        <v>7</v>
      </c>
      <c r="G1523" s="14">
        <v>3780</v>
      </c>
      <c r="H1523" s="14">
        <v>18.7</v>
      </c>
      <c r="I1523" s="14">
        <v>21511.98</v>
      </c>
      <c r="J1523" s="12" t="s">
        <v>104</v>
      </c>
      <c r="K1523" s="12" t="s">
        <v>105</v>
      </c>
      <c r="L1523" s="23" t="str">
        <f>VLOOKUP(D1523,Products!$A:$F,3,FALSE)</f>
        <v>Grocery</v>
      </c>
      <c r="M1523" s="23" t="str">
        <f>VLOOKUP(E1523,Sales_Reps!$A:$E,3,FALSE)</f>
        <v>East</v>
      </c>
      <c r="N1523" s="23" t="str">
        <f t="shared" si="69"/>
        <v>Jun-24</v>
      </c>
      <c r="O1523" s="23" t="str">
        <f t="shared" si="70"/>
        <v>Q2 2024</v>
      </c>
      <c r="P1523" s="23">
        <f>VLOOKUP(D1523,Products!$A:$F,4,FALSE)</f>
        <v>2436</v>
      </c>
      <c r="Q1523" s="35">
        <f t="shared" si="71"/>
        <v>0.35555555555555557</v>
      </c>
    </row>
    <row r="1524" spans="1:17">
      <c r="A1524" s="12" t="s">
        <v>2034</v>
      </c>
      <c r="B1524" s="13">
        <v>45625</v>
      </c>
      <c r="C1524" s="12" t="s">
        <v>652</v>
      </c>
      <c r="D1524" s="12" t="s">
        <v>108</v>
      </c>
      <c r="E1524" s="12" t="s">
        <v>269</v>
      </c>
      <c r="F1524" s="14">
        <v>4</v>
      </c>
      <c r="G1524" s="14">
        <v>820</v>
      </c>
      <c r="H1524" s="14">
        <v>18.8</v>
      </c>
      <c r="I1524" s="14">
        <v>2663.36</v>
      </c>
      <c r="J1524" s="12" t="s">
        <v>157</v>
      </c>
      <c r="K1524" s="12" t="s">
        <v>116</v>
      </c>
      <c r="L1524" s="23" t="str">
        <f>VLOOKUP(D1524,Products!$A:$F,3,FALSE)</f>
        <v>Apparel</v>
      </c>
      <c r="M1524" s="23" t="str">
        <f>VLOOKUP(E1524,Sales_Reps!$A:$E,3,FALSE)</f>
        <v>South</v>
      </c>
      <c r="N1524" s="23" t="str">
        <f t="shared" si="69"/>
        <v>Nov-24</v>
      </c>
      <c r="O1524" s="23" t="str">
        <f t="shared" si="70"/>
        <v>Q4 2024</v>
      </c>
      <c r="P1524" s="23">
        <f>VLOOKUP(D1524,Products!$A:$F,4,FALSE)</f>
        <v>391</v>
      </c>
      <c r="Q1524" s="35">
        <f t="shared" si="71"/>
        <v>0.52317073170731709</v>
      </c>
    </row>
    <row r="1525" spans="1:17">
      <c r="A1525" s="12" t="s">
        <v>2035</v>
      </c>
      <c r="B1525" s="13">
        <v>45600</v>
      </c>
      <c r="C1525" s="12" t="s">
        <v>746</v>
      </c>
      <c r="D1525" s="12" t="s">
        <v>193</v>
      </c>
      <c r="E1525" s="12" t="s">
        <v>302</v>
      </c>
      <c r="F1525" s="14">
        <v>1</v>
      </c>
      <c r="G1525" s="14">
        <v>1650</v>
      </c>
      <c r="H1525" s="14">
        <v>18.8</v>
      </c>
      <c r="I1525" s="14">
        <v>1339.8</v>
      </c>
      <c r="J1525" s="12" t="s">
        <v>157</v>
      </c>
      <c r="K1525" s="12" t="s">
        <v>129</v>
      </c>
      <c r="L1525" s="23" t="str">
        <f>VLOOKUP(D1525,Products!$A:$F,3,FALSE)</f>
        <v>Beauty</v>
      </c>
      <c r="M1525" s="23" t="str">
        <f>VLOOKUP(E1525,Sales_Reps!$A:$E,3,FALSE)</f>
        <v>East</v>
      </c>
      <c r="N1525" s="23" t="str">
        <f t="shared" si="69"/>
        <v>Nov-24</v>
      </c>
      <c r="O1525" s="23" t="str">
        <f t="shared" si="70"/>
        <v>Q4 2024</v>
      </c>
      <c r="P1525" s="23">
        <f>VLOOKUP(D1525,Products!$A:$F,4,FALSE)</f>
        <v>1222</v>
      </c>
      <c r="Q1525" s="35">
        <f t="shared" si="71"/>
        <v>0.2593939393939394</v>
      </c>
    </row>
    <row r="1526" spans="1:17">
      <c r="A1526" s="12" t="s">
        <v>2036</v>
      </c>
      <c r="B1526" s="13">
        <v>45397</v>
      </c>
      <c r="C1526" s="12" t="s">
        <v>357</v>
      </c>
      <c r="D1526" s="12" t="s">
        <v>251</v>
      </c>
      <c r="E1526" s="12" t="s">
        <v>175</v>
      </c>
      <c r="F1526" s="14">
        <v>2</v>
      </c>
      <c r="G1526" s="14">
        <v>3780</v>
      </c>
      <c r="H1526" s="14">
        <v>1</v>
      </c>
      <c r="I1526" s="14">
        <v>7484.4</v>
      </c>
      <c r="J1526" s="12" t="s">
        <v>161</v>
      </c>
      <c r="K1526" s="12" t="s">
        <v>105</v>
      </c>
      <c r="L1526" s="23" t="str">
        <f>VLOOKUP(D1526,Products!$A:$F,3,FALSE)</f>
        <v>Grocery</v>
      </c>
      <c r="M1526" s="23" t="str">
        <f>VLOOKUP(E1526,Sales_Reps!$A:$E,3,FALSE)</f>
        <v>East</v>
      </c>
      <c r="N1526" s="23" t="str">
        <f t="shared" si="69"/>
        <v>Apr-24</v>
      </c>
      <c r="O1526" s="23" t="str">
        <f t="shared" si="70"/>
        <v>Q2 2024</v>
      </c>
      <c r="P1526" s="23">
        <f>VLOOKUP(D1526,Products!$A:$F,4,FALSE)</f>
        <v>2436</v>
      </c>
      <c r="Q1526" s="35">
        <f t="shared" si="71"/>
        <v>0.35555555555555557</v>
      </c>
    </row>
    <row r="1527" spans="1:17">
      <c r="A1527" s="12" t="s">
        <v>2037</v>
      </c>
      <c r="B1527" s="13">
        <v>45417</v>
      </c>
      <c r="C1527" s="12" t="s">
        <v>464</v>
      </c>
      <c r="D1527" s="12" t="s">
        <v>355</v>
      </c>
      <c r="E1527" s="12" t="s">
        <v>360</v>
      </c>
      <c r="F1527" s="14">
        <v>5</v>
      </c>
      <c r="G1527" s="14">
        <v>2210</v>
      </c>
      <c r="H1527" s="14">
        <v>16.600000000000001</v>
      </c>
      <c r="I1527" s="14">
        <v>9215.7000000000007</v>
      </c>
      <c r="J1527" s="12" t="s">
        <v>104</v>
      </c>
      <c r="K1527" s="12" t="s">
        <v>129</v>
      </c>
      <c r="L1527" s="23" t="str">
        <f>VLOOKUP(D1527,Products!$A:$F,3,FALSE)</f>
        <v>Grocery</v>
      </c>
      <c r="M1527" s="23" t="str">
        <f>VLOOKUP(E1527,Sales_Reps!$A:$E,3,FALSE)</f>
        <v>West</v>
      </c>
      <c r="N1527" s="23" t="str">
        <f t="shared" si="69"/>
        <v>May-24</v>
      </c>
      <c r="O1527" s="23" t="str">
        <f t="shared" si="70"/>
        <v>Q2 2024</v>
      </c>
      <c r="P1527" s="23">
        <f>VLOOKUP(D1527,Products!$A:$F,4,FALSE)</f>
        <v>1010</v>
      </c>
      <c r="Q1527" s="35">
        <f t="shared" si="71"/>
        <v>0.54298642533936647</v>
      </c>
    </row>
    <row r="1528" spans="1:17">
      <c r="A1528" s="12" t="s">
        <v>2038</v>
      </c>
      <c r="B1528" s="13">
        <v>45487</v>
      </c>
      <c r="C1528" s="12" t="s">
        <v>672</v>
      </c>
      <c r="D1528" s="12" t="s">
        <v>532</v>
      </c>
      <c r="E1528" s="12" t="s">
        <v>149</v>
      </c>
      <c r="F1528" s="14">
        <v>10</v>
      </c>
      <c r="G1528" s="14">
        <v>6940</v>
      </c>
      <c r="H1528" s="14">
        <v>10.6</v>
      </c>
      <c r="I1528" s="14">
        <v>62043.6</v>
      </c>
      <c r="J1528" s="12" t="s">
        <v>104</v>
      </c>
      <c r="K1528" s="12" t="s">
        <v>150</v>
      </c>
      <c r="L1528" s="23" t="str">
        <f>VLOOKUP(D1528,Products!$A:$F,3,FALSE)</f>
        <v>Sports</v>
      </c>
      <c r="M1528" s="23" t="str">
        <f>VLOOKUP(E1528,Sales_Reps!$A:$E,3,FALSE)</f>
        <v>South</v>
      </c>
      <c r="N1528" s="23" t="str">
        <f t="shared" si="69"/>
        <v>Jul-24</v>
      </c>
      <c r="O1528" s="23" t="str">
        <f t="shared" si="70"/>
        <v>Q3 2024</v>
      </c>
      <c r="P1528" s="23">
        <f>VLOOKUP(D1528,Products!$A:$F,4,FALSE)</f>
        <v>2827</v>
      </c>
      <c r="Q1528" s="35">
        <f t="shared" si="71"/>
        <v>0.5926512968299712</v>
      </c>
    </row>
    <row r="1529" spans="1:17">
      <c r="A1529" s="12" t="s">
        <v>2039</v>
      </c>
      <c r="B1529" s="13">
        <v>45454</v>
      </c>
      <c r="C1529" s="12" t="s">
        <v>386</v>
      </c>
      <c r="D1529" s="12" t="s">
        <v>403</v>
      </c>
      <c r="E1529" s="12" t="s">
        <v>109</v>
      </c>
      <c r="F1529" s="14">
        <v>8</v>
      </c>
      <c r="G1529" s="14">
        <v>2290</v>
      </c>
      <c r="H1529" s="14">
        <v>12.2</v>
      </c>
      <c r="I1529" s="14">
        <v>16084.96</v>
      </c>
      <c r="J1529" s="12" t="s">
        <v>104</v>
      </c>
      <c r="K1529" s="12" t="s">
        <v>111</v>
      </c>
      <c r="L1529" s="23" t="str">
        <f>VLOOKUP(D1529,Products!$A:$F,3,FALSE)</f>
        <v>Beauty</v>
      </c>
      <c r="M1529" s="23" t="str">
        <f>VLOOKUP(E1529,Sales_Reps!$A:$E,3,FALSE)</f>
        <v>North</v>
      </c>
      <c r="N1529" s="23" t="str">
        <f t="shared" si="69"/>
        <v>Jun-24</v>
      </c>
      <c r="O1529" s="23" t="str">
        <f t="shared" si="70"/>
        <v>Q2 2024</v>
      </c>
      <c r="P1529" s="23">
        <f>VLOOKUP(D1529,Products!$A:$F,4,FALSE)</f>
        <v>1219</v>
      </c>
      <c r="Q1529" s="35">
        <f t="shared" si="71"/>
        <v>0.46768558951965067</v>
      </c>
    </row>
    <row r="1530" spans="1:17">
      <c r="A1530" s="12" t="s">
        <v>2040</v>
      </c>
      <c r="B1530" s="13">
        <v>45529</v>
      </c>
      <c r="C1530" s="12" t="s">
        <v>359</v>
      </c>
      <c r="D1530" s="12" t="s">
        <v>312</v>
      </c>
      <c r="E1530" s="12" t="s">
        <v>128</v>
      </c>
      <c r="F1530" s="14">
        <v>5</v>
      </c>
      <c r="G1530" s="14">
        <v>2030</v>
      </c>
      <c r="H1530" s="14">
        <v>23.8</v>
      </c>
      <c r="I1530" s="14">
        <v>7734.3</v>
      </c>
      <c r="J1530" s="12" t="s">
        <v>157</v>
      </c>
      <c r="K1530" s="12" t="s">
        <v>111</v>
      </c>
      <c r="L1530" s="23" t="str">
        <f>VLOOKUP(D1530,Products!$A:$F,3,FALSE)</f>
        <v>Home</v>
      </c>
      <c r="M1530" s="23" t="str">
        <f>VLOOKUP(E1530,Sales_Reps!$A:$E,3,FALSE)</f>
        <v>West</v>
      </c>
      <c r="N1530" s="23" t="str">
        <f t="shared" si="69"/>
        <v>Aug-24</v>
      </c>
      <c r="O1530" s="23" t="str">
        <f t="shared" si="70"/>
        <v>Q3 2024</v>
      </c>
      <c r="P1530" s="23">
        <f>VLOOKUP(D1530,Products!$A:$F,4,FALSE)</f>
        <v>1143</v>
      </c>
      <c r="Q1530" s="35">
        <f t="shared" si="71"/>
        <v>0.43694581280788175</v>
      </c>
    </row>
    <row r="1531" spans="1:17">
      <c r="A1531" s="12" t="s">
        <v>2041</v>
      </c>
      <c r="B1531" s="13">
        <v>45546</v>
      </c>
      <c r="C1531" s="12" t="s">
        <v>457</v>
      </c>
      <c r="D1531" s="12" t="s">
        <v>425</v>
      </c>
      <c r="E1531" s="12" t="s">
        <v>246</v>
      </c>
      <c r="F1531" s="14">
        <v>3</v>
      </c>
      <c r="G1531" s="14">
        <v>3970</v>
      </c>
      <c r="H1531" s="14">
        <v>7.7</v>
      </c>
      <c r="I1531" s="14">
        <v>10992.93</v>
      </c>
      <c r="J1531" s="12" t="s">
        <v>104</v>
      </c>
      <c r="K1531" s="12" t="s">
        <v>105</v>
      </c>
      <c r="L1531" s="23" t="str">
        <f>VLOOKUP(D1531,Products!$A:$F,3,FALSE)</f>
        <v>Electronics</v>
      </c>
      <c r="M1531" s="23" t="str">
        <f>VLOOKUP(E1531,Sales_Reps!$A:$E,3,FALSE)</f>
        <v>West</v>
      </c>
      <c r="N1531" s="23" t="str">
        <f t="shared" si="69"/>
        <v>Sep-24</v>
      </c>
      <c r="O1531" s="23" t="str">
        <f t="shared" si="70"/>
        <v>Q3 2024</v>
      </c>
      <c r="P1531" s="23">
        <f>VLOOKUP(D1531,Products!$A:$F,4,FALSE)</f>
        <v>2865</v>
      </c>
      <c r="Q1531" s="35">
        <f t="shared" si="71"/>
        <v>0.27833753148614609</v>
      </c>
    </row>
    <row r="1532" spans="1:17">
      <c r="A1532" s="12" t="s">
        <v>2042</v>
      </c>
      <c r="B1532" s="13">
        <v>45481</v>
      </c>
      <c r="C1532" s="12" t="s">
        <v>729</v>
      </c>
      <c r="D1532" s="12" t="s">
        <v>108</v>
      </c>
      <c r="E1532" s="12" t="s">
        <v>363</v>
      </c>
      <c r="F1532" s="14">
        <v>1</v>
      </c>
      <c r="G1532" s="14">
        <v>820</v>
      </c>
      <c r="H1532" s="14">
        <v>5.4</v>
      </c>
      <c r="I1532" s="14">
        <v>775.72</v>
      </c>
      <c r="J1532" s="12" t="s">
        <v>104</v>
      </c>
      <c r="K1532" s="12" t="s">
        <v>129</v>
      </c>
      <c r="L1532" s="23" t="str">
        <f>VLOOKUP(D1532,Products!$A:$F,3,FALSE)</f>
        <v>Apparel</v>
      </c>
      <c r="M1532" s="23" t="str">
        <f>VLOOKUP(E1532,Sales_Reps!$A:$E,3,FALSE)</f>
        <v>South</v>
      </c>
      <c r="N1532" s="23" t="str">
        <f t="shared" si="69"/>
        <v>Jul-24</v>
      </c>
      <c r="O1532" s="23" t="str">
        <f t="shared" si="70"/>
        <v>Q3 2024</v>
      </c>
      <c r="P1532" s="23">
        <f>VLOOKUP(D1532,Products!$A:$F,4,FALSE)</f>
        <v>391</v>
      </c>
      <c r="Q1532" s="35">
        <f t="shared" si="71"/>
        <v>0.52317073170731709</v>
      </c>
    </row>
    <row r="1533" spans="1:17">
      <c r="A1533" s="12" t="s">
        <v>2043</v>
      </c>
      <c r="B1533" s="13">
        <v>45472</v>
      </c>
      <c r="C1533" s="12" t="s">
        <v>339</v>
      </c>
      <c r="D1533" s="12" t="s">
        <v>265</v>
      </c>
      <c r="E1533" s="12" t="s">
        <v>128</v>
      </c>
      <c r="F1533" s="14">
        <v>3</v>
      </c>
      <c r="G1533" s="14">
        <v>3870</v>
      </c>
      <c r="H1533" s="14">
        <v>1.9</v>
      </c>
      <c r="I1533" s="14">
        <v>11389.41</v>
      </c>
      <c r="J1533" s="12" t="s">
        <v>104</v>
      </c>
      <c r="K1533" s="12" t="s">
        <v>116</v>
      </c>
      <c r="L1533" s="23" t="str">
        <f>VLOOKUP(D1533,Products!$A:$F,3,FALSE)</f>
        <v>Electronics</v>
      </c>
      <c r="M1533" s="23" t="str">
        <f>VLOOKUP(E1533,Sales_Reps!$A:$E,3,FALSE)</f>
        <v>West</v>
      </c>
      <c r="N1533" s="23" t="str">
        <f t="shared" si="69"/>
        <v>Jun-24</v>
      </c>
      <c r="O1533" s="23" t="str">
        <f t="shared" si="70"/>
        <v>Q2 2024</v>
      </c>
      <c r="P1533" s="23">
        <f>VLOOKUP(D1533,Products!$A:$F,4,FALSE)</f>
        <v>1559</v>
      </c>
      <c r="Q1533" s="35">
        <f t="shared" si="71"/>
        <v>0.59715762273901807</v>
      </c>
    </row>
    <row r="1534" spans="1:17">
      <c r="A1534" s="12" t="s">
        <v>2044</v>
      </c>
      <c r="B1534" s="13">
        <v>45296</v>
      </c>
      <c r="C1534" s="12" t="s">
        <v>545</v>
      </c>
      <c r="D1534" s="12" t="s">
        <v>144</v>
      </c>
      <c r="E1534" s="12" t="s">
        <v>302</v>
      </c>
      <c r="F1534" s="14">
        <v>6</v>
      </c>
      <c r="G1534" s="14">
        <v>970</v>
      </c>
      <c r="H1534" s="14">
        <v>27.1</v>
      </c>
      <c r="I1534" s="14">
        <v>4242.78</v>
      </c>
      <c r="J1534" s="12" t="s">
        <v>104</v>
      </c>
      <c r="K1534" s="12" t="s">
        <v>129</v>
      </c>
      <c r="L1534" s="23" t="str">
        <f>VLOOKUP(D1534,Products!$A:$F,3,FALSE)</f>
        <v>Grocery</v>
      </c>
      <c r="M1534" s="23" t="str">
        <f>VLOOKUP(E1534,Sales_Reps!$A:$E,3,FALSE)</f>
        <v>East</v>
      </c>
      <c r="N1534" s="23" t="str">
        <f t="shared" si="69"/>
        <v>Jan-24</v>
      </c>
      <c r="O1534" s="23" t="str">
        <f t="shared" si="70"/>
        <v>Q1 2024</v>
      </c>
      <c r="P1534" s="23">
        <f>VLOOKUP(D1534,Products!$A:$F,4,FALSE)</f>
        <v>434</v>
      </c>
      <c r="Q1534" s="35">
        <f t="shared" si="71"/>
        <v>0.5525773195876289</v>
      </c>
    </row>
    <row r="1535" spans="1:17">
      <c r="A1535" s="12" t="s">
        <v>2045</v>
      </c>
      <c r="B1535" s="13">
        <v>45567</v>
      </c>
      <c r="C1535" s="12" t="s">
        <v>311</v>
      </c>
      <c r="D1535" s="12" t="s">
        <v>201</v>
      </c>
      <c r="E1535" s="12" t="s">
        <v>128</v>
      </c>
      <c r="F1535" s="14">
        <v>1</v>
      </c>
      <c r="G1535" s="14">
        <v>4880</v>
      </c>
      <c r="H1535" s="14">
        <v>26.8</v>
      </c>
      <c r="I1535" s="14">
        <v>3572.16</v>
      </c>
      <c r="J1535" s="12" t="s">
        <v>104</v>
      </c>
      <c r="K1535" s="12" t="s">
        <v>150</v>
      </c>
      <c r="L1535" s="23" t="str">
        <f>VLOOKUP(D1535,Products!$A:$F,3,FALSE)</f>
        <v>Beauty</v>
      </c>
      <c r="M1535" s="23" t="str">
        <f>VLOOKUP(E1535,Sales_Reps!$A:$E,3,FALSE)</f>
        <v>West</v>
      </c>
      <c r="N1535" s="23" t="str">
        <f t="shared" si="69"/>
        <v>Oct-24</v>
      </c>
      <c r="O1535" s="23" t="str">
        <f t="shared" si="70"/>
        <v>Q4 2024</v>
      </c>
      <c r="P1535" s="23">
        <f>VLOOKUP(D1535,Products!$A:$F,4,FALSE)</f>
        <v>2768</v>
      </c>
      <c r="Q1535" s="35">
        <f t="shared" si="71"/>
        <v>0.43278688524590164</v>
      </c>
    </row>
    <row r="1536" spans="1:17">
      <c r="A1536" s="12" t="s">
        <v>2046</v>
      </c>
      <c r="B1536" s="13">
        <v>45337</v>
      </c>
      <c r="C1536" s="12" t="s">
        <v>858</v>
      </c>
      <c r="D1536" s="12" t="s">
        <v>262</v>
      </c>
      <c r="E1536" s="12" t="s">
        <v>171</v>
      </c>
      <c r="F1536" s="14">
        <v>1</v>
      </c>
      <c r="G1536" s="14">
        <v>2270</v>
      </c>
      <c r="H1536" s="14">
        <v>22.2</v>
      </c>
      <c r="I1536" s="14">
        <v>1766.06</v>
      </c>
      <c r="J1536" s="12" t="s">
        <v>104</v>
      </c>
      <c r="K1536" s="12" t="s">
        <v>134</v>
      </c>
      <c r="L1536" s="23" t="str">
        <f>VLOOKUP(D1536,Products!$A:$F,3,FALSE)</f>
        <v>Grocery</v>
      </c>
      <c r="M1536" s="23" t="str">
        <f>VLOOKUP(E1536,Sales_Reps!$A:$E,3,FALSE)</f>
        <v>East</v>
      </c>
      <c r="N1536" s="23" t="str">
        <f t="shared" si="69"/>
        <v>Feb-24</v>
      </c>
      <c r="O1536" s="23" t="str">
        <f t="shared" si="70"/>
        <v>Q1 2024</v>
      </c>
      <c r="P1536" s="23">
        <f>VLOOKUP(D1536,Products!$A:$F,4,FALSE)</f>
        <v>1412</v>
      </c>
      <c r="Q1536" s="35">
        <f t="shared" si="71"/>
        <v>0.37797356828193834</v>
      </c>
    </row>
    <row r="1537" spans="1:17">
      <c r="A1537" s="12" t="s">
        <v>2047</v>
      </c>
      <c r="B1537" s="13">
        <v>45376</v>
      </c>
      <c r="C1537" s="12" t="s">
        <v>170</v>
      </c>
      <c r="D1537" s="12" t="s">
        <v>174</v>
      </c>
      <c r="E1537" s="12" t="s">
        <v>218</v>
      </c>
      <c r="F1537" s="14">
        <v>10</v>
      </c>
      <c r="G1537" s="14">
        <v>3450</v>
      </c>
      <c r="H1537" s="14">
        <v>21.9</v>
      </c>
      <c r="I1537" s="14">
        <v>26944.5</v>
      </c>
      <c r="J1537" s="12" t="s">
        <v>104</v>
      </c>
      <c r="K1537" s="12" t="s">
        <v>134</v>
      </c>
      <c r="L1537" s="23" t="str">
        <f>VLOOKUP(D1537,Products!$A:$F,3,FALSE)</f>
        <v>Beauty</v>
      </c>
      <c r="M1537" s="23" t="str">
        <f>VLOOKUP(E1537,Sales_Reps!$A:$E,3,FALSE)</f>
        <v>West</v>
      </c>
      <c r="N1537" s="23" t="str">
        <f t="shared" si="69"/>
        <v>Mar-24</v>
      </c>
      <c r="O1537" s="23" t="str">
        <f t="shared" si="70"/>
        <v>Q1 2024</v>
      </c>
      <c r="P1537" s="23">
        <f>VLOOKUP(D1537,Products!$A:$F,4,FALSE)</f>
        <v>2420</v>
      </c>
      <c r="Q1537" s="35">
        <f t="shared" si="71"/>
        <v>0.29855072463768118</v>
      </c>
    </row>
    <row r="1538" spans="1:17">
      <c r="A1538" s="12" t="s">
        <v>2048</v>
      </c>
      <c r="B1538" s="13">
        <v>45616</v>
      </c>
      <c r="C1538" s="12" t="s">
        <v>578</v>
      </c>
      <c r="D1538" s="12" t="s">
        <v>262</v>
      </c>
      <c r="E1538" s="12" t="s">
        <v>290</v>
      </c>
      <c r="F1538" s="14">
        <v>3</v>
      </c>
      <c r="G1538" s="14">
        <v>2270</v>
      </c>
      <c r="H1538" s="14">
        <v>19.100000000000001</v>
      </c>
      <c r="I1538" s="14">
        <v>5509.29</v>
      </c>
      <c r="J1538" s="12" t="s">
        <v>157</v>
      </c>
      <c r="K1538" s="12" t="s">
        <v>150</v>
      </c>
      <c r="L1538" s="23" t="str">
        <f>VLOOKUP(D1538,Products!$A:$F,3,FALSE)</f>
        <v>Grocery</v>
      </c>
      <c r="M1538" s="23" t="str">
        <f>VLOOKUP(E1538,Sales_Reps!$A:$E,3,FALSE)</f>
        <v>South</v>
      </c>
      <c r="N1538" s="23" t="str">
        <f t="shared" si="69"/>
        <v>Nov-24</v>
      </c>
      <c r="O1538" s="23" t="str">
        <f t="shared" si="70"/>
        <v>Q4 2024</v>
      </c>
      <c r="P1538" s="23">
        <f>VLOOKUP(D1538,Products!$A:$F,4,FALSE)</f>
        <v>1412</v>
      </c>
      <c r="Q1538" s="35">
        <f t="shared" si="71"/>
        <v>0.37797356828193834</v>
      </c>
    </row>
    <row r="1539" spans="1:17">
      <c r="A1539" s="12" t="s">
        <v>2049</v>
      </c>
      <c r="B1539" s="13">
        <v>45360</v>
      </c>
      <c r="C1539" s="12" t="s">
        <v>938</v>
      </c>
      <c r="D1539" s="12" t="s">
        <v>355</v>
      </c>
      <c r="E1539" s="12" t="s">
        <v>187</v>
      </c>
      <c r="F1539" s="14">
        <v>10</v>
      </c>
      <c r="G1539" s="14">
        <v>2210</v>
      </c>
      <c r="H1539" s="14">
        <v>22.3</v>
      </c>
      <c r="I1539" s="14">
        <v>17171.7</v>
      </c>
      <c r="J1539" s="12" t="s">
        <v>104</v>
      </c>
      <c r="K1539" s="12" t="s">
        <v>134</v>
      </c>
      <c r="L1539" s="23" t="str">
        <f>VLOOKUP(D1539,Products!$A:$F,3,FALSE)</f>
        <v>Grocery</v>
      </c>
      <c r="M1539" s="23" t="str">
        <f>VLOOKUP(E1539,Sales_Reps!$A:$E,3,FALSE)</f>
        <v>West</v>
      </c>
      <c r="N1539" s="23" t="str">
        <f t="shared" ref="N1539:N1602" si="72">TEXT(B1539, "mmm-yy")</f>
        <v>Mar-24</v>
      </c>
      <c r="O1539" s="23" t="str">
        <f t="shared" ref="O1539:O1602" si="73">"Q" &amp; INT((MONTH(B1539)-1)/3)+1 &amp; " " &amp; YEAR(B1539)</f>
        <v>Q1 2024</v>
      </c>
      <c r="P1539" s="23">
        <f>VLOOKUP(D1539,Products!$A:$F,4,FALSE)</f>
        <v>1010</v>
      </c>
      <c r="Q1539" s="35">
        <f t="shared" ref="Q1539:Q1602" si="74">(G1539 - P1539) / G1539</f>
        <v>0.54298642533936647</v>
      </c>
    </row>
    <row r="1540" spans="1:17">
      <c r="A1540" s="12" t="s">
        <v>2050</v>
      </c>
      <c r="B1540" s="13">
        <v>45465</v>
      </c>
      <c r="C1540" s="12" t="s">
        <v>491</v>
      </c>
      <c r="D1540" s="12" t="s">
        <v>312</v>
      </c>
      <c r="E1540" s="12" t="s">
        <v>290</v>
      </c>
      <c r="F1540" s="14">
        <v>9</v>
      </c>
      <c r="G1540" s="14">
        <v>2030</v>
      </c>
      <c r="H1540" s="14">
        <v>24.8</v>
      </c>
      <c r="I1540" s="14">
        <v>13739.04</v>
      </c>
      <c r="J1540" s="12" t="s">
        <v>104</v>
      </c>
      <c r="K1540" s="12" t="s">
        <v>116</v>
      </c>
      <c r="L1540" s="23" t="str">
        <f>VLOOKUP(D1540,Products!$A:$F,3,FALSE)</f>
        <v>Home</v>
      </c>
      <c r="M1540" s="23" t="str">
        <f>VLOOKUP(E1540,Sales_Reps!$A:$E,3,FALSE)</f>
        <v>South</v>
      </c>
      <c r="N1540" s="23" t="str">
        <f t="shared" si="72"/>
        <v>Jun-24</v>
      </c>
      <c r="O1540" s="23" t="str">
        <f t="shared" si="73"/>
        <v>Q2 2024</v>
      </c>
      <c r="P1540" s="23">
        <f>VLOOKUP(D1540,Products!$A:$F,4,FALSE)</f>
        <v>1143</v>
      </c>
      <c r="Q1540" s="35">
        <f t="shared" si="74"/>
        <v>0.43694581280788175</v>
      </c>
    </row>
    <row r="1541" spans="1:17">
      <c r="A1541" s="12" t="s">
        <v>2051</v>
      </c>
      <c r="B1541" s="13">
        <v>45380</v>
      </c>
      <c r="C1541" s="12" t="s">
        <v>405</v>
      </c>
      <c r="D1541" s="12" t="s">
        <v>196</v>
      </c>
      <c r="E1541" s="12" t="s">
        <v>171</v>
      </c>
      <c r="F1541" s="14">
        <v>5</v>
      </c>
      <c r="G1541" s="14">
        <v>3350</v>
      </c>
      <c r="H1541" s="14">
        <v>18.2</v>
      </c>
      <c r="I1541" s="14">
        <v>13701.5</v>
      </c>
      <c r="J1541" s="12" t="s">
        <v>104</v>
      </c>
      <c r="K1541" s="12" t="s">
        <v>150</v>
      </c>
      <c r="L1541" s="23" t="str">
        <f>VLOOKUP(D1541,Products!$A:$F,3,FALSE)</f>
        <v>Beauty</v>
      </c>
      <c r="M1541" s="23" t="str">
        <f>VLOOKUP(E1541,Sales_Reps!$A:$E,3,FALSE)</f>
        <v>East</v>
      </c>
      <c r="N1541" s="23" t="str">
        <f t="shared" si="72"/>
        <v>Mar-24</v>
      </c>
      <c r="O1541" s="23" t="str">
        <f t="shared" si="73"/>
        <v>Q1 2024</v>
      </c>
      <c r="P1541" s="23">
        <f>VLOOKUP(D1541,Products!$A:$F,4,FALSE)</f>
        <v>1728</v>
      </c>
      <c r="Q1541" s="35">
        <f t="shared" si="74"/>
        <v>0.48417910447761192</v>
      </c>
    </row>
    <row r="1542" spans="1:17">
      <c r="A1542" s="12" t="s">
        <v>2052</v>
      </c>
      <c r="B1542" s="13">
        <v>45358</v>
      </c>
      <c r="C1542" s="12" t="s">
        <v>1645</v>
      </c>
      <c r="D1542" s="12" t="s">
        <v>254</v>
      </c>
      <c r="E1542" s="12" t="s">
        <v>124</v>
      </c>
      <c r="F1542" s="14">
        <v>7</v>
      </c>
      <c r="G1542" s="14">
        <v>3640</v>
      </c>
      <c r="H1542" s="14">
        <v>14.4</v>
      </c>
      <c r="I1542" s="14">
        <v>21810.880000000001</v>
      </c>
      <c r="J1542" s="12" t="s">
        <v>104</v>
      </c>
      <c r="K1542" s="12" t="s">
        <v>111</v>
      </c>
      <c r="L1542" s="23" t="str">
        <f>VLOOKUP(D1542,Products!$A:$F,3,FALSE)</f>
        <v>Apparel</v>
      </c>
      <c r="M1542" s="23" t="str">
        <f>VLOOKUP(E1542,Sales_Reps!$A:$E,3,FALSE)</f>
        <v>North</v>
      </c>
      <c r="N1542" s="23" t="str">
        <f t="shared" si="72"/>
        <v>Mar-24</v>
      </c>
      <c r="O1542" s="23" t="str">
        <f t="shared" si="73"/>
        <v>Q1 2024</v>
      </c>
      <c r="P1542" s="23">
        <f>VLOOKUP(D1542,Products!$A:$F,4,FALSE)</f>
        <v>2611</v>
      </c>
      <c r="Q1542" s="35">
        <f t="shared" si="74"/>
        <v>0.28269230769230769</v>
      </c>
    </row>
    <row r="1543" spans="1:17">
      <c r="A1543" s="12" t="s">
        <v>2053</v>
      </c>
      <c r="B1543" s="13">
        <v>45385</v>
      </c>
      <c r="C1543" s="12" t="s">
        <v>919</v>
      </c>
      <c r="D1543" s="12" t="s">
        <v>178</v>
      </c>
      <c r="E1543" s="12" t="s">
        <v>320</v>
      </c>
      <c r="F1543" s="14">
        <v>9</v>
      </c>
      <c r="G1543" s="14">
        <v>3450</v>
      </c>
      <c r="H1543" s="14">
        <v>20.100000000000001</v>
      </c>
      <c r="I1543" s="14">
        <v>24808.95</v>
      </c>
      <c r="J1543" s="12" t="s">
        <v>104</v>
      </c>
      <c r="K1543" s="12" t="s">
        <v>129</v>
      </c>
      <c r="L1543" s="23" t="str">
        <f>VLOOKUP(D1543,Products!$A:$F,3,FALSE)</f>
        <v>Sports</v>
      </c>
      <c r="M1543" s="23" t="str">
        <f>VLOOKUP(E1543,Sales_Reps!$A:$E,3,FALSE)</f>
        <v>East</v>
      </c>
      <c r="N1543" s="23" t="str">
        <f t="shared" si="72"/>
        <v>Apr-24</v>
      </c>
      <c r="O1543" s="23" t="str">
        <f t="shared" si="73"/>
        <v>Q2 2024</v>
      </c>
      <c r="P1543" s="23">
        <f>VLOOKUP(D1543,Products!$A:$F,4,FALSE)</f>
        <v>2467</v>
      </c>
      <c r="Q1543" s="35">
        <f t="shared" si="74"/>
        <v>0.28492753623188405</v>
      </c>
    </row>
    <row r="1544" spans="1:17">
      <c r="A1544" s="12" t="s">
        <v>2054</v>
      </c>
      <c r="B1544" s="13">
        <v>45443</v>
      </c>
      <c r="C1544" s="12" t="s">
        <v>885</v>
      </c>
      <c r="D1544" s="12" t="s">
        <v>174</v>
      </c>
      <c r="E1544" s="12" t="s">
        <v>165</v>
      </c>
      <c r="F1544" s="14">
        <v>6</v>
      </c>
      <c r="G1544" s="14">
        <v>3450</v>
      </c>
      <c r="H1544" s="14">
        <v>19.899999999999999</v>
      </c>
      <c r="I1544" s="14">
        <v>16580.7</v>
      </c>
      <c r="J1544" s="12" t="s">
        <v>110</v>
      </c>
      <c r="K1544" s="12" t="s">
        <v>116</v>
      </c>
      <c r="L1544" s="23" t="str">
        <f>VLOOKUP(D1544,Products!$A:$F,3,FALSE)</f>
        <v>Beauty</v>
      </c>
      <c r="M1544" s="23" t="str">
        <f>VLOOKUP(E1544,Sales_Reps!$A:$E,3,FALSE)</f>
        <v>North</v>
      </c>
      <c r="N1544" s="23" t="str">
        <f t="shared" si="72"/>
        <v>May-24</v>
      </c>
      <c r="O1544" s="23" t="str">
        <f t="shared" si="73"/>
        <v>Q2 2024</v>
      </c>
      <c r="P1544" s="23">
        <f>VLOOKUP(D1544,Products!$A:$F,4,FALSE)</f>
        <v>2420</v>
      </c>
      <c r="Q1544" s="35">
        <f t="shared" si="74"/>
        <v>0.29855072463768118</v>
      </c>
    </row>
    <row r="1545" spans="1:17">
      <c r="A1545" s="12" t="s">
        <v>2055</v>
      </c>
      <c r="B1545" s="13">
        <v>45599</v>
      </c>
      <c r="C1545" s="12" t="s">
        <v>198</v>
      </c>
      <c r="D1545" s="12" t="s">
        <v>403</v>
      </c>
      <c r="E1545" s="12" t="s">
        <v>302</v>
      </c>
      <c r="F1545" s="14">
        <v>4</v>
      </c>
      <c r="G1545" s="14">
        <v>2290</v>
      </c>
      <c r="H1545" s="14">
        <v>4.8</v>
      </c>
      <c r="I1545" s="14">
        <v>8720.32</v>
      </c>
      <c r="J1545" s="12" t="s">
        <v>110</v>
      </c>
      <c r="K1545" s="12" t="s">
        <v>116</v>
      </c>
      <c r="L1545" s="23" t="str">
        <f>VLOOKUP(D1545,Products!$A:$F,3,FALSE)</f>
        <v>Beauty</v>
      </c>
      <c r="M1545" s="23" t="str">
        <f>VLOOKUP(E1545,Sales_Reps!$A:$E,3,FALSE)</f>
        <v>East</v>
      </c>
      <c r="N1545" s="23" t="str">
        <f t="shared" si="72"/>
        <v>Nov-24</v>
      </c>
      <c r="O1545" s="23" t="str">
        <f t="shared" si="73"/>
        <v>Q4 2024</v>
      </c>
      <c r="P1545" s="23">
        <f>VLOOKUP(D1545,Products!$A:$F,4,FALSE)</f>
        <v>1219</v>
      </c>
      <c r="Q1545" s="35">
        <f t="shared" si="74"/>
        <v>0.46768558951965067</v>
      </c>
    </row>
    <row r="1546" spans="1:17">
      <c r="A1546" s="12" t="s">
        <v>2056</v>
      </c>
      <c r="B1546" s="13">
        <v>45479</v>
      </c>
      <c r="C1546" s="12" t="s">
        <v>714</v>
      </c>
      <c r="D1546" s="12" t="s">
        <v>132</v>
      </c>
      <c r="E1546" s="12" t="s">
        <v>149</v>
      </c>
      <c r="F1546" s="14">
        <v>9</v>
      </c>
      <c r="G1546" s="14">
        <v>960</v>
      </c>
      <c r="H1546" s="14">
        <v>2.4</v>
      </c>
      <c r="I1546" s="14">
        <v>8432.64</v>
      </c>
      <c r="J1546" s="12" t="s">
        <v>104</v>
      </c>
      <c r="K1546" s="12" t="s">
        <v>150</v>
      </c>
      <c r="L1546" s="23" t="str">
        <f>VLOOKUP(D1546,Products!$A:$F,3,FALSE)</f>
        <v>Sports</v>
      </c>
      <c r="M1546" s="23" t="str">
        <f>VLOOKUP(E1546,Sales_Reps!$A:$E,3,FALSE)</f>
        <v>South</v>
      </c>
      <c r="N1546" s="23" t="str">
        <f t="shared" si="72"/>
        <v>Jul-24</v>
      </c>
      <c r="O1546" s="23" t="str">
        <f t="shared" si="73"/>
        <v>Q3 2024</v>
      </c>
      <c r="P1546" s="23">
        <f>VLOOKUP(D1546,Products!$A:$F,4,FALSE)</f>
        <v>705</v>
      </c>
      <c r="Q1546" s="35">
        <f t="shared" si="74"/>
        <v>0.265625</v>
      </c>
    </row>
    <row r="1547" spans="1:17">
      <c r="A1547" s="12" t="s">
        <v>2057</v>
      </c>
      <c r="B1547" s="13">
        <v>45489</v>
      </c>
      <c r="C1547" s="12" t="s">
        <v>742</v>
      </c>
      <c r="D1547" s="12" t="s">
        <v>287</v>
      </c>
      <c r="E1547" s="12" t="s">
        <v>128</v>
      </c>
      <c r="F1547" s="14">
        <v>9</v>
      </c>
      <c r="G1547" s="14">
        <v>4610</v>
      </c>
      <c r="H1547" s="14">
        <v>21.3</v>
      </c>
      <c r="I1547" s="14">
        <v>32652.63</v>
      </c>
      <c r="J1547" s="12" t="s">
        <v>104</v>
      </c>
      <c r="K1547" s="12" t="s">
        <v>116</v>
      </c>
      <c r="L1547" s="23" t="str">
        <f>VLOOKUP(D1547,Products!$A:$F,3,FALSE)</f>
        <v>Home</v>
      </c>
      <c r="M1547" s="23" t="str">
        <f>VLOOKUP(E1547,Sales_Reps!$A:$E,3,FALSE)</f>
        <v>West</v>
      </c>
      <c r="N1547" s="23" t="str">
        <f t="shared" si="72"/>
        <v>Jul-24</v>
      </c>
      <c r="O1547" s="23" t="str">
        <f t="shared" si="73"/>
        <v>Q3 2024</v>
      </c>
      <c r="P1547" s="23">
        <f>VLOOKUP(D1547,Products!$A:$F,4,FALSE)</f>
        <v>1850</v>
      </c>
      <c r="Q1547" s="35">
        <f t="shared" si="74"/>
        <v>0.59869848156182215</v>
      </c>
    </row>
    <row r="1548" spans="1:17">
      <c r="A1548" s="12" t="s">
        <v>2058</v>
      </c>
      <c r="B1548" s="13">
        <v>45514</v>
      </c>
      <c r="C1548" s="12" t="s">
        <v>1089</v>
      </c>
      <c r="D1548" s="12" t="s">
        <v>119</v>
      </c>
      <c r="E1548" s="12" t="s">
        <v>165</v>
      </c>
      <c r="F1548" s="14">
        <v>1</v>
      </c>
      <c r="G1548" s="14">
        <v>3660</v>
      </c>
      <c r="H1548" s="14">
        <v>15.6</v>
      </c>
      <c r="I1548" s="14">
        <v>3089.04</v>
      </c>
      <c r="J1548" s="12" t="s">
        <v>104</v>
      </c>
      <c r="K1548" s="12" t="s">
        <v>129</v>
      </c>
      <c r="L1548" s="23" t="str">
        <f>VLOOKUP(D1548,Products!$A:$F,3,FALSE)</f>
        <v>Grocery</v>
      </c>
      <c r="M1548" s="23" t="str">
        <f>VLOOKUP(E1548,Sales_Reps!$A:$E,3,FALSE)</f>
        <v>North</v>
      </c>
      <c r="N1548" s="23" t="str">
        <f t="shared" si="72"/>
        <v>Aug-24</v>
      </c>
      <c r="O1548" s="23" t="str">
        <f t="shared" si="73"/>
        <v>Q3 2024</v>
      </c>
      <c r="P1548" s="23">
        <f>VLOOKUP(D1548,Products!$A:$F,4,FALSE)</f>
        <v>2214</v>
      </c>
      <c r="Q1548" s="35">
        <f t="shared" si="74"/>
        <v>0.39508196721311473</v>
      </c>
    </row>
    <row r="1549" spans="1:17">
      <c r="A1549" s="12" t="s">
        <v>2059</v>
      </c>
      <c r="B1549" s="13">
        <v>45653</v>
      </c>
      <c r="C1549" s="12" t="s">
        <v>322</v>
      </c>
      <c r="D1549" s="12" t="s">
        <v>296</v>
      </c>
      <c r="E1549" s="12" t="s">
        <v>342</v>
      </c>
      <c r="F1549" s="14">
        <v>5</v>
      </c>
      <c r="G1549" s="14">
        <v>2660</v>
      </c>
      <c r="H1549" s="14">
        <v>20.399999999999999</v>
      </c>
      <c r="I1549" s="14">
        <v>10586.8</v>
      </c>
      <c r="J1549" s="12" t="s">
        <v>104</v>
      </c>
      <c r="K1549" s="12" t="s">
        <v>150</v>
      </c>
      <c r="L1549" s="23" t="str">
        <f>VLOOKUP(D1549,Products!$A:$F,3,FALSE)</f>
        <v>Electronics</v>
      </c>
      <c r="M1549" s="23" t="str">
        <f>VLOOKUP(E1549,Sales_Reps!$A:$E,3,FALSE)</f>
        <v>South</v>
      </c>
      <c r="N1549" s="23" t="str">
        <f t="shared" si="72"/>
        <v>Dec-24</v>
      </c>
      <c r="O1549" s="23" t="str">
        <f t="shared" si="73"/>
        <v>Q4 2024</v>
      </c>
      <c r="P1549" s="23">
        <f>VLOOKUP(D1549,Products!$A:$F,4,FALSE)</f>
        <v>1259</v>
      </c>
      <c r="Q1549" s="35">
        <f t="shared" si="74"/>
        <v>0.52669172932330832</v>
      </c>
    </row>
    <row r="1550" spans="1:17">
      <c r="A1550" s="12" t="s">
        <v>2060</v>
      </c>
      <c r="B1550" s="13">
        <v>45401</v>
      </c>
      <c r="C1550" s="12" t="s">
        <v>885</v>
      </c>
      <c r="D1550" s="12" t="s">
        <v>276</v>
      </c>
      <c r="E1550" s="12" t="s">
        <v>218</v>
      </c>
      <c r="F1550" s="14">
        <v>8</v>
      </c>
      <c r="G1550" s="14">
        <v>1540</v>
      </c>
      <c r="H1550" s="14">
        <v>0.5</v>
      </c>
      <c r="I1550" s="14">
        <v>12258.4</v>
      </c>
      <c r="J1550" s="12" t="s">
        <v>104</v>
      </c>
      <c r="K1550" s="12" t="s">
        <v>116</v>
      </c>
      <c r="L1550" s="23" t="str">
        <f>VLOOKUP(D1550,Products!$A:$F,3,FALSE)</f>
        <v>Beauty</v>
      </c>
      <c r="M1550" s="23" t="str">
        <f>VLOOKUP(E1550,Sales_Reps!$A:$E,3,FALSE)</f>
        <v>West</v>
      </c>
      <c r="N1550" s="23" t="str">
        <f t="shared" si="72"/>
        <v>Apr-24</v>
      </c>
      <c r="O1550" s="23" t="str">
        <f t="shared" si="73"/>
        <v>Q2 2024</v>
      </c>
      <c r="P1550" s="23">
        <f>VLOOKUP(D1550,Products!$A:$F,4,FALSE)</f>
        <v>647</v>
      </c>
      <c r="Q1550" s="35">
        <f t="shared" si="74"/>
        <v>0.57987012987012987</v>
      </c>
    </row>
    <row r="1551" spans="1:17">
      <c r="A1551" s="12" t="s">
        <v>2061</v>
      </c>
      <c r="B1551" s="13">
        <v>45621</v>
      </c>
      <c r="C1551" s="12" t="s">
        <v>524</v>
      </c>
      <c r="D1551" s="12" t="s">
        <v>425</v>
      </c>
      <c r="E1551" s="12" t="s">
        <v>156</v>
      </c>
      <c r="F1551" s="14">
        <v>4</v>
      </c>
      <c r="G1551" s="14">
        <v>3970</v>
      </c>
      <c r="H1551" s="14">
        <v>22.5</v>
      </c>
      <c r="I1551" s="14">
        <v>12307</v>
      </c>
      <c r="J1551" s="12" t="s">
        <v>104</v>
      </c>
      <c r="K1551" s="12" t="s">
        <v>105</v>
      </c>
      <c r="L1551" s="23" t="str">
        <f>VLOOKUP(D1551,Products!$A:$F,3,FALSE)</f>
        <v>Electronics</v>
      </c>
      <c r="M1551" s="23" t="str">
        <f>VLOOKUP(E1551,Sales_Reps!$A:$E,3,FALSE)</f>
        <v>North</v>
      </c>
      <c r="N1551" s="23" t="str">
        <f t="shared" si="72"/>
        <v>Nov-24</v>
      </c>
      <c r="O1551" s="23" t="str">
        <f t="shared" si="73"/>
        <v>Q4 2024</v>
      </c>
      <c r="P1551" s="23">
        <f>VLOOKUP(D1551,Products!$A:$F,4,FALSE)</f>
        <v>2865</v>
      </c>
      <c r="Q1551" s="35">
        <f t="shared" si="74"/>
        <v>0.27833753148614609</v>
      </c>
    </row>
    <row r="1552" spans="1:17">
      <c r="A1552" s="12" t="s">
        <v>2062</v>
      </c>
      <c r="B1552" s="13">
        <v>45368</v>
      </c>
      <c r="C1552" s="12" t="s">
        <v>386</v>
      </c>
      <c r="D1552" s="12" t="s">
        <v>478</v>
      </c>
      <c r="E1552" s="12" t="s">
        <v>103</v>
      </c>
      <c r="F1552" s="14">
        <v>8</v>
      </c>
      <c r="G1552" s="14">
        <v>3780</v>
      </c>
      <c r="H1552" s="14">
        <v>3.8</v>
      </c>
      <c r="I1552" s="14">
        <v>29090.880000000001</v>
      </c>
      <c r="J1552" s="12" t="s">
        <v>104</v>
      </c>
      <c r="K1552" s="12" t="s">
        <v>111</v>
      </c>
      <c r="L1552" s="23" t="str">
        <f>VLOOKUP(D1552,Products!$A:$F,3,FALSE)</f>
        <v>Sports</v>
      </c>
      <c r="M1552" s="23" t="str">
        <f>VLOOKUP(E1552,Sales_Reps!$A:$E,3,FALSE)</f>
        <v>North</v>
      </c>
      <c r="N1552" s="23" t="str">
        <f t="shared" si="72"/>
        <v>Mar-24</v>
      </c>
      <c r="O1552" s="23" t="str">
        <f t="shared" si="73"/>
        <v>Q1 2024</v>
      </c>
      <c r="P1552" s="23">
        <f>VLOOKUP(D1552,Products!$A:$F,4,FALSE)</f>
        <v>1860</v>
      </c>
      <c r="Q1552" s="35">
        <f t="shared" si="74"/>
        <v>0.50793650793650791</v>
      </c>
    </row>
    <row r="1553" spans="1:17">
      <c r="A1553" s="12" t="s">
        <v>2063</v>
      </c>
      <c r="B1553" s="13">
        <v>45550</v>
      </c>
      <c r="C1553" s="12" t="s">
        <v>411</v>
      </c>
      <c r="D1553" s="12" t="s">
        <v>262</v>
      </c>
      <c r="E1553" s="12" t="s">
        <v>156</v>
      </c>
      <c r="F1553" s="14">
        <v>4</v>
      </c>
      <c r="G1553" s="14">
        <v>2270</v>
      </c>
      <c r="H1553" s="14">
        <v>3.8</v>
      </c>
      <c r="I1553" s="14">
        <v>8734.9599999999991</v>
      </c>
      <c r="J1553" s="12" t="s">
        <v>157</v>
      </c>
      <c r="K1553" s="12" t="s">
        <v>134</v>
      </c>
      <c r="L1553" s="23" t="str">
        <f>VLOOKUP(D1553,Products!$A:$F,3,FALSE)</f>
        <v>Grocery</v>
      </c>
      <c r="M1553" s="23" t="str">
        <f>VLOOKUP(E1553,Sales_Reps!$A:$E,3,FALSE)</f>
        <v>North</v>
      </c>
      <c r="N1553" s="23" t="str">
        <f t="shared" si="72"/>
        <v>Sep-24</v>
      </c>
      <c r="O1553" s="23" t="str">
        <f t="shared" si="73"/>
        <v>Q3 2024</v>
      </c>
      <c r="P1553" s="23">
        <f>VLOOKUP(D1553,Products!$A:$F,4,FALSE)</f>
        <v>1412</v>
      </c>
      <c r="Q1553" s="35">
        <f t="shared" si="74"/>
        <v>0.37797356828193834</v>
      </c>
    </row>
    <row r="1554" spans="1:17">
      <c r="A1554" s="12" t="s">
        <v>2064</v>
      </c>
      <c r="B1554" s="13">
        <v>45304</v>
      </c>
      <c r="C1554" s="12" t="s">
        <v>350</v>
      </c>
      <c r="D1554" s="12" t="s">
        <v>284</v>
      </c>
      <c r="E1554" s="12" t="s">
        <v>221</v>
      </c>
      <c r="F1554" s="14">
        <v>10</v>
      </c>
      <c r="G1554" s="14">
        <v>1220</v>
      </c>
      <c r="H1554" s="14">
        <v>19.5</v>
      </c>
      <c r="I1554" s="14">
        <v>9821</v>
      </c>
      <c r="J1554" s="12" t="s">
        <v>104</v>
      </c>
      <c r="K1554" s="12" t="s">
        <v>150</v>
      </c>
      <c r="L1554" s="23" t="str">
        <f>VLOOKUP(D1554,Products!$A:$F,3,FALSE)</f>
        <v>Electronics</v>
      </c>
      <c r="M1554" s="23" t="str">
        <f>VLOOKUP(E1554,Sales_Reps!$A:$E,3,FALSE)</f>
        <v>South</v>
      </c>
      <c r="N1554" s="23" t="str">
        <f t="shared" si="72"/>
        <v>Jan-24</v>
      </c>
      <c r="O1554" s="23" t="str">
        <f t="shared" si="73"/>
        <v>Q1 2024</v>
      </c>
      <c r="P1554" s="23">
        <f>VLOOKUP(D1554,Products!$A:$F,4,FALSE)</f>
        <v>517</v>
      </c>
      <c r="Q1554" s="35">
        <f t="shared" si="74"/>
        <v>0.57622950819672136</v>
      </c>
    </row>
    <row r="1555" spans="1:17">
      <c r="A1555" s="12" t="s">
        <v>2065</v>
      </c>
      <c r="B1555" s="13">
        <v>45321</v>
      </c>
      <c r="C1555" s="12" t="s">
        <v>316</v>
      </c>
      <c r="D1555" s="12" t="s">
        <v>196</v>
      </c>
      <c r="E1555" s="12" t="s">
        <v>205</v>
      </c>
      <c r="F1555" s="14">
        <v>10</v>
      </c>
      <c r="G1555" s="14">
        <v>3350</v>
      </c>
      <c r="H1555" s="14">
        <v>7.8</v>
      </c>
      <c r="I1555" s="14">
        <v>30887</v>
      </c>
      <c r="J1555" s="12" t="s">
        <v>104</v>
      </c>
      <c r="K1555" s="12" t="s">
        <v>150</v>
      </c>
      <c r="L1555" s="23" t="str">
        <f>VLOOKUP(D1555,Products!$A:$F,3,FALSE)</f>
        <v>Beauty</v>
      </c>
      <c r="M1555" s="23" t="str">
        <f>VLOOKUP(E1555,Sales_Reps!$A:$E,3,FALSE)</f>
        <v>South</v>
      </c>
      <c r="N1555" s="23" t="str">
        <f t="shared" si="72"/>
        <v>Jan-24</v>
      </c>
      <c r="O1555" s="23" t="str">
        <f t="shared" si="73"/>
        <v>Q1 2024</v>
      </c>
      <c r="P1555" s="23">
        <f>VLOOKUP(D1555,Products!$A:$F,4,FALSE)</f>
        <v>1728</v>
      </c>
      <c r="Q1555" s="35">
        <f t="shared" si="74"/>
        <v>0.48417910447761192</v>
      </c>
    </row>
    <row r="1556" spans="1:17">
      <c r="A1556" s="12" t="s">
        <v>2066</v>
      </c>
      <c r="B1556" s="13">
        <v>45358</v>
      </c>
      <c r="C1556" s="12" t="s">
        <v>2067</v>
      </c>
      <c r="D1556" s="12" t="s">
        <v>196</v>
      </c>
      <c r="E1556" s="12" t="s">
        <v>187</v>
      </c>
      <c r="F1556" s="14">
        <v>7</v>
      </c>
      <c r="G1556" s="14">
        <v>3350</v>
      </c>
      <c r="H1556" s="14">
        <v>14.5</v>
      </c>
      <c r="I1556" s="14">
        <v>20049.75</v>
      </c>
      <c r="J1556" s="12" t="s">
        <v>104</v>
      </c>
      <c r="K1556" s="12" t="s">
        <v>134</v>
      </c>
      <c r="L1556" s="23" t="str">
        <f>VLOOKUP(D1556,Products!$A:$F,3,FALSE)</f>
        <v>Beauty</v>
      </c>
      <c r="M1556" s="23" t="str">
        <f>VLOOKUP(E1556,Sales_Reps!$A:$E,3,FALSE)</f>
        <v>West</v>
      </c>
      <c r="N1556" s="23" t="str">
        <f t="shared" si="72"/>
        <v>Mar-24</v>
      </c>
      <c r="O1556" s="23" t="str">
        <f t="shared" si="73"/>
        <v>Q1 2024</v>
      </c>
      <c r="P1556" s="23">
        <f>VLOOKUP(D1556,Products!$A:$F,4,FALSE)</f>
        <v>1728</v>
      </c>
      <c r="Q1556" s="35">
        <f t="shared" si="74"/>
        <v>0.48417910447761192</v>
      </c>
    </row>
    <row r="1557" spans="1:17">
      <c r="A1557" s="12" t="s">
        <v>2068</v>
      </c>
      <c r="B1557" s="13">
        <v>45440</v>
      </c>
      <c r="C1557" s="12" t="s">
        <v>234</v>
      </c>
      <c r="D1557" s="12" t="s">
        <v>141</v>
      </c>
      <c r="E1557" s="12" t="s">
        <v>115</v>
      </c>
      <c r="F1557" s="14">
        <v>6</v>
      </c>
      <c r="G1557" s="14">
        <v>5490</v>
      </c>
      <c r="H1557" s="14">
        <v>8</v>
      </c>
      <c r="I1557" s="14">
        <v>30304.799999999999</v>
      </c>
      <c r="J1557" s="12" t="s">
        <v>104</v>
      </c>
      <c r="K1557" s="12" t="s">
        <v>111</v>
      </c>
      <c r="L1557" s="23" t="str">
        <f>VLOOKUP(D1557,Products!$A:$F,3,FALSE)</f>
        <v>Home</v>
      </c>
      <c r="M1557" s="23" t="str">
        <f>VLOOKUP(E1557,Sales_Reps!$A:$E,3,FALSE)</f>
        <v>South</v>
      </c>
      <c r="N1557" s="23" t="str">
        <f t="shared" si="72"/>
        <v>May-24</v>
      </c>
      <c r="O1557" s="23" t="str">
        <f t="shared" si="73"/>
        <v>Q2 2024</v>
      </c>
      <c r="P1557" s="23">
        <f>VLOOKUP(D1557,Products!$A:$F,4,FALSE)</f>
        <v>2549</v>
      </c>
      <c r="Q1557" s="35">
        <f t="shared" si="74"/>
        <v>0.53570127504553733</v>
      </c>
    </row>
    <row r="1558" spans="1:17">
      <c r="A1558" s="12" t="s">
        <v>2069</v>
      </c>
      <c r="B1558" s="13">
        <v>45618</v>
      </c>
      <c r="C1558" s="12" t="s">
        <v>2070</v>
      </c>
      <c r="D1558" s="12" t="s">
        <v>212</v>
      </c>
      <c r="E1558" s="12" t="s">
        <v>320</v>
      </c>
      <c r="F1558" s="14">
        <v>3</v>
      </c>
      <c r="G1558" s="14">
        <v>2860</v>
      </c>
      <c r="H1558" s="14">
        <v>19.899999999999999</v>
      </c>
      <c r="I1558" s="14">
        <v>6872.58</v>
      </c>
      <c r="J1558" s="12" t="s">
        <v>104</v>
      </c>
      <c r="K1558" s="12" t="s">
        <v>150</v>
      </c>
      <c r="L1558" s="23" t="str">
        <f>VLOOKUP(D1558,Products!$A:$F,3,FALSE)</f>
        <v>Sports</v>
      </c>
      <c r="M1558" s="23" t="str">
        <f>VLOOKUP(E1558,Sales_Reps!$A:$E,3,FALSE)</f>
        <v>East</v>
      </c>
      <c r="N1558" s="23" t="str">
        <f t="shared" si="72"/>
        <v>Nov-24</v>
      </c>
      <c r="O1558" s="23" t="str">
        <f t="shared" si="73"/>
        <v>Q4 2024</v>
      </c>
      <c r="P1558" s="23">
        <f>VLOOKUP(D1558,Products!$A:$F,4,FALSE)</f>
        <v>2028</v>
      </c>
      <c r="Q1558" s="35">
        <f t="shared" si="74"/>
        <v>0.29090909090909089</v>
      </c>
    </row>
    <row r="1559" spans="1:17">
      <c r="A1559" s="12" t="s">
        <v>2071</v>
      </c>
      <c r="B1559" s="13">
        <v>45295</v>
      </c>
      <c r="C1559" s="12" t="s">
        <v>734</v>
      </c>
      <c r="D1559" s="12" t="s">
        <v>152</v>
      </c>
      <c r="E1559" s="12" t="s">
        <v>133</v>
      </c>
      <c r="F1559" s="14">
        <v>3</v>
      </c>
      <c r="G1559" s="14">
        <v>2640</v>
      </c>
      <c r="H1559" s="14">
        <v>29.3</v>
      </c>
      <c r="I1559" s="14">
        <v>5599.44</v>
      </c>
      <c r="J1559" s="12" t="s">
        <v>104</v>
      </c>
      <c r="K1559" s="12" t="s">
        <v>111</v>
      </c>
      <c r="L1559" s="23" t="str">
        <f>VLOOKUP(D1559,Products!$A:$F,3,FALSE)</f>
        <v>Electronics</v>
      </c>
      <c r="M1559" s="23" t="str">
        <f>VLOOKUP(E1559,Sales_Reps!$A:$E,3,FALSE)</f>
        <v>West</v>
      </c>
      <c r="N1559" s="23" t="str">
        <f t="shared" si="72"/>
        <v>Jan-24</v>
      </c>
      <c r="O1559" s="23" t="str">
        <f t="shared" si="73"/>
        <v>Q1 2024</v>
      </c>
      <c r="P1559" s="23">
        <f>VLOOKUP(D1559,Products!$A:$F,4,FALSE)</f>
        <v>1149</v>
      </c>
      <c r="Q1559" s="35">
        <f t="shared" si="74"/>
        <v>0.56477272727272732</v>
      </c>
    </row>
    <row r="1560" spans="1:17">
      <c r="A1560" s="12" t="s">
        <v>2072</v>
      </c>
      <c r="B1560" s="13">
        <v>45384</v>
      </c>
      <c r="C1560" s="12" t="s">
        <v>558</v>
      </c>
      <c r="D1560" s="12" t="s">
        <v>469</v>
      </c>
      <c r="E1560" s="12" t="s">
        <v>246</v>
      </c>
      <c r="F1560" s="14">
        <v>8</v>
      </c>
      <c r="G1560" s="14">
        <v>3450</v>
      </c>
      <c r="H1560" s="14">
        <v>15.2</v>
      </c>
      <c r="I1560" s="14">
        <v>23404.799999999999</v>
      </c>
      <c r="J1560" s="12" t="s">
        <v>157</v>
      </c>
      <c r="K1560" s="12" t="s">
        <v>111</v>
      </c>
      <c r="L1560" s="23" t="str">
        <f>VLOOKUP(D1560,Products!$A:$F,3,FALSE)</f>
        <v>Apparel</v>
      </c>
      <c r="M1560" s="23" t="str">
        <f>VLOOKUP(E1560,Sales_Reps!$A:$E,3,FALSE)</f>
        <v>West</v>
      </c>
      <c r="N1560" s="23" t="str">
        <f t="shared" si="72"/>
        <v>Apr-24</v>
      </c>
      <c r="O1560" s="23" t="str">
        <f t="shared" si="73"/>
        <v>Q2 2024</v>
      </c>
      <c r="P1560" s="23">
        <f>VLOOKUP(D1560,Products!$A:$F,4,FALSE)</f>
        <v>1748</v>
      </c>
      <c r="Q1560" s="35">
        <f t="shared" si="74"/>
        <v>0.49333333333333335</v>
      </c>
    </row>
    <row r="1561" spans="1:17">
      <c r="A1561" s="12" t="s">
        <v>2073</v>
      </c>
      <c r="B1561" s="13">
        <v>45349</v>
      </c>
      <c r="C1561" s="12" t="s">
        <v>885</v>
      </c>
      <c r="D1561" s="12" t="s">
        <v>127</v>
      </c>
      <c r="E1561" s="12" t="s">
        <v>128</v>
      </c>
      <c r="F1561" s="14">
        <v>6</v>
      </c>
      <c r="G1561" s="14">
        <v>370</v>
      </c>
      <c r="H1561" s="14">
        <v>7</v>
      </c>
      <c r="I1561" s="14">
        <v>2064.6</v>
      </c>
      <c r="J1561" s="12" t="s">
        <v>104</v>
      </c>
      <c r="K1561" s="12" t="s">
        <v>116</v>
      </c>
      <c r="L1561" s="23" t="str">
        <f>VLOOKUP(D1561,Products!$A:$F,3,FALSE)</f>
        <v>Home</v>
      </c>
      <c r="M1561" s="23" t="str">
        <f>VLOOKUP(E1561,Sales_Reps!$A:$E,3,FALSE)</f>
        <v>West</v>
      </c>
      <c r="N1561" s="23" t="str">
        <f t="shared" si="72"/>
        <v>Feb-24</v>
      </c>
      <c r="O1561" s="23" t="str">
        <f t="shared" si="73"/>
        <v>Q1 2024</v>
      </c>
      <c r="P1561" s="23">
        <f>VLOOKUP(D1561,Products!$A:$F,4,FALSE)</f>
        <v>288</v>
      </c>
      <c r="Q1561" s="35">
        <f t="shared" si="74"/>
        <v>0.22162162162162163</v>
      </c>
    </row>
    <row r="1562" spans="1:17">
      <c r="A1562" s="12" t="s">
        <v>2074</v>
      </c>
      <c r="B1562" s="13">
        <v>45439</v>
      </c>
      <c r="C1562" s="12" t="s">
        <v>367</v>
      </c>
      <c r="D1562" s="12" t="s">
        <v>368</v>
      </c>
      <c r="E1562" s="12" t="s">
        <v>246</v>
      </c>
      <c r="F1562" s="14">
        <v>10</v>
      </c>
      <c r="G1562" s="14">
        <v>4060</v>
      </c>
      <c r="H1562" s="14">
        <v>4.7</v>
      </c>
      <c r="I1562" s="14">
        <v>38691.800000000003</v>
      </c>
      <c r="J1562" s="12" t="s">
        <v>157</v>
      </c>
      <c r="K1562" s="12" t="s">
        <v>129</v>
      </c>
      <c r="L1562" s="23" t="str">
        <f>VLOOKUP(D1562,Products!$A:$F,3,FALSE)</f>
        <v>Grocery</v>
      </c>
      <c r="M1562" s="23" t="str">
        <f>VLOOKUP(E1562,Sales_Reps!$A:$E,3,FALSE)</f>
        <v>West</v>
      </c>
      <c r="N1562" s="23" t="str">
        <f t="shared" si="72"/>
        <v>May-24</v>
      </c>
      <c r="O1562" s="23" t="str">
        <f t="shared" si="73"/>
        <v>Q2 2024</v>
      </c>
      <c r="P1562" s="23">
        <f>VLOOKUP(D1562,Products!$A:$F,4,FALSE)</f>
        <v>2911</v>
      </c>
      <c r="Q1562" s="35">
        <f t="shared" si="74"/>
        <v>0.28300492610837441</v>
      </c>
    </row>
    <row r="1563" spans="1:17">
      <c r="A1563" s="12" t="s">
        <v>2075</v>
      </c>
      <c r="B1563" s="13">
        <v>45426</v>
      </c>
      <c r="C1563" s="12" t="s">
        <v>1055</v>
      </c>
      <c r="D1563" s="12" t="s">
        <v>265</v>
      </c>
      <c r="E1563" s="12" t="s">
        <v>133</v>
      </c>
      <c r="F1563" s="14">
        <v>1</v>
      </c>
      <c r="G1563" s="14">
        <v>3870</v>
      </c>
      <c r="H1563" s="14">
        <v>18.2</v>
      </c>
      <c r="I1563" s="14">
        <v>3165.66</v>
      </c>
      <c r="J1563" s="12" t="s">
        <v>110</v>
      </c>
      <c r="K1563" s="12" t="s">
        <v>134</v>
      </c>
      <c r="L1563" s="23" t="str">
        <f>VLOOKUP(D1563,Products!$A:$F,3,FALSE)</f>
        <v>Electronics</v>
      </c>
      <c r="M1563" s="23" t="str">
        <f>VLOOKUP(E1563,Sales_Reps!$A:$E,3,FALSE)</f>
        <v>West</v>
      </c>
      <c r="N1563" s="23" t="str">
        <f t="shared" si="72"/>
        <v>May-24</v>
      </c>
      <c r="O1563" s="23" t="str">
        <f t="shared" si="73"/>
        <v>Q2 2024</v>
      </c>
      <c r="P1563" s="23">
        <f>VLOOKUP(D1563,Products!$A:$F,4,FALSE)</f>
        <v>1559</v>
      </c>
      <c r="Q1563" s="35">
        <f t="shared" si="74"/>
        <v>0.59715762273901807</v>
      </c>
    </row>
    <row r="1564" spans="1:17">
      <c r="A1564" s="12" t="s">
        <v>2076</v>
      </c>
      <c r="B1564" s="13">
        <v>45385</v>
      </c>
      <c r="C1564" s="12" t="s">
        <v>1113</v>
      </c>
      <c r="D1564" s="12" t="s">
        <v>381</v>
      </c>
      <c r="E1564" s="12" t="s">
        <v>120</v>
      </c>
      <c r="F1564" s="14">
        <v>1</v>
      </c>
      <c r="G1564" s="14">
        <v>5330</v>
      </c>
      <c r="H1564" s="14">
        <v>3.9</v>
      </c>
      <c r="I1564" s="14">
        <v>5122.13</v>
      </c>
      <c r="J1564" s="12" t="s">
        <v>161</v>
      </c>
      <c r="K1564" s="12" t="s">
        <v>105</v>
      </c>
      <c r="L1564" s="23" t="str">
        <f>VLOOKUP(D1564,Products!$A:$F,3,FALSE)</f>
        <v>Electronics</v>
      </c>
      <c r="M1564" s="23" t="str">
        <f>VLOOKUP(E1564,Sales_Reps!$A:$E,3,FALSE)</f>
        <v>North</v>
      </c>
      <c r="N1564" s="23" t="str">
        <f t="shared" si="72"/>
        <v>Apr-24</v>
      </c>
      <c r="O1564" s="23" t="str">
        <f t="shared" si="73"/>
        <v>Q2 2024</v>
      </c>
      <c r="P1564" s="23">
        <f>VLOOKUP(D1564,Products!$A:$F,4,FALSE)</f>
        <v>2405</v>
      </c>
      <c r="Q1564" s="35">
        <f t="shared" si="74"/>
        <v>0.54878048780487809</v>
      </c>
    </row>
    <row r="1565" spans="1:17">
      <c r="A1565" s="12" t="s">
        <v>2077</v>
      </c>
      <c r="B1565" s="13">
        <v>45312</v>
      </c>
      <c r="C1565" s="12" t="s">
        <v>672</v>
      </c>
      <c r="D1565" s="12" t="s">
        <v>127</v>
      </c>
      <c r="E1565" s="12" t="s">
        <v>209</v>
      </c>
      <c r="F1565" s="14">
        <v>8</v>
      </c>
      <c r="G1565" s="14">
        <v>370</v>
      </c>
      <c r="H1565" s="14">
        <v>1.3</v>
      </c>
      <c r="I1565" s="14">
        <v>2921.52</v>
      </c>
      <c r="J1565" s="12" t="s">
        <v>104</v>
      </c>
      <c r="K1565" s="12" t="s">
        <v>150</v>
      </c>
      <c r="L1565" s="23" t="str">
        <f>VLOOKUP(D1565,Products!$A:$F,3,FALSE)</f>
        <v>Home</v>
      </c>
      <c r="M1565" s="23" t="str">
        <f>VLOOKUP(E1565,Sales_Reps!$A:$E,3,FALSE)</f>
        <v>East</v>
      </c>
      <c r="N1565" s="23" t="str">
        <f t="shared" si="72"/>
        <v>Jan-24</v>
      </c>
      <c r="O1565" s="23" t="str">
        <f t="shared" si="73"/>
        <v>Q1 2024</v>
      </c>
      <c r="P1565" s="23">
        <f>VLOOKUP(D1565,Products!$A:$F,4,FALSE)</f>
        <v>288</v>
      </c>
      <c r="Q1565" s="35">
        <f t="shared" si="74"/>
        <v>0.22162162162162163</v>
      </c>
    </row>
    <row r="1566" spans="1:17">
      <c r="A1566" s="12" t="s">
        <v>2078</v>
      </c>
      <c r="B1566" s="13">
        <v>45622</v>
      </c>
      <c r="C1566" s="12" t="s">
        <v>482</v>
      </c>
      <c r="D1566" s="12" t="s">
        <v>299</v>
      </c>
      <c r="E1566" s="12" t="s">
        <v>209</v>
      </c>
      <c r="F1566" s="14">
        <v>7</v>
      </c>
      <c r="G1566" s="14">
        <v>300</v>
      </c>
      <c r="H1566" s="14">
        <v>7.1</v>
      </c>
      <c r="I1566" s="14">
        <v>1950.9</v>
      </c>
      <c r="J1566" s="12" t="s">
        <v>104</v>
      </c>
      <c r="K1566" s="12" t="s">
        <v>129</v>
      </c>
      <c r="L1566" s="23" t="str">
        <f>VLOOKUP(D1566,Products!$A:$F,3,FALSE)</f>
        <v>Electronics</v>
      </c>
      <c r="M1566" s="23" t="str">
        <f>VLOOKUP(E1566,Sales_Reps!$A:$E,3,FALSE)</f>
        <v>East</v>
      </c>
      <c r="N1566" s="23" t="str">
        <f t="shared" si="72"/>
        <v>Nov-24</v>
      </c>
      <c r="O1566" s="23" t="str">
        <f t="shared" si="73"/>
        <v>Q4 2024</v>
      </c>
      <c r="P1566" s="23">
        <f>VLOOKUP(D1566,Products!$A:$F,4,FALSE)</f>
        <v>128</v>
      </c>
      <c r="Q1566" s="35">
        <f t="shared" si="74"/>
        <v>0.57333333333333336</v>
      </c>
    </row>
    <row r="1567" spans="1:17">
      <c r="A1567" s="12" t="s">
        <v>2079</v>
      </c>
      <c r="B1567" s="13">
        <v>45508</v>
      </c>
      <c r="C1567" s="12" t="s">
        <v>632</v>
      </c>
      <c r="D1567" s="12" t="s">
        <v>196</v>
      </c>
      <c r="E1567" s="12" t="s">
        <v>342</v>
      </c>
      <c r="F1567" s="14">
        <v>8</v>
      </c>
      <c r="G1567" s="14">
        <v>3350</v>
      </c>
      <c r="H1567" s="14">
        <v>11.2</v>
      </c>
      <c r="I1567" s="14">
        <v>23798.400000000001</v>
      </c>
      <c r="J1567" s="12" t="s">
        <v>104</v>
      </c>
      <c r="K1567" s="12" t="s">
        <v>129</v>
      </c>
      <c r="L1567" s="23" t="str">
        <f>VLOOKUP(D1567,Products!$A:$F,3,FALSE)</f>
        <v>Beauty</v>
      </c>
      <c r="M1567" s="23" t="str">
        <f>VLOOKUP(E1567,Sales_Reps!$A:$E,3,FALSE)</f>
        <v>South</v>
      </c>
      <c r="N1567" s="23" t="str">
        <f t="shared" si="72"/>
        <v>Aug-24</v>
      </c>
      <c r="O1567" s="23" t="str">
        <f t="shared" si="73"/>
        <v>Q3 2024</v>
      </c>
      <c r="P1567" s="23">
        <f>VLOOKUP(D1567,Products!$A:$F,4,FALSE)</f>
        <v>1728</v>
      </c>
      <c r="Q1567" s="35">
        <f t="shared" si="74"/>
        <v>0.48417910447761192</v>
      </c>
    </row>
    <row r="1568" spans="1:17">
      <c r="A1568" s="12" t="s">
        <v>2080</v>
      </c>
      <c r="B1568" s="13">
        <v>45528</v>
      </c>
      <c r="C1568" s="12" t="s">
        <v>1325</v>
      </c>
      <c r="D1568" s="12" t="s">
        <v>532</v>
      </c>
      <c r="E1568" s="12" t="s">
        <v>221</v>
      </c>
      <c r="F1568" s="14">
        <v>6</v>
      </c>
      <c r="G1568" s="14">
        <v>6940</v>
      </c>
      <c r="H1568" s="14">
        <v>0.3</v>
      </c>
      <c r="I1568" s="14">
        <v>41515.08</v>
      </c>
      <c r="J1568" s="12" t="s">
        <v>104</v>
      </c>
      <c r="K1568" s="12" t="s">
        <v>111</v>
      </c>
      <c r="L1568" s="23" t="str">
        <f>VLOOKUP(D1568,Products!$A:$F,3,FALSE)</f>
        <v>Sports</v>
      </c>
      <c r="M1568" s="23" t="str">
        <f>VLOOKUP(E1568,Sales_Reps!$A:$E,3,FALSE)</f>
        <v>South</v>
      </c>
      <c r="N1568" s="23" t="str">
        <f t="shared" si="72"/>
        <v>Aug-24</v>
      </c>
      <c r="O1568" s="23" t="str">
        <f t="shared" si="73"/>
        <v>Q3 2024</v>
      </c>
      <c r="P1568" s="23">
        <f>VLOOKUP(D1568,Products!$A:$F,4,FALSE)</f>
        <v>2827</v>
      </c>
      <c r="Q1568" s="35">
        <f t="shared" si="74"/>
        <v>0.5926512968299712</v>
      </c>
    </row>
    <row r="1569" spans="1:17">
      <c r="A1569" s="12" t="s">
        <v>2081</v>
      </c>
      <c r="B1569" s="13">
        <v>45483</v>
      </c>
      <c r="C1569" s="12" t="s">
        <v>769</v>
      </c>
      <c r="D1569" s="12" t="s">
        <v>397</v>
      </c>
      <c r="E1569" s="12" t="s">
        <v>124</v>
      </c>
      <c r="F1569" s="14">
        <v>10</v>
      </c>
      <c r="G1569" s="14">
        <v>960</v>
      </c>
      <c r="H1569" s="14">
        <v>9.3000000000000007</v>
      </c>
      <c r="I1569" s="14">
        <v>8707.2000000000007</v>
      </c>
      <c r="J1569" s="12" t="s">
        <v>157</v>
      </c>
      <c r="K1569" s="12" t="s">
        <v>134</v>
      </c>
      <c r="L1569" s="23" t="str">
        <f>VLOOKUP(D1569,Products!$A:$F,3,FALSE)</f>
        <v>Beauty</v>
      </c>
      <c r="M1569" s="23" t="str">
        <f>VLOOKUP(E1569,Sales_Reps!$A:$E,3,FALSE)</f>
        <v>North</v>
      </c>
      <c r="N1569" s="23" t="str">
        <f t="shared" si="72"/>
        <v>Jul-24</v>
      </c>
      <c r="O1569" s="23" t="str">
        <f t="shared" si="73"/>
        <v>Q3 2024</v>
      </c>
      <c r="P1569" s="23">
        <f>VLOOKUP(D1569,Products!$A:$F,4,FALSE)</f>
        <v>675</v>
      </c>
      <c r="Q1569" s="35">
        <f t="shared" si="74"/>
        <v>0.296875</v>
      </c>
    </row>
    <row r="1570" spans="1:17">
      <c r="A1570" s="12" t="s">
        <v>2082</v>
      </c>
      <c r="B1570" s="13">
        <v>45625</v>
      </c>
      <c r="C1570" s="12" t="s">
        <v>1367</v>
      </c>
      <c r="D1570" s="12" t="s">
        <v>217</v>
      </c>
      <c r="E1570" s="12" t="s">
        <v>175</v>
      </c>
      <c r="F1570" s="14">
        <v>10</v>
      </c>
      <c r="G1570" s="14">
        <v>2760</v>
      </c>
      <c r="H1570" s="14">
        <v>17.2</v>
      </c>
      <c r="I1570" s="14">
        <v>22852.799999999999</v>
      </c>
      <c r="J1570" s="12" t="s">
        <v>104</v>
      </c>
      <c r="K1570" s="12" t="s">
        <v>129</v>
      </c>
      <c r="L1570" s="23" t="str">
        <f>VLOOKUP(D1570,Products!$A:$F,3,FALSE)</f>
        <v>Grocery</v>
      </c>
      <c r="M1570" s="23" t="str">
        <f>VLOOKUP(E1570,Sales_Reps!$A:$E,3,FALSE)</f>
        <v>East</v>
      </c>
      <c r="N1570" s="23" t="str">
        <f t="shared" si="72"/>
        <v>Nov-24</v>
      </c>
      <c r="O1570" s="23" t="str">
        <f t="shared" si="73"/>
        <v>Q4 2024</v>
      </c>
      <c r="P1570" s="23">
        <f>VLOOKUP(D1570,Products!$A:$F,4,FALSE)</f>
        <v>1435</v>
      </c>
      <c r="Q1570" s="35">
        <f t="shared" si="74"/>
        <v>0.48007246376811596</v>
      </c>
    </row>
    <row r="1571" spans="1:17">
      <c r="A1571" s="12" t="s">
        <v>2083</v>
      </c>
      <c r="B1571" s="13">
        <v>45358</v>
      </c>
      <c r="C1571" s="12" t="s">
        <v>248</v>
      </c>
      <c r="D1571" s="12" t="s">
        <v>148</v>
      </c>
      <c r="E1571" s="12" t="s">
        <v>218</v>
      </c>
      <c r="F1571" s="14">
        <v>4</v>
      </c>
      <c r="G1571" s="14">
        <v>2270</v>
      </c>
      <c r="H1571" s="14">
        <v>26.8</v>
      </c>
      <c r="I1571" s="14">
        <v>6646.56</v>
      </c>
      <c r="J1571" s="12" t="s">
        <v>104</v>
      </c>
      <c r="K1571" s="12" t="s">
        <v>134</v>
      </c>
      <c r="L1571" s="23" t="str">
        <f>VLOOKUP(D1571,Products!$A:$F,3,FALSE)</f>
        <v>Grocery</v>
      </c>
      <c r="M1571" s="23" t="str">
        <f>VLOOKUP(E1571,Sales_Reps!$A:$E,3,FALSE)</f>
        <v>West</v>
      </c>
      <c r="N1571" s="23" t="str">
        <f t="shared" si="72"/>
        <v>Mar-24</v>
      </c>
      <c r="O1571" s="23" t="str">
        <f t="shared" si="73"/>
        <v>Q1 2024</v>
      </c>
      <c r="P1571" s="23">
        <f>VLOOKUP(D1571,Products!$A:$F,4,FALSE)</f>
        <v>1203</v>
      </c>
      <c r="Q1571" s="35">
        <f t="shared" si="74"/>
        <v>0.47004405286343615</v>
      </c>
    </row>
    <row r="1572" spans="1:17">
      <c r="A1572" s="12" t="s">
        <v>2084</v>
      </c>
      <c r="B1572" s="13">
        <v>45342</v>
      </c>
      <c r="C1572" s="12" t="s">
        <v>435</v>
      </c>
      <c r="D1572" s="12" t="s">
        <v>155</v>
      </c>
      <c r="E1572" s="12" t="s">
        <v>175</v>
      </c>
      <c r="F1572" s="14">
        <v>2</v>
      </c>
      <c r="G1572" s="14">
        <v>2600</v>
      </c>
      <c r="H1572" s="14">
        <v>27</v>
      </c>
      <c r="I1572" s="14">
        <v>3796</v>
      </c>
      <c r="J1572" s="12" t="s">
        <v>104</v>
      </c>
      <c r="K1572" s="12" t="s">
        <v>150</v>
      </c>
      <c r="L1572" s="23" t="str">
        <f>VLOOKUP(D1572,Products!$A:$F,3,FALSE)</f>
        <v>Electronics</v>
      </c>
      <c r="M1572" s="23" t="str">
        <f>VLOOKUP(E1572,Sales_Reps!$A:$E,3,FALSE)</f>
        <v>East</v>
      </c>
      <c r="N1572" s="23" t="str">
        <f t="shared" si="72"/>
        <v>Feb-24</v>
      </c>
      <c r="O1572" s="23" t="str">
        <f t="shared" si="73"/>
        <v>Q1 2024</v>
      </c>
      <c r="P1572" s="23">
        <f>VLOOKUP(D1572,Products!$A:$F,4,FALSE)</f>
        <v>1052</v>
      </c>
      <c r="Q1572" s="35">
        <f t="shared" si="74"/>
        <v>0.5953846153846154</v>
      </c>
    </row>
    <row r="1573" spans="1:17">
      <c r="A1573" s="12" t="s">
        <v>2085</v>
      </c>
      <c r="B1573" s="13">
        <v>45304</v>
      </c>
      <c r="C1573" s="12" t="s">
        <v>1000</v>
      </c>
      <c r="D1573" s="12" t="s">
        <v>204</v>
      </c>
      <c r="E1573" s="12" t="s">
        <v>133</v>
      </c>
      <c r="F1573" s="14">
        <v>4</v>
      </c>
      <c r="G1573" s="14">
        <v>3570</v>
      </c>
      <c r="H1573" s="14">
        <v>12.3</v>
      </c>
      <c r="I1573" s="14">
        <v>12523.56</v>
      </c>
      <c r="J1573" s="12" t="s">
        <v>104</v>
      </c>
      <c r="K1573" s="12" t="s">
        <v>134</v>
      </c>
      <c r="L1573" s="23" t="str">
        <f>VLOOKUP(D1573,Products!$A:$F,3,FALSE)</f>
        <v>Electronics</v>
      </c>
      <c r="M1573" s="23" t="str">
        <f>VLOOKUP(E1573,Sales_Reps!$A:$E,3,FALSE)</f>
        <v>West</v>
      </c>
      <c r="N1573" s="23" t="str">
        <f t="shared" si="72"/>
        <v>Jan-24</v>
      </c>
      <c r="O1573" s="23" t="str">
        <f t="shared" si="73"/>
        <v>Q1 2024</v>
      </c>
      <c r="P1573" s="23">
        <f>VLOOKUP(D1573,Products!$A:$F,4,FALSE)</f>
        <v>1665</v>
      </c>
      <c r="Q1573" s="35">
        <f t="shared" si="74"/>
        <v>0.53361344537815125</v>
      </c>
    </row>
    <row r="1574" spans="1:17">
      <c r="A1574" s="12" t="s">
        <v>2086</v>
      </c>
      <c r="B1574" s="13">
        <v>45316</v>
      </c>
      <c r="C1574" s="12" t="s">
        <v>570</v>
      </c>
      <c r="D1574" s="12" t="s">
        <v>460</v>
      </c>
      <c r="E1574" s="12" t="s">
        <v>363</v>
      </c>
      <c r="F1574" s="14">
        <v>5</v>
      </c>
      <c r="G1574" s="14">
        <v>5080</v>
      </c>
      <c r="H1574" s="14">
        <v>1.3</v>
      </c>
      <c r="I1574" s="14">
        <v>25069.8</v>
      </c>
      <c r="J1574" s="12" t="s">
        <v>104</v>
      </c>
      <c r="K1574" s="12" t="s">
        <v>129</v>
      </c>
      <c r="L1574" s="23" t="str">
        <f>VLOOKUP(D1574,Products!$A:$F,3,FALSE)</f>
        <v>Home</v>
      </c>
      <c r="M1574" s="23" t="str">
        <f>VLOOKUP(E1574,Sales_Reps!$A:$E,3,FALSE)</f>
        <v>South</v>
      </c>
      <c r="N1574" s="23" t="str">
        <f t="shared" si="72"/>
        <v>Jan-24</v>
      </c>
      <c r="O1574" s="23" t="str">
        <f t="shared" si="73"/>
        <v>Q1 2024</v>
      </c>
      <c r="P1574" s="23">
        <f>VLOOKUP(D1574,Products!$A:$F,4,FALSE)</f>
        <v>2459</v>
      </c>
      <c r="Q1574" s="35">
        <f t="shared" si="74"/>
        <v>0.51594488188976373</v>
      </c>
    </row>
    <row r="1575" spans="1:17">
      <c r="A1575" s="12" t="s">
        <v>2087</v>
      </c>
      <c r="B1575" s="13">
        <v>45340</v>
      </c>
      <c r="C1575" s="12" t="s">
        <v>987</v>
      </c>
      <c r="D1575" s="12" t="s">
        <v>397</v>
      </c>
      <c r="E1575" s="12" t="s">
        <v>363</v>
      </c>
      <c r="F1575" s="14">
        <v>5</v>
      </c>
      <c r="G1575" s="14">
        <v>960</v>
      </c>
      <c r="H1575" s="14">
        <v>25.2</v>
      </c>
      <c r="I1575" s="14">
        <v>3590.4</v>
      </c>
      <c r="J1575" s="12" t="s">
        <v>104</v>
      </c>
      <c r="K1575" s="12" t="s">
        <v>129</v>
      </c>
      <c r="L1575" s="23" t="str">
        <f>VLOOKUP(D1575,Products!$A:$F,3,FALSE)</f>
        <v>Beauty</v>
      </c>
      <c r="M1575" s="23" t="str">
        <f>VLOOKUP(E1575,Sales_Reps!$A:$E,3,FALSE)</f>
        <v>South</v>
      </c>
      <c r="N1575" s="23" t="str">
        <f t="shared" si="72"/>
        <v>Feb-24</v>
      </c>
      <c r="O1575" s="23" t="str">
        <f t="shared" si="73"/>
        <v>Q1 2024</v>
      </c>
      <c r="P1575" s="23">
        <f>VLOOKUP(D1575,Products!$A:$F,4,FALSE)</f>
        <v>675</v>
      </c>
      <c r="Q1575" s="35">
        <f t="shared" si="74"/>
        <v>0.296875</v>
      </c>
    </row>
    <row r="1576" spans="1:17">
      <c r="A1576" s="12" t="s">
        <v>2088</v>
      </c>
      <c r="B1576" s="13">
        <v>45604</v>
      </c>
      <c r="C1576" s="12" t="s">
        <v>895</v>
      </c>
      <c r="D1576" s="12" t="s">
        <v>114</v>
      </c>
      <c r="E1576" s="12" t="s">
        <v>149</v>
      </c>
      <c r="F1576" s="14">
        <v>7</v>
      </c>
      <c r="G1576" s="14">
        <v>470</v>
      </c>
      <c r="H1576" s="14">
        <v>21.6</v>
      </c>
      <c r="I1576" s="14">
        <v>2579.36</v>
      </c>
      <c r="J1576" s="12" t="s">
        <v>104</v>
      </c>
      <c r="K1576" s="12" t="s">
        <v>129</v>
      </c>
      <c r="L1576" s="23" t="str">
        <f>VLOOKUP(D1576,Products!$A:$F,3,FALSE)</f>
        <v>Sports</v>
      </c>
      <c r="M1576" s="23" t="str">
        <f>VLOOKUP(E1576,Sales_Reps!$A:$E,3,FALSE)</f>
        <v>South</v>
      </c>
      <c r="N1576" s="23" t="str">
        <f t="shared" si="72"/>
        <v>Nov-24</v>
      </c>
      <c r="O1576" s="23" t="str">
        <f t="shared" si="73"/>
        <v>Q4 2024</v>
      </c>
      <c r="P1576" s="23">
        <f>VLOOKUP(D1576,Products!$A:$F,4,FALSE)</f>
        <v>302</v>
      </c>
      <c r="Q1576" s="35">
        <f t="shared" si="74"/>
        <v>0.35744680851063831</v>
      </c>
    </row>
    <row r="1577" spans="1:17">
      <c r="A1577" s="12" t="s">
        <v>2089</v>
      </c>
      <c r="B1577" s="13">
        <v>45625</v>
      </c>
      <c r="C1577" s="12" t="s">
        <v>722</v>
      </c>
      <c r="D1577" s="12" t="s">
        <v>284</v>
      </c>
      <c r="E1577" s="12" t="s">
        <v>360</v>
      </c>
      <c r="F1577" s="14">
        <v>4</v>
      </c>
      <c r="G1577" s="14">
        <v>1220</v>
      </c>
      <c r="H1577" s="14">
        <v>12.6</v>
      </c>
      <c r="I1577" s="14">
        <v>4265.12</v>
      </c>
      <c r="J1577" s="12" t="s">
        <v>104</v>
      </c>
      <c r="K1577" s="12" t="s">
        <v>116</v>
      </c>
      <c r="L1577" s="23" t="str">
        <f>VLOOKUP(D1577,Products!$A:$F,3,FALSE)</f>
        <v>Electronics</v>
      </c>
      <c r="M1577" s="23" t="str">
        <f>VLOOKUP(E1577,Sales_Reps!$A:$E,3,FALSE)</f>
        <v>West</v>
      </c>
      <c r="N1577" s="23" t="str">
        <f t="shared" si="72"/>
        <v>Nov-24</v>
      </c>
      <c r="O1577" s="23" t="str">
        <f t="shared" si="73"/>
        <v>Q4 2024</v>
      </c>
      <c r="P1577" s="23">
        <f>VLOOKUP(D1577,Products!$A:$F,4,FALSE)</f>
        <v>517</v>
      </c>
      <c r="Q1577" s="35">
        <f t="shared" si="74"/>
        <v>0.57622950819672136</v>
      </c>
    </row>
    <row r="1578" spans="1:17">
      <c r="A1578" s="12" t="s">
        <v>2090</v>
      </c>
      <c r="B1578" s="13">
        <v>45293</v>
      </c>
      <c r="C1578" s="12" t="s">
        <v>630</v>
      </c>
      <c r="D1578" s="12" t="s">
        <v>199</v>
      </c>
      <c r="E1578" s="12" t="s">
        <v>124</v>
      </c>
      <c r="F1578" s="14">
        <v>4</v>
      </c>
      <c r="G1578" s="14">
        <v>1010</v>
      </c>
      <c r="H1578" s="14">
        <v>11.3</v>
      </c>
      <c r="I1578" s="14">
        <v>3583.48</v>
      </c>
      <c r="J1578" s="12" t="s">
        <v>104</v>
      </c>
      <c r="K1578" s="12" t="s">
        <v>129</v>
      </c>
      <c r="L1578" s="23" t="str">
        <f>VLOOKUP(D1578,Products!$A:$F,3,FALSE)</f>
        <v>Sports</v>
      </c>
      <c r="M1578" s="23" t="str">
        <f>VLOOKUP(E1578,Sales_Reps!$A:$E,3,FALSE)</f>
        <v>North</v>
      </c>
      <c r="N1578" s="23" t="str">
        <f t="shared" si="72"/>
        <v>Jan-24</v>
      </c>
      <c r="O1578" s="23" t="str">
        <f t="shared" si="73"/>
        <v>Q1 2024</v>
      </c>
      <c r="P1578" s="23">
        <f>VLOOKUP(D1578,Products!$A:$F,4,FALSE)</f>
        <v>516</v>
      </c>
      <c r="Q1578" s="35">
        <f t="shared" si="74"/>
        <v>0.4891089108910891</v>
      </c>
    </row>
    <row r="1579" spans="1:17">
      <c r="A1579" s="12" t="s">
        <v>2091</v>
      </c>
      <c r="B1579" s="13">
        <v>45454</v>
      </c>
      <c r="C1579" s="12" t="s">
        <v>350</v>
      </c>
      <c r="D1579" s="12" t="s">
        <v>119</v>
      </c>
      <c r="E1579" s="12" t="s">
        <v>109</v>
      </c>
      <c r="F1579" s="14">
        <v>4</v>
      </c>
      <c r="G1579" s="14">
        <v>3660</v>
      </c>
      <c r="H1579" s="14">
        <v>7.2</v>
      </c>
      <c r="I1579" s="14">
        <v>13585.92</v>
      </c>
      <c r="J1579" s="12" t="s">
        <v>104</v>
      </c>
      <c r="K1579" s="12" t="s">
        <v>150</v>
      </c>
      <c r="L1579" s="23" t="str">
        <f>VLOOKUP(D1579,Products!$A:$F,3,FALSE)</f>
        <v>Grocery</v>
      </c>
      <c r="M1579" s="23" t="str">
        <f>VLOOKUP(E1579,Sales_Reps!$A:$E,3,FALSE)</f>
        <v>North</v>
      </c>
      <c r="N1579" s="23" t="str">
        <f t="shared" si="72"/>
        <v>Jun-24</v>
      </c>
      <c r="O1579" s="23" t="str">
        <f t="shared" si="73"/>
        <v>Q2 2024</v>
      </c>
      <c r="P1579" s="23">
        <f>VLOOKUP(D1579,Products!$A:$F,4,FALSE)</f>
        <v>2214</v>
      </c>
      <c r="Q1579" s="35">
        <f t="shared" si="74"/>
        <v>0.39508196721311473</v>
      </c>
    </row>
    <row r="1580" spans="1:17">
      <c r="A1580" s="12" t="s">
        <v>2092</v>
      </c>
      <c r="B1580" s="13">
        <v>45345</v>
      </c>
      <c r="C1580" s="12" t="s">
        <v>812</v>
      </c>
      <c r="D1580" s="12" t="s">
        <v>141</v>
      </c>
      <c r="E1580" s="12" t="s">
        <v>149</v>
      </c>
      <c r="F1580" s="14">
        <v>4</v>
      </c>
      <c r="G1580" s="14">
        <v>5490</v>
      </c>
      <c r="H1580" s="14">
        <v>8</v>
      </c>
      <c r="I1580" s="14">
        <v>20203.2</v>
      </c>
      <c r="J1580" s="12" t="s">
        <v>104</v>
      </c>
      <c r="K1580" s="12" t="s">
        <v>111</v>
      </c>
      <c r="L1580" s="23" t="str">
        <f>VLOOKUP(D1580,Products!$A:$F,3,FALSE)</f>
        <v>Home</v>
      </c>
      <c r="M1580" s="23" t="str">
        <f>VLOOKUP(E1580,Sales_Reps!$A:$E,3,FALSE)</f>
        <v>South</v>
      </c>
      <c r="N1580" s="23" t="str">
        <f t="shared" si="72"/>
        <v>Feb-24</v>
      </c>
      <c r="O1580" s="23" t="str">
        <f t="shared" si="73"/>
        <v>Q1 2024</v>
      </c>
      <c r="P1580" s="23">
        <f>VLOOKUP(D1580,Products!$A:$F,4,FALSE)</f>
        <v>2549</v>
      </c>
      <c r="Q1580" s="35">
        <f t="shared" si="74"/>
        <v>0.53570127504553733</v>
      </c>
    </row>
    <row r="1581" spans="1:17">
      <c r="A1581" s="12" t="s">
        <v>2093</v>
      </c>
      <c r="B1581" s="13">
        <v>45645</v>
      </c>
      <c r="C1581" s="12" t="s">
        <v>444</v>
      </c>
      <c r="D1581" s="12" t="s">
        <v>262</v>
      </c>
      <c r="E1581" s="12" t="s">
        <v>165</v>
      </c>
      <c r="F1581" s="14">
        <v>6</v>
      </c>
      <c r="G1581" s="14">
        <v>2270</v>
      </c>
      <c r="H1581" s="14">
        <v>17.100000000000001</v>
      </c>
      <c r="I1581" s="14">
        <v>11290.98</v>
      </c>
      <c r="J1581" s="12" t="s">
        <v>104</v>
      </c>
      <c r="K1581" s="12" t="s">
        <v>105</v>
      </c>
      <c r="L1581" s="23" t="str">
        <f>VLOOKUP(D1581,Products!$A:$F,3,FALSE)</f>
        <v>Grocery</v>
      </c>
      <c r="M1581" s="23" t="str">
        <f>VLOOKUP(E1581,Sales_Reps!$A:$E,3,FALSE)</f>
        <v>North</v>
      </c>
      <c r="N1581" s="23" t="str">
        <f t="shared" si="72"/>
        <v>Dec-24</v>
      </c>
      <c r="O1581" s="23" t="str">
        <f t="shared" si="73"/>
        <v>Q4 2024</v>
      </c>
      <c r="P1581" s="23">
        <f>VLOOKUP(D1581,Products!$A:$F,4,FALSE)</f>
        <v>1412</v>
      </c>
      <c r="Q1581" s="35">
        <f t="shared" si="74"/>
        <v>0.37797356828193834</v>
      </c>
    </row>
    <row r="1582" spans="1:17">
      <c r="A1582" s="12" t="s">
        <v>2094</v>
      </c>
      <c r="B1582" s="13">
        <v>45588</v>
      </c>
      <c r="C1582" s="12" t="s">
        <v>298</v>
      </c>
      <c r="D1582" s="12" t="s">
        <v>262</v>
      </c>
      <c r="E1582" s="12" t="s">
        <v>205</v>
      </c>
      <c r="F1582" s="14">
        <v>8</v>
      </c>
      <c r="G1582" s="14">
        <v>2270</v>
      </c>
      <c r="H1582" s="14">
        <v>11.9</v>
      </c>
      <c r="I1582" s="14">
        <v>15998.96</v>
      </c>
      <c r="J1582" s="12" t="s">
        <v>110</v>
      </c>
      <c r="K1582" s="12" t="s">
        <v>105</v>
      </c>
      <c r="L1582" s="23" t="str">
        <f>VLOOKUP(D1582,Products!$A:$F,3,FALSE)</f>
        <v>Grocery</v>
      </c>
      <c r="M1582" s="23" t="str">
        <f>VLOOKUP(E1582,Sales_Reps!$A:$E,3,FALSE)</f>
        <v>South</v>
      </c>
      <c r="N1582" s="23" t="str">
        <f t="shared" si="72"/>
        <v>Oct-24</v>
      </c>
      <c r="O1582" s="23" t="str">
        <f t="shared" si="73"/>
        <v>Q4 2024</v>
      </c>
      <c r="P1582" s="23">
        <f>VLOOKUP(D1582,Products!$A:$F,4,FALSE)</f>
        <v>1412</v>
      </c>
      <c r="Q1582" s="35">
        <f t="shared" si="74"/>
        <v>0.37797356828193834</v>
      </c>
    </row>
    <row r="1583" spans="1:17">
      <c r="A1583" s="12" t="s">
        <v>2095</v>
      </c>
      <c r="B1583" s="13">
        <v>45592</v>
      </c>
      <c r="C1583" s="12" t="s">
        <v>333</v>
      </c>
      <c r="D1583" s="12" t="s">
        <v>155</v>
      </c>
      <c r="E1583" s="12" t="s">
        <v>320</v>
      </c>
      <c r="F1583" s="14">
        <v>6</v>
      </c>
      <c r="G1583" s="14">
        <v>2600</v>
      </c>
      <c r="H1583" s="14">
        <v>5.0999999999999996</v>
      </c>
      <c r="I1583" s="14">
        <v>14804.4</v>
      </c>
      <c r="J1583" s="12" t="s">
        <v>104</v>
      </c>
      <c r="K1583" s="12" t="s">
        <v>105</v>
      </c>
      <c r="L1583" s="23" t="str">
        <f>VLOOKUP(D1583,Products!$A:$F,3,FALSE)</f>
        <v>Electronics</v>
      </c>
      <c r="M1583" s="23" t="str">
        <f>VLOOKUP(E1583,Sales_Reps!$A:$E,3,FALSE)</f>
        <v>East</v>
      </c>
      <c r="N1583" s="23" t="str">
        <f t="shared" si="72"/>
        <v>Oct-24</v>
      </c>
      <c r="O1583" s="23" t="str">
        <f t="shared" si="73"/>
        <v>Q4 2024</v>
      </c>
      <c r="P1583" s="23">
        <f>VLOOKUP(D1583,Products!$A:$F,4,FALSE)</f>
        <v>1052</v>
      </c>
      <c r="Q1583" s="35">
        <f t="shared" si="74"/>
        <v>0.5953846153846154</v>
      </c>
    </row>
    <row r="1584" spans="1:17">
      <c r="A1584" s="12" t="s">
        <v>2096</v>
      </c>
      <c r="B1584" s="13">
        <v>45403</v>
      </c>
      <c r="C1584" s="12" t="s">
        <v>186</v>
      </c>
      <c r="D1584" s="12" t="s">
        <v>265</v>
      </c>
      <c r="E1584" s="12" t="s">
        <v>360</v>
      </c>
      <c r="F1584" s="14">
        <v>9</v>
      </c>
      <c r="G1584" s="14">
        <v>3870</v>
      </c>
      <c r="H1584" s="14">
        <v>1.8</v>
      </c>
      <c r="I1584" s="14">
        <v>34203.06</v>
      </c>
      <c r="J1584" s="12" t="s">
        <v>157</v>
      </c>
      <c r="K1584" s="12" t="s">
        <v>129</v>
      </c>
      <c r="L1584" s="23" t="str">
        <f>VLOOKUP(D1584,Products!$A:$F,3,FALSE)</f>
        <v>Electronics</v>
      </c>
      <c r="M1584" s="23" t="str">
        <f>VLOOKUP(E1584,Sales_Reps!$A:$E,3,FALSE)</f>
        <v>West</v>
      </c>
      <c r="N1584" s="23" t="str">
        <f t="shared" si="72"/>
        <v>Apr-24</v>
      </c>
      <c r="O1584" s="23" t="str">
        <f t="shared" si="73"/>
        <v>Q2 2024</v>
      </c>
      <c r="P1584" s="23">
        <f>VLOOKUP(D1584,Products!$A:$F,4,FALSE)</f>
        <v>1559</v>
      </c>
      <c r="Q1584" s="35">
        <f t="shared" si="74"/>
        <v>0.59715762273901807</v>
      </c>
    </row>
    <row r="1585" spans="1:17">
      <c r="A1585" s="12" t="s">
        <v>2097</v>
      </c>
      <c r="B1585" s="13">
        <v>45459</v>
      </c>
      <c r="C1585" s="12" t="s">
        <v>424</v>
      </c>
      <c r="D1585" s="12" t="s">
        <v>425</v>
      </c>
      <c r="E1585" s="12" t="s">
        <v>120</v>
      </c>
      <c r="F1585" s="14">
        <v>3</v>
      </c>
      <c r="G1585" s="14">
        <v>3970</v>
      </c>
      <c r="H1585" s="14">
        <v>8.1999999999999993</v>
      </c>
      <c r="I1585" s="14">
        <v>10933.38</v>
      </c>
      <c r="J1585" s="12" t="s">
        <v>104</v>
      </c>
      <c r="K1585" s="12" t="s">
        <v>105</v>
      </c>
      <c r="L1585" s="23" t="str">
        <f>VLOOKUP(D1585,Products!$A:$F,3,FALSE)</f>
        <v>Electronics</v>
      </c>
      <c r="M1585" s="23" t="str">
        <f>VLOOKUP(E1585,Sales_Reps!$A:$E,3,FALSE)</f>
        <v>North</v>
      </c>
      <c r="N1585" s="23" t="str">
        <f t="shared" si="72"/>
        <v>Jun-24</v>
      </c>
      <c r="O1585" s="23" t="str">
        <f t="shared" si="73"/>
        <v>Q2 2024</v>
      </c>
      <c r="P1585" s="23">
        <f>VLOOKUP(D1585,Products!$A:$F,4,FALSE)</f>
        <v>2865</v>
      </c>
      <c r="Q1585" s="35">
        <f t="shared" si="74"/>
        <v>0.27833753148614609</v>
      </c>
    </row>
    <row r="1586" spans="1:17">
      <c r="A1586" s="12" t="s">
        <v>2098</v>
      </c>
      <c r="B1586" s="13">
        <v>45438</v>
      </c>
      <c r="C1586" s="12" t="s">
        <v>301</v>
      </c>
      <c r="D1586" s="12" t="s">
        <v>397</v>
      </c>
      <c r="E1586" s="12" t="s">
        <v>145</v>
      </c>
      <c r="F1586" s="14">
        <v>9</v>
      </c>
      <c r="G1586" s="14">
        <v>960</v>
      </c>
      <c r="H1586" s="14">
        <v>21.7</v>
      </c>
      <c r="I1586" s="14">
        <v>6765.12</v>
      </c>
      <c r="J1586" s="12" t="s">
        <v>157</v>
      </c>
      <c r="K1586" s="12" t="s">
        <v>111</v>
      </c>
      <c r="L1586" s="23" t="str">
        <f>VLOOKUP(D1586,Products!$A:$F,3,FALSE)</f>
        <v>Beauty</v>
      </c>
      <c r="M1586" s="23" t="str">
        <f>VLOOKUP(E1586,Sales_Reps!$A:$E,3,FALSE)</f>
        <v>West</v>
      </c>
      <c r="N1586" s="23" t="str">
        <f t="shared" si="72"/>
        <v>May-24</v>
      </c>
      <c r="O1586" s="23" t="str">
        <f t="shared" si="73"/>
        <v>Q2 2024</v>
      </c>
      <c r="P1586" s="23">
        <f>VLOOKUP(D1586,Products!$A:$F,4,FALSE)</f>
        <v>675</v>
      </c>
      <c r="Q1586" s="35">
        <f t="shared" si="74"/>
        <v>0.296875</v>
      </c>
    </row>
    <row r="1587" spans="1:17">
      <c r="A1587" s="12" t="s">
        <v>2099</v>
      </c>
      <c r="B1587" s="13">
        <v>45632</v>
      </c>
      <c r="C1587" s="12" t="s">
        <v>814</v>
      </c>
      <c r="D1587" s="12" t="s">
        <v>377</v>
      </c>
      <c r="E1587" s="12" t="s">
        <v>128</v>
      </c>
      <c r="F1587" s="14">
        <v>3</v>
      </c>
      <c r="G1587" s="14">
        <v>5410</v>
      </c>
      <c r="H1587" s="14">
        <v>20.3</v>
      </c>
      <c r="I1587" s="14">
        <v>12935.31</v>
      </c>
      <c r="J1587" s="12" t="s">
        <v>104</v>
      </c>
      <c r="K1587" s="12" t="s">
        <v>116</v>
      </c>
      <c r="L1587" s="23" t="str">
        <f>VLOOKUP(D1587,Products!$A:$F,3,FALSE)</f>
        <v>Sports</v>
      </c>
      <c r="M1587" s="23" t="str">
        <f>VLOOKUP(E1587,Sales_Reps!$A:$E,3,FALSE)</f>
        <v>West</v>
      </c>
      <c r="N1587" s="23" t="str">
        <f t="shared" si="72"/>
        <v>Dec-24</v>
      </c>
      <c r="O1587" s="23" t="str">
        <f t="shared" si="73"/>
        <v>Q4 2024</v>
      </c>
      <c r="P1587" s="23">
        <f>VLOOKUP(D1587,Products!$A:$F,4,FALSE)</f>
        <v>2265</v>
      </c>
      <c r="Q1587" s="35">
        <f t="shared" si="74"/>
        <v>0.58133086876155271</v>
      </c>
    </row>
    <row r="1588" spans="1:17">
      <c r="A1588" s="12" t="s">
        <v>2100</v>
      </c>
      <c r="B1588" s="13">
        <v>45579</v>
      </c>
      <c r="C1588" s="12" t="s">
        <v>903</v>
      </c>
      <c r="D1588" s="12" t="s">
        <v>469</v>
      </c>
      <c r="E1588" s="12" t="s">
        <v>109</v>
      </c>
      <c r="F1588" s="14">
        <v>3</v>
      </c>
      <c r="G1588" s="14">
        <v>3450</v>
      </c>
      <c r="H1588" s="14">
        <v>11.6</v>
      </c>
      <c r="I1588" s="14">
        <v>9149.4</v>
      </c>
      <c r="J1588" s="12" t="s">
        <v>104</v>
      </c>
      <c r="K1588" s="12" t="s">
        <v>111</v>
      </c>
      <c r="L1588" s="23" t="str">
        <f>VLOOKUP(D1588,Products!$A:$F,3,FALSE)</f>
        <v>Apparel</v>
      </c>
      <c r="M1588" s="23" t="str">
        <f>VLOOKUP(E1588,Sales_Reps!$A:$E,3,FALSE)</f>
        <v>North</v>
      </c>
      <c r="N1588" s="23" t="str">
        <f t="shared" si="72"/>
        <v>Oct-24</v>
      </c>
      <c r="O1588" s="23" t="str">
        <f t="shared" si="73"/>
        <v>Q4 2024</v>
      </c>
      <c r="P1588" s="23">
        <f>VLOOKUP(D1588,Products!$A:$F,4,FALSE)</f>
        <v>1748</v>
      </c>
      <c r="Q1588" s="35">
        <f t="shared" si="74"/>
        <v>0.49333333333333335</v>
      </c>
    </row>
    <row r="1589" spans="1:17">
      <c r="A1589" s="12" t="s">
        <v>2101</v>
      </c>
      <c r="B1589" s="13">
        <v>45392</v>
      </c>
      <c r="C1589" s="12" t="s">
        <v>240</v>
      </c>
      <c r="D1589" s="12" t="s">
        <v>293</v>
      </c>
      <c r="E1589" s="12" t="s">
        <v>124</v>
      </c>
      <c r="F1589" s="14">
        <v>2</v>
      </c>
      <c r="G1589" s="14">
        <v>3020</v>
      </c>
      <c r="H1589" s="14">
        <v>20.8</v>
      </c>
      <c r="I1589" s="14">
        <v>4783.68</v>
      </c>
      <c r="J1589" s="12" t="s">
        <v>110</v>
      </c>
      <c r="K1589" s="12" t="s">
        <v>116</v>
      </c>
      <c r="L1589" s="23" t="str">
        <f>VLOOKUP(D1589,Products!$A:$F,3,FALSE)</f>
        <v>Beauty</v>
      </c>
      <c r="M1589" s="23" t="str">
        <f>VLOOKUP(E1589,Sales_Reps!$A:$E,3,FALSE)</f>
        <v>North</v>
      </c>
      <c r="N1589" s="23" t="str">
        <f t="shared" si="72"/>
        <v>Apr-24</v>
      </c>
      <c r="O1589" s="23" t="str">
        <f t="shared" si="73"/>
        <v>Q2 2024</v>
      </c>
      <c r="P1589" s="23">
        <f>VLOOKUP(D1589,Products!$A:$F,4,FALSE)</f>
        <v>1626</v>
      </c>
      <c r="Q1589" s="35">
        <f t="shared" si="74"/>
        <v>0.46158940397350995</v>
      </c>
    </row>
    <row r="1590" spans="1:17">
      <c r="A1590" s="12" t="s">
        <v>2102</v>
      </c>
      <c r="B1590" s="13">
        <v>45563</v>
      </c>
      <c r="C1590" s="12" t="s">
        <v>1079</v>
      </c>
      <c r="D1590" s="12" t="s">
        <v>164</v>
      </c>
      <c r="E1590" s="12" t="s">
        <v>314</v>
      </c>
      <c r="F1590" s="14">
        <v>3</v>
      </c>
      <c r="G1590" s="14">
        <v>190</v>
      </c>
      <c r="H1590" s="14">
        <v>10.7</v>
      </c>
      <c r="I1590" s="14">
        <v>509.01</v>
      </c>
      <c r="J1590" s="12" t="s">
        <v>104</v>
      </c>
      <c r="K1590" s="12" t="s">
        <v>129</v>
      </c>
      <c r="L1590" s="23" t="str">
        <f>VLOOKUP(D1590,Products!$A:$F,3,FALSE)</f>
        <v>Sports</v>
      </c>
      <c r="M1590" s="23" t="str">
        <f>VLOOKUP(E1590,Sales_Reps!$A:$E,3,FALSE)</f>
        <v>North</v>
      </c>
      <c r="N1590" s="23" t="str">
        <f t="shared" si="72"/>
        <v>Sep-24</v>
      </c>
      <c r="O1590" s="23" t="str">
        <f t="shared" si="73"/>
        <v>Q3 2024</v>
      </c>
      <c r="P1590" s="23">
        <f>VLOOKUP(D1590,Products!$A:$F,4,FALSE)</f>
        <v>147</v>
      </c>
      <c r="Q1590" s="35">
        <f t="shared" si="74"/>
        <v>0.22631578947368422</v>
      </c>
    </row>
    <row r="1591" spans="1:17">
      <c r="A1591" s="12" t="s">
        <v>2103</v>
      </c>
      <c r="B1591" s="13">
        <v>45294</v>
      </c>
      <c r="C1591" s="12" t="s">
        <v>211</v>
      </c>
      <c r="D1591" s="12" t="s">
        <v>243</v>
      </c>
      <c r="E1591" s="12" t="s">
        <v>342</v>
      </c>
      <c r="F1591" s="14">
        <v>4</v>
      </c>
      <c r="G1591" s="14">
        <v>3730</v>
      </c>
      <c r="H1591" s="14">
        <v>6.9</v>
      </c>
      <c r="I1591" s="14">
        <v>13890.52</v>
      </c>
      <c r="J1591" s="12" t="s">
        <v>104</v>
      </c>
      <c r="K1591" s="12" t="s">
        <v>105</v>
      </c>
      <c r="L1591" s="23" t="str">
        <f>VLOOKUP(D1591,Products!$A:$F,3,FALSE)</f>
        <v>Home</v>
      </c>
      <c r="M1591" s="23" t="str">
        <f>VLOOKUP(E1591,Sales_Reps!$A:$E,3,FALSE)</f>
        <v>South</v>
      </c>
      <c r="N1591" s="23" t="str">
        <f t="shared" si="72"/>
        <v>Jan-24</v>
      </c>
      <c r="O1591" s="23" t="str">
        <f t="shared" si="73"/>
        <v>Q1 2024</v>
      </c>
      <c r="P1591" s="23">
        <f>VLOOKUP(D1591,Products!$A:$F,4,FALSE)</f>
        <v>2135</v>
      </c>
      <c r="Q1591" s="35">
        <f t="shared" si="74"/>
        <v>0.42761394101876676</v>
      </c>
    </row>
    <row r="1592" spans="1:17">
      <c r="A1592" s="12" t="s">
        <v>2104</v>
      </c>
      <c r="B1592" s="13">
        <v>45503</v>
      </c>
      <c r="C1592" s="12" t="s">
        <v>1044</v>
      </c>
      <c r="D1592" s="12" t="s">
        <v>178</v>
      </c>
      <c r="E1592" s="12" t="s">
        <v>128</v>
      </c>
      <c r="F1592" s="14">
        <v>9</v>
      </c>
      <c r="G1592" s="14">
        <v>3450</v>
      </c>
      <c r="H1592" s="14">
        <v>22.2</v>
      </c>
      <c r="I1592" s="14">
        <v>24156.9</v>
      </c>
      <c r="J1592" s="12" t="s">
        <v>157</v>
      </c>
      <c r="K1592" s="12" t="s">
        <v>129</v>
      </c>
      <c r="L1592" s="23" t="str">
        <f>VLOOKUP(D1592,Products!$A:$F,3,FALSE)</f>
        <v>Sports</v>
      </c>
      <c r="M1592" s="23" t="str">
        <f>VLOOKUP(E1592,Sales_Reps!$A:$E,3,FALSE)</f>
        <v>West</v>
      </c>
      <c r="N1592" s="23" t="str">
        <f t="shared" si="72"/>
        <v>Jul-24</v>
      </c>
      <c r="O1592" s="23" t="str">
        <f t="shared" si="73"/>
        <v>Q3 2024</v>
      </c>
      <c r="P1592" s="23">
        <f>VLOOKUP(D1592,Products!$A:$F,4,FALSE)</f>
        <v>2467</v>
      </c>
      <c r="Q1592" s="35">
        <f t="shared" si="74"/>
        <v>0.28492753623188405</v>
      </c>
    </row>
    <row r="1593" spans="1:17">
      <c r="A1593" s="12" t="s">
        <v>2105</v>
      </c>
      <c r="B1593" s="13">
        <v>45336</v>
      </c>
      <c r="C1593" s="12" t="s">
        <v>521</v>
      </c>
      <c r="D1593" s="12" t="s">
        <v>425</v>
      </c>
      <c r="E1593" s="12" t="s">
        <v>314</v>
      </c>
      <c r="F1593" s="14">
        <v>3</v>
      </c>
      <c r="G1593" s="14">
        <v>3970</v>
      </c>
      <c r="H1593" s="14">
        <v>6.8</v>
      </c>
      <c r="I1593" s="14">
        <v>11100.12</v>
      </c>
      <c r="J1593" s="12" t="s">
        <v>104</v>
      </c>
      <c r="K1593" s="12" t="s">
        <v>134</v>
      </c>
      <c r="L1593" s="23" t="str">
        <f>VLOOKUP(D1593,Products!$A:$F,3,FALSE)</f>
        <v>Electronics</v>
      </c>
      <c r="M1593" s="23" t="str">
        <f>VLOOKUP(E1593,Sales_Reps!$A:$E,3,FALSE)</f>
        <v>North</v>
      </c>
      <c r="N1593" s="23" t="str">
        <f t="shared" si="72"/>
        <v>Feb-24</v>
      </c>
      <c r="O1593" s="23" t="str">
        <f t="shared" si="73"/>
        <v>Q1 2024</v>
      </c>
      <c r="P1593" s="23">
        <f>VLOOKUP(D1593,Products!$A:$F,4,FALSE)</f>
        <v>2865</v>
      </c>
      <c r="Q1593" s="35">
        <f t="shared" si="74"/>
        <v>0.27833753148614609</v>
      </c>
    </row>
    <row r="1594" spans="1:17">
      <c r="A1594" s="12" t="s">
        <v>2106</v>
      </c>
      <c r="B1594" s="13">
        <v>45462</v>
      </c>
      <c r="C1594" s="12" t="s">
        <v>623</v>
      </c>
      <c r="D1594" s="12" t="s">
        <v>519</v>
      </c>
      <c r="E1594" s="12" t="s">
        <v>302</v>
      </c>
      <c r="F1594" s="14">
        <v>3</v>
      </c>
      <c r="G1594" s="14">
        <v>1090</v>
      </c>
      <c r="H1594" s="14">
        <v>23.7</v>
      </c>
      <c r="I1594" s="14">
        <v>2495.0100000000002</v>
      </c>
      <c r="J1594" s="12" t="s">
        <v>104</v>
      </c>
      <c r="K1594" s="12" t="s">
        <v>129</v>
      </c>
      <c r="L1594" s="23" t="str">
        <f>VLOOKUP(D1594,Products!$A:$F,3,FALSE)</f>
        <v>Home</v>
      </c>
      <c r="M1594" s="23" t="str">
        <f>VLOOKUP(E1594,Sales_Reps!$A:$E,3,FALSE)</f>
        <v>East</v>
      </c>
      <c r="N1594" s="23" t="str">
        <f t="shared" si="72"/>
        <v>Jun-24</v>
      </c>
      <c r="O1594" s="23" t="str">
        <f t="shared" si="73"/>
        <v>Q2 2024</v>
      </c>
      <c r="P1594" s="23">
        <f>VLOOKUP(D1594,Products!$A:$F,4,FALSE)</f>
        <v>464</v>
      </c>
      <c r="Q1594" s="35">
        <f t="shared" si="74"/>
        <v>0.57431192660550456</v>
      </c>
    </row>
    <row r="1595" spans="1:17">
      <c r="A1595" s="12" t="s">
        <v>2107</v>
      </c>
      <c r="B1595" s="13">
        <v>45300</v>
      </c>
      <c r="C1595" s="12" t="s">
        <v>496</v>
      </c>
      <c r="D1595" s="12" t="s">
        <v>312</v>
      </c>
      <c r="E1595" s="12" t="s">
        <v>171</v>
      </c>
      <c r="F1595" s="14">
        <v>3</v>
      </c>
      <c r="G1595" s="14">
        <v>2030</v>
      </c>
      <c r="H1595" s="14">
        <v>18.8</v>
      </c>
      <c r="I1595" s="14">
        <v>4945.08</v>
      </c>
      <c r="J1595" s="12" t="s">
        <v>104</v>
      </c>
      <c r="K1595" s="12" t="s">
        <v>105</v>
      </c>
      <c r="L1595" s="23" t="str">
        <f>VLOOKUP(D1595,Products!$A:$F,3,FALSE)</f>
        <v>Home</v>
      </c>
      <c r="M1595" s="23" t="str">
        <f>VLOOKUP(E1595,Sales_Reps!$A:$E,3,FALSE)</f>
        <v>East</v>
      </c>
      <c r="N1595" s="23" t="str">
        <f t="shared" si="72"/>
        <v>Jan-24</v>
      </c>
      <c r="O1595" s="23" t="str">
        <f t="shared" si="73"/>
        <v>Q1 2024</v>
      </c>
      <c r="P1595" s="23">
        <f>VLOOKUP(D1595,Products!$A:$F,4,FALSE)</f>
        <v>1143</v>
      </c>
      <c r="Q1595" s="35">
        <f t="shared" si="74"/>
        <v>0.43694581280788175</v>
      </c>
    </row>
    <row r="1596" spans="1:17">
      <c r="A1596" s="12" t="s">
        <v>2108</v>
      </c>
      <c r="B1596" s="13">
        <v>45367</v>
      </c>
      <c r="C1596" s="12" t="s">
        <v>638</v>
      </c>
      <c r="D1596" s="12" t="s">
        <v>281</v>
      </c>
      <c r="E1596" s="12" t="s">
        <v>124</v>
      </c>
      <c r="F1596" s="14">
        <v>2</v>
      </c>
      <c r="G1596" s="14">
        <v>4070</v>
      </c>
      <c r="H1596" s="14">
        <v>14.3</v>
      </c>
      <c r="I1596" s="14">
        <v>6975.98</v>
      </c>
      <c r="J1596" s="12" t="s">
        <v>104</v>
      </c>
      <c r="K1596" s="12" t="s">
        <v>2109</v>
      </c>
      <c r="L1596" s="23" t="str">
        <f>VLOOKUP(D1596,Products!$A:$F,3,FALSE)</f>
        <v>Grocery</v>
      </c>
      <c r="M1596" s="23" t="str">
        <f>VLOOKUP(E1596,Sales_Reps!$A:$E,3,FALSE)</f>
        <v>North</v>
      </c>
      <c r="N1596" s="23" t="str">
        <f t="shared" si="72"/>
        <v>Mar-24</v>
      </c>
      <c r="O1596" s="23" t="str">
        <f t="shared" si="73"/>
        <v>Q1 2024</v>
      </c>
      <c r="P1596" s="23">
        <f>VLOOKUP(D1596,Products!$A:$F,4,FALSE)</f>
        <v>2027</v>
      </c>
      <c r="Q1596" s="35">
        <f t="shared" si="74"/>
        <v>0.50196560196560192</v>
      </c>
    </row>
    <row r="1597" spans="1:17">
      <c r="A1597" s="12" t="s">
        <v>2110</v>
      </c>
      <c r="B1597" s="13">
        <v>45410</v>
      </c>
      <c r="C1597" s="12" t="s">
        <v>1197</v>
      </c>
      <c r="D1597" s="12" t="s">
        <v>102</v>
      </c>
      <c r="E1597" s="12" t="s">
        <v>145</v>
      </c>
      <c r="F1597" s="14">
        <v>3</v>
      </c>
      <c r="G1597" s="14">
        <v>3620</v>
      </c>
      <c r="H1597" s="14">
        <v>13.5</v>
      </c>
      <c r="I1597" s="14">
        <v>9393.9</v>
      </c>
      <c r="J1597" s="12" t="s">
        <v>104</v>
      </c>
      <c r="K1597" s="12" t="s">
        <v>111</v>
      </c>
      <c r="L1597" s="23" t="str">
        <f>VLOOKUP(D1597,Products!$A:$F,3,FALSE)</f>
        <v>Apparel</v>
      </c>
      <c r="M1597" s="23" t="str">
        <f>VLOOKUP(E1597,Sales_Reps!$A:$E,3,FALSE)</f>
        <v>West</v>
      </c>
      <c r="N1597" s="23" t="str">
        <f t="shared" si="72"/>
        <v>Apr-24</v>
      </c>
      <c r="O1597" s="23" t="str">
        <f t="shared" si="73"/>
        <v>Q2 2024</v>
      </c>
      <c r="P1597" s="23">
        <f>VLOOKUP(D1597,Products!$A:$F,4,FALSE)</f>
        <v>2509</v>
      </c>
      <c r="Q1597" s="35">
        <f t="shared" si="74"/>
        <v>0.3069060773480663</v>
      </c>
    </row>
    <row r="1598" spans="1:17">
      <c r="A1598" s="12" t="s">
        <v>2111</v>
      </c>
      <c r="B1598" s="13">
        <v>45623</v>
      </c>
      <c r="C1598" s="12" t="s">
        <v>802</v>
      </c>
      <c r="D1598" s="12" t="s">
        <v>199</v>
      </c>
      <c r="E1598" s="12" t="s">
        <v>232</v>
      </c>
      <c r="F1598" s="14">
        <v>4</v>
      </c>
      <c r="G1598" s="14">
        <v>1010</v>
      </c>
      <c r="H1598" s="14">
        <v>3.3</v>
      </c>
      <c r="I1598" s="14">
        <v>3906.68</v>
      </c>
      <c r="J1598" s="12" t="s">
        <v>104</v>
      </c>
      <c r="K1598" s="12" t="s">
        <v>105</v>
      </c>
      <c r="L1598" s="23" t="str">
        <f>VLOOKUP(D1598,Products!$A:$F,3,FALSE)</f>
        <v>Sports</v>
      </c>
      <c r="M1598" s="23" t="str">
        <f>VLOOKUP(E1598,Sales_Reps!$A:$E,3,FALSE)</f>
        <v>North</v>
      </c>
      <c r="N1598" s="23" t="str">
        <f t="shared" si="72"/>
        <v>Nov-24</v>
      </c>
      <c r="O1598" s="23" t="str">
        <f t="shared" si="73"/>
        <v>Q4 2024</v>
      </c>
      <c r="P1598" s="23">
        <f>VLOOKUP(D1598,Products!$A:$F,4,FALSE)</f>
        <v>516</v>
      </c>
      <c r="Q1598" s="35">
        <f t="shared" si="74"/>
        <v>0.4891089108910891</v>
      </c>
    </row>
    <row r="1599" spans="1:17">
      <c r="A1599" s="12" t="s">
        <v>2112</v>
      </c>
      <c r="B1599" s="13">
        <v>45491</v>
      </c>
      <c r="C1599" s="12" t="s">
        <v>374</v>
      </c>
      <c r="D1599" s="12" t="s">
        <v>144</v>
      </c>
      <c r="E1599" s="12" t="s">
        <v>109</v>
      </c>
      <c r="F1599" s="14">
        <v>7</v>
      </c>
      <c r="G1599" s="14">
        <v>970</v>
      </c>
      <c r="H1599" s="14">
        <v>0.1</v>
      </c>
      <c r="I1599" s="14">
        <v>6783.21</v>
      </c>
      <c r="J1599" s="12" t="s">
        <v>104</v>
      </c>
      <c r="K1599" s="12" t="s">
        <v>116</v>
      </c>
      <c r="L1599" s="23" t="str">
        <f>VLOOKUP(D1599,Products!$A:$F,3,FALSE)</f>
        <v>Grocery</v>
      </c>
      <c r="M1599" s="23" t="str">
        <f>VLOOKUP(E1599,Sales_Reps!$A:$E,3,FALSE)</f>
        <v>North</v>
      </c>
      <c r="N1599" s="23" t="str">
        <f t="shared" si="72"/>
        <v>Jul-24</v>
      </c>
      <c r="O1599" s="23" t="str">
        <f t="shared" si="73"/>
        <v>Q3 2024</v>
      </c>
      <c r="P1599" s="23">
        <f>VLOOKUP(D1599,Products!$A:$F,4,FALSE)</f>
        <v>434</v>
      </c>
      <c r="Q1599" s="35">
        <f t="shared" si="74"/>
        <v>0.5525773195876289</v>
      </c>
    </row>
    <row r="1600" spans="1:17">
      <c r="A1600" s="12" t="s">
        <v>2113</v>
      </c>
      <c r="B1600" s="13">
        <v>45571</v>
      </c>
      <c r="C1600" s="12" t="s">
        <v>887</v>
      </c>
      <c r="D1600" s="12" t="s">
        <v>114</v>
      </c>
      <c r="E1600" s="12" t="s">
        <v>360</v>
      </c>
      <c r="F1600" s="14">
        <v>5</v>
      </c>
      <c r="G1600" s="14">
        <v>470</v>
      </c>
      <c r="H1600" s="14">
        <v>18.3</v>
      </c>
      <c r="I1600" s="14">
        <v>1919.95</v>
      </c>
      <c r="J1600" s="12" t="s">
        <v>161</v>
      </c>
      <c r="K1600" s="12" t="s">
        <v>134</v>
      </c>
      <c r="L1600" s="23" t="str">
        <f>VLOOKUP(D1600,Products!$A:$F,3,FALSE)</f>
        <v>Sports</v>
      </c>
      <c r="M1600" s="23" t="str">
        <f>VLOOKUP(E1600,Sales_Reps!$A:$E,3,FALSE)</f>
        <v>West</v>
      </c>
      <c r="N1600" s="23" t="str">
        <f t="shared" si="72"/>
        <v>Oct-24</v>
      </c>
      <c r="O1600" s="23" t="str">
        <f t="shared" si="73"/>
        <v>Q4 2024</v>
      </c>
      <c r="P1600" s="23">
        <f>VLOOKUP(D1600,Products!$A:$F,4,FALSE)</f>
        <v>302</v>
      </c>
      <c r="Q1600" s="35">
        <f t="shared" si="74"/>
        <v>0.35744680851063831</v>
      </c>
    </row>
    <row r="1601" spans="1:17">
      <c r="A1601" s="12" t="s">
        <v>2114</v>
      </c>
      <c r="B1601" s="13">
        <v>45393</v>
      </c>
      <c r="C1601" s="12" t="s">
        <v>572</v>
      </c>
      <c r="D1601" s="12" t="s">
        <v>469</v>
      </c>
      <c r="E1601" s="12" t="s">
        <v>149</v>
      </c>
      <c r="F1601" s="14">
        <v>8</v>
      </c>
      <c r="G1601" s="14">
        <v>3450</v>
      </c>
      <c r="H1601" s="14">
        <v>5.0999999999999996</v>
      </c>
      <c r="I1601" s="14">
        <v>26192.400000000001</v>
      </c>
      <c r="J1601" s="12" t="s">
        <v>161</v>
      </c>
      <c r="K1601" s="12" t="s">
        <v>129</v>
      </c>
      <c r="L1601" s="23" t="str">
        <f>VLOOKUP(D1601,Products!$A:$F,3,FALSE)</f>
        <v>Apparel</v>
      </c>
      <c r="M1601" s="23" t="str">
        <f>VLOOKUP(E1601,Sales_Reps!$A:$E,3,FALSE)</f>
        <v>South</v>
      </c>
      <c r="N1601" s="23" t="str">
        <f t="shared" si="72"/>
        <v>Apr-24</v>
      </c>
      <c r="O1601" s="23" t="str">
        <f t="shared" si="73"/>
        <v>Q2 2024</v>
      </c>
      <c r="P1601" s="23">
        <f>VLOOKUP(D1601,Products!$A:$F,4,FALSE)</f>
        <v>1748</v>
      </c>
      <c r="Q1601" s="35">
        <f t="shared" si="74"/>
        <v>0.49333333333333335</v>
      </c>
    </row>
    <row r="1602" spans="1:17">
      <c r="A1602" s="12" t="s">
        <v>2115</v>
      </c>
      <c r="B1602" s="13">
        <v>45465</v>
      </c>
      <c r="C1602" s="12" t="s">
        <v>625</v>
      </c>
      <c r="D1602" s="12" t="s">
        <v>152</v>
      </c>
      <c r="E1602" s="12" t="s">
        <v>302</v>
      </c>
      <c r="F1602" s="14">
        <v>1</v>
      </c>
      <c r="G1602" s="14">
        <v>2640</v>
      </c>
      <c r="H1602" s="14">
        <v>5.9</v>
      </c>
      <c r="I1602" s="14">
        <v>2484.2399999999998</v>
      </c>
      <c r="J1602" s="12" t="s">
        <v>104</v>
      </c>
      <c r="K1602" s="12" t="s">
        <v>105</v>
      </c>
      <c r="L1602" s="23" t="str">
        <f>VLOOKUP(D1602,Products!$A:$F,3,FALSE)</f>
        <v>Electronics</v>
      </c>
      <c r="M1602" s="23" t="str">
        <f>VLOOKUP(E1602,Sales_Reps!$A:$E,3,FALSE)</f>
        <v>East</v>
      </c>
      <c r="N1602" s="23" t="str">
        <f t="shared" si="72"/>
        <v>Jun-24</v>
      </c>
      <c r="O1602" s="23" t="str">
        <f t="shared" si="73"/>
        <v>Q2 2024</v>
      </c>
      <c r="P1602" s="23">
        <f>VLOOKUP(D1602,Products!$A:$F,4,FALSE)</f>
        <v>1149</v>
      </c>
      <c r="Q1602" s="35">
        <f t="shared" si="74"/>
        <v>0.56477272727272732</v>
      </c>
    </row>
    <row r="1603" spans="1:17">
      <c r="A1603" s="12" t="s">
        <v>2116</v>
      </c>
      <c r="B1603" s="13">
        <v>45354</v>
      </c>
      <c r="C1603" s="12" t="s">
        <v>602</v>
      </c>
      <c r="D1603" s="12" t="s">
        <v>204</v>
      </c>
      <c r="E1603" s="12" t="s">
        <v>209</v>
      </c>
      <c r="F1603" s="14">
        <v>10</v>
      </c>
      <c r="G1603" s="14">
        <v>3570</v>
      </c>
      <c r="H1603" s="14">
        <v>21.5</v>
      </c>
      <c r="I1603" s="14">
        <v>28024.5</v>
      </c>
      <c r="J1603" s="12" t="s">
        <v>104</v>
      </c>
      <c r="K1603" s="12" t="s">
        <v>111</v>
      </c>
      <c r="L1603" s="23" t="str">
        <f>VLOOKUP(D1603,Products!$A:$F,3,FALSE)</f>
        <v>Electronics</v>
      </c>
      <c r="M1603" s="23" t="str">
        <f>VLOOKUP(E1603,Sales_Reps!$A:$E,3,FALSE)</f>
        <v>East</v>
      </c>
      <c r="N1603" s="23" t="str">
        <f t="shared" ref="N1603:N1666" si="75">TEXT(B1603, "mmm-yy")</f>
        <v>Mar-24</v>
      </c>
      <c r="O1603" s="23" t="str">
        <f t="shared" ref="O1603:O1666" si="76">"Q" &amp; INT((MONTH(B1603)-1)/3)+1 &amp; " " &amp; YEAR(B1603)</f>
        <v>Q1 2024</v>
      </c>
      <c r="P1603" s="23">
        <f>VLOOKUP(D1603,Products!$A:$F,4,FALSE)</f>
        <v>1665</v>
      </c>
      <c r="Q1603" s="35">
        <f t="shared" ref="Q1603:Q1666" si="77">(G1603 - P1603) / G1603</f>
        <v>0.53361344537815125</v>
      </c>
    </row>
    <row r="1604" spans="1:17">
      <c r="A1604" s="12" t="s">
        <v>2117</v>
      </c>
      <c r="B1604" s="13">
        <v>45581</v>
      </c>
      <c r="C1604" s="12" t="s">
        <v>609</v>
      </c>
      <c r="D1604" s="12" t="s">
        <v>137</v>
      </c>
      <c r="E1604" s="12" t="s">
        <v>363</v>
      </c>
      <c r="F1604" s="14">
        <v>10</v>
      </c>
      <c r="G1604" s="14">
        <v>1430</v>
      </c>
      <c r="H1604" s="14">
        <v>11.4</v>
      </c>
      <c r="I1604" s="14">
        <v>12669.8</v>
      </c>
      <c r="J1604" s="12" t="s">
        <v>157</v>
      </c>
      <c r="K1604" s="12" t="s">
        <v>150</v>
      </c>
      <c r="L1604" s="23" t="str">
        <f>VLOOKUP(D1604,Products!$A:$F,3,FALSE)</f>
        <v>Electronics</v>
      </c>
      <c r="M1604" s="23" t="str">
        <f>VLOOKUP(E1604,Sales_Reps!$A:$E,3,FALSE)</f>
        <v>South</v>
      </c>
      <c r="N1604" s="23" t="str">
        <f t="shared" si="75"/>
        <v>Oct-24</v>
      </c>
      <c r="O1604" s="23" t="str">
        <f t="shared" si="76"/>
        <v>Q4 2024</v>
      </c>
      <c r="P1604" s="23">
        <f>VLOOKUP(D1604,Products!$A:$F,4,FALSE)</f>
        <v>861</v>
      </c>
      <c r="Q1604" s="35">
        <f t="shared" si="77"/>
        <v>0.39790209790209791</v>
      </c>
    </row>
    <row r="1605" spans="1:17">
      <c r="A1605" s="12" t="s">
        <v>2118</v>
      </c>
      <c r="B1605" s="13">
        <v>45643</v>
      </c>
      <c r="C1605" s="12" t="s">
        <v>840</v>
      </c>
      <c r="D1605" s="12" t="s">
        <v>132</v>
      </c>
      <c r="E1605" s="12" t="s">
        <v>269</v>
      </c>
      <c r="F1605" s="14">
        <v>7</v>
      </c>
      <c r="G1605" s="14">
        <v>960</v>
      </c>
      <c r="H1605" s="14">
        <v>22.9</v>
      </c>
      <c r="I1605" s="14">
        <v>5181.12</v>
      </c>
      <c r="J1605" s="12" t="s">
        <v>104</v>
      </c>
      <c r="K1605" s="12" t="s">
        <v>111</v>
      </c>
      <c r="L1605" s="23" t="str">
        <f>VLOOKUP(D1605,Products!$A:$F,3,FALSE)</f>
        <v>Sports</v>
      </c>
      <c r="M1605" s="23" t="str">
        <f>VLOOKUP(E1605,Sales_Reps!$A:$E,3,FALSE)</f>
        <v>South</v>
      </c>
      <c r="N1605" s="23" t="str">
        <f t="shared" si="75"/>
        <v>Dec-24</v>
      </c>
      <c r="O1605" s="23" t="str">
        <f t="shared" si="76"/>
        <v>Q4 2024</v>
      </c>
      <c r="P1605" s="23">
        <f>VLOOKUP(D1605,Products!$A:$F,4,FALSE)</f>
        <v>705</v>
      </c>
      <c r="Q1605" s="35">
        <f t="shared" si="77"/>
        <v>0.265625</v>
      </c>
    </row>
    <row r="1606" spans="1:17">
      <c r="A1606" s="12" t="s">
        <v>2119</v>
      </c>
      <c r="B1606" s="13">
        <v>45606</v>
      </c>
      <c r="C1606" s="12" t="s">
        <v>1017</v>
      </c>
      <c r="D1606" s="12" t="s">
        <v>160</v>
      </c>
      <c r="E1606" s="12" t="s">
        <v>149</v>
      </c>
      <c r="F1606" s="14">
        <v>8</v>
      </c>
      <c r="G1606" s="14">
        <v>3250</v>
      </c>
      <c r="H1606" s="14">
        <v>1.9</v>
      </c>
      <c r="I1606" s="14">
        <v>25506</v>
      </c>
      <c r="J1606" s="12" t="s">
        <v>104</v>
      </c>
      <c r="K1606" s="12" t="s">
        <v>134</v>
      </c>
      <c r="L1606" s="23" t="str">
        <f>VLOOKUP(D1606,Products!$A:$F,3,FALSE)</f>
        <v>Home</v>
      </c>
      <c r="M1606" s="23" t="str">
        <f>VLOOKUP(E1606,Sales_Reps!$A:$E,3,FALSE)</f>
        <v>South</v>
      </c>
      <c r="N1606" s="23" t="str">
        <f t="shared" si="75"/>
        <v>Nov-24</v>
      </c>
      <c r="O1606" s="23" t="str">
        <f t="shared" si="76"/>
        <v>Q4 2024</v>
      </c>
      <c r="P1606" s="23">
        <f>VLOOKUP(D1606,Products!$A:$F,4,FALSE)</f>
        <v>1556</v>
      </c>
      <c r="Q1606" s="35">
        <f t="shared" si="77"/>
        <v>0.52123076923076928</v>
      </c>
    </row>
    <row r="1607" spans="1:17">
      <c r="A1607" s="12" t="s">
        <v>2120</v>
      </c>
      <c r="B1607" s="13">
        <v>45356</v>
      </c>
      <c r="C1607" s="12" t="s">
        <v>645</v>
      </c>
      <c r="D1607" s="12" t="s">
        <v>178</v>
      </c>
      <c r="E1607" s="12" t="s">
        <v>320</v>
      </c>
      <c r="F1607" s="14">
        <v>9</v>
      </c>
      <c r="G1607" s="14">
        <v>3450</v>
      </c>
      <c r="H1607" s="14">
        <v>18</v>
      </c>
      <c r="I1607" s="14">
        <v>25461</v>
      </c>
      <c r="J1607" s="12" t="s">
        <v>104</v>
      </c>
      <c r="K1607" s="12" t="s">
        <v>150</v>
      </c>
      <c r="L1607" s="23" t="str">
        <f>VLOOKUP(D1607,Products!$A:$F,3,FALSE)</f>
        <v>Sports</v>
      </c>
      <c r="M1607" s="23" t="str">
        <f>VLOOKUP(E1607,Sales_Reps!$A:$E,3,FALSE)</f>
        <v>East</v>
      </c>
      <c r="N1607" s="23" t="str">
        <f t="shared" si="75"/>
        <v>Mar-24</v>
      </c>
      <c r="O1607" s="23" t="str">
        <f t="shared" si="76"/>
        <v>Q1 2024</v>
      </c>
      <c r="P1607" s="23">
        <f>VLOOKUP(D1607,Products!$A:$F,4,FALSE)</f>
        <v>2467</v>
      </c>
      <c r="Q1607" s="35">
        <f t="shared" si="77"/>
        <v>0.28492753623188405</v>
      </c>
    </row>
    <row r="1608" spans="1:17">
      <c r="A1608" s="12" t="s">
        <v>2121</v>
      </c>
      <c r="B1608" s="13">
        <v>45343</v>
      </c>
      <c r="C1608" s="12" t="s">
        <v>192</v>
      </c>
      <c r="D1608" s="12" t="s">
        <v>148</v>
      </c>
      <c r="E1608" s="12" t="s">
        <v>363</v>
      </c>
      <c r="F1608" s="14">
        <v>5</v>
      </c>
      <c r="G1608" s="14">
        <v>2270</v>
      </c>
      <c r="H1608" s="14">
        <v>11.5</v>
      </c>
      <c r="I1608" s="14">
        <v>10044.75</v>
      </c>
      <c r="J1608" s="12" t="s">
        <v>104</v>
      </c>
      <c r="K1608" s="12" t="s">
        <v>150</v>
      </c>
      <c r="L1608" s="23" t="str">
        <f>VLOOKUP(D1608,Products!$A:$F,3,FALSE)</f>
        <v>Grocery</v>
      </c>
      <c r="M1608" s="23" t="str">
        <f>VLOOKUP(E1608,Sales_Reps!$A:$E,3,FALSE)</f>
        <v>South</v>
      </c>
      <c r="N1608" s="23" t="str">
        <f t="shared" si="75"/>
        <v>Feb-24</v>
      </c>
      <c r="O1608" s="23" t="str">
        <f t="shared" si="76"/>
        <v>Q1 2024</v>
      </c>
      <c r="P1608" s="23">
        <f>VLOOKUP(D1608,Products!$A:$F,4,FALSE)</f>
        <v>1203</v>
      </c>
      <c r="Q1608" s="35">
        <f t="shared" si="77"/>
        <v>0.47004405286343615</v>
      </c>
    </row>
    <row r="1609" spans="1:17">
      <c r="A1609" s="12" t="s">
        <v>2122</v>
      </c>
      <c r="B1609" s="13">
        <v>45449</v>
      </c>
      <c r="C1609" s="12" t="s">
        <v>912</v>
      </c>
      <c r="D1609" s="12" t="s">
        <v>293</v>
      </c>
      <c r="E1609" s="12" t="s">
        <v>138</v>
      </c>
      <c r="F1609" s="14">
        <v>6</v>
      </c>
      <c r="G1609" s="14">
        <v>3020</v>
      </c>
      <c r="H1609" s="14">
        <v>12.6</v>
      </c>
      <c r="I1609" s="14">
        <v>15836.88</v>
      </c>
      <c r="J1609" s="12" t="s">
        <v>104</v>
      </c>
      <c r="K1609" s="12" t="s">
        <v>134</v>
      </c>
      <c r="L1609" s="23" t="str">
        <f>VLOOKUP(D1609,Products!$A:$F,3,FALSE)</f>
        <v>Beauty</v>
      </c>
      <c r="M1609" s="23" t="str">
        <f>VLOOKUP(E1609,Sales_Reps!$A:$E,3,FALSE)</f>
        <v>East</v>
      </c>
      <c r="N1609" s="23" t="str">
        <f t="shared" si="75"/>
        <v>Jun-24</v>
      </c>
      <c r="O1609" s="23" t="str">
        <f t="shared" si="76"/>
        <v>Q2 2024</v>
      </c>
      <c r="P1609" s="23">
        <f>VLOOKUP(D1609,Products!$A:$F,4,FALSE)</f>
        <v>1626</v>
      </c>
      <c r="Q1609" s="35">
        <f t="shared" si="77"/>
        <v>0.46158940397350995</v>
      </c>
    </row>
    <row r="1610" spans="1:17">
      <c r="A1610" s="12" t="s">
        <v>2123</v>
      </c>
      <c r="B1610" s="13">
        <v>45317</v>
      </c>
      <c r="C1610" s="12" t="s">
        <v>480</v>
      </c>
      <c r="D1610" s="12" t="s">
        <v>152</v>
      </c>
      <c r="E1610" s="12" t="s">
        <v>124</v>
      </c>
      <c r="F1610" s="14">
        <v>8</v>
      </c>
      <c r="G1610" s="14">
        <v>2640</v>
      </c>
      <c r="H1610" s="14">
        <v>14.5</v>
      </c>
      <c r="I1610" s="14">
        <v>18057.599999999999</v>
      </c>
      <c r="J1610" s="12" t="s">
        <v>161</v>
      </c>
      <c r="K1610" s="12" t="s">
        <v>134</v>
      </c>
      <c r="L1610" s="23" t="str">
        <f>VLOOKUP(D1610,Products!$A:$F,3,FALSE)</f>
        <v>Electronics</v>
      </c>
      <c r="M1610" s="23" t="str">
        <f>VLOOKUP(E1610,Sales_Reps!$A:$E,3,FALSE)</f>
        <v>North</v>
      </c>
      <c r="N1610" s="23" t="str">
        <f t="shared" si="75"/>
        <v>Jan-24</v>
      </c>
      <c r="O1610" s="23" t="str">
        <f t="shared" si="76"/>
        <v>Q1 2024</v>
      </c>
      <c r="P1610" s="23">
        <f>VLOOKUP(D1610,Products!$A:$F,4,FALSE)</f>
        <v>1149</v>
      </c>
      <c r="Q1610" s="35">
        <f t="shared" si="77"/>
        <v>0.56477272727272732</v>
      </c>
    </row>
    <row r="1611" spans="1:17">
      <c r="A1611" s="12" t="s">
        <v>2124</v>
      </c>
      <c r="B1611" s="13">
        <v>45561</v>
      </c>
      <c r="C1611" s="12" t="s">
        <v>140</v>
      </c>
      <c r="D1611" s="12" t="s">
        <v>148</v>
      </c>
      <c r="E1611" s="12" t="s">
        <v>360</v>
      </c>
      <c r="F1611" s="14">
        <v>2</v>
      </c>
      <c r="G1611" s="14">
        <v>2270</v>
      </c>
      <c r="H1611" s="14">
        <v>27</v>
      </c>
      <c r="I1611" s="14">
        <v>3314.2</v>
      </c>
      <c r="J1611" s="12" t="s">
        <v>104</v>
      </c>
      <c r="K1611" s="12" t="s">
        <v>134</v>
      </c>
      <c r="L1611" s="23" t="str">
        <f>VLOOKUP(D1611,Products!$A:$F,3,FALSE)</f>
        <v>Grocery</v>
      </c>
      <c r="M1611" s="23" t="str">
        <f>VLOOKUP(E1611,Sales_Reps!$A:$E,3,FALSE)</f>
        <v>West</v>
      </c>
      <c r="N1611" s="23" t="str">
        <f t="shared" si="75"/>
        <v>Sep-24</v>
      </c>
      <c r="O1611" s="23" t="str">
        <f t="shared" si="76"/>
        <v>Q3 2024</v>
      </c>
      <c r="P1611" s="23">
        <f>VLOOKUP(D1611,Products!$A:$F,4,FALSE)</f>
        <v>1203</v>
      </c>
      <c r="Q1611" s="35">
        <f t="shared" si="77"/>
        <v>0.47004405286343615</v>
      </c>
    </row>
    <row r="1612" spans="1:17">
      <c r="A1612" s="12" t="s">
        <v>2125</v>
      </c>
      <c r="B1612" s="13">
        <v>45636</v>
      </c>
      <c r="C1612" s="12" t="s">
        <v>122</v>
      </c>
      <c r="D1612" s="12" t="s">
        <v>217</v>
      </c>
      <c r="E1612" s="12" t="s">
        <v>360</v>
      </c>
      <c r="F1612" s="14">
        <v>8</v>
      </c>
      <c r="G1612" s="14">
        <v>2760</v>
      </c>
      <c r="H1612" s="14">
        <v>18</v>
      </c>
      <c r="I1612" s="14">
        <v>18105.599999999999</v>
      </c>
      <c r="J1612" s="12" t="s">
        <v>157</v>
      </c>
      <c r="K1612" s="12" t="s">
        <v>111</v>
      </c>
      <c r="L1612" s="23" t="str">
        <f>VLOOKUP(D1612,Products!$A:$F,3,FALSE)</f>
        <v>Grocery</v>
      </c>
      <c r="M1612" s="23" t="str">
        <f>VLOOKUP(E1612,Sales_Reps!$A:$E,3,FALSE)</f>
        <v>West</v>
      </c>
      <c r="N1612" s="23" t="str">
        <f t="shared" si="75"/>
        <v>Dec-24</v>
      </c>
      <c r="O1612" s="23" t="str">
        <f t="shared" si="76"/>
        <v>Q4 2024</v>
      </c>
      <c r="P1612" s="23">
        <f>VLOOKUP(D1612,Products!$A:$F,4,FALSE)</f>
        <v>1435</v>
      </c>
      <c r="Q1612" s="35">
        <f t="shared" si="77"/>
        <v>0.48007246376811596</v>
      </c>
    </row>
    <row r="1613" spans="1:17">
      <c r="A1613" s="12" t="s">
        <v>2126</v>
      </c>
      <c r="B1613" s="13">
        <v>45398</v>
      </c>
      <c r="C1613" s="12" t="s">
        <v>686</v>
      </c>
      <c r="D1613" s="12" t="s">
        <v>102</v>
      </c>
      <c r="E1613" s="12" t="s">
        <v>171</v>
      </c>
      <c r="F1613" s="14">
        <v>8</v>
      </c>
      <c r="G1613" s="14">
        <v>3620</v>
      </c>
      <c r="H1613" s="14">
        <v>7.1</v>
      </c>
      <c r="I1613" s="14">
        <v>26903.84</v>
      </c>
      <c r="J1613" s="12" t="s">
        <v>104</v>
      </c>
      <c r="K1613" s="12" t="s">
        <v>150</v>
      </c>
      <c r="L1613" s="23" t="str">
        <f>VLOOKUP(D1613,Products!$A:$F,3,FALSE)</f>
        <v>Apparel</v>
      </c>
      <c r="M1613" s="23" t="str">
        <f>VLOOKUP(E1613,Sales_Reps!$A:$E,3,FALSE)</f>
        <v>East</v>
      </c>
      <c r="N1613" s="23" t="str">
        <f t="shared" si="75"/>
        <v>Apr-24</v>
      </c>
      <c r="O1613" s="23" t="str">
        <f t="shared" si="76"/>
        <v>Q2 2024</v>
      </c>
      <c r="P1613" s="23">
        <f>VLOOKUP(D1613,Products!$A:$F,4,FALSE)</f>
        <v>2509</v>
      </c>
      <c r="Q1613" s="35">
        <f t="shared" si="77"/>
        <v>0.3069060773480663</v>
      </c>
    </row>
    <row r="1614" spans="1:17">
      <c r="A1614" s="12" t="s">
        <v>2127</v>
      </c>
      <c r="B1614" s="13">
        <v>45477</v>
      </c>
      <c r="C1614" s="12" t="s">
        <v>752</v>
      </c>
      <c r="D1614" s="12" t="s">
        <v>403</v>
      </c>
      <c r="E1614" s="12" t="s">
        <v>175</v>
      </c>
      <c r="F1614" s="14">
        <v>8</v>
      </c>
      <c r="G1614" s="14">
        <v>2290</v>
      </c>
      <c r="H1614" s="14">
        <v>16.399999999999999</v>
      </c>
      <c r="I1614" s="14">
        <v>15315.52</v>
      </c>
      <c r="J1614" s="12" t="s">
        <v>104</v>
      </c>
      <c r="K1614" s="12" t="s">
        <v>105</v>
      </c>
      <c r="L1614" s="23" t="str">
        <f>VLOOKUP(D1614,Products!$A:$F,3,FALSE)</f>
        <v>Beauty</v>
      </c>
      <c r="M1614" s="23" t="str">
        <f>VLOOKUP(E1614,Sales_Reps!$A:$E,3,FALSE)</f>
        <v>East</v>
      </c>
      <c r="N1614" s="23" t="str">
        <f t="shared" si="75"/>
        <v>Jul-24</v>
      </c>
      <c r="O1614" s="23" t="str">
        <f t="shared" si="76"/>
        <v>Q3 2024</v>
      </c>
      <c r="P1614" s="23">
        <f>VLOOKUP(D1614,Products!$A:$F,4,FALSE)</f>
        <v>1219</v>
      </c>
      <c r="Q1614" s="35">
        <f t="shared" si="77"/>
        <v>0.46768558951965067</v>
      </c>
    </row>
    <row r="1615" spans="1:17">
      <c r="A1615" s="12" t="s">
        <v>2128</v>
      </c>
      <c r="B1615" s="13">
        <v>45462</v>
      </c>
      <c r="C1615" s="12" t="s">
        <v>858</v>
      </c>
      <c r="D1615" s="12" t="s">
        <v>193</v>
      </c>
      <c r="E1615" s="12" t="s">
        <v>138</v>
      </c>
      <c r="F1615" s="14">
        <v>3</v>
      </c>
      <c r="G1615" s="14">
        <v>1650</v>
      </c>
      <c r="H1615" s="14">
        <v>1.8</v>
      </c>
      <c r="I1615" s="14">
        <v>4860.8999999999996</v>
      </c>
      <c r="J1615" s="12" t="s">
        <v>157</v>
      </c>
      <c r="K1615" s="12" t="s">
        <v>134</v>
      </c>
      <c r="L1615" s="23" t="str">
        <f>VLOOKUP(D1615,Products!$A:$F,3,FALSE)</f>
        <v>Beauty</v>
      </c>
      <c r="M1615" s="23" t="str">
        <f>VLOOKUP(E1615,Sales_Reps!$A:$E,3,FALSE)</f>
        <v>East</v>
      </c>
      <c r="N1615" s="23" t="str">
        <f t="shared" si="75"/>
        <v>Jun-24</v>
      </c>
      <c r="O1615" s="23" t="str">
        <f t="shared" si="76"/>
        <v>Q2 2024</v>
      </c>
      <c r="P1615" s="23">
        <f>VLOOKUP(D1615,Products!$A:$F,4,FALSE)</f>
        <v>1222</v>
      </c>
      <c r="Q1615" s="35">
        <f t="shared" si="77"/>
        <v>0.2593939393939394</v>
      </c>
    </row>
    <row r="1616" spans="1:17">
      <c r="A1616" s="12" t="s">
        <v>2129</v>
      </c>
      <c r="B1616" s="13">
        <v>45642</v>
      </c>
      <c r="C1616" s="12" t="s">
        <v>537</v>
      </c>
      <c r="D1616" s="12" t="s">
        <v>381</v>
      </c>
      <c r="E1616" s="12" t="s">
        <v>320</v>
      </c>
      <c r="F1616" s="14">
        <v>3</v>
      </c>
      <c r="G1616" s="14">
        <v>5330</v>
      </c>
      <c r="H1616" s="14">
        <v>22.2</v>
      </c>
      <c r="I1616" s="14">
        <v>12440.22</v>
      </c>
      <c r="J1616" s="12" t="s">
        <v>104</v>
      </c>
      <c r="K1616" s="12" t="s">
        <v>129</v>
      </c>
      <c r="L1616" s="23" t="str">
        <f>VLOOKUP(D1616,Products!$A:$F,3,FALSE)</f>
        <v>Electronics</v>
      </c>
      <c r="M1616" s="23" t="str">
        <f>VLOOKUP(E1616,Sales_Reps!$A:$E,3,FALSE)</f>
        <v>East</v>
      </c>
      <c r="N1616" s="23" t="str">
        <f t="shared" si="75"/>
        <v>Dec-24</v>
      </c>
      <c r="O1616" s="23" t="str">
        <f t="shared" si="76"/>
        <v>Q4 2024</v>
      </c>
      <c r="P1616" s="23">
        <f>VLOOKUP(D1616,Products!$A:$F,4,FALSE)</f>
        <v>2405</v>
      </c>
      <c r="Q1616" s="35">
        <f t="shared" si="77"/>
        <v>0.54878048780487809</v>
      </c>
    </row>
    <row r="1617" spans="1:17">
      <c r="A1617" s="12" t="s">
        <v>2130</v>
      </c>
      <c r="B1617" s="13">
        <v>45534</v>
      </c>
      <c r="C1617" s="12" t="s">
        <v>703</v>
      </c>
      <c r="D1617" s="12" t="s">
        <v>181</v>
      </c>
      <c r="E1617" s="12" t="s">
        <v>302</v>
      </c>
      <c r="F1617" s="14">
        <v>7</v>
      </c>
      <c r="G1617" s="14">
        <v>1080</v>
      </c>
      <c r="H1617" s="14">
        <v>17.899999999999999</v>
      </c>
      <c r="I1617" s="14">
        <v>6206.76</v>
      </c>
      <c r="J1617" s="12" t="s">
        <v>104</v>
      </c>
      <c r="K1617" s="12" t="s">
        <v>129</v>
      </c>
      <c r="L1617" s="23" t="str">
        <f>VLOOKUP(D1617,Products!$A:$F,3,FALSE)</f>
        <v>Home</v>
      </c>
      <c r="M1617" s="23" t="str">
        <f>VLOOKUP(E1617,Sales_Reps!$A:$E,3,FALSE)</f>
        <v>East</v>
      </c>
      <c r="N1617" s="23" t="str">
        <f t="shared" si="75"/>
        <v>Aug-24</v>
      </c>
      <c r="O1617" s="23" t="str">
        <f t="shared" si="76"/>
        <v>Q3 2024</v>
      </c>
      <c r="P1617" s="23">
        <f>VLOOKUP(D1617,Products!$A:$F,4,FALSE)</f>
        <v>519</v>
      </c>
      <c r="Q1617" s="35">
        <f t="shared" si="77"/>
        <v>0.51944444444444449</v>
      </c>
    </row>
    <row r="1618" spans="1:17">
      <c r="A1618" s="12" t="s">
        <v>2131</v>
      </c>
      <c r="B1618" s="13">
        <v>45460</v>
      </c>
      <c r="C1618" s="12" t="s">
        <v>118</v>
      </c>
      <c r="D1618" s="12" t="s">
        <v>284</v>
      </c>
      <c r="E1618" s="12" t="s">
        <v>302</v>
      </c>
      <c r="F1618" s="14">
        <v>10</v>
      </c>
      <c r="G1618" s="14">
        <v>1220</v>
      </c>
      <c r="H1618" s="14">
        <v>5.7</v>
      </c>
      <c r="I1618" s="14">
        <v>11504.6</v>
      </c>
      <c r="J1618" s="12" t="s">
        <v>104</v>
      </c>
      <c r="K1618" s="12" t="s">
        <v>116</v>
      </c>
      <c r="L1618" s="23" t="str">
        <f>VLOOKUP(D1618,Products!$A:$F,3,FALSE)</f>
        <v>Electronics</v>
      </c>
      <c r="M1618" s="23" t="str">
        <f>VLOOKUP(E1618,Sales_Reps!$A:$E,3,FALSE)</f>
        <v>East</v>
      </c>
      <c r="N1618" s="23" t="str">
        <f t="shared" si="75"/>
        <v>Jun-24</v>
      </c>
      <c r="O1618" s="23" t="str">
        <f t="shared" si="76"/>
        <v>Q2 2024</v>
      </c>
      <c r="P1618" s="23">
        <f>VLOOKUP(D1618,Products!$A:$F,4,FALSE)</f>
        <v>517</v>
      </c>
      <c r="Q1618" s="35">
        <f t="shared" si="77"/>
        <v>0.57622950819672136</v>
      </c>
    </row>
    <row r="1619" spans="1:17">
      <c r="A1619" s="12" t="s">
        <v>2132</v>
      </c>
      <c r="B1619" s="13">
        <v>45648</v>
      </c>
      <c r="C1619" s="12" t="s">
        <v>322</v>
      </c>
      <c r="D1619" s="12" t="s">
        <v>220</v>
      </c>
      <c r="E1619" s="12" t="s">
        <v>187</v>
      </c>
      <c r="F1619" s="14">
        <v>10</v>
      </c>
      <c r="G1619" s="14">
        <v>660</v>
      </c>
      <c r="H1619" s="14">
        <v>7.5</v>
      </c>
      <c r="I1619" s="14">
        <v>6105</v>
      </c>
      <c r="J1619" s="12" t="s">
        <v>104</v>
      </c>
      <c r="K1619" s="12" t="s">
        <v>150</v>
      </c>
      <c r="L1619" s="23" t="str">
        <f>VLOOKUP(D1619,Products!$A:$F,3,FALSE)</f>
        <v>Home</v>
      </c>
      <c r="M1619" s="23" t="str">
        <f>VLOOKUP(E1619,Sales_Reps!$A:$E,3,FALSE)</f>
        <v>West</v>
      </c>
      <c r="N1619" s="23" t="str">
        <f t="shared" si="75"/>
        <v>Dec-24</v>
      </c>
      <c r="O1619" s="23" t="str">
        <f t="shared" si="76"/>
        <v>Q4 2024</v>
      </c>
      <c r="P1619" s="23">
        <f>VLOOKUP(D1619,Products!$A:$F,4,FALSE)</f>
        <v>329</v>
      </c>
      <c r="Q1619" s="35">
        <f t="shared" si="77"/>
        <v>0.50151515151515147</v>
      </c>
    </row>
    <row r="1620" spans="1:17">
      <c r="A1620" s="12" t="s">
        <v>2133</v>
      </c>
      <c r="B1620" s="13">
        <v>45557</v>
      </c>
      <c r="C1620" s="12" t="s">
        <v>965</v>
      </c>
      <c r="D1620" s="12" t="s">
        <v>181</v>
      </c>
      <c r="E1620" s="12" t="s">
        <v>209</v>
      </c>
      <c r="F1620" s="14">
        <v>6</v>
      </c>
      <c r="G1620" s="14">
        <v>1080</v>
      </c>
      <c r="H1620" s="14">
        <v>28.9</v>
      </c>
      <c r="I1620" s="14">
        <v>4607.28</v>
      </c>
      <c r="J1620" s="12" t="s">
        <v>104</v>
      </c>
      <c r="K1620" s="12" t="s">
        <v>105</v>
      </c>
      <c r="L1620" s="23" t="str">
        <f>VLOOKUP(D1620,Products!$A:$F,3,FALSE)</f>
        <v>Home</v>
      </c>
      <c r="M1620" s="23" t="str">
        <f>VLOOKUP(E1620,Sales_Reps!$A:$E,3,FALSE)</f>
        <v>East</v>
      </c>
      <c r="N1620" s="23" t="str">
        <f t="shared" si="75"/>
        <v>Sep-24</v>
      </c>
      <c r="O1620" s="23" t="str">
        <f t="shared" si="76"/>
        <v>Q3 2024</v>
      </c>
      <c r="P1620" s="23">
        <f>VLOOKUP(D1620,Products!$A:$F,4,FALSE)</f>
        <v>519</v>
      </c>
      <c r="Q1620" s="35">
        <f t="shared" si="77"/>
        <v>0.51944444444444449</v>
      </c>
    </row>
    <row r="1621" spans="1:17">
      <c r="A1621" s="12" t="s">
        <v>2134</v>
      </c>
      <c r="B1621" s="13">
        <v>45584</v>
      </c>
      <c r="C1621" s="12" t="s">
        <v>606</v>
      </c>
      <c r="D1621" s="12" t="s">
        <v>262</v>
      </c>
      <c r="E1621" s="12" t="s">
        <v>209</v>
      </c>
      <c r="F1621" s="14">
        <v>7</v>
      </c>
      <c r="G1621" s="14">
        <v>2270</v>
      </c>
      <c r="H1621" s="14">
        <v>1.4</v>
      </c>
      <c r="I1621" s="14">
        <v>15667.54</v>
      </c>
      <c r="J1621" s="12" t="s">
        <v>104</v>
      </c>
      <c r="K1621" s="12" t="s">
        <v>111</v>
      </c>
      <c r="L1621" s="23" t="str">
        <f>VLOOKUP(D1621,Products!$A:$F,3,FALSE)</f>
        <v>Grocery</v>
      </c>
      <c r="M1621" s="23" t="str">
        <f>VLOOKUP(E1621,Sales_Reps!$A:$E,3,FALSE)</f>
        <v>East</v>
      </c>
      <c r="N1621" s="23" t="str">
        <f t="shared" si="75"/>
        <v>Oct-24</v>
      </c>
      <c r="O1621" s="23" t="str">
        <f t="shared" si="76"/>
        <v>Q4 2024</v>
      </c>
      <c r="P1621" s="23">
        <f>VLOOKUP(D1621,Products!$A:$F,4,FALSE)</f>
        <v>1412</v>
      </c>
      <c r="Q1621" s="35">
        <f t="shared" si="77"/>
        <v>0.37797356828193834</v>
      </c>
    </row>
    <row r="1622" spans="1:17">
      <c r="A1622" s="12" t="s">
        <v>2135</v>
      </c>
      <c r="B1622" s="13">
        <v>45475</v>
      </c>
      <c r="C1622" s="12" t="s">
        <v>798</v>
      </c>
      <c r="D1622" s="12" t="s">
        <v>127</v>
      </c>
      <c r="E1622" s="12" t="s">
        <v>145</v>
      </c>
      <c r="F1622" s="14">
        <v>3</v>
      </c>
      <c r="G1622" s="14">
        <v>370</v>
      </c>
      <c r="H1622" s="14">
        <v>9.6</v>
      </c>
      <c r="I1622" s="14">
        <v>1003.44</v>
      </c>
      <c r="J1622" s="12" t="s">
        <v>161</v>
      </c>
      <c r="K1622" s="12" t="s">
        <v>116</v>
      </c>
      <c r="L1622" s="23" t="str">
        <f>VLOOKUP(D1622,Products!$A:$F,3,FALSE)</f>
        <v>Home</v>
      </c>
      <c r="M1622" s="23" t="str">
        <f>VLOOKUP(E1622,Sales_Reps!$A:$E,3,FALSE)</f>
        <v>West</v>
      </c>
      <c r="N1622" s="23" t="str">
        <f t="shared" si="75"/>
        <v>Jul-24</v>
      </c>
      <c r="O1622" s="23" t="str">
        <f t="shared" si="76"/>
        <v>Q3 2024</v>
      </c>
      <c r="P1622" s="23">
        <f>VLOOKUP(D1622,Products!$A:$F,4,FALSE)</f>
        <v>288</v>
      </c>
      <c r="Q1622" s="35">
        <f t="shared" si="77"/>
        <v>0.22162162162162163</v>
      </c>
    </row>
    <row r="1623" spans="1:17">
      <c r="A1623" s="12" t="s">
        <v>2136</v>
      </c>
      <c r="B1623" s="13">
        <v>45365</v>
      </c>
      <c r="C1623" s="12" t="s">
        <v>891</v>
      </c>
      <c r="D1623" s="12" t="s">
        <v>144</v>
      </c>
      <c r="E1623" s="12" t="s">
        <v>221</v>
      </c>
      <c r="F1623" s="14">
        <v>9</v>
      </c>
      <c r="G1623" s="14">
        <v>970</v>
      </c>
      <c r="H1623" s="14">
        <v>29.7</v>
      </c>
      <c r="I1623" s="14">
        <v>6137.19</v>
      </c>
      <c r="J1623" s="12" t="s">
        <v>104</v>
      </c>
      <c r="K1623" s="12" t="s">
        <v>129</v>
      </c>
      <c r="L1623" s="23" t="str">
        <f>VLOOKUP(D1623,Products!$A:$F,3,FALSE)</f>
        <v>Grocery</v>
      </c>
      <c r="M1623" s="23" t="str">
        <f>VLOOKUP(E1623,Sales_Reps!$A:$E,3,FALSE)</f>
        <v>South</v>
      </c>
      <c r="N1623" s="23" t="str">
        <f t="shared" si="75"/>
        <v>Mar-24</v>
      </c>
      <c r="O1623" s="23" t="str">
        <f t="shared" si="76"/>
        <v>Q1 2024</v>
      </c>
      <c r="P1623" s="23">
        <f>VLOOKUP(D1623,Products!$A:$F,4,FALSE)</f>
        <v>434</v>
      </c>
      <c r="Q1623" s="35">
        <f t="shared" si="77"/>
        <v>0.5525773195876289</v>
      </c>
    </row>
    <row r="1624" spans="1:17">
      <c r="A1624" s="12" t="s">
        <v>1087</v>
      </c>
      <c r="B1624" s="13">
        <v>45405</v>
      </c>
      <c r="C1624" s="12" t="s">
        <v>962</v>
      </c>
      <c r="D1624" s="12" t="s">
        <v>309</v>
      </c>
      <c r="E1624" s="12" t="s">
        <v>165</v>
      </c>
      <c r="F1624" s="14">
        <v>1</v>
      </c>
      <c r="G1624" s="14">
        <v>620</v>
      </c>
      <c r="H1624" s="14">
        <v>10.4</v>
      </c>
      <c r="I1624" s="14">
        <v>555.52</v>
      </c>
      <c r="J1624" s="12" t="s">
        <v>157</v>
      </c>
      <c r="K1624" s="12" t="s">
        <v>105</v>
      </c>
      <c r="L1624" s="23" t="str">
        <f>VLOOKUP(D1624,Products!$A:$F,3,FALSE)</f>
        <v>Apparel</v>
      </c>
      <c r="M1624" s="23" t="str">
        <f>VLOOKUP(E1624,Sales_Reps!$A:$E,3,FALSE)</f>
        <v>North</v>
      </c>
      <c r="N1624" s="23" t="str">
        <f t="shared" si="75"/>
        <v>Apr-24</v>
      </c>
      <c r="O1624" s="23" t="str">
        <f t="shared" si="76"/>
        <v>Q2 2024</v>
      </c>
      <c r="P1624" s="23">
        <f>VLOOKUP(D1624,Products!$A:$F,4,FALSE)</f>
        <v>396</v>
      </c>
      <c r="Q1624" s="35">
        <f t="shared" si="77"/>
        <v>0.36129032258064514</v>
      </c>
    </row>
    <row r="1625" spans="1:17">
      <c r="A1625" s="12" t="s">
        <v>2137</v>
      </c>
      <c r="B1625" s="13">
        <v>45533</v>
      </c>
      <c r="C1625" s="12" t="s">
        <v>889</v>
      </c>
      <c r="D1625" s="12" t="s">
        <v>119</v>
      </c>
      <c r="E1625" s="12" t="s">
        <v>246</v>
      </c>
      <c r="F1625" s="14">
        <v>5</v>
      </c>
      <c r="G1625" s="14">
        <v>3660</v>
      </c>
      <c r="H1625" s="14">
        <v>8</v>
      </c>
      <c r="I1625" s="14">
        <v>16836</v>
      </c>
      <c r="J1625" s="12" t="s">
        <v>104</v>
      </c>
      <c r="K1625" s="12" t="s">
        <v>129</v>
      </c>
      <c r="L1625" s="23" t="str">
        <f>VLOOKUP(D1625,Products!$A:$F,3,FALSE)</f>
        <v>Grocery</v>
      </c>
      <c r="M1625" s="23" t="str">
        <f>VLOOKUP(E1625,Sales_Reps!$A:$E,3,FALSE)</f>
        <v>West</v>
      </c>
      <c r="N1625" s="23" t="str">
        <f t="shared" si="75"/>
        <v>Aug-24</v>
      </c>
      <c r="O1625" s="23" t="str">
        <f t="shared" si="76"/>
        <v>Q3 2024</v>
      </c>
      <c r="P1625" s="23">
        <f>VLOOKUP(D1625,Products!$A:$F,4,FALSE)</f>
        <v>2214</v>
      </c>
      <c r="Q1625" s="35">
        <f t="shared" si="77"/>
        <v>0.39508196721311473</v>
      </c>
    </row>
    <row r="1626" spans="1:17">
      <c r="A1626" s="12" t="s">
        <v>2138</v>
      </c>
      <c r="B1626" s="13">
        <v>45628</v>
      </c>
      <c r="C1626" s="12" t="s">
        <v>118</v>
      </c>
      <c r="D1626" s="12" t="s">
        <v>355</v>
      </c>
      <c r="E1626" s="12" t="s">
        <v>133</v>
      </c>
      <c r="F1626" s="14">
        <v>7</v>
      </c>
      <c r="G1626" s="14">
        <v>2210</v>
      </c>
      <c r="H1626" s="14">
        <v>13.7</v>
      </c>
      <c r="I1626" s="14">
        <v>13350.61</v>
      </c>
      <c r="J1626" s="12" t="s">
        <v>161</v>
      </c>
      <c r="K1626" s="12" t="s">
        <v>116</v>
      </c>
      <c r="L1626" s="23" t="str">
        <f>VLOOKUP(D1626,Products!$A:$F,3,FALSE)</f>
        <v>Grocery</v>
      </c>
      <c r="M1626" s="23" t="str">
        <f>VLOOKUP(E1626,Sales_Reps!$A:$E,3,FALSE)</f>
        <v>West</v>
      </c>
      <c r="N1626" s="23" t="str">
        <f t="shared" si="75"/>
        <v>Dec-24</v>
      </c>
      <c r="O1626" s="23" t="str">
        <f t="shared" si="76"/>
        <v>Q4 2024</v>
      </c>
      <c r="P1626" s="23">
        <f>VLOOKUP(D1626,Products!$A:$F,4,FALSE)</f>
        <v>1010</v>
      </c>
      <c r="Q1626" s="35">
        <f t="shared" si="77"/>
        <v>0.54298642533936647</v>
      </c>
    </row>
    <row r="1627" spans="1:17">
      <c r="A1627" s="12" t="s">
        <v>2139</v>
      </c>
      <c r="B1627" s="13">
        <v>45631</v>
      </c>
      <c r="C1627" s="12" t="s">
        <v>722</v>
      </c>
      <c r="D1627" s="12" t="s">
        <v>478</v>
      </c>
      <c r="E1627" s="12" t="s">
        <v>145</v>
      </c>
      <c r="F1627" s="14">
        <v>1</v>
      </c>
      <c r="G1627" s="14">
        <v>3780</v>
      </c>
      <c r="H1627" s="14">
        <v>11.5</v>
      </c>
      <c r="I1627" s="14">
        <v>3345.3</v>
      </c>
      <c r="J1627" s="12" t="s">
        <v>104</v>
      </c>
      <c r="K1627" s="12" t="s">
        <v>116</v>
      </c>
      <c r="L1627" s="23" t="str">
        <f>VLOOKUP(D1627,Products!$A:$F,3,FALSE)</f>
        <v>Sports</v>
      </c>
      <c r="M1627" s="23" t="str">
        <f>VLOOKUP(E1627,Sales_Reps!$A:$E,3,FALSE)</f>
        <v>West</v>
      </c>
      <c r="N1627" s="23" t="str">
        <f t="shared" si="75"/>
        <v>Dec-24</v>
      </c>
      <c r="O1627" s="23" t="str">
        <f t="shared" si="76"/>
        <v>Q4 2024</v>
      </c>
      <c r="P1627" s="23">
        <f>VLOOKUP(D1627,Products!$A:$F,4,FALSE)</f>
        <v>1860</v>
      </c>
      <c r="Q1627" s="35">
        <f t="shared" si="77"/>
        <v>0.50793650793650791</v>
      </c>
    </row>
    <row r="1628" spans="1:17">
      <c r="A1628" s="12" t="s">
        <v>2140</v>
      </c>
      <c r="B1628" s="13">
        <v>45601</v>
      </c>
      <c r="C1628" s="12" t="s">
        <v>308</v>
      </c>
      <c r="D1628" s="12" t="s">
        <v>155</v>
      </c>
      <c r="E1628" s="12" t="s">
        <v>109</v>
      </c>
      <c r="F1628" s="14">
        <v>10</v>
      </c>
      <c r="G1628" s="14">
        <v>2600</v>
      </c>
      <c r="H1628" s="14">
        <v>29.4</v>
      </c>
      <c r="I1628" s="14">
        <v>18356</v>
      </c>
      <c r="J1628" s="12" t="s">
        <v>104</v>
      </c>
      <c r="K1628" s="12" t="s">
        <v>116</v>
      </c>
      <c r="L1628" s="23" t="str">
        <f>VLOOKUP(D1628,Products!$A:$F,3,FALSE)</f>
        <v>Electronics</v>
      </c>
      <c r="M1628" s="23" t="str">
        <f>VLOOKUP(E1628,Sales_Reps!$A:$E,3,FALSE)</f>
        <v>North</v>
      </c>
      <c r="N1628" s="23" t="str">
        <f t="shared" si="75"/>
        <v>Nov-24</v>
      </c>
      <c r="O1628" s="23" t="str">
        <f t="shared" si="76"/>
        <v>Q4 2024</v>
      </c>
      <c r="P1628" s="23">
        <f>VLOOKUP(D1628,Products!$A:$F,4,FALSE)</f>
        <v>1052</v>
      </c>
      <c r="Q1628" s="35">
        <f t="shared" si="77"/>
        <v>0.5953846153846154</v>
      </c>
    </row>
    <row r="1629" spans="1:17">
      <c r="A1629" s="12" t="s">
        <v>2141</v>
      </c>
      <c r="B1629" s="13">
        <v>45365</v>
      </c>
      <c r="C1629" s="12" t="s">
        <v>568</v>
      </c>
      <c r="D1629" s="12" t="s">
        <v>251</v>
      </c>
      <c r="E1629" s="12" t="s">
        <v>255</v>
      </c>
      <c r="F1629" s="14">
        <v>3</v>
      </c>
      <c r="G1629" s="14">
        <v>3780</v>
      </c>
      <c r="H1629" s="14">
        <v>14.4</v>
      </c>
      <c r="I1629" s="14">
        <v>9707.0400000000009</v>
      </c>
      <c r="J1629" s="12" t="s">
        <v>104</v>
      </c>
      <c r="K1629" s="12" t="s">
        <v>129</v>
      </c>
      <c r="L1629" s="23" t="str">
        <f>VLOOKUP(D1629,Products!$A:$F,3,FALSE)</f>
        <v>Grocery</v>
      </c>
      <c r="M1629" s="23" t="str">
        <f>VLOOKUP(E1629,Sales_Reps!$A:$E,3,FALSE)</f>
        <v>East</v>
      </c>
      <c r="N1629" s="23" t="str">
        <f t="shared" si="75"/>
        <v>Mar-24</v>
      </c>
      <c r="O1629" s="23" t="str">
        <f t="shared" si="76"/>
        <v>Q1 2024</v>
      </c>
      <c r="P1629" s="23">
        <f>VLOOKUP(D1629,Products!$A:$F,4,FALSE)</f>
        <v>2436</v>
      </c>
      <c r="Q1629" s="35">
        <f t="shared" si="77"/>
        <v>0.35555555555555557</v>
      </c>
    </row>
    <row r="1630" spans="1:17">
      <c r="A1630" s="12" t="s">
        <v>2142</v>
      </c>
      <c r="B1630" s="13">
        <v>45421</v>
      </c>
      <c r="C1630" s="12" t="s">
        <v>267</v>
      </c>
      <c r="D1630" s="12" t="s">
        <v>152</v>
      </c>
      <c r="E1630" s="12" t="s">
        <v>165</v>
      </c>
      <c r="F1630" s="14">
        <v>10</v>
      </c>
      <c r="G1630" s="14">
        <v>2640</v>
      </c>
      <c r="H1630" s="14">
        <v>26.8</v>
      </c>
      <c r="I1630" s="14">
        <v>19324.8</v>
      </c>
      <c r="J1630" s="12" t="s">
        <v>110</v>
      </c>
      <c r="K1630" s="12" t="s">
        <v>134</v>
      </c>
      <c r="L1630" s="23" t="str">
        <f>VLOOKUP(D1630,Products!$A:$F,3,FALSE)</f>
        <v>Electronics</v>
      </c>
      <c r="M1630" s="23" t="str">
        <f>VLOOKUP(E1630,Sales_Reps!$A:$E,3,FALSE)</f>
        <v>North</v>
      </c>
      <c r="N1630" s="23" t="str">
        <f t="shared" si="75"/>
        <v>May-24</v>
      </c>
      <c r="O1630" s="23" t="str">
        <f t="shared" si="76"/>
        <v>Q2 2024</v>
      </c>
      <c r="P1630" s="23">
        <f>VLOOKUP(D1630,Products!$A:$F,4,FALSE)</f>
        <v>1149</v>
      </c>
      <c r="Q1630" s="35">
        <f t="shared" si="77"/>
        <v>0.56477272727272732</v>
      </c>
    </row>
    <row r="1631" spans="1:17">
      <c r="A1631" s="12" t="s">
        <v>2143</v>
      </c>
      <c r="B1631" s="13">
        <v>45347</v>
      </c>
      <c r="C1631" s="12" t="s">
        <v>917</v>
      </c>
      <c r="D1631" s="12" t="s">
        <v>519</v>
      </c>
      <c r="E1631" s="12" t="s">
        <v>269</v>
      </c>
      <c r="F1631" s="14">
        <v>3</v>
      </c>
      <c r="G1631" s="14">
        <v>1090</v>
      </c>
      <c r="H1631" s="14">
        <v>9.1</v>
      </c>
      <c r="I1631" s="14">
        <v>2972.43</v>
      </c>
      <c r="J1631" s="12" t="s">
        <v>104</v>
      </c>
      <c r="K1631" s="12" t="s">
        <v>134</v>
      </c>
      <c r="L1631" s="23" t="str">
        <f>VLOOKUP(D1631,Products!$A:$F,3,FALSE)</f>
        <v>Home</v>
      </c>
      <c r="M1631" s="23" t="str">
        <f>VLOOKUP(E1631,Sales_Reps!$A:$E,3,FALSE)</f>
        <v>South</v>
      </c>
      <c r="N1631" s="23" t="str">
        <f t="shared" si="75"/>
        <v>Feb-24</v>
      </c>
      <c r="O1631" s="23" t="str">
        <f t="shared" si="76"/>
        <v>Q1 2024</v>
      </c>
      <c r="P1631" s="23">
        <f>VLOOKUP(D1631,Products!$A:$F,4,FALSE)</f>
        <v>464</v>
      </c>
      <c r="Q1631" s="35">
        <f t="shared" si="77"/>
        <v>0.57431192660550456</v>
      </c>
    </row>
    <row r="1632" spans="1:17">
      <c r="A1632" s="12" t="s">
        <v>2144</v>
      </c>
      <c r="B1632" s="13">
        <v>45574</v>
      </c>
      <c r="C1632" s="12" t="s">
        <v>717</v>
      </c>
      <c r="D1632" s="12" t="s">
        <v>469</v>
      </c>
      <c r="E1632" s="12" t="s">
        <v>133</v>
      </c>
      <c r="F1632" s="14">
        <v>3</v>
      </c>
      <c r="G1632" s="14">
        <v>3450</v>
      </c>
      <c r="H1632" s="14">
        <v>23</v>
      </c>
      <c r="I1632" s="14">
        <v>7969.5</v>
      </c>
      <c r="J1632" s="12" t="s">
        <v>110</v>
      </c>
      <c r="K1632" s="12" t="s">
        <v>111</v>
      </c>
      <c r="L1632" s="23" t="str">
        <f>VLOOKUP(D1632,Products!$A:$F,3,FALSE)</f>
        <v>Apparel</v>
      </c>
      <c r="M1632" s="23" t="str">
        <f>VLOOKUP(E1632,Sales_Reps!$A:$E,3,FALSE)</f>
        <v>West</v>
      </c>
      <c r="N1632" s="23" t="str">
        <f t="shared" si="75"/>
        <v>Oct-24</v>
      </c>
      <c r="O1632" s="23" t="str">
        <f t="shared" si="76"/>
        <v>Q4 2024</v>
      </c>
      <c r="P1632" s="23">
        <f>VLOOKUP(D1632,Products!$A:$F,4,FALSE)</f>
        <v>1748</v>
      </c>
      <c r="Q1632" s="35">
        <f t="shared" si="77"/>
        <v>0.49333333333333335</v>
      </c>
    </row>
    <row r="1633" spans="1:17">
      <c r="A1633" s="12" t="s">
        <v>2145</v>
      </c>
      <c r="B1633" s="13">
        <v>45365</v>
      </c>
      <c r="C1633" s="12" t="s">
        <v>1248</v>
      </c>
      <c r="D1633" s="12" t="s">
        <v>397</v>
      </c>
      <c r="E1633" s="12" t="s">
        <v>205</v>
      </c>
      <c r="F1633" s="14">
        <v>1</v>
      </c>
      <c r="G1633" s="14">
        <v>960</v>
      </c>
      <c r="H1633" s="14">
        <v>1.1000000000000001</v>
      </c>
      <c r="I1633" s="14">
        <v>949.44</v>
      </c>
      <c r="J1633" s="12" t="s">
        <v>104</v>
      </c>
      <c r="K1633" s="12" t="s">
        <v>105</v>
      </c>
      <c r="L1633" s="23" t="str">
        <f>VLOOKUP(D1633,Products!$A:$F,3,FALSE)</f>
        <v>Beauty</v>
      </c>
      <c r="M1633" s="23" t="str">
        <f>VLOOKUP(E1633,Sales_Reps!$A:$E,3,FALSE)</f>
        <v>South</v>
      </c>
      <c r="N1633" s="23" t="str">
        <f t="shared" si="75"/>
        <v>Mar-24</v>
      </c>
      <c r="O1633" s="23" t="str">
        <f t="shared" si="76"/>
        <v>Q1 2024</v>
      </c>
      <c r="P1633" s="23">
        <f>VLOOKUP(D1633,Products!$A:$F,4,FALSE)</f>
        <v>675</v>
      </c>
      <c r="Q1633" s="35">
        <f t="shared" si="77"/>
        <v>0.296875</v>
      </c>
    </row>
    <row r="1634" spans="1:17">
      <c r="A1634" s="12" t="s">
        <v>2146</v>
      </c>
      <c r="B1634" s="13">
        <v>45577</v>
      </c>
      <c r="C1634" s="12" t="s">
        <v>496</v>
      </c>
      <c r="D1634" s="12" t="s">
        <v>119</v>
      </c>
      <c r="E1634" s="12" t="s">
        <v>187</v>
      </c>
      <c r="F1634" s="14">
        <v>9</v>
      </c>
      <c r="G1634" s="14">
        <v>3660</v>
      </c>
      <c r="H1634" s="14">
        <v>9</v>
      </c>
      <c r="I1634" s="14">
        <v>29975.4</v>
      </c>
      <c r="J1634" s="12" t="s">
        <v>104</v>
      </c>
      <c r="K1634" s="12" t="s">
        <v>105</v>
      </c>
      <c r="L1634" s="23" t="str">
        <f>VLOOKUP(D1634,Products!$A:$F,3,FALSE)</f>
        <v>Grocery</v>
      </c>
      <c r="M1634" s="23" t="str">
        <f>VLOOKUP(E1634,Sales_Reps!$A:$E,3,FALSE)</f>
        <v>West</v>
      </c>
      <c r="N1634" s="23" t="str">
        <f t="shared" si="75"/>
        <v>Oct-24</v>
      </c>
      <c r="O1634" s="23" t="str">
        <f t="shared" si="76"/>
        <v>Q4 2024</v>
      </c>
      <c r="P1634" s="23">
        <f>VLOOKUP(D1634,Products!$A:$F,4,FALSE)</f>
        <v>2214</v>
      </c>
      <c r="Q1634" s="35">
        <f t="shared" si="77"/>
        <v>0.39508196721311473</v>
      </c>
    </row>
    <row r="1635" spans="1:17">
      <c r="A1635" s="12" t="s">
        <v>2147</v>
      </c>
      <c r="B1635" s="13">
        <v>45420</v>
      </c>
      <c r="C1635" s="12" t="s">
        <v>655</v>
      </c>
      <c r="D1635" s="12" t="s">
        <v>243</v>
      </c>
      <c r="E1635" s="12" t="s">
        <v>124</v>
      </c>
      <c r="F1635" s="14">
        <v>3</v>
      </c>
      <c r="G1635" s="14">
        <v>3730</v>
      </c>
      <c r="H1635" s="14">
        <v>15.8</v>
      </c>
      <c r="I1635" s="14">
        <v>9421.98</v>
      </c>
      <c r="J1635" s="12" t="s">
        <v>104</v>
      </c>
      <c r="K1635" s="12" t="s">
        <v>116</v>
      </c>
      <c r="L1635" s="23" t="str">
        <f>VLOOKUP(D1635,Products!$A:$F,3,FALSE)</f>
        <v>Home</v>
      </c>
      <c r="M1635" s="23" t="str">
        <f>VLOOKUP(E1635,Sales_Reps!$A:$E,3,FALSE)</f>
        <v>North</v>
      </c>
      <c r="N1635" s="23" t="str">
        <f t="shared" si="75"/>
        <v>May-24</v>
      </c>
      <c r="O1635" s="23" t="str">
        <f t="shared" si="76"/>
        <v>Q2 2024</v>
      </c>
      <c r="P1635" s="23">
        <f>VLOOKUP(D1635,Products!$A:$F,4,FALSE)</f>
        <v>2135</v>
      </c>
      <c r="Q1635" s="35">
        <f t="shared" si="77"/>
        <v>0.42761394101876676</v>
      </c>
    </row>
    <row r="1636" spans="1:17">
      <c r="A1636" s="12" t="s">
        <v>2148</v>
      </c>
      <c r="B1636" s="13">
        <v>45347</v>
      </c>
      <c r="C1636" s="12" t="s">
        <v>568</v>
      </c>
      <c r="D1636" s="12" t="s">
        <v>281</v>
      </c>
      <c r="E1636" s="12" t="s">
        <v>156</v>
      </c>
      <c r="F1636" s="14">
        <v>6</v>
      </c>
      <c r="G1636" s="14">
        <v>4070</v>
      </c>
      <c r="H1636" s="14">
        <v>6.2</v>
      </c>
      <c r="I1636" s="14">
        <v>22905.96</v>
      </c>
      <c r="J1636" s="12" t="s">
        <v>104</v>
      </c>
      <c r="K1636" s="12" t="s">
        <v>129</v>
      </c>
      <c r="L1636" s="23" t="str">
        <f>VLOOKUP(D1636,Products!$A:$F,3,FALSE)</f>
        <v>Grocery</v>
      </c>
      <c r="M1636" s="23" t="str">
        <f>VLOOKUP(E1636,Sales_Reps!$A:$E,3,FALSE)</f>
        <v>North</v>
      </c>
      <c r="N1636" s="23" t="str">
        <f t="shared" si="75"/>
        <v>Feb-24</v>
      </c>
      <c r="O1636" s="23" t="str">
        <f t="shared" si="76"/>
        <v>Q1 2024</v>
      </c>
      <c r="P1636" s="23">
        <f>VLOOKUP(D1636,Products!$A:$F,4,FALSE)</f>
        <v>2027</v>
      </c>
      <c r="Q1636" s="35">
        <f t="shared" si="77"/>
        <v>0.50196560196560192</v>
      </c>
    </row>
    <row r="1637" spans="1:17">
      <c r="A1637" s="12" t="s">
        <v>2149</v>
      </c>
      <c r="B1637" s="13">
        <v>45329</v>
      </c>
      <c r="C1637" s="12" t="s">
        <v>634</v>
      </c>
      <c r="D1637" s="12" t="s">
        <v>296</v>
      </c>
      <c r="E1637" s="12" t="s">
        <v>302</v>
      </c>
      <c r="F1637" s="14">
        <v>1</v>
      </c>
      <c r="G1637" s="14">
        <v>2660</v>
      </c>
      <c r="H1637" s="14">
        <v>14.6</v>
      </c>
      <c r="I1637" s="14">
        <v>2271.64</v>
      </c>
      <c r="J1637" s="12" t="s">
        <v>104</v>
      </c>
      <c r="K1637" s="12" t="s">
        <v>129</v>
      </c>
      <c r="L1637" s="23" t="str">
        <f>VLOOKUP(D1637,Products!$A:$F,3,FALSE)</f>
        <v>Electronics</v>
      </c>
      <c r="M1637" s="23" t="str">
        <f>VLOOKUP(E1637,Sales_Reps!$A:$E,3,FALSE)</f>
        <v>East</v>
      </c>
      <c r="N1637" s="23" t="str">
        <f t="shared" si="75"/>
        <v>Feb-24</v>
      </c>
      <c r="O1637" s="23" t="str">
        <f t="shared" si="76"/>
        <v>Q1 2024</v>
      </c>
      <c r="P1637" s="23">
        <f>VLOOKUP(D1637,Products!$A:$F,4,FALSE)</f>
        <v>1259</v>
      </c>
      <c r="Q1637" s="35">
        <f t="shared" si="77"/>
        <v>0.52669172932330832</v>
      </c>
    </row>
    <row r="1638" spans="1:17">
      <c r="A1638" s="12" t="s">
        <v>2150</v>
      </c>
      <c r="B1638" s="13">
        <v>45378</v>
      </c>
      <c r="C1638" s="12" t="s">
        <v>167</v>
      </c>
      <c r="D1638" s="12" t="s">
        <v>312</v>
      </c>
      <c r="E1638" s="12" t="s">
        <v>165</v>
      </c>
      <c r="F1638" s="14">
        <v>3</v>
      </c>
      <c r="G1638" s="14">
        <v>2030</v>
      </c>
      <c r="H1638" s="14">
        <v>13.3</v>
      </c>
      <c r="I1638" s="14">
        <v>5280.03</v>
      </c>
      <c r="J1638" s="12" t="s">
        <v>157</v>
      </c>
      <c r="K1638" s="12" t="s">
        <v>105</v>
      </c>
      <c r="L1638" s="23" t="str">
        <f>VLOOKUP(D1638,Products!$A:$F,3,FALSE)</f>
        <v>Home</v>
      </c>
      <c r="M1638" s="23" t="str">
        <f>VLOOKUP(E1638,Sales_Reps!$A:$E,3,FALSE)</f>
        <v>North</v>
      </c>
      <c r="N1638" s="23" t="str">
        <f t="shared" si="75"/>
        <v>Mar-24</v>
      </c>
      <c r="O1638" s="23" t="str">
        <f t="shared" si="76"/>
        <v>Q1 2024</v>
      </c>
      <c r="P1638" s="23">
        <f>VLOOKUP(D1638,Products!$A:$F,4,FALSE)</f>
        <v>1143</v>
      </c>
      <c r="Q1638" s="35">
        <f t="shared" si="77"/>
        <v>0.43694581280788175</v>
      </c>
    </row>
    <row r="1639" spans="1:17">
      <c r="A1639" s="12" t="s">
        <v>2151</v>
      </c>
      <c r="B1639" s="13">
        <v>45393</v>
      </c>
      <c r="C1639" s="12" t="s">
        <v>345</v>
      </c>
      <c r="D1639" s="12" t="s">
        <v>119</v>
      </c>
      <c r="E1639" s="12" t="s">
        <v>232</v>
      </c>
      <c r="F1639" s="14">
        <v>4</v>
      </c>
      <c r="G1639" s="14">
        <v>3660</v>
      </c>
      <c r="H1639" s="14">
        <v>2.2000000000000002</v>
      </c>
      <c r="I1639" s="14">
        <v>14317.92</v>
      </c>
      <c r="J1639" s="12" t="s">
        <v>104</v>
      </c>
      <c r="K1639" s="12" t="s">
        <v>111</v>
      </c>
      <c r="L1639" s="23" t="str">
        <f>VLOOKUP(D1639,Products!$A:$F,3,FALSE)</f>
        <v>Grocery</v>
      </c>
      <c r="M1639" s="23" t="str">
        <f>VLOOKUP(E1639,Sales_Reps!$A:$E,3,FALSE)</f>
        <v>North</v>
      </c>
      <c r="N1639" s="23" t="str">
        <f t="shared" si="75"/>
        <v>Apr-24</v>
      </c>
      <c r="O1639" s="23" t="str">
        <f t="shared" si="76"/>
        <v>Q2 2024</v>
      </c>
      <c r="P1639" s="23">
        <f>VLOOKUP(D1639,Products!$A:$F,4,FALSE)</f>
        <v>2214</v>
      </c>
      <c r="Q1639" s="35">
        <f t="shared" si="77"/>
        <v>0.39508196721311473</v>
      </c>
    </row>
    <row r="1640" spans="1:17">
      <c r="A1640" s="12" t="s">
        <v>2152</v>
      </c>
      <c r="B1640" s="13">
        <v>45364</v>
      </c>
      <c r="C1640" s="12" t="s">
        <v>231</v>
      </c>
      <c r="D1640" s="12" t="s">
        <v>296</v>
      </c>
      <c r="E1640" s="12" t="s">
        <v>120</v>
      </c>
      <c r="F1640" s="14">
        <v>2</v>
      </c>
      <c r="G1640" s="14">
        <v>2660</v>
      </c>
      <c r="H1640" s="14">
        <v>7.2</v>
      </c>
      <c r="I1640" s="14">
        <v>4936.96</v>
      </c>
      <c r="J1640" s="12" t="s">
        <v>157</v>
      </c>
      <c r="K1640" s="12" t="s">
        <v>134</v>
      </c>
      <c r="L1640" s="23" t="str">
        <f>VLOOKUP(D1640,Products!$A:$F,3,FALSE)</f>
        <v>Electronics</v>
      </c>
      <c r="M1640" s="23" t="str">
        <f>VLOOKUP(E1640,Sales_Reps!$A:$E,3,FALSE)</f>
        <v>North</v>
      </c>
      <c r="N1640" s="23" t="str">
        <f t="shared" si="75"/>
        <v>Mar-24</v>
      </c>
      <c r="O1640" s="23" t="str">
        <f t="shared" si="76"/>
        <v>Q1 2024</v>
      </c>
      <c r="P1640" s="23">
        <f>VLOOKUP(D1640,Products!$A:$F,4,FALSE)</f>
        <v>1259</v>
      </c>
      <c r="Q1640" s="35">
        <f t="shared" si="77"/>
        <v>0.52669172932330832</v>
      </c>
    </row>
    <row r="1641" spans="1:17">
      <c r="A1641" s="12" t="s">
        <v>2153</v>
      </c>
      <c r="B1641" s="13">
        <v>45624</v>
      </c>
      <c r="C1641" s="12" t="s">
        <v>554</v>
      </c>
      <c r="D1641" s="12" t="s">
        <v>201</v>
      </c>
      <c r="E1641" s="12" t="s">
        <v>269</v>
      </c>
      <c r="F1641" s="14">
        <v>2</v>
      </c>
      <c r="G1641" s="14">
        <v>4880</v>
      </c>
      <c r="H1641" s="14">
        <v>23.8</v>
      </c>
      <c r="I1641" s="14">
        <v>7437.12</v>
      </c>
      <c r="J1641" s="12" t="s">
        <v>104</v>
      </c>
      <c r="K1641" s="12" t="s">
        <v>150</v>
      </c>
      <c r="L1641" s="23" t="str">
        <f>VLOOKUP(D1641,Products!$A:$F,3,FALSE)</f>
        <v>Beauty</v>
      </c>
      <c r="M1641" s="23" t="str">
        <f>VLOOKUP(E1641,Sales_Reps!$A:$E,3,FALSE)</f>
        <v>South</v>
      </c>
      <c r="N1641" s="23" t="str">
        <f t="shared" si="75"/>
        <v>Nov-24</v>
      </c>
      <c r="O1641" s="23" t="str">
        <f t="shared" si="76"/>
        <v>Q4 2024</v>
      </c>
      <c r="P1641" s="23">
        <f>VLOOKUP(D1641,Products!$A:$F,4,FALSE)</f>
        <v>2768</v>
      </c>
      <c r="Q1641" s="35">
        <f t="shared" si="77"/>
        <v>0.43278688524590164</v>
      </c>
    </row>
    <row r="1642" spans="1:17">
      <c r="A1642" s="12" t="s">
        <v>2154</v>
      </c>
      <c r="B1642" s="13">
        <v>45411</v>
      </c>
      <c r="C1642" s="12" t="s">
        <v>833</v>
      </c>
      <c r="D1642" s="12" t="s">
        <v>469</v>
      </c>
      <c r="E1642" s="12" t="s">
        <v>290</v>
      </c>
      <c r="F1642" s="14">
        <v>1</v>
      </c>
      <c r="G1642" s="14">
        <v>3450</v>
      </c>
      <c r="H1642" s="14">
        <v>1.7</v>
      </c>
      <c r="I1642" s="14">
        <v>3391.35</v>
      </c>
      <c r="J1642" s="12" t="s">
        <v>104</v>
      </c>
      <c r="K1642" s="12" t="s">
        <v>105</v>
      </c>
      <c r="L1642" s="23" t="str">
        <f>VLOOKUP(D1642,Products!$A:$F,3,FALSE)</f>
        <v>Apparel</v>
      </c>
      <c r="M1642" s="23" t="str">
        <f>VLOOKUP(E1642,Sales_Reps!$A:$E,3,FALSE)</f>
        <v>South</v>
      </c>
      <c r="N1642" s="23" t="str">
        <f t="shared" si="75"/>
        <v>Apr-24</v>
      </c>
      <c r="O1642" s="23" t="str">
        <f t="shared" si="76"/>
        <v>Q2 2024</v>
      </c>
      <c r="P1642" s="23">
        <f>VLOOKUP(D1642,Products!$A:$F,4,FALSE)</f>
        <v>1748</v>
      </c>
      <c r="Q1642" s="35">
        <f t="shared" si="77"/>
        <v>0.49333333333333335</v>
      </c>
    </row>
    <row r="1643" spans="1:17">
      <c r="A1643" s="12" t="s">
        <v>2155</v>
      </c>
      <c r="B1643" s="13">
        <v>45550</v>
      </c>
      <c r="C1643" s="12" t="s">
        <v>407</v>
      </c>
      <c r="D1643" s="12" t="s">
        <v>293</v>
      </c>
      <c r="E1643" s="12" t="s">
        <v>171</v>
      </c>
      <c r="F1643" s="14">
        <v>4</v>
      </c>
      <c r="G1643" s="14">
        <v>3020</v>
      </c>
      <c r="H1643" s="14">
        <v>17.8</v>
      </c>
      <c r="I1643" s="14">
        <v>9929.76</v>
      </c>
      <c r="J1643" s="12" t="s">
        <v>104</v>
      </c>
      <c r="K1643" s="12" t="s">
        <v>105</v>
      </c>
      <c r="L1643" s="23" t="str">
        <f>VLOOKUP(D1643,Products!$A:$F,3,FALSE)</f>
        <v>Beauty</v>
      </c>
      <c r="M1643" s="23" t="str">
        <f>VLOOKUP(E1643,Sales_Reps!$A:$E,3,FALSE)</f>
        <v>East</v>
      </c>
      <c r="N1643" s="23" t="str">
        <f t="shared" si="75"/>
        <v>Sep-24</v>
      </c>
      <c r="O1643" s="23" t="str">
        <f t="shared" si="76"/>
        <v>Q3 2024</v>
      </c>
      <c r="P1643" s="23">
        <f>VLOOKUP(D1643,Products!$A:$F,4,FALSE)</f>
        <v>1626</v>
      </c>
      <c r="Q1643" s="35">
        <f t="shared" si="77"/>
        <v>0.46158940397350995</v>
      </c>
    </row>
    <row r="1644" spans="1:17">
      <c r="A1644" s="12" t="s">
        <v>2156</v>
      </c>
      <c r="B1644" s="13">
        <v>45512</v>
      </c>
      <c r="C1644" s="12" t="s">
        <v>985</v>
      </c>
      <c r="D1644" s="12" t="s">
        <v>532</v>
      </c>
      <c r="E1644" s="12" t="s">
        <v>175</v>
      </c>
      <c r="F1644" s="14">
        <v>6</v>
      </c>
      <c r="G1644" s="14">
        <v>6940</v>
      </c>
      <c r="H1644" s="14">
        <v>8.9</v>
      </c>
      <c r="I1644" s="14">
        <v>37934.04</v>
      </c>
      <c r="J1644" s="12" t="s">
        <v>104</v>
      </c>
      <c r="K1644" s="12" t="s">
        <v>116</v>
      </c>
      <c r="L1644" s="23" t="str">
        <f>VLOOKUP(D1644,Products!$A:$F,3,FALSE)</f>
        <v>Sports</v>
      </c>
      <c r="M1644" s="23" t="str">
        <f>VLOOKUP(E1644,Sales_Reps!$A:$E,3,FALSE)</f>
        <v>East</v>
      </c>
      <c r="N1644" s="23" t="str">
        <f t="shared" si="75"/>
        <v>Aug-24</v>
      </c>
      <c r="O1644" s="23" t="str">
        <f t="shared" si="76"/>
        <v>Q3 2024</v>
      </c>
      <c r="P1644" s="23">
        <f>VLOOKUP(D1644,Products!$A:$F,4,FALSE)</f>
        <v>2827</v>
      </c>
      <c r="Q1644" s="35">
        <f t="shared" si="77"/>
        <v>0.5926512968299712</v>
      </c>
    </row>
    <row r="1645" spans="1:17">
      <c r="A1645" s="12" t="s">
        <v>2157</v>
      </c>
      <c r="B1645" s="13">
        <v>45523</v>
      </c>
      <c r="C1645" s="12" t="s">
        <v>439</v>
      </c>
      <c r="D1645" s="12" t="s">
        <v>217</v>
      </c>
      <c r="E1645" s="12" t="s">
        <v>171</v>
      </c>
      <c r="F1645" s="14">
        <v>10</v>
      </c>
      <c r="G1645" s="14">
        <v>2760</v>
      </c>
      <c r="H1645" s="14">
        <v>8.9</v>
      </c>
      <c r="I1645" s="14">
        <v>25143.599999999999</v>
      </c>
      <c r="J1645" s="12" t="s">
        <v>104</v>
      </c>
      <c r="K1645" s="12" t="s">
        <v>111</v>
      </c>
      <c r="L1645" s="23" t="str">
        <f>VLOOKUP(D1645,Products!$A:$F,3,FALSE)</f>
        <v>Grocery</v>
      </c>
      <c r="M1645" s="23" t="str">
        <f>VLOOKUP(E1645,Sales_Reps!$A:$E,3,FALSE)</f>
        <v>East</v>
      </c>
      <c r="N1645" s="23" t="str">
        <f t="shared" si="75"/>
        <v>Aug-24</v>
      </c>
      <c r="O1645" s="23" t="str">
        <f t="shared" si="76"/>
        <v>Q3 2024</v>
      </c>
      <c r="P1645" s="23">
        <f>VLOOKUP(D1645,Products!$A:$F,4,FALSE)</f>
        <v>1435</v>
      </c>
      <c r="Q1645" s="35">
        <f t="shared" si="77"/>
        <v>0.48007246376811596</v>
      </c>
    </row>
    <row r="1646" spans="1:17">
      <c r="A1646" s="12" t="s">
        <v>2158</v>
      </c>
      <c r="B1646" s="13">
        <v>45310</v>
      </c>
      <c r="C1646" s="12" t="s">
        <v>444</v>
      </c>
      <c r="D1646" s="12" t="s">
        <v>397</v>
      </c>
      <c r="E1646" s="12" t="s">
        <v>209</v>
      </c>
      <c r="F1646" s="14">
        <v>8</v>
      </c>
      <c r="G1646" s="14">
        <v>960</v>
      </c>
      <c r="H1646" s="14">
        <v>20.9</v>
      </c>
      <c r="I1646" s="14">
        <v>6074.88</v>
      </c>
      <c r="J1646" s="12" t="s">
        <v>104</v>
      </c>
      <c r="K1646" s="12" t="s">
        <v>105</v>
      </c>
      <c r="L1646" s="23" t="str">
        <f>VLOOKUP(D1646,Products!$A:$F,3,FALSE)</f>
        <v>Beauty</v>
      </c>
      <c r="M1646" s="23" t="str">
        <f>VLOOKUP(E1646,Sales_Reps!$A:$E,3,FALSE)</f>
        <v>East</v>
      </c>
      <c r="N1646" s="23" t="str">
        <f t="shared" si="75"/>
        <v>Jan-24</v>
      </c>
      <c r="O1646" s="23" t="str">
        <f t="shared" si="76"/>
        <v>Q1 2024</v>
      </c>
      <c r="P1646" s="23">
        <f>VLOOKUP(D1646,Products!$A:$F,4,FALSE)</f>
        <v>675</v>
      </c>
      <c r="Q1646" s="35">
        <f t="shared" si="77"/>
        <v>0.296875</v>
      </c>
    </row>
    <row r="1647" spans="1:17">
      <c r="A1647" s="12" t="s">
        <v>2159</v>
      </c>
      <c r="B1647" s="13">
        <v>45498</v>
      </c>
      <c r="C1647" s="12" t="s">
        <v>852</v>
      </c>
      <c r="D1647" s="12" t="s">
        <v>397</v>
      </c>
      <c r="E1647" s="12" t="s">
        <v>342</v>
      </c>
      <c r="F1647" s="14">
        <v>4</v>
      </c>
      <c r="G1647" s="14">
        <v>960</v>
      </c>
      <c r="H1647" s="14">
        <v>29.1</v>
      </c>
      <c r="I1647" s="14">
        <v>2722.56</v>
      </c>
      <c r="J1647" s="12" t="s">
        <v>104</v>
      </c>
      <c r="K1647" s="12" t="s">
        <v>134</v>
      </c>
      <c r="L1647" s="23" t="str">
        <f>VLOOKUP(D1647,Products!$A:$F,3,FALSE)</f>
        <v>Beauty</v>
      </c>
      <c r="M1647" s="23" t="str">
        <f>VLOOKUP(E1647,Sales_Reps!$A:$E,3,FALSE)</f>
        <v>South</v>
      </c>
      <c r="N1647" s="23" t="str">
        <f t="shared" si="75"/>
        <v>Jul-24</v>
      </c>
      <c r="O1647" s="23" t="str">
        <f t="shared" si="76"/>
        <v>Q3 2024</v>
      </c>
      <c r="P1647" s="23">
        <f>VLOOKUP(D1647,Products!$A:$F,4,FALSE)</f>
        <v>675</v>
      </c>
      <c r="Q1647" s="35">
        <f t="shared" si="77"/>
        <v>0.296875</v>
      </c>
    </row>
    <row r="1648" spans="1:17">
      <c r="A1648" s="12" t="s">
        <v>2160</v>
      </c>
      <c r="B1648" s="13">
        <v>45410</v>
      </c>
      <c r="C1648" s="12" t="s">
        <v>446</v>
      </c>
      <c r="D1648" s="12" t="s">
        <v>144</v>
      </c>
      <c r="E1648" s="12" t="s">
        <v>175</v>
      </c>
      <c r="F1648" s="14">
        <v>1</v>
      </c>
      <c r="G1648" s="14">
        <v>970</v>
      </c>
      <c r="H1648" s="14">
        <v>8.4</v>
      </c>
      <c r="I1648" s="14">
        <v>888.52</v>
      </c>
      <c r="J1648" s="12" t="s">
        <v>157</v>
      </c>
      <c r="K1648" s="12" t="s">
        <v>134</v>
      </c>
      <c r="L1648" s="23" t="str">
        <f>VLOOKUP(D1648,Products!$A:$F,3,FALSE)</f>
        <v>Grocery</v>
      </c>
      <c r="M1648" s="23" t="str">
        <f>VLOOKUP(E1648,Sales_Reps!$A:$E,3,FALSE)</f>
        <v>East</v>
      </c>
      <c r="N1648" s="23" t="str">
        <f t="shared" si="75"/>
        <v>Apr-24</v>
      </c>
      <c r="O1648" s="23" t="str">
        <f t="shared" si="76"/>
        <v>Q2 2024</v>
      </c>
      <c r="P1648" s="23">
        <f>VLOOKUP(D1648,Products!$A:$F,4,FALSE)</f>
        <v>434</v>
      </c>
      <c r="Q1648" s="35">
        <f t="shared" si="77"/>
        <v>0.5525773195876289</v>
      </c>
    </row>
    <row r="1649" spans="1:17">
      <c r="A1649" s="12" t="s">
        <v>2161</v>
      </c>
      <c r="B1649" s="13">
        <v>45400</v>
      </c>
      <c r="C1649" s="12" t="s">
        <v>891</v>
      </c>
      <c r="D1649" s="12" t="s">
        <v>258</v>
      </c>
      <c r="E1649" s="12" t="s">
        <v>171</v>
      </c>
      <c r="F1649" s="14">
        <v>5</v>
      </c>
      <c r="G1649" s="14">
        <v>6080</v>
      </c>
      <c r="H1649" s="14">
        <v>17.600000000000001</v>
      </c>
      <c r="I1649" s="14">
        <v>25049.599999999999</v>
      </c>
      <c r="J1649" s="12" t="s">
        <v>104</v>
      </c>
      <c r="K1649" s="12" t="s">
        <v>129</v>
      </c>
      <c r="L1649" s="23" t="str">
        <f>VLOOKUP(D1649,Products!$A:$F,3,FALSE)</f>
        <v>Beauty</v>
      </c>
      <c r="M1649" s="23" t="str">
        <f>VLOOKUP(E1649,Sales_Reps!$A:$E,3,FALSE)</f>
        <v>East</v>
      </c>
      <c r="N1649" s="23" t="str">
        <f t="shared" si="75"/>
        <v>Apr-24</v>
      </c>
      <c r="O1649" s="23" t="str">
        <f t="shared" si="76"/>
        <v>Q2 2024</v>
      </c>
      <c r="P1649" s="23">
        <f>VLOOKUP(D1649,Products!$A:$F,4,FALSE)</f>
        <v>2617</v>
      </c>
      <c r="Q1649" s="35">
        <f t="shared" si="77"/>
        <v>0.56957236842105263</v>
      </c>
    </row>
    <row r="1650" spans="1:17">
      <c r="A1650" s="12" t="s">
        <v>2162</v>
      </c>
      <c r="B1650" s="13">
        <v>45525</v>
      </c>
      <c r="C1650" s="12" t="s">
        <v>985</v>
      </c>
      <c r="D1650" s="12" t="s">
        <v>119</v>
      </c>
      <c r="E1650" s="12" t="s">
        <v>269</v>
      </c>
      <c r="F1650" s="14">
        <v>4</v>
      </c>
      <c r="G1650" s="14">
        <v>3660</v>
      </c>
      <c r="H1650" s="14">
        <v>21.8</v>
      </c>
      <c r="I1650" s="14">
        <v>11448.48</v>
      </c>
      <c r="J1650" s="12" t="s">
        <v>110</v>
      </c>
      <c r="K1650" s="12" t="s">
        <v>116</v>
      </c>
      <c r="L1650" s="23" t="str">
        <f>VLOOKUP(D1650,Products!$A:$F,3,FALSE)</f>
        <v>Grocery</v>
      </c>
      <c r="M1650" s="23" t="str">
        <f>VLOOKUP(E1650,Sales_Reps!$A:$E,3,FALSE)</f>
        <v>South</v>
      </c>
      <c r="N1650" s="23" t="str">
        <f t="shared" si="75"/>
        <v>Aug-24</v>
      </c>
      <c r="O1650" s="23" t="str">
        <f t="shared" si="76"/>
        <v>Q3 2024</v>
      </c>
      <c r="P1650" s="23">
        <f>VLOOKUP(D1650,Products!$A:$F,4,FALSE)</f>
        <v>2214</v>
      </c>
      <c r="Q1650" s="35">
        <f t="shared" si="77"/>
        <v>0.39508196721311473</v>
      </c>
    </row>
    <row r="1651" spans="1:17">
      <c r="A1651" s="12" t="s">
        <v>2163</v>
      </c>
      <c r="B1651" s="13">
        <v>45462</v>
      </c>
      <c r="C1651" s="12" t="s">
        <v>335</v>
      </c>
      <c r="D1651" s="12" t="s">
        <v>243</v>
      </c>
      <c r="E1651" s="12" t="s">
        <v>124</v>
      </c>
      <c r="F1651" s="14">
        <v>6</v>
      </c>
      <c r="G1651" s="14">
        <v>3730</v>
      </c>
      <c r="H1651" s="14">
        <v>13.3</v>
      </c>
      <c r="I1651" s="14">
        <v>19403.46</v>
      </c>
      <c r="J1651" s="12" t="s">
        <v>157</v>
      </c>
      <c r="K1651" s="12" t="s">
        <v>111</v>
      </c>
      <c r="L1651" s="23" t="str">
        <f>VLOOKUP(D1651,Products!$A:$F,3,FALSE)</f>
        <v>Home</v>
      </c>
      <c r="M1651" s="23" t="str">
        <f>VLOOKUP(E1651,Sales_Reps!$A:$E,3,FALSE)</f>
        <v>North</v>
      </c>
      <c r="N1651" s="23" t="str">
        <f t="shared" si="75"/>
        <v>Jun-24</v>
      </c>
      <c r="O1651" s="23" t="str">
        <f t="shared" si="76"/>
        <v>Q2 2024</v>
      </c>
      <c r="P1651" s="23">
        <f>VLOOKUP(D1651,Products!$A:$F,4,FALSE)</f>
        <v>2135</v>
      </c>
      <c r="Q1651" s="35">
        <f t="shared" si="77"/>
        <v>0.42761394101876676</v>
      </c>
    </row>
    <row r="1652" spans="1:17">
      <c r="A1652" s="12" t="s">
        <v>2164</v>
      </c>
      <c r="B1652" s="13">
        <v>45625</v>
      </c>
      <c r="C1652" s="12" t="s">
        <v>275</v>
      </c>
      <c r="D1652" s="12" t="s">
        <v>265</v>
      </c>
      <c r="E1652" s="12" t="s">
        <v>246</v>
      </c>
      <c r="F1652" s="14">
        <v>8</v>
      </c>
      <c r="G1652" s="14">
        <v>3870</v>
      </c>
      <c r="H1652" s="14">
        <v>21.2</v>
      </c>
      <c r="I1652" s="14">
        <v>24396.48</v>
      </c>
      <c r="J1652" s="12" t="s">
        <v>110</v>
      </c>
      <c r="K1652" s="12" t="s">
        <v>116</v>
      </c>
      <c r="L1652" s="23" t="str">
        <f>VLOOKUP(D1652,Products!$A:$F,3,FALSE)</f>
        <v>Electronics</v>
      </c>
      <c r="M1652" s="23" t="str">
        <f>VLOOKUP(E1652,Sales_Reps!$A:$E,3,FALSE)</f>
        <v>West</v>
      </c>
      <c r="N1652" s="23" t="str">
        <f t="shared" si="75"/>
        <v>Nov-24</v>
      </c>
      <c r="O1652" s="23" t="str">
        <f t="shared" si="76"/>
        <v>Q4 2024</v>
      </c>
      <c r="P1652" s="23">
        <f>VLOOKUP(D1652,Products!$A:$F,4,FALSE)</f>
        <v>1559</v>
      </c>
      <c r="Q1652" s="35">
        <f t="shared" si="77"/>
        <v>0.59715762273901807</v>
      </c>
    </row>
    <row r="1653" spans="1:17">
      <c r="A1653" s="12" t="s">
        <v>2165</v>
      </c>
      <c r="B1653" s="13">
        <v>45390</v>
      </c>
      <c r="C1653" s="12" t="s">
        <v>433</v>
      </c>
      <c r="D1653" s="12" t="s">
        <v>217</v>
      </c>
      <c r="E1653" s="12" t="s">
        <v>363</v>
      </c>
      <c r="F1653" s="14">
        <v>4</v>
      </c>
      <c r="G1653" s="14">
        <v>2760</v>
      </c>
      <c r="H1653" s="14">
        <v>14</v>
      </c>
      <c r="I1653" s="14">
        <v>9494.4</v>
      </c>
      <c r="J1653" s="12" t="s">
        <v>104</v>
      </c>
      <c r="K1653" s="12" t="s">
        <v>134</v>
      </c>
      <c r="L1653" s="23" t="str">
        <f>VLOOKUP(D1653,Products!$A:$F,3,FALSE)</f>
        <v>Grocery</v>
      </c>
      <c r="M1653" s="23" t="str">
        <f>VLOOKUP(E1653,Sales_Reps!$A:$E,3,FALSE)</f>
        <v>South</v>
      </c>
      <c r="N1653" s="23" t="str">
        <f t="shared" si="75"/>
        <v>Apr-24</v>
      </c>
      <c r="O1653" s="23" t="str">
        <f t="shared" si="76"/>
        <v>Q2 2024</v>
      </c>
      <c r="P1653" s="23">
        <f>VLOOKUP(D1653,Products!$A:$F,4,FALSE)</f>
        <v>1435</v>
      </c>
      <c r="Q1653" s="35">
        <f t="shared" si="77"/>
        <v>0.48007246376811596</v>
      </c>
    </row>
    <row r="1654" spans="1:17">
      <c r="A1654" s="12" t="s">
        <v>2166</v>
      </c>
      <c r="B1654" s="13">
        <v>45597</v>
      </c>
      <c r="C1654" s="12" t="s">
        <v>225</v>
      </c>
      <c r="D1654" s="12" t="s">
        <v>384</v>
      </c>
      <c r="E1654" s="12" t="s">
        <v>209</v>
      </c>
      <c r="F1654" s="14">
        <v>5</v>
      </c>
      <c r="G1654" s="14">
        <v>2380</v>
      </c>
      <c r="H1654" s="14">
        <v>16.399999999999999</v>
      </c>
      <c r="I1654" s="14">
        <v>9948.4</v>
      </c>
      <c r="J1654" s="12" t="s">
        <v>104</v>
      </c>
      <c r="K1654" s="12" t="s">
        <v>150</v>
      </c>
      <c r="L1654" s="23" t="str">
        <f>VLOOKUP(D1654,Products!$A:$F,3,FALSE)</f>
        <v>Grocery</v>
      </c>
      <c r="M1654" s="23" t="str">
        <f>VLOOKUP(E1654,Sales_Reps!$A:$E,3,FALSE)</f>
        <v>East</v>
      </c>
      <c r="N1654" s="23" t="str">
        <f t="shared" si="75"/>
        <v>Nov-24</v>
      </c>
      <c r="O1654" s="23" t="str">
        <f t="shared" si="76"/>
        <v>Q4 2024</v>
      </c>
      <c r="P1654" s="23">
        <f>VLOOKUP(D1654,Products!$A:$F,4,FALSE)</f>
        <v>1182</v>
      </c>
      <c r="Q1654" s="35">
        <f t="shared" si="77"/>
        <v>0.50336134453781511</v>
      </c>
    </row>
    <row r="1655" spans="1:17">
      <c r="A1655" s="12" t="s">
        <v>2167</v>
      </c>
      <c r="B1655" s="13">
        <v>45307</v>
      </c>
      <c r="C1655" s="12" t="s">
        <v>2168</v>
      </c>
      <c r="D1655" s="12" t="s">
        <v>258</v>
      </c>
      <c r="E1655" s="12" t="s">
        <v>205</v>
      </c>
      <c r="F1655" s="14">
        <v>2</v>
      </c>
      <c r="G1655" s="14">
        <v>6080</v>
      </c>
      <c r="H1655" s="14">
        <v>20.100000000000001</v>
      </c>
      <c r="I1655" s="14">
        <v>9715.84</v>
      </c>
      <c r="J1655" s="12" t="s">
        <v>157</v>
      </c>
      <c r="K1655" s="12" t="s">
        <v>129</v>
      </c>
      <c r="L1655" s="23" t="str">
        <f>VLOOKUP(D1655,Products!$A:$F,3,FALSE)</f>
        <v>Beauty</v>
      </c>
      <c r="M1655" s="23" t="str">
        <f>VLOOKUP(E1655,Sales_Reps!$A:$E,3,FALSE)</f>
        <v>South</v>
      </c>
      <c r="N1655" s="23" t="str">
        <f t="shared" si="75"/>
        <v>Jan-24</v>
      </c>
      <c r="O1655" s="23" t="str">
        <f t="shared" si="76"/>
        <v>Q1 2024</v>
      </c>
      <c r="P1655" s="23">
        <f>VLOOKUP(D1655,Products!$A:$F,4,FALSE)</f>
        <v>2617</v>
      </c>
      <c r="Q1655" s="35">
        <f t="shared" si="77"/>
        <v>0.56957236842105263</v>
      </c>
    </row>
    <row r="1656" spans="1:17">
      <c r="A1656" s="12" t="s">
        <v>2169</v>
      </c>
      <c r="B1656" s="13">
        <v>45568</v>
      </c>
      <c r="C1656" s="12" t="s">
        <v>556</v>
      </c>
      <c r="D1656" s="12" t="s">
        <v>309</v>
      </c>
      <c r="E1656" s="12" t="s">
        <v>363</v>
      </c>
      <c r="F1656" s="14">
        <v>2</v>
      </c>
      <c r="G1656" s="14">
        <v>620</v>
      </c>
      <c r="H1656" s="14">
        <v>4.3</v>
      </c>
      <c r="I1656" s="14">
        <v>1186.68</v>
      </c>
      <c r="J1656" s="12" t="s">
        <v>104</v>
      </c>
      <c r="K1656" s="12" t="s">
        <v>150</v>
      </c>
      <c r="L1656" s="23" t="str">
        <f>VLOOKUP(D1656,Products!$A:$F,3,FALSE)</f>
        <v>Apparel</v>
      </c>
      <c r="M1656" s="23" t="str">
        <f>VLOOKUP(E1656,Sales_Reps!$A:$E,3,FALSE)</f>
        <v>South</v>
      </c>
      <c r="N1656" s="23" t="str">
        <f t="shared" si="75"/>
        <v>Oct-24</v>
      </c>
      <c r="O1656" s="23" t="str">
        <f t="shared" si="76"/>
        <v>Q4 2024</v>
      </c>
      <c r="P1656" s="23">
        <f>VLOOKUP(D1656,Products!$A:$F,4,FALSE)</f>
        <v>396</v>
      </c>
      <c r="Q1656" s="35">
        <f t="shared" si="77"/>
        <v>0.36129032258064514</v>
      </c>
    </row>
    <row r="1657" spans="1:17">
      <c r="A1657" s="12" t="s">
        <v>2170</v>
      </c>
      <c r="B1657" s="13">
        <v>45654</v>
      </c>
      <c r="C1657" s="12" t="s">
        <v>489</v>
      </c>
      <c r="D1657" s="12" t="s">
        <v>265</v>
      </c>
      <c r="E1657" s="12" t="s">
        <v>342</v>
      </c>
      <c r="F1657" s="14">
        <v>7</v>
      </c>
      <c r="G1657" s="14">
        <v>3870</v>
      </c>
      <c r="H1657" s="14">
        <v>5.9</v>
      </c>
      <c r="I1657" s="14">
        <v>25491.69</v>
      </c>
      <c r="J1657" s="12" t="s">
        <v>104</v>
      </c>
      <c r="K1657" s="12" t="s">
        <v>111</v>
      </c>
      <c r="L1657" s="23" t="str">
        <f>VLOOKUP(D1657,Products!$A:$F,3,FALSE)</f>
        <v>Electronics</v>
      </c>
      <c r="M1657" s="23" t="str">
        <f>VLOOKUP(E1657,Sales_Reps!$A:$E,3,FALSE)</f>
        <v>South</v>
      </c>
      <c r="N1657" s="23" t="str">
        <f t="shared" si="75"/>
        <v>Dec-24</v>
      </c>
      <c r="O1657" s="23" t="str">
        <f t="shared" si="76"/>
        <v>Q4 2024</v>
      </c>
      <c r="P1657" s="23">
        <f>VLOOKUP(D1657,Products!$A:$F,4,FALSE)</f>
        <v>1559</v>
      </c>
      <c r="Q1657" s="35">
        <f t="shared" si="77"/>
        <v>0.59715762273901807</v>
      </c>
    </row>
    <row r="1658" spans="1:17">
      <c r="A1658" s="12" t="s">
        <v>2171</v>
      </c>
      <c r="B1658" s="13">
        <v>45412</v>
      </c>
      <c r="C1658" s="12" t="s">
        <v>1023</v>
      </c>
      <c r="D1658" s="12" t="s">
        <v>204</v>
      </c>
      <c r="E1658" s="12" t="s">
        <v>209</v>
      </c>
      <c r="F1658" s="14">
        <v>8</v>
      </c>
      <c r="G1658" s="14">
        <v>3570</v>
      </c>
      <c r="H1658" s="14">
        <v>24.6</v>
      </c>
      <c r="I1658" s="14">
        <v>21534.240000000002</v>
      </c>
      <c r="J1658" s="12" t="s">
        <v>104</v>
      </c>
      <c r="K1658" s="12" t="s">
        <v>134</v>
      </c>
      <c r="L1658" s="23" t="str">
        <f>VLOOKUP(D1658,Products!$A:$F,3,FALSE)</f>
        <v>Electronics</v>
      </c>
      <c r="M1658" s="23" t="str">
        <f>VLOOKUP(E1658,Sales_Reps!$A:$E,3,FALSE)</f>
        <v>East</v>
      </c>
      <c r="N1658" s="23" t="str">
        <f t="shared" si="75"/>
        <v>Apr-24</v>
      </c>
      <c r="O1658" s="23" t="str">
        <f t="shared" si="76"/>
        <v>Q2 2024</v>
      </c>
      <c r="P1658" s="23">
        <f>VLOOKUP(D1658,Products!$A:$F,4,FALSE)</f>
        <v>1665</v>
      </c>
      <c r="Q1658" s="35">
        <f t="shared" si="77"/>
        <v>0.53361344537815125</v>
      </c>
    </row>
    <row r="1659" spans="1:17">
      <c r="A1659" s="12" t="s">
        <v>2172</v>
      </c>
      <c r="B1659" s="13">
        <v>45653</v>
      </c>
      <c r="C1659" s="12" t="s">
        <v>264</v>
      </c>
      <c r="D1659" s="12" t="s">
        <v>281</v>
      </c>
      <c r="E1659" s="12" t="s">
        <v>149</v>
      </c>
      <c r="F1659" s="14">
        <v>1</v>
      </c>
      <c r="G1659" s="14">
        <v>4070</v>
      </c>
      <c r="H1659" s="14">
        <v>29.1</v>
      </c>
      <c r="I1659" s="14">
        <v>2885.63</v>
      </c>
      <c r="J1659" s="12" t="s">
        <v>110</v>
      </c>
      <c r="K1659" s="12" t="s">
        <v>134</v>
      </c>
      <c r="L1659" s="23" t="str">
        <f>VLOOKUP(D1659,Products!$A:$F,3,FALSE)</f>
        <v>Grocery</v>
      </c>
      <c r="M1659" s="23" t="str">
        <f>VLOOKUP(E1659,Sales_Reps!$A:$E,3,FALSE)</f>
        <v>South</v>
      </c>
      <c r="N1659" s="23" t="str">
        <f t="shared" si="75"/>
        <v>Dec-24</v>
      </c>
      <c r="O1659" s="23" t="str">
        <f t="shared" si="76"/>
        <v>Q4 2024</v>
      </c>
      <c r="P1659" s="23">
        <f>VLOOKUP(D1659,Products!$A:$F,4,FALSE)</f>
        <v>2027</v>
      </c>
      <c r="Q1659" s="35">
        <f t="shared" si="77"/>
        <v>0.50196560196560192</v>
      </c>
    </row>
    <row r="1660" spans="1:17">
      <c r="A1660" s="12" t="s">
        <v>2173</v>
      </c>
      <c r="B1660" s="13">
        <v>45568</v>
      </c>
      <c r="C1660" s="12" t="s">
        <v>527</v>
      </c>
      <c r="D1660" s="12" t="s">
        <v>108</v>
      </c>
      <c r="E1660" s="12" t="s">
        <v>255</v>
      </c>
      <c r="F1660" s="14">
        <v>1</v>
      </c>
      <c r="G1660" s="14">
        <v>820</v>
      </c>
      <c r="H1660" s="14">
        <v>17.899999999999999</v>
      </c>
      <c r="I1660" s="14">
        <v>673.22</v>
      </c>
      <c r="J1660" s="12" t="s">
        <v>104</v>
      </c>
      <c r="K1660" s="12" t="s">
        <v>134</v>
      </c>
      <c r="L1660" s="23" t="str">
        <f>VLOOKUP(D1660,Products!$A:$F,3,FALSE)</f>
        <v>Apparel</v>
      </c>
      <c r="M1660" s="23" t="str">
        <f>VLOOKUP(E1660,Sales_Reps!$A:$E,3,FALSE)</f>
        <v>East</v>
      </c>
      <c r="N1660" s="23" t="str">
        <f t="shared" si="75"/>
        <v>Oct-24</v>
      </c>
      <c r="O1660" s="23" t="str">
        <f t="shared" si="76"/>
        <v>Q4 2024</v>
      </c>
      <c r="P1660" s="23">
        <f>VLOOKUP(D1660,Products!$A:$F,4,FALSE)</f>
        <v>391</v>
      </c>
      <c r="Q1660" s="35">
        <f t="shared" si="77"/>
        <v>0.52317073170731709</v>
      </c>
    </row>
    <row r="1661" spans="1:17">
      <c r="A1661" s="12" t="s">
        <v>2174</v>
      </c>
      <c r="B1661" s="13">
        <v>45643</v>
      </c>
      <c r="C1661" s="12" t="s">
        <v>316</v>
      </c>
      <c r="D1661" s="12" t="s">
        <v>293</v>
      </c>
      <c r="E1661" s="12" t="s">
        <v>246</v>
      </c>
      <c r="F1661" s="14">
        <v>5</v>
      </c>
      <c r="G1661" s="14">
        <v>3020</v>
      </c>
      <c r="H1661" s="14">
        <v>26.2</v>
      </c>
      <c r="I1661" s="14">
        <v>11143.8</v>
      </c>
      <c r="J1661" s="12" t="s">
        <v>104</v>
      </c>
      <c r="K1661" s="12" t="s">
        <v>150</v>
      </c>
      <c r="L1661" s="23" t="str">
        <f>VLOOKUP(D1661,Products!$A:$F,3,FALSE)</f>
        <v>Beauty</v>
      </c>
      <c r="M1661" s="23" t="str">
        <f>VLOOKUP(E1661,Sales_Reps!$A:$E,3,FALSE)</f>
        <v>West</v>
      </c>
      <c r="N1661" s="23" t="str">
        <f t="shared" si="75"/>
        <v>Dec-24</v>
      </c>
      <c r="O1661" s="23" t="str">
        <f t="shared" si="76"/>
        <v>Q4 2024</v>
      </c>
      <c r="P1661" s="23">
        <f>VLOOKUP(D1661,Products!$A:$F,4,FALSE)</f>
        <v>1626</v>
      </c>
      <c r="Q1661" s="35">
        <f t="shared" si="77"/>
        <v>0.46158940397350995</v>
      </c>
    </row>
    <row r="1662" spans="1:17">
      <c r="A1662" s="12" t="s">
        <v>2175</v>
      </c>
      <c r="B1662" s="13">
        <v>45411</v>
      </c>
      <c r="C1662" s="12" t="s">
        <v>645</v>
      </c>
      <c r="D1662" s="12" t="s">
        <v>676</v>
      </c>
      <c r="E1662" s="12" t="s">
        <v>302</v>
      </c>
      <c r="F1662" s="14">
        <v>10</v>
      </c>
      <c r="G1662" s="14">
        <v>3560</v>
      </c>
      <c r="H1662" s="14">
        <v>15.4</v>
      </c>
      <c r="I1662" s="14">
        <v>30117.599999999999</v>
      </c>
      <c r="J1662" s="12" t="s">
        <v>161</v>
      </c>
      <c r="K1662" s="12" t="s">
        <v>150</v>
      </c>
      <c r="L1662" s="23" t="str">
        <f>VLOOKUP(D1662,Products!$A:$F,3,FALSE)</f>
        <v>Apparel</v>
      </c>
      <c r="M1662" s="23" t="str">
        <f>VLOOKUP(E1662,Sales_Reps!$A:$E,3,FALSE)</f>
        <v>East</v>
      </c>
      <c r="N1662" s="23" t="str">
        <f t="shared" si="75"/>
        <v>Apr-24</v>
      </c>
      <c r="O1662" s="23" t="str">
        <f t="shared" si="76"/>
        <v>Q2 2024</v>
      </c>
      <c r="P1662" s="23">
        <f>VLOOKUP(D1662,Products!$A:$F,4,FALSE)</f>
        <v>2629</v>
      </c>
      <c r="Q1662" s="35">
        <f t="shared" si="77"/>
        <v>0.26151685393258428</v>
      </c>
    </row>
    <row r="1663" spans="1:17">
      <c r="A1663" s="12" t="s">
        <v>1475</v>
      </c>
      <c r="B1663" s="13">
        <v>45467</v>
      </c>
      <c r="C1663" s="12" t="s">
        <v>295</v>
      </c>
      <c r="D1663" s="12" t="s">
        <v>196</v>
      </c>
      <c r="E1663" s="12" t="s">
        <v>232</v>
      </c>
      <c r="F1663" s="14">
        <v>3</v>
      </c>
      <c r="G1663" s="14">
        <v>3350</v>
      </c>
      <c r="H1663" s="14">
        <v>8.1</v>
      </c>
      <c r="I1663" s="14">
        <v>9235.9500000000007</v>
      </c>
      <c r="J1663" s="12" t="s">
        <v>104</v>
      </c>
      <c r="K1663" s="12" t="s">
        <v>150</v>
      </c>
      <c r="L1663" s="23" t="str">
        <f>VLOOKUP(D1663,Products!$A:$F,3,FALSE)</f>
        <v>Beauty</v>
      </c>
      <c r="M1663" s="23" t="str">
        <f>VLOOKUP(E1663,Sales_Reps!$A:$E,3,FALSE)</f>
        <v>North</v>
      </c>
      <c r="N1663" s="23" t="str">
        <f t="shared" si="75"/>
        <v>Jun-24</v>
      </c>
      <c r="O1663" s="23" t="str">
        <f t="shared" si="76"/>
        <v>Q2 2024</v>
      </c>
      <c r="P1663" s="23">
        <f>VLOOKUP(D1663,Products!$A:$F,4,FALSE)</f>
        <v>1728</v>
      </c>
      <c r="Q1663" s="35">
        <f t="shared" si="77"/>
        <v>0.48417910447761192</v>
      </c>
    </row>
    <row r="1664" spans="1:17">
      <c r="A1664" s="12" t="s">
        <v>2176</v>
      </c>
      <c r="B1664" s="13">
        <v>45542</v>
      </c>
      <c r="C1664" s="12" t="s">
        <v>737</v>
      </c>
      <c r="D1664" s="12" t="s">
        <v>403</v>
      </c>
      <c r="E1664" s="12" t="s">
        <v>128</v>
      </c>
      <c r="F1664" s="14">
        <v>10</v>
      </c>
      <c r="G1664" s="14">
        <v>2290</v>
      </c>
      <c r="H1664" s="14">
        <v>7</v>
      </c>
      <c r="I1664" s="14">
        <v>21297</v>
      </c>
      <c r="J1664" s="12" t="s">
        <v>104</v>
      </c>
      <c r="K1664" s="12" t="s">
        <v>105</v>
      </c>
      <c r="L1664" s="23" t="str">
        <f>VLOOKUP(D1664,Products!$A:$F,3,FALSE)</f>
        <v>Beauty</v>
      </c>
      <c r="M1664" s="23" t="str">
        <f>VLOOKUP(E1664,Sales_Reps!$A:$E,3,FALSE)</f>
        <v>West</v>
      </c>
      <c r="N1664" s="23" t="str">
        <f t="shared" si="75"/>
        <v>Sep-24</v>
      </c>
      <c r="O1664" s="23" t="str">
        <f t="shared" si="76"/>
        <v>Q3 2024</v>
      </c>
      <c r="P1664" s="23">
        <f>VLOOKUP(D1664,Products!$A:$F,4,FALSE)</f>
        <v>1219</v>
      </c>
      <c r="Q1664" s="35">
        <f t="shared" si="77"/>
        <v>0.46768558951965067</v>
      </c>
    </row>
    <row r="1665" spans="1:17">
      <c r="A1665" s="12" t="s">
        <v>2177</v>
      </c>
      <c r="B1665" s="13">
        <v>45483</v>
      </c>
      <c r="C1665" s="12" t="s">
        <v>428</v>
      </c>
      <c r="D1665" s="12" t="s">
        <v>119</v>
      </c>
      <c r="E1665" s="12" t="s">
        <v>165</v>
      </c>
      <c r="F1665" s="14">
        <v>6</v>
      </c>
      <c r="G1665" s="14">
        <v>3660</v>
      </c>
      <c r="H1665" s="14">
        <v>29.9</v>
      </c>
      <c r="I1665" s="14">
        <v>15393.96</v>
      </c>
      <c r="J1665" s="12" t="s">
        <v>104</v>
      </c>
      <c r="K1665" s="12" t="s">
        <v>129</v>
      </c>
      <c r="L1665" s="23" t="str">
        <f>VLOOKUP(D1665,Products!$A:$F,3,FALSE)</f>
        <v>Grocery</v>
      </c>
      <c r="M1665" s="23" t="str">
        <f>VLOOKUP(E1665,Sales_Reps!$A:$E,3,FALSE)</f>
        <v>North</v>
      </c>
      <c r="N1665" s="23" t="str">
        <f t="shared" si="75"/>
        <v>Jul-24</v>
      </c>
      <c r="O1665" s="23" t="str">
        <f t="shared" si="76"/>
        <v>Q3 2024</v>
      </c>
      <c r="P1665" s="23">
        <f>VLOOKUP(D1665,Products!$A:$F,4,FALSE)</f>
        <v>2214</v>
      </c>
      <c r="Q1665" s="35">
        <f t="shared" si="77"/>
        <v>0.39508196721311473</v>
      </c>
    </row>
    <row r="1666" spans="1:17">
      <c r="A1666" s="12" t="s">
        <v>2178</v>
      </c>
      <c r="B1666" s="13">
        <v>45426</v>
      </c>
      <c r="C1666" s="12" t="s">
        <v>541</v>
      </c>
      <c r="D1666" s="12" t="s">
        <v>152</v>
      </c>
      <c r="E1666" s="12" t="s">
        <v>269</v>
      </c>
      <c r="F1666" s="14">
        <v>8</v>
      </c>
      <c r="G1666" s="14">
        <v>2640</v>
      </c>
      <c r="H1666" s="14">
        <v>4.2</v>
      </c>
      <c r="I1666" s="14">
        <v>20232.96</v>
      </c>
      <c r="J1666" s="12" t="s">
        <v>161</v>
      </c>
      <c r="K1666" s="12" t="s">
        <v>129</v>
      </c>
      <c r="L1666" s="23" t="str">
        <f>VLOOKUP(D1666,Products!$A:$F,3,FALSE)</f>
        <v>Electronics</v>
      </c>
      <c r="M1666" s="23" t="str">
        <f>VLOOKUP(E1666,Sales_Reps!$A:$E,3,FALSE)</f>
        <v>South</v>
      </c>
      <c r="N1666" s="23" t="str">
        <f t="shared" si="75"/>
        <v>May-24</v>
      </c>
      <c r="O1666" s="23" t="str">
        <f t="shared" si="76"/>
        <v>Q2 2024</v>
      </c>
      <c r="P1666" s="23">
        <f>VLOOKUP(D1666,Products!$A:$F,4,FALSE)</f>
        <v>1149</v>
      </c>
      <c r="Q1666" s="35">
        <f t="shared" si="77"/>
        <v>0.56477272727272732</v>
      </c>
    </row>
    <row r="1667" spans="1:17">
      <c r="A1667" s="12" t="s">
        <v>2179</v>
      </c>
      <c r="B1667" s="13">
        <v>45386</v>
      </c>
      <c r="C1667" s="12" t="s">
        <v>167</v>
      </c>
      <c r="D1667" s="12" t="s">
        <v>127</v>
      </c>
      <c r="E1667" s="12" t="s">
        <v>120</v>
      </c>
      <c r="F1667" s="14">
        <v>5</v>
      </c>
      <c r="G1667" s="14">
        <v>370</v>
      </c>
      <c r="H1667" s="14">
        <v>6</v>
      </c>
      <c r="I1667" s="14">
        <v>1739</v>
      </c>
      <c r="J1667" s="12" t="s">
        <v>104</v>
      </c>
      <c r="K1667" s="12" t="s">
        <v>105</v>
      </c>
      <c r="L1667" s="23" t="str">
        <f>VLOOKUP(D1667,Products!$A:$F,3,FALSE)</f>
        <v>Home</v>
      </c>
      <c r="M1667" s="23" t="str">
        <f>VLOOKUP(E1667,Sales_Reps!$A:$E,3,FALSE)</f>
        <v>North</v>
      </c>
      <c r="N1667" s="23" t="str">
        <f t="shared" ref="N1667:N1730" si="78">TEXT(B1667, "mmm-yy")</f>
        <v>Apr-24</v>
      </c>
      <c r="O1667" s="23" t="str">
        <f t="shared" ref="O1667:O1730" si="79">"Q" &amp; INT((MONTH(B1667)-1)/3)+1 &amp; " " &amp; YEAR(B1667)</f>
        <v>Q2 2024</v>
      </c>
      <c r="P1667" s="23">
        <f>VLOOKUP(D1667,Products!$A:$F,4,FALSE)</f>
        <v>288</v>
      </c>
      <c r="Q1667" s="35">
        <f t="shared" ref="Q1667:Q1730" si="80">(G1667 - P1667) / G1667</f>
        <v>0.22162162162162163</v>
      </c>
    </row>
    <row r="1668" spans="1:17">
      <c r="A1668" s="12" t="s">
        <v>2180</v>
      </c>
      <c r="B1668" s="13">
        <v>45377</v>
      </c>
      <c r="C1668" s="12" t="s">
        <v>1082</v>
      </c>
      <c r="D1668" s="12" t="s">
        <v>148</v>
      </c>
      <c r="E1668" s="12" t="s">
        <v>103</v>
      </c>
      <c r="F1668" s="14">
        <v>9</v>
      </c>
      <c r="G1668" s="14">
        <v>2270</v>
      </c>
      <c r="H1668" s="14">
        <v>4.7</v>
      </c>
      <c r="I1668" s="14">
        <v>19469.79</v>
      </c>
      <c r="J1668" s="12" t="s">
        <v>104</v>
      </c>
      <c r="K1668" s="12" t="s">
        <v>111</v>
      </c>
      <c r="L1668" s="23" t="str">
        <f>VLOOKUP(D1668,Products!$A:$F,3,FALSE)</f>
        <v>Grocery</v>
      </c>
      <c r="M1668" s="23" t="str">
        <f>VLOOKUP(E1668,Sales_Reps!$A:$E,3,FALSE)</f>
        <v>North</v>
      </c>
      <c r="N1668" s="23" t="str">
        <f t="shared" si="78"/>
        <v>Mar-24</v>
      </c>
      <c r="O1668" s="23" t="str">
        <f t="shared" si="79"/>
        <v>Q1 2024</v>
      </c>
      <c r="P1668" s="23">
        <f>VLOOKUP(D1668,Products!$A:$F,4,FALSE)</f>
        <v>1203</v>
      </c>
      <c r="Q1668" s="35">
        <f t="shared" si="80"/>
        <v>0.47004405286343615</v>
      </c>
    </row>
    <row r="1669" spans="1:17">
      <c r="A1669" s="12" t="s">
        <v>2181</v>
      </c>
      <c r="B1669" s="13">
        <v>45414</v>
      </c>
      <c r="C1669" s="12" t="s">
        <v>854</v>
      </c>
      <c r="D1669" s="12" t="s">
        <v>220</v>
      </c>
      <c r="E1669" s="12" t="s">
        <v>290</v>
      </c>
      <c r="F1669" s="14">
        <v>5</v>
      </c>
      <c r="G1669" s="14">
        <v>660</v>
      </c>
      <c r="H1669" s="14">
        <v>21</v>
      </c>
      <c r="I1669" s="14">
        <v>2607</v>
      </c>
      <c r="J1669" s="12" t="s">
        <v>104</v>
      </c>
      <c r="K1669" s="12" t="s">
        <v>134</v>
      </c>
      <c r="L1669" s="23" t="str">
        <f>VLOOKUP(D1669,Products!$A:$F,3,FALSE)</f>
        <v>Home</v>
      </c>
      <c r="M1669" s="23" t="str">
        <f>VLOOKUP(E1669,Sales_Reps!$A:$E,3,FALSE)</f>
        <v>South</v>
      </c>
      <c r="N1669" s="23" t="str">
        <f t="shared" si="78"/>
        <v>May-24</v>
      </c>
      <c r="O1669" s="23" t="str">
        <f t="shared" si="79"/>
        <v>Q2 2024</v>
      </c>
      <c r="P1669" s="23">
        <f>VLOOKUP(D1669,Products!$A:$F,4,FALSE)</f>
        <v>329</v>
      </c>
      <c r="Q1669" s="35">
        <f t="shared" si="80"/>
        <v>0.50151515151515147</v>
      </c>
    </row>
    <row r="1670" spans="1:17">
      <c r="A1670" s="12" t="s">
        <v>2182</v>
      </c>
      <c r="B1670" s="13">
        <v>45407</v>
      </c>
      <c r="C1670" s="12" t="s">
        <v>2183</v>
      </c>
      <c r="D1670" s="12" t="s">
        <v>132</v>
      </c>
      <c r="E1670" s="12" t="s">
        <v>165</v>
      </c>
      <c r="F1670" s="14">
        <v>2</v>
      </c>
      <c r="G1670" s="14">
        <v>960</v>
      </c>
      <c r="H1670" s="14">
        <v>7.3</v>
      </c>
      <c r="I1670" s="14">
        <v>1779.84</v>
      </c>
      <c r="J1670" s="12" t="s">
        <v>104</v>
      </c>
      <c r="K1670" s="12" t="s">
        <v>134</v>
      </c>
      <c r="L1670" s="23" t="str">
        <f>VLOOKUP(D1670,Products!$A:$F,3,FALSE)</f>
        <v>Sports</v>
      </c>
      <c r="M1670" s="23" t="str">
        <f>VLOOKUP(E1670,Sales_Reps!$A:$E,3,FALSE)</f>
        <v>North</v>
      </c>
      <c r="N1670" s="23" t="str">
        <f t="shared" si="78"/>
        <v>Apr-24</v>
      </c>
      <c r="O1670" s="23" t="str">
        <f t="shared" si="79"/>
        <v>Q2 2024</v>
      </c>
      <c r="P1670" s="23">
        <f>VLOOKUP(D1670,Products!$A:$F,4,FALSE)</f>
        <v>705</v>
      </c>
      <c r="Q1670" s="35">
        <f t="shared" si="80"/>
        <v>0.265625</v>
      </c>
    </row>
    <row r="1671" spans="1:17">
      <c r="A1671" s="12" t="s">
        <v>2184</v>
      </c>
      <c r="B1671" s="13">
        <v>45509</v>
      </c>
      <c r="C1671" s="12" t="s">
        <v>183</v>
      </c>
      <c r="D1671" s="12" t="s">
        <v>208</v>
      </c>
      <c r="E1671" s="12" t="s">
        <v>221</v>
      </c>
      <c r="F1671" s="14">
        <v>3</v>
      </c>
      <c r="G1671" s="14">
        <v>5100</v>
      </c>
      <c r="H1671" s="14">
        <v>21</v>
      </c>
      <c r="I1671" s="14">
        <v>12087</v>
      </c>
      <c r="J1671" s="12" t="s">
        <v>104</v>
      </c>
      <c r="K1671" s="12" t="s">
        <v>150</v>
      </c>
      <c r="L1671" s="23" t="str">
        <f>VLOOKUP(D1671,Products!$A:$F,3,FALSE)</f>
        <v>Beauty</v>
      </c>
      <c r="M1671" s="23" t="str">
        <f>VLOOKUP(E1671,Sales_Reps!$A:$E,3,FALSE)</f>
        <v>South</v>
      </c>
      <c r="N1671" s="23" t="str">
        <f t="shared" si="78"/>
        <v>Aug-24</v>
      </c>
      <c r="O1671" s="23" t="str">
        <f t="shared" si="79"/>
        <v>Q3 2024</v>
      </c>
      <c r="P1671" s="23">
        <f>VLOOKUP(D1671,Products!$A:$F,4,FALSE)</f>
        <v>2237</v>
      </c>
      <c r="Q1671" s="35">
        <f t="shared" si="80"/>
        <v>0.56137254901960787</v>
      </c>
    </row>
    <row r="1672" spans="1:17">
      <c r="A1672" s="12" t="s">
        <v>2185</v>
      </c>
      <c r="B1672" s="13">
        <v>45566</v>
      </c>
      <c r="C1672" s="12" t="s">
        <v>298</v>
      </c>
      <c r="D1672" s="12" t="s">
        <v>123</v>
      </c>
      <c r="E1672" s="12" t="s">
        <v>156</v>
      </c>
      <c r="F1672" s="14">
        <v>3</v>
      </c>
      <c r="G1672" s="14">
        <v>3160</v>
      </c>
      <c r="H1672" s="14">
        <v>13.5</v>
      </c>
      <c r="I1672" s="14">
        <v>8200.2000000000007</v>
      </c>
      <c r="J1672" s="12" t="s">
        <v>104</v>
      </c>
      <c r="K1672" s="12" t="s">
        <v>105</v>
      </c>
      <c r="L1672" s="23" t="str">
        <f>VLOOKUP(D1672,Products!$A:$F,3,FALSE)</f>
        <v>Apparel</v>
      </c>
      <c r="M1672" s="23" t="str">
        <f>VLOOKUP(E1672,Sales_Reps!$A:$E,3,FALSE)</f>
        <v>North</v>
      </c>
      <c r="N1672" s="23" t="str">
        <f t="shared" si="78"/>
        <v>Oct-24</v>
      </c>
      <c r="O1672" s="23" t="str">
        <f t="shared" si="79"/>
        <v>Q4 2024</v>
      </c>
      <c r="P1672" s="23">
        <f>VLOOKUP(D1672,Products!$A:$F,4,FALSE)</f>
        <v>1886</v>
      </c>
      <c r="Q1672" s="35">
        <f t="shared" si="80"/>
        <v>0.4031645569620253</v>
      </c>
    </row>
    <row r="1673" spans="1:17">
      <c r="A1673" s="12" t="s">
        <v>2186</v>
      </c>
      <c r="B1673" s="13">
        <v>45524</v>
      </c>
      <c r="C1673" s="12" t="s">
        <v>2187</v>
      </c>
      <c r="D1673" s="12" t="s">
        <v>276</v>
      </c>
      <c r="E1673" s="12" t="s">
        <v>109</v>
      </c>
      <c r="F1673" s="14">
        <v>9</v>
      </c>
      <c r="G1673" s="14">
        <v>1540</v>
      </c>
      <c r="H1673" s="14">
        <v>18.2</v>
      </c>
      <c r="I1673" s="14">
        <v>11337.48</v>
      </c>
      <c r="J1673" s="12" t="s">
        <v>157</v>
      </c>
      <c r="K1673" s="12" t="s">
        <v>134</v>
      </c>
      <c r="L1673" s="23" t="str">
        <f>VLOOKUP(D1673,Products!$A:$F,3,FALSE)</f>
        <v>Beauty</v>
      </c>
      <c r="M1673" s="23" t="str">
        <f>VLOOKUP(E1673,Sales_Reps!$A:$E,3,FALSE)</f>
        <v>North</v>
      </c>
      <c r="N1673" s="23" t="str">
        <f t="shared" si="78"/>
        <v>Aug-24</v>
      </c>
      <c r="O1673" s="23" t="str">
        <f t="shared" si="79"/>
        <v>Q3 2024</v>
      </c>
      <c r="P1673" s="23">
        <f>VLOOKUP(D1673,Products!$A:$F,4,FALSE)</f>
        <v>647</v>
      </c>
      <c r="Q1673" s="35">
        <f t="shared" si="80"/>
        <v>0.57987012987012987</v>
      </c>
    </row>
    <row r="1674" spans="1:17">
      <c r="A1674" s="12" t="s">
        <v>2188</v>
      </c>
      <c r="B1674" s="13">
        <v>45431</v>
      </c>
      <c r="C1674" s="12" t="s">
        <v>170</v>
      </c>
      <c r="D1674" s="12" t="s">
        <v>174</v>
      </c>
      <c r="E1674" s="12" t="s">
        <v>133</v>
      </c>
      <c r="F1674" s="14">
        <v>4</v>
      </c>
      <c r="G1674" s="14">
        <v>3450</v>
      </c>
      <c r="H1674" s="14">
        <v>26.4</v>
      </c>
      <c r="I1674" s="14">
        <v>10156.799999999999</v>
      </c>
      <c r="J1674" s="12" t="s">
        <v>110</v>
      </c>
      <c r="K1674" s="12" t="s">
        <v>134</v>
      </c>
      <c r="L1674" s="23" t="str">
        <f>VLOOKUP(D1674,Products!$A:$F,3,FALSE)</f>
        <v>Beauty</v>
      </c>
      <c r="M1674" s="23" t="str">
        <f>VLOOKUP(E1674,Sales_Reps!$A:$E,3,FALSE)</f>
        <v>West</v>
      </c>
      <c r="N1674" s="23" t="str">
        <f t="shared" si="78"/>
        <v>May-24</v>
      </c>
      <c r="O1674" s="23" t="str">
        <f t="shared" si="79"/>
        <v>Q2 2024</v>
      </c>
      <c r="P1674" s="23">
        <f>VLOOKUP(D1674,Products!$A:$F,4,FALSE)</f>
        <v>2420</v>
      </c>
      <c r="Q1674" s="35">
        <f t="shared" si="80"/>
        <v>0.29855072463768118</v>
      </c>
    </row>
    <row r="1675" spans="1:17">
      <c r="A1675" s="12" t="s">
        <v>2189</v>
      </c>
      <c r="B1675" s="13">
        <v>45598</v>
      </c>
      <c r="C1675" s="12" t="s">
        <v>428</v>
      </c>
      <c r="D1675" s="12" t="s">
        <v>384</v>
      </c>
      <c r="E1675" s="12" t="s">
        <v>218</v>
      </c>
      <c r="F1675" s="14">
        <v>4</v>
      </c>
      <c r="G1675" s="14">
        <v>2380</v>
      </c>
      <c r="H1675" s="14">
        <v>6.9</v>
      </c>
      <c r="I1675" s="14">
        <v>8863.1200000000008</v>
      </c>
      <c r="J1675" s="12" t="s">
        <v>104</v>
      </c>
      <c r="K1675" s="12" t="s">
        <v>129</v>
      </c>
      <c r="L1675" s="23" t="str">
        <f>VLOOKUP(D1675,Products!$A:$F,3,FALSE)</f>
        <v>Grocery</v>
      </c>
      <c r="M1675" s="23" t="str">
        <f>VLOOKUP(E1675,Sales_Reps!$A:$E,3,FALSE)</f>
        <v>West</v>
      </c>
      <c r="N1675" s="23" t="str">
        <f t="shared" si="78"/>
        <v>Nov-24</v>
      </c>
      <c r="O1675" s="23" t="str">
        <f t="shared" si="79"/>
        <v>Q4 2024</v>
      </c>
      <c r="P1675" s="23">
        <f>VLOOKUP(D1675,Products!$A:$F,4,FALSE)</f>
        <v>1182</v>
      </c>
      <c r="Q1675" s="35">
        <f t="shared" si="80"/>
        <v>0.50336134453781511</v>
      </c>
    </row>
    <row r="1676" spans="1:17">
      <c r="A1676" s="12" t="s">
        <v>2190</v>
      </c>
      <c r="B1676" s="13">
        <v>45419</v>
      </c>
      <c r="C1676" s="12" t="s">
        <v>298</v>
      </c>
      <c r="D1676" s="12" t="s">
        <v>243</v>
      </c>
      <c r="E1676" s="12" t="s">
        <v>165</v>
      </c>
      <c r="F1676" s="14">
        <v>2</v>
      </c>
      <c r="G1676" s="14">
        <v>3730</v>
      </c>
      <c r="H1676" s="14">
        <v>22.9</v>
      </c>
      <c r="I1676" s="14">
        <v>5751.66</v>
      </c>
      <c r="J1676" s="12" t="s">
        <v>104</v>
      </c>
      <c r="K1676" s="12" t="s">
        <v>105</v>
      </c>
      <c r="L1676" s="23" t="str">
        <f>VLOOKUP(D1676,Products!$A:$F,3,FALSE)</f>
        <v>Home</v>
      </c>
      <c r="M1676" s="23" t="str">
        <f>VLOOKUP(E1676,Sales_Reps!$A:$E,3,FALSE)</f>
        <v>North</v>
      </c>
      <c r="N1676" s="23" t="str">
        <f t="shared" si="78"/>
        <v>May-24</v>
      </c>
      <c r="O1676" s="23" t="str">
        <f t="shared" si="79"/>
        <v>Q2 2024</v>
      </c>
      <c r="P1676" s="23">
        <f>VLOOKUP(D1676,Products!$A:$F,4,FALSE)</f>
        <v>2135</v>
      </c>
      <c r="Q1676" s="35">
        <f t="shared" si="80"/>
        <v>0.42761394101876676</v>
      </c>
    </row>
    <row r="1677" spans="1:17">
      <c r="A1677" s="12" t="s">
        <v>2191</v>
      </c>
      <c r="B1677" s="13">
        <v>45549</v>
      </c>
      <c r="C1677" s="12" t="s">
        <v>390</v>
      </c>
      <c r="D1677" s="12" t="s">
        <v>160</v>
      </c>
      <c r="E1677" s="12" t="s">
        <v>314</v>
      </c>
      <c r="F1677" s="14">
        <v>7</v>
      </c>
      <c r="G1677" s="14">
        <v>3250</v>
      </c>
      <c r="H1677" s="14">
        <v>6</v>
      </c>
      <c r="I1677" s="14">
        <v>21385</v>
      </c>
      <c r="J1677" s="12" t="s">
        <v>104</v>
      </c>
      <c r="K1677" s="12" t="s">
        <v>105</v>
      </c>
      <c r="L1677" s="23" t="str">
        <f>VLOOKUP(D1677,Products!$A:$F,3,FALSE)</f>
        <v>Home</v>
      </c>
      <c r="M1677" s="23" t="str">
        <f>VLOOKUP(E1677,Sales_Reps!$A:$E,3,FALSE)</f>
        <v>North</v>
      </c>
      <c r="N1677" s="23" t="str">
        <f t="shared" si="78"/>
        <v>Sep-24</v>
      </c>
      <c r="O1677" s="23" t="str">
        <f t="shared" si="79"/>
        <v>Q3 2024</v>
      </c>
      <c r="P1677" s="23">
        <f>VLOOKUP(D1677,Products!$A:$F,4,FALSE)</f>
        <v>1556</v>
      </c>
      <c r="Q1677" s="35">
        <f t="shared" si="80"/>
        <v>0.52123076923076928</v>
      </c>
    </row>
    <row r="1678" spans="1:17">
      <c r="A1678" s="12" t="s">
        <v>2192</v>
      </c>
      <c r="B1678" s="13">
        <v>45519</v>
      </c>
      <c r="C1678" s="12" t="s">
        <v>787</v>
      </c>
      <c r="D1678" s="12" t="s">
        <v>114</v>
      </c>
      <c r="E1678" s="12" t="s">
        <v>209</v>
      </c>
      <c r="F1678" s="14">
        <v>9</v>
      </c>
      <c r="G1678" s="14">
        <v>470</v>
      </c>
      <c r="H1678" s="14">
        <v>11.6</v>
      </c>
      <c r="I1678" s="14">
        <v>3739.32</v>
      </c>
      <c r="J1678" s="12" t="s">
        <v>104</v>
      </c>
      <c r="K1678" s="12" t="s">
        <v>105</v>
      </c>
      <c r="L1678" s="23" t="str">
        <f>VLOOKUP(D1678,Products!$A:$F,3,FALSE)</f>
        <v>Sports</v>
      </c>
      <c r="M1678" s="23" t="str">
        <f>VLOOKUP(E1678,Sales_Reps!$A:$E,3,FALSE)</f>
        <v>East</v>
      </c>
      <c r="N1678" s="23" t="str">
        <f t="shared" si="78"/>
        <v>Aug-24</v>
      </c>
      <c r="O1678" s="23" t="str">
        <f t="shared" si="79"/>
        <v>Q3 2024</v>
      </c>
      <c r="P1678" s="23">
        <f>VLOOKUP(D1678,Products!$A:$F,4,FALSE)</f>
        <v>302</v>
      </c>
      <c r="Q1678" s="35">
        <f t="shared" si="80"/>
        <v>0.35744680851063831</v>
      </c>
    </row>
    <row r="1679" spans="1:17">
      <c r="A1679" s="12" t="s">
        <v>2193</v>
      </c>
      <c r="B1679" s="13">
        <v>45574</v>
      </c>
      <c r="C1679" s="12" t="s">
        <v>774</v>
      </c>
      <c r="D1679" s="12" t="s">
        <v>403</v>
      </c>
      <c r="E1679" s="12" t="s">
        <v>218</v>
      </c>
      <c r="F1679" s="14">
        <v>5</v>
      </c>
      <c r="G1679" s="14">
        <v>2290</v>
      </c>
      <c r="H1679" s="14">
        <v>27.6</v>
      </c>
      <c r="I1679" s="14">
        <v>8289.7999999999993</v>
      </c>
      <c r="J1679" s="12" t="s">
        <v>104</v>
      </c>
      <c r="K1679" s="12" t="s">
        <v>134</v>
      </c>
      <c r="L1679" s="23" t="str">
        <f>VLOOKUP(D1679,Products!$A:$F,3,FALSE)</f>
        <v>Beauty</v>
      </c>
      <c r="M1679" s="23" t="str">
        <f>VLOOKUP(E1679,Sales_Reps!$A:$E,3,FALSE)</f>
        <v>West</v>
      </c>
      <c r="N1679" s="23" t="str">
        <f t="shared" si="78"/>
        <v>Oct-24</v>
      </c>
      <c r="O1679" s="23" t="str">
        <f t="shared" si="79"/>
        <v>Q4 2024</v>
      </c>
      <c r="P1679" s="23">
        <f>VLOOKUP(D1679,Products!$A:$F,4,FALSE)</f>
        <v>1219</v>
      </c>
      <c r="Q1679" s="35">
        <f t="shared" si="80"/>
        <v>0.46768558951965067</v>
      </c>
    </row>
    <row r="1680" spans="1:17">
      <c r="A1680" s="12" t="s">
        <v>2194</v>
      </c>
      <c r="B1680" s="13">
        <v>45462</v>
      </c>
      <c r="C1680" s="12" t="s">
        <v>686</v>
      </c>
      <c r="D1680" s="12" t="s">
        <v>137</v>
      </c>
      <c r="E1680" s="12" t="s">
        <v>246</v>
      </c>
      <c r="F1680" s="14">
        <v>6</v>
      </c>
      <c r="G1680" s="14">
        <v>1430</v>
      </c>
      <c r="H1680" s="14">
        <v>18.399999999999999</v>
      </c>
      <c r="I1680" s="14">
        <v>7001.28</v>
      </c>
      <c r="J1680" s="12" t="s">
        <v>110</v>
      </c>
      <c r="K1680" s="12" t="s">
        <v>150</v>
      </c>
      <c r="L1680" s="23" t="str">
        <f>VLOOKUP(D1680,Products!$A:$F,3,FALSE)</f>
        <v>Electronics</v>
      </c>
      <c r="M1680" s="23" t="str">
        <f>VLOOKUP(E1680,Sales_Reps!$A:$E,3,FALSE)</f>
        <v>West</v>
      </c>
      <c r="N1680" s="23" t="str">
        <f t="shared" si="78"/>
        <v>Jun-24</v>
      </c>
      <c r="O1680" s="23" t="str">
        <f t="shared" si="79"/>
        <v>Q2 2024</v>
      </c>
      <c r="P1680" s="23">
        <f>VLOOKUP(D1680,Products!$A:$F,4,FALSE)</f>
        <v>861</v>
      </c>
      <c r="Q1680" s="35">
        <f t="shared" si="80"/>
        <v>0.39790209790209791</v>
      </c>
    </row>
    <row r="1681" spans="1:17">
      <c r="A1681" s="12" t="s">
        <v>2195</v>
      </c>
      <c r="B1681" s="13">
        <v>45336</v>
      </c>
      <c r="C1681" s="12" t="s">
        <v>1278</v>
      </c>
      <c r="D1681" s="12" t="s">
        <v>212</v>
      </c>
      <c r="E1681" s="12" t="s">
        <v>314</v>
      </c>
      <c r="F1681" s="14">
        <v>7</v>
      </c>
      <c r="G1681" s="14">
        <v>2860</v>
      </c>
      <c r="H1681" s="14">
        <v>19.5</v>
      </c>
      <c r="I1681" s="14">
        <v>16116.1</v>
      </c>
      <c r="J1681" s="12" t="s">
        <v>104</v>
      </c>
      <c r="K1681" s="12" t="s">
        <v>134</v>
      </c>
      <c r="L1681" s="23" t="str">
        <f>VLOOKUP(D1681,Products!$A:$F,3,FALSE)</f>
        <v>Sports</v>
      </c>
      <c r="M1681" s="23" t="str">
        <f>VLOOKUP(E1681,Sales_Reps!$A:$E,3,FALSE)</f>
        <v>North</v>
      </c>
      <c r="N1681" s="23" t="str">
        <f t="shared" si="78"/>
        <v>Feb-24</v>
      </c>
      <c r="O1681" s="23" t="str">
        <f t="shared" si="79"/>
        <v>Q1 2024</v>
      </c>
      <c r="P1681" s="23">
        <f>VLOOKUP(D1681,Products!$A:$F,4,FALSE)</f>
        <v>2028</v>
      </c>
      <c r="Q1681" s="35">
        <f t="shared" si="80"/>
        <v>0.29090909090909089</v>
      </c>
    </row>
    <row r="1682" spans="1:17">
      <c r="A1682" s="12" t="s">
        <v>2196</v>
      </c>
      <c r="B1682" s="13">
        <v>45439</v>
      </c>
      <c r="C1682" s="12" t="s">
        <v>574</v>
      </c>
      <c r="D1682" s="12" t="s">
        <v>174</v>
      </c>
      <c r="E1682" s="12" t="s">
        <v>209</v>
      </c>
      <c r="F1682" s="14">
        <v>8</v>
      </c>
      <c r="G1682" s="14">
        <v>3450</v>
      </c>
      <c r="H1682" s="14">
        <v>25.5</v>
      </c>
      <c r="I1682" s="14">
        <v>20562</v>
      </c>
      <c r="J1682" s="12" t="s">
        <v>110</v>
      </c>
      <c r="K1682" s="12" t="s">
        <v>129</v>
      </c>
      <c r="L1682" s="23" t="str">
        <f>VLOOKUP(D1682,Products!$A:$F,3,FALSE)</f>
        <v>Beauty</v>
      </c>
      <c r="M1682" s="23" t="str">
        <f>VLOOKUP(E1682,Sales_Reps!$A:$E,3,FALSE)</f>
        <v>East</v>
      </c>
      <c r="N1682" s="23" t="str">
        <f t="shared" si="78"/>
        <v>May-24</v>
      </c>
      <c r="O1682" s="23" t="str">
        <f t="shared" si="79"/>
        <v>Q2 2024</v>
      </c>
      <c r="P1682" s="23">
        <f>VLOOKUP(D1682,Products!$A:$F,4,FALSE)</f>
        <v>2420</v>
      </c>
      <c r="Q1682" s="35">
        <f t="shared" si="80"/>
        <v>0.29855072463768118</v>
      </c>
    </row>
    <row r="1683" spans="1:17">
      <c r="A1683" s="12" t="s">
        <v>2197</v>
      </c>
      <c r="B1683" s="13">
        <v>45578</v>
      </c>
      <c r="C1683" s="12" t="s">
        <v>576</v>
      </c>
      <c r="D1683" s="12" t="s">
        <v>377</v>
      </c>
      <c r="E1683" s="12" t="s">
        <v>138</v>
      </c>
      <c r="F1683" s="14">
        <v>7</v>
      </c>
      <c r="G1683" s="14">
        <v>5410</v>
      </c>
      <c r="H1683" s="14">
        <v>15.2</v>
      </c>
      <c r="I1683" s="14">
        <v>32113.759999999998</v>
      </c>
      <c r="J1683" s="12" t="s">
        <v>157</v>
      </c>
      <c r="K1683" s="12" t="s">
        <v>105</v>
      </c>
      <c r="L1683" s="23" t="str">
        <f>VLOOKUP(D1683,Products!$A:$F,3,FALSE)</f>
        <v>Sports</v>
      </c>
      <c r="M1683" s="23" t="str">
        <f>VLOOKUP(E1683,Sales_Reps!$A:$E,3,FALSE)</f>
        <v>East</v>
      </c>
      <c r="N1683" s="23" t="str">
        <f t="shared" si="78"/>
        <v>Oct-24</v>
      </c>
      <c r="O1683" s="23" t="str">
        <f t="shared" si="79"/>
        <v>Q4 2024</v>
      </c>
      <c r="P1683" s="23">
        <f>VLOOKUP(D1683,Products!$A:$F,4,FALSE)</f>
        <v>2265</v>
      </c>
      <c r="Q1683" s="35">
        <f t="shared" si="80"/>
        <v>0.58133086876155271</v>
      </c>
    </row>
    <row r="1684" spans="1:17">
      <c r="A1684" s="12" t="s">
        <v>2198</v>
      </c>
      <c r="B1684" s="13">
        <v>45588</v>
      </c>
      <c r="C1684" s="12" t="s">
        <v>576</v>
      </c>
      <c r="D1684" s="12" t="s">
        <v>181</v>
      </c>
      <c r="E1684" s="12" t="s">
        <v>128</v>
      </c>
      <c r="F1684" s="14">
        <v>3</v>
      </c>
      <c r="G1684" s="14">
        <v>1080</v>
      </c>
      <c r="H1684" s="14">
        <v>26</v>
      </c>
      <c r="I1684" s="14">
        <v>2397.6</v>
      </c>
      <c r="J1684" s="12" t="s">
        <v>104</v>
      </c>
      <c r="K1684" s="12" t="s">
        <v>105</v>
      </c>
      <c r="L1684" s="23" t="str">
        <f>VLOOKUP(D1684,Products!$A:$F,3,FALSE)</f>
        <v>Home</v>
      </c>
      <c r="M1684" s="23" t="str">
        <f>VLOOKUP(E1684,Sales_Reps!$A:$E,3,FALSE)</f>
        <v>West</v>
      </c>
      <c r="N1684" s="23" t="str">
        <f t="shared" si="78"/>
        <v>Oct-24</v>
      </c>
      <c r="O1684" s="23" t="str">
        <f t="shared" si="79"/>
        <v>Q4 2024</v>
      </c>
      <c r="P1684" s="23">
        <f>VLOOKUP(D1684,Products!$A:$F,4,FALSE)</f>
        <v>519</v>
      </c>
      <c r="Q1684" s="35">
        <f t="shared" si="80"/>
        <v>0.51944444444444449</v>
      </c>
    </row>
    <row r="1685" spans="1:17">
      <c r="A1685" s="12" t="s">
        <v>2199</v>
      </c>
      <c r="B1685" s="13">
        <v>45354</v>
      </c>
      <c r="C1685" s="12" t="s">
        <v>329</v>
      </c>
      <c r="D1685" s="12" t="s">
        <v>212</v>
      </c>
      <c r="E1685" s="12" t="s">
        <v>138</v>
      </c>
      <c r="F1685" s="14">
        <v>8</v>
      </c>
      <c r="G1685" s="14">
        <v>2860</v>
      </c>
      <c r="H1685" s="14">
        <v>14.8</v>
      </c>
      <c r="I1685" s="14">
        <v>19493.759999999998</v>
      </c>
      <c r="J1685" s="12" t="s">
        <v>104</v>
      </c>
      <c r="K1685" s="12" t="s">
        <v>150</v>
      </c>
      <c r="L1685" s="23" t="str">
        <f>VLOOKUP(D1685,Products!$A:$F,3,FALSE)</f>
        <v>Sports</v>
      </c>
      <c r="M1685" s="23" t="str">
        <f>VLOOKUP(E1685,Sales_Reps!$A:$E,3,FALSE)</f>
        <v>East</v>
      </c>
      <c r="N1685" s="23" t="str">
        <f t="shared" si="78"/>
        <v>Mar-24</v>
      </c>
      <c r="O1685" s="23" t="str">
        <f t="shared" si="79"/>
        <v>Q1 2024</v>
      </c>
      <c r="P1685" s="23">
        <f>VLOOKUP(D1685,Products!$A:$F,4,FALSE)</f>
        <v>2028</v>
      </c>
      <c r="Q1685" s="35">
        <f t="shared" si="80"/>
        <v>0.29090909090909089</v>
      </c>
    </row>
    <row r="1686" spans="1:17">
      <c r="A1686" s="12" t="s">
        <v>2200</v>
      </c>
      <c r="B1686" s="13">
        <v>45332</v>
      </c>
      <c r="C1686" s="12" t="s">
        <v>2201</v>
      </c>
      <c r="D1686" s="12" t="s">
        <v>293</v>
      </c>
      <c r="E1686" s="12" t="s">
        <v>269</v>
      </c>
      <c r="F1686" s="14">
        <v>4</v>
      </c>
      <c r="G1686" s="14">
        <v>3020</v>
      </c>
      <c r="H1686" s="14">
        <v>8.1</v>
      </c>
      <c r="I1686" s="14">
        <v>11101.52</v>
      </c>
      <c r="J1686" s="12" t="s">
        <v>104</v>
      </c>
      <c r="K1686" s="12" t="s">
        <v>150</v>
      </c>
      <c r="L1686" s="23" t="str">
        <f>VLOOKUP(D1686,Products!$A:$F,3,FALSE)</f>
        <v>Beauty</v>
      </c>
      <c r="M1686" s="23" t="str">
        <f>VLOOKUP(E1686,Sales_Reps!$A:$E,3,FALSE)</f>
        <v>South</v>
      </c>
      <c r="N1686" s="23" t="str">
        <f t="shared" si="78"/>
        <v>Feb-24</v>
      </c>
      <c r="O1686" s="23" t="str">
        <f t="shared" si="79"/>
        <v>Q1 2024</v>
      </c>
      <c r="P1686" s="23">
        <f>VLOOKUP(D1686,Products!$A:$F,4,FALSE)</f>
        <v>1626</v>
      </c>
      <c r="Q1686" s="35">
        <f t="shared" si="80"/>
        <v>0.46158940397350995</v>
      </c>
    </row>
    <row r="1687" spans="1:17">
      <c r="A1687" s="12" t="s">
        <v>2202</v>
      </c>
      <c r="B1687" s="13">
        <v>45649</v>
      </c>
      <c r="C1687" s="12" t="s">
        <v>245</v>
      </c>
      <c r="D1687" s="12" t="s">
        <v>132</v>
      </c>
      <c r="E1687" s="12" t="s">
        <v>128</v>
      </c>
      <c r="F1687" s="14">
        <v>4</v>
      </c>
      <c r="G1687" s="14">
        <v>960</v>
      </c>
      <c r="H1687" s="14">
        <v>6.4</v>
      </c>
      <c r="I1687" s="14">
        <v>3594.24</v>
      </c>
      <c r="J1687" s="12" t="s">
        <v>157</v>
      </c>
      <c r="K1687" s="12" t="s">
        <v>129</v>
      </c>
      <c r="L1687" s="23" t="str">
        <f>VLOOKUP(D1687,Products!$A:$F,3,FALSE)</f>
        <v>Sports</v>
      </c>
      <c r="M1687" s="23" t="str">
        <f>VLOOKUP(E1687,Sales_Reps!$A:$E,3,FALSE)</f>
        <v>West</v>
      </c>
      <c r="N1687" s="23" t="str">
        <f t="shared" si="78"/>
        <v>Dec-24</v>
      </c>
      <c r="O1687" s="23" t="str">
        <f t="shared" si="79"/>
        <v>Q4 2024</v>
      </c>
      <c r="P1687" s="23">
        <f>VLOOKUP(D1687,Products!$A:$F,4,FALSE)</f>
        <v>705</v>
      </c>
      <c r="Q1687" s="35">
        <f t="shared" si="80"/>
        <v>0.265625</v>
      </c>
    </row>
    <row r="1688" spans="1:17">
      <c r="A1688" s="12" t="s">
        <v>2203</v>
      </c>
      <c r="B1688" s="13">
        <v>45596</v>
      </c>
      <c r="C1688" s="12" t="s">
        <v>568</v>
      </c>
      <c r="D1688" s="12" t="s">
        <v>265</v>
      </c>
      <c r="E1688" s="12" t="s">
        <v>246</v>
      </c>
      <c r="F1688" s="14">
        <v>4</v>
      </c>
      <c r="G1688" s="14">
        <v>3870</v>
      </c>
      <c r="H1688" s="14">
        <v>15.9</v>
      </c>
      <c r="I1688" s="14">
        <v>13018.68</v>
      </c>
      <c r="J1688" s="12" t="s">
        <v>104</v>
      </c>
      <c r="K1688" s="12" t="s">
        <v>129</v>
      </c>
      <c r="L1688" s="23" t="str">
        <f>VLOOKUP(D1688,Products!$A:$F,3,FALSE)</f>
        <v>Electronics</v>
      </c>
      <c r="M1688" s="23" t="str">
        <f>VLOOKUP(E1688,Sales_Reps!$A:$E,3,FALSE)</f>
        <v>West</v>
      </c>
      <c r="N1688" s="23" t="str">
        <f t="shared" si="78"/>
        <v>Oct-24</v>
      </c>
      <c r="O1688" s="23" t="str">
        <f t="shared" si="79"/>
        <v>Q4 2024</v>
      </c>
      <c r="P1688" s="23">
        <f>VLOOKUP(D1688,Products!$A:$F,4,FALSE)</f>
        <v>1559</v>
      </c>
      <c r="Q1688" s="35">
        <f t="shared" si="80"/>
        <v>0.59715762273901807</v>
      </c>
    </row>
    <row r="1689" spans="1:17">
      <c r="A1689" s="12" t="s">
        <v>2204</v>
      </c>
      <c r="B1689" s="13">
        <v>45378</v>
      </c>
      <c r="C1689" s="12" t="s">
        <v>1189</v>
      </c>
      <c r="D1689" s="12" t="s">
        <v>123</v>
      </c>
      <c r="E1689" s="12" t="s">
        <v>209</v>
      </c>
      <c r="F1689" s="14">
        <v>5</v>
      </c>
      <c r="G1689" s="14">
        <v>3160</v>
      </c>
      <c r="H1689" s="14">
        <v>29.8</v>
      </c>
      <c r="I1689" s="14">
        <v>11091.6</v>
      </c>
      <c r="J1689" s="12" t="s">
        <v>104</v>
      </c>
      <c r="K1689" s="12" t="s">
        <v>105</v>
      </c>
      <c r="L1689" s="23" t="str">
        <f>VLOOKUP(D1689,Products!$A:$F,3,FALSE)</f>
        <v>Apparel</v>
      </c>
      <c r="M1689" s="23" t="str">
        <f>VLOOKUP(E1689,Sales_Reps!$A:$E,3,FALSE)</f>
        <v>East</v>
      </c>
      <c r="N1689" s="23" t="str">
        <f t="shared" si="78"/>
        <v>Mar-24</v>
      </c>
      <c r="O1689" s="23" t="str">
        <f t="shared" si="79"/>
        <v>Q1 2024</v>
      </c>
      <c r="P1689" s="23">
        <f>VLOOKUP(D1689,Products!$A:$F,4,FALSE)</f>
        <v>1886</v>
      </c>
      <c r="Q1689" s="35">
        <f t="shared" si="80"/>
        <v>0.4031645569620253</v>
      </c>
    </row>
    <row r="1690" spans="1:17">
      <c r="A1690" s="12" t="s">
        <v>2205</v>
      </c>
      <c r="B1690" s="13">
        <v>45403</v>
      </c>
      <c r="C1690" s="12" t="s">
        <v>457</v>
      </c>
      <c r="D1690" s="12" t="s">
        <v>174</v>
      </c>
      <c r="E1690" s="12" t="s">
        <v>360</v>
      </c>
      <c r="F1690" s="14">
        <v>5</v>
      </c>
      <c r="G1690" s="14">
        <v>3450</v>
      </c>
      <c r="H1690" s="14">
        <v>29.4</v>
      </c>
      <c r="I1690" s="14">
        <v>12178.5</v>
      </c>
      <c r="J1690" s="12" t="s">
        <v>104</v>
      </c>
      <c r="K1690" s="12" t="s">
        <v>105</v>
      </c>
      <c r="L1690" s="23" t="str">
        <f>VLOOKUP(D1690,Products!$A:$F,3,FALSE)</f>
        <v>Beauty</v>
      </c>
      <c r="M1690" s="23" t="str">
        <f>VLOOKUP(E1690,Sales_Reps!$A:$E,3,FALSE)</f>
        <v>West</v>
      </c>
      <c r="N1690" s="23" t="str">
        <f t="shared" si="78"/>
        <v>Apr-24</v>
      </c>
      <c r="O1690" s="23" t="str">
        <f t="shared" si="79"/>
        <v>Q2 2024</v>
      </c>
      <c r="P1690" s="23">
        <f>VLOOKUP(D1690,Products!$A:$F,4,FALSE)</f>
        <v>2420</v>
      </c>
      <c r="Q1690" s="35">
        <f t="shared" si="80"/>
        <v>0.29855072463768118</v>
      </c>
    </row>
    <row r="1691" spans="1:17">
      <c r="A1691" s="12" t="s">
        <v>2206</v>
      </c>
      <c r="B1691" s="13">
        <v>45535</v>
      </c>
      <c r="C1691" s="12" t="s">
        <v>867</v>
      </c>
      <c r="D1691" s="12" t="s">
        <v>397</v>
      </c>
      <c r="E1691" s="12" t="s">
        <v>320</v>
      </c>
      <c r="F1691" s="14">
        <v>10</v>
      </c>
      <c r="G1691" s="14">
        <v>960</v>
      </c>
      <c r="H1691" s="14">
        <v>27</v>
      </c>
      <c r="I1691" s="14">
        <v>7008</v>
      </c>
      <c r="J1691" s="12" t="s">
        <v>157</v>
      </c>
      <c r="K1691" s="12" t="s">
        <v>111</v>
      </c>
      <c r="L1691" s="23" t="str">
        <f>VLOOKUP(D1691,Products!$A:$F,3,FALSE)</f>
        <v>Beauty</v>
      </c>
      <c r="M1691" s="23" t="str">
        <f>VLOOKUP(E1691,Sales_Reps!$A:$E,3,FALSE)</f>
        <v>East</v>
      </c>
      <c r="N1691" s="23" t="str">
        <f t="shared" si="78"/>
        <v>Aug-24</v>
      </c>
      <c r="O1691" s="23" t="str">
        <f t="shared" si="79"/>
        <v>Q3 2024</v>
      </c>
      <c r="P1691" s="23">
        <f>VLOOKUP(D1691,Products!$A:$F,4,FALSE)</f>
        <v>675</v>
      </c>
      <c r="Q1691" s="35">
        <f t="shared" si="80"/>
        <v>0.296875</v>
      </c>
    </row>
    <row r="1692" spans="1:17">
      <c r="A1692" s="12" t="s">
        <v>2207</v>
      </c>
      <c r="B1692" s="13">
        <v>45429</v>
      </c>
      <c r="C1692" s="12" t="s">
        <v>796</v>
      </c>
      <c r="D1692" s="12" t="s">
        <v>532</v>
      </c>
      <c r="E1692" s="12" t="s">
        <v>320</v>
      </c>
      <c r="F1692" s="14">
        <v>10</v>
      </c>
      <c r="G1692" s="14">
        <v>6940</v>
      </c>
      <c r="H1692" s="14">
        <v>20.100000000000001</v>
      </c>
      <c r="I1692" s="14">
        <v>55450.6</v>
      </c>
      <c r="J1692" s="12" t="s">
        <v>104</v>
      </c>
      <c r="K1692" s="12" t="s">
        <v>134</v>
      </c>
      <c r="L1692" s="23" t="str">
        <f>VLOOKUP(D1692,Products!$A:$F,3,FALSE)</f>
        <v>Sports</v>
      </c>
      <c r="M1692" s="23" t="str">
        <f>VLOOKUP(E1692,Sales_Reps!$A:$E,3,FALSE)</f>
        <v>East</v>
      </c>
      <c r="N1692" s="23" t="str">
        <f t="shared" si="78"/>
        <v>May-24</v>
      </c>
      <c r="O1692" s="23" t="str">
        <f t="shared" si="79"/>
        <v>Q2 2024</v>
      </c>
      <c r="P1692" s="23">
        <f>VLOOKUP(D1692,Products!$A:$F,4,FALSE)</f>
        <v>2827</v>
      </c>
      <c r="Q1692" s="35">
        <f t="shared" si="80"/>
        <v>0.5926512968299712</v>
      </c>
    </row>
    <row r="1693" spans="1:17">
      <c r="A1693" s="12" t="s">
        <v>2208</v>
      </c>
      <c r="B1693" s="13">
        <v>45436</v>
      </c>
      <c r="C1693" s="12" t="s">
        <v>616</v>
      </c>
      <c r="D1693" s="12" t="s">
        <v>168</v>
      </c>
      <c r="E1693" s="12" t="s">
        <v>221</v>
      </c>
      <c r="F1693" s="14">
        <v>9</v>
      </c>
      <c r="G1693" s="14">
        <v>2400</v>
      </c>
      <c r="H1693" s="14">
        <v>7.8</v>
      </c>
      <c r="I1693" s="14">
        <v>19915.2</v>
      </c>
      <c r="J1693" s="12" t="s">
        <v>104</v>
      </c>
      <c r="K1693" s="12" t="s">
        <v>134</v>
      </c>
      <c r="L1693" s="23" t="str">
        <f>VLOOKUP(D1693,Products!$A:$F,3,FALSE)</f>
        <v>Sports</v>
      </c>
      <c r="M1693" s="23" t="str">
        <f>VLOOKUP(E1693,Sales_Reps!$A:$E,3,FALSE)</f>
        <v>South</v>
      </c>
      <c r="N1693" s="23" t="str">
        <f t="shared" si="78"/>
        <v>May-24</v>
      </c>
      <c r="O1693" s="23" t="str">
        <f t="shared" si="79"/>
        <v>Q2 2024</v>
      </c>
      <c r="P1693" s="23">
        <f>VLOOKUP(D1693,Products!$A:$F,4,FALSE)</f>
        <v>974</v>
      </c>
      <c r="Q1693" s="35">
        <f t="shared" si="80"/>
        <v>0.59416666666666662</v>
      </c>
    </row>
    <row r="1694" spans="1:17">
      <c r="A1694" s="12" t="s">
        <v>2209</v>
      </c>
      <c r="B1694" s="13">
        <v>45397</v>
      </c>
      <c r="C1694" s="12" t="s">
        <v>1314</v>
      </c>
      <c r="D1694" s="12" t="s">
        <v>377</v>
      </c>
      <c r="E1694" s="12" t="s">
        <v>255</v>
      </c>
      <c r="F1694" s="14">
        <v>1</v>
      </c>
      <c r="G1694" s="14">
        <v>5410</v>
      </c>
      <c r="H1694" s="14">
        <v>22.8</v>
      </c>
      <c r="I1694" s="14">
        <v>4176.5200000000004</v>
      </c>
      <c r="J1694" s="12" t="s">
        <v>104</v>
      </c>
      <c r="K1694" s="12" t="s">
        <v>129</v>
      </c>
      <c r="L1694" s="23" t="str">
        <f>VLOOKUP(D1694,Products!$A:$F,3,FALSE)</f>
        <v>Sports</v>
      </c>
      <c r="M1694" s="23" t="str">
        <f>VLOOKUP(E1694,Sales_Reps!$A:$E,3,FALSE)</f>
        <v>East</v>
      </c>
      <c r="N1694" s="23" t="str">
        <f t="shared" si="78"/>
        <v>Apr-24</v>
      </c>
      <c r="O1694" s="23" t="str">
        <f t="shared" si="79"/>
        <v>Q2 2024</v>
      </c>
      <c r="P1694" s="23">
        <f>VLOOKUP(D1694,Products!$A:$F,4,FALSE)</f>
        <v>2265</v>
      </c>
      <c r="Q1694" s="35">
        <f t="shared" si="80"/>
        <v>0.58133086876155271</v>
      </c>
    </row>
    <row r="1695" spans="1:17">
      <c r="A1695" s="12" t="s">
        <v>2210</v>
      </c>
      <c r="B1695" s="13">
        <v>45629</v>
      </c>
      <c r="C1695" s="12" t="s">
        <v>1278</v>
      </c>
      <c r="D1695" s="12" t="s">
        <v>284</v>
      </c>
      <c r="E1695" s="12" t="s">
        <v>156</v>
      </c>
      <c r="F1695" s="14">
        <v>7</v>
      </c>
      <c r="G1695" s="14">
        <v>1220</v>
      </c>
      <c r="H1695" s="14">
        <v>18.8</v>
      </c>
      <c r="I1695" s="14">
        <v>6934.48</v>
      </c>
      <c r="J1695" s="12" t="s">
        <v>110</v>
      </c>
      <c r="K1695" s="12" t="s">
        <v>134</v>
      </c>
      <c r="L1695" s="23" t="str">
        <f>VLOOKUP(D1695,Products!$A:$F,3,FALSE)</f>
        <v>Electronics</v>
      </c>
      <c r="M1695" s="23" t="str">
        <f>VLOOKUP(E1695,Sales_Reps!$A:$E,3,FALSE)</f>
        <v>North</v>
      </c>
      <c r="N1695" s="23" t="str">
        <f t="shared" si="78"/>
        <v>Dec-24</v>
      </c>
      <c r="O1695" s="23" t="str">
        <f t="shared" si="79"/>
        <v>Q4 2024</v>
      </c>
      <c r="P1695" s="23">
        <f>VLOOKUP(D1695,Products!$A:$F,4,FALSE)</f>
        <v>517</v>
      </c>
      <c r="Q1695" s="35">
        <f t="shared" si="80"/>
        <v>0.57622950819672136</v>
      </c>
    </row>
    <row r="1696" spans="1:17">
      <c r="A1696" s="12" t="s">
        <v>2211</v>
      </c>
      <c r="B1696" s="13">
        <v>45595</v>
      </c>
      <c r="C1696" s="12" t="s">
        <v>198</v>
      </c>
      <c r="D1696" s="12" t="s">
        <v>519</v>
      </c>
      <c r="E1696" s="12" t="s">
        <v>138</v>
      </c>
      <c r="F1696" s="14">
        <v>1</v>
      </c>
      <c r="G1696" s="14">
        <v>1090</v>
      </c>
      <c r="H1696" s="14">
        <v>23.5</v>
      </c>
      <c r="I1696" s="14">
        <v>833.85</v>
      </c>
      <c r="J1696" s="12" t="s">
        <v>104</v>
      </c>
      <c r="K1696" s="12" t="s">
        <v>116</v>
      </c>
      <c r="L1696" s="23" t="str">
        <f>VLOOKUP(D1696,Products!$A:$F,3,FALSE)</f>
        <v>Home</v>
      </c>
      <c r="M1696" s="23" t="str">
        <f>VLOOKUP(E1696,Sales_Reps!$A:$E,3,FALSE)</f>
        <v>East</v>
      </c>
      <c r="N1696" s="23" t="str">
        <f t="shared" si="78"/>
        <v>Oct-24</v>
      </c>
      <c r="O1696" s="23" t="str">
        <f t="shared" si="79"/>
        <v>Q4 2024</v>
      </c>
      <c r="P1696" s="23">
        <f>VLOOKUP(D1696,Products!$A:$F,4,FALSE)</f>
        <v>464</v>
      </c>
      <c r="Q1696" s="35">
        <f t="shared" si="80"/>
        <v>0.57431192660550456</v>
      </c>
    </row>
    <row r="1697" spans="1:17">
      <c r="A1697" s="12" t="s">
        <v>2212</v>
      </c>
      <c r="B1697" s="13">
        <v>45531</v>
      </c>
      <c r="C1697" s="12" t="s">
        <v>938</v>
      </c>
      <c r="D1697" s="12" t="s">
        <v>217</v>
      </c>
      <c r="E1697" s="12" t="s">
        <v>171</v>
      </c>
      <c r="F1697" s="14">
        <v>2</v>
      </c>
      <c r="G1697" s="14">
        <v>2760</v>
      </c>
      <c r="H1697" s="14">
        <v>2.2999999999999998</v>
      </c>
      <c r="I1697" s="14">
        <v>5393.04</v>
      </c>
      <c r="J1697" s="12" t="s">
        <v>104</v>
      </c>
      <c r="K1697" s="12" t="s">
        <v>134</v>
      </c>
      <c r="L1697" s="23" t="str">
        <f>VLOOKUP(D1697,Products!$A:$F,3,FALSE)</f>
        <v>Grocery</v>
      </c>
      <c r="M1697" s="23" t="str">
        <f>VLOOKUP(E1697,Sales_Reps!$A:$E,3,FALSE)</f>
        <v>East</v>
      </c>
      <c r="N1697" s="23" t="str">
        <f t="shared" si="78"/>
        <v>Aug-24</v>
      </c>
      <c r="O1697" s="23" t="str">
        <f t="shared" si="79"/>
        <v>Q3 2024</v>
      </c>
      <c r="P1697" s="23">
        <f>VLOOKUP(D1697,Products!$A:$F,4,FALSE)</f>
        <v>1435</v>
      </c>
      <c r="Q1697" s="35">
        <f t="shared" si="80"/>
        <v>0.48007246376811596</v>
      </c>
    </row>
    <row r="1698" spans="1:17">
      <c r="A1698" s="12" t="s">
        <v>2213</v>
      </c>
      <c r="B1698" s="13">
        <v>45626</v>
      </c>
      <c r="C1698" s="12" t="s">
        <v>578</v>
      </c>
      <c r="D1698" s="12" t="s">
        <v>204</v>
      </c>
      <c r="E1698" s="12" t="s">
        <v>218</v>
      </c>
      <c r="F1698" s="14">
        <v>3</v>
      </c>
      <c r="G1698" s="14">
        <v>3570</v>
      </c>
      <c r="H1698" s="14">
        <v>18.399999999999999</v>
      </c>
      <c r="I1698" s="14">
        <v>8739.36</v>
      </c>
      <c r="J1698" s="12" t="s">
        <v>161</v>
      </c>
      <c r="K1698" s="12" t="s">
        <v>150</v>
      </c>
      <c r="L1698" s="23" t="str">
        <f>VLOOKUP(D1698,Products!$A:$F,3,FALSE)</f>
        <v>Electronics</v>
      </c>
      <c r="M1698" s="23" t="str">
        <f>VLOOKUP(E1698,Sales_Reps!$A:$E,3,FALSE)</f>
        <v>West</v>
      </c>
      <c r="N1698" s="23" t="str">
        <f t="shared" si="78"/>
        <v>Nov-24</v>
      </c>
      <c r="O1698" s="23" t="str">
        <f t="shared" si="79"/>
        <v>Q4 2024</v>
      </c>
      <c r="P1698" s="23">
        <f>VLOOKUP(D1698,Products!$A:$F,4,FALSE)</f>
        <v>1665</v>
      </c>
      <c r="Q1698" s="35">
        <f t="shared" si="80"/>
        <v>0.53361344537815125</v>
      </c>
    </row>
    <row r="1699" spans="1:17">
      <c r="A1699" s="12" t="s">
        <v>2214</v>
      </c>
      <c r="B1699" s="13">
        <v>45502</v>
      </c>
      <c r="C1699" s="12" t="s">
        <v>706</v>
      </c>
      <c r="D1699" s="12" t="s">
        <v>284</v>
      </c>
      <c r="E1699" s="12" t="s">
        <v>156</v>
      </c>
      <c r="F1699" s="14">
        <v>7</v>
      </c>
      <c r="G1699" s="14">
        <v>1220</v>
      </c>
      <c r="H1699" s="14">
        <v>25.8</v>
      </c>
      <c r="I1699" s="14">
        <v>6336.68</v>
      </c>
      <c r="J1699" s="12" t="s">
        <v>161</v>
      </c>
      <c r="K1699" s="12" t="s">
        <v>150</v>
      </c>
      <c r="L1699" s="23" t="str">
        <f>VLOOKUP(D1699,Products!$A:$F,3,FALSE)</f>
        <v>Electronics</v>
      </c>
      <c r="M1699" s="23" t="str">
        <f>VLOOKUP(E1699,Sales_Reps!$A:$E,3,FALSE)</f>
        <v>North</v>
      </c>
      <c r="N1699" s="23" t="str">
        <f t="shared" si="78"/>
        <v>Jul-24</v>
      </c>
      <c r="O1699" s="23" t="str">
        <f t="shared" si="79"/>
        <v>Q3 2024</v>
      </c>
      <c r="P1699" s="23">
        <f>VLOOKUP(D1699,Products!$A:$F,4,FALSE)</f>
        <v>517</v>
      </c>
      <c r="Q1699" s="35">
        <f t="shared" si="80"/>
        <v>0.57622950819672136</v>
      </c>
    </row>
    <row r="1700" spans="1:17">
      <c r="A1700" s="12" t="s">
        <v>2215</v>
      </c>
      <c r="B1700" s="13">
        <v>45501</v>
      </c>
      <c r="C1700" s="12" t="s">
        <v>1189</v>
      </c>
      <c r="D1700" s="12" t="s">
        <v>178</v>
      </c>
      <c r="E1700" s="12" t="s">
        <v>246</v>
      </c>
      <c r="F1700" s="14">
        <v>6</v>
      </c>
      <c r="G1700" s="14">
        <v>3450</v>
      </c>
      <c r="H1700" s="14">
        <v>13.1</v>
      </c>
      <c r="I1700" s="14">
        <v>17988.3</v>
      </c>
      <c r="J1700" s="12" t="s">
        <v>104</v>
      </c>
      <c r="K1700" s="12" t="s">
        <v>105</v>
      </c>
      <c r="L1700" s="23" t="str">
        <f>VLOOKUP(D1700,Products!$A:$F,3,FALSE)</f>
        <v>Sports</v>
      </c>
      <c r="M1700" s="23" t="str">
        <f>VLOOKUP(E1700,Sales_Reps!$A:$E,3,FALSE)</f>
        <v>West</v>
      </c>
      <c r="N1700" s="23" t="str">
        <f t="shared" si="78"/>
        <v>Jul-24</v>
      </c>
      <c r="O1700" s="23" t="str">
        <f t="shared" si="79"/>
        <v>Q3 2024</v>
      </c>
      <c r="P1700" s="23">
        <f>VLOOKUP(D1700,Products!$A:$F,4,FALSE)</f>
        <v>2467</v>
      </c>
      <c r="Q1700" s="35">
        <f t="shared" si="80"/>
        <v>0.28492753623188405</v>
      </c>
    </row>
    <row r="1701" spans="1:17">
      <c r="A1701" s="12" t="s">
        <v>2216</v>
      </c>
      <c r="B1701" s="13">
        <v>45435</v>
      </c>
      <c r="C1701" s="12" t="s">
        <v>126</v>
      </c>
      <c r="D1701" s="12" t="s">
        <v>355</v>
      </c>
      <c r="E1701" s="12" t="s">
        <v>156</v>
      </c>
      <c r="F1701" s="14">
        <v>10</v>
      </c>
      <c r="G1701" s="14">
        <v>2210</v>
      </c>
      <c r="H1701" s="14">
        <v>16.600000000000001</v>
      </c>
      <c r="I1701" s="14">
        <v>18431.400000000001</v>
      </c>
      <c r="J1701" s="12" t="s">
        <v>104</v>
      </c>
      <c r="K1701" s="12" t="s">
        <v>129</v>
      </c>
      <c r="L1701" s="23" t="str">
        <f>VLOOKUP(D1701,Products!$A:$F,3,FALSE)</f>
        <v>Grocery</v>
      </c>
      <c r="M1701" s="23" t="str">
        <f>VLOOKUP(E1701,Sales_Reps!$A:$E,3,FALSE)</f>
        <v>North</v>
      </c>
      <c r="N1701" s="23" t="str">
        <f t="shared" si="78"/>
        <v>May-24</v>
      </c>
      <c r="O1701" s="23" t="str">
        <f t="shared" si="79"/>
        <v>Q2 2024</v>
      </c>
      <c r="P1701" s="23">
        <f>VLOOKUP(D1701,Products!$A:$F,4,FALSE)</f>
        <v>1010</v>
      </c>
      <c r="Q1701" s="35">
        <f t="shared" si="80"/>
        <v>0.54298642533936647</v>
      </c>
    </row>
    <row r="1702" spans="1:17">
      <c r="A1702" s="12" t="s">
        <v>2217</v>
      </c>
      <c r="B1702" s="13">
        <v>45295</v>
      </c>
      <c r="C1702" s="12" t="s">
        <v>433</v>
      </c>
      <c r="D1702" s="12" t="s">
        <v>184</v>
      </c>
      <c r="E1702" s="12" t="s">
        <v>360</v>
      </c>
      <c r="F1702" s="14">
        <v>10</v>
      </c>
      <c r="G1702" s="14">
        <v>2480</v>
      </c>
      <c r="H1702" s="14">
        <v>17.5</v>
      </c>
      <c r="I1702" s="14">
        <v>20460</v>
      </c>
      <c r="J1702" s="12" t="s">
        <v>104</v>
      </c>
      <c r="K1702" s="12" t="s">
        <v>134</v>
      </c>
      <c r="L1702" s="23" t="str">
        <f>VLOOKUP(D1702,Products!$A:$F,3,FALSE)</f>
        <v>Apparel</v>
      </c>
      <c r="M1702" s="23" t="str">
        <f>VLOOKUP(E1702,Sales_Reps!$A:$E,3,FALSE)</f>
        <v>West</v>
      </c>
      <c r="N1702" s="23" t="str">
        <f t="shared" si="78"/>
        <v>Jan-24</v>
      </c>
      <c r="O1702" s="23" t="str">
        <f t="shared" si="79"/>
        <v>Q1 2024</v>
      </c>
      <c r="P1702" s="23">
        <f>VLOOKUP(D1702,Products!$A:$F,4,FALSE)</f>
        <v>1173</v>
      </c>
      <c r="Q1702" s="35">
        <f t="shared" si="80"/>
        <v>0.52701612903225803</v>
      </c>
    </row>
    <row r="1703" spans="1:17">
      <c r="A1703" s="12" t="s">
        <v>2218</v>
      </c>
      <c r="B1703" s="13">
        <v>45566</v>
      </c>
      <c r="C1703" s="12" t="s">
        <v>1189</v>
      </c>
      <c r="D1703" s="12" t="s">
        <v>160</v>
      </c>
      <c r="E1703" s="12" t="s">
        <v>138</v>
      </c>
      <c r="F1703" s="14">
        <v>9</v>
      </c>
      <c r="G1703" s="14">
        <v>3250</v>
      </c>
      <c r="H1703" s="14">
        <v>25.9</v>
      </c>
      <c r="I1703" s="14">
        <v>21674.25</v>
      </c>
      <c r="J1703" s="12" t="s">
        <v>104</v>
      </c>
      <c r="K1703" s="12" t="s">
        <v>105</v>
      </c>
      <c r="L1703" s="23" t="str">
        <f>VLOOKUP(D1703,Products!$A:$F,3,FALSE)</f>
        <v>Home</v>
      </c>
      <c r="M1703" s="23" t="str">
        <f>VLOOKUP(E1703,Sales_Reps!$A:$E,3,FALSE)</f>
        <v>East</v>
      </c>
      <c r="N1703" s="23" t="str">
        <f t="shared" si="78"/>
        <v>Oct-24</v>
      </c>
      <c r="O1703" s="23" t="str">
        <f t="shared" si="79"/>
        <v>Q4 2024</v>
      </c>
      <c r="P1703" s="23">
        <f>VLOOKUP(D1703,Products!$A:$F,4,FALSE)</f>
        <v>1556</v>
      </c>
      <c r="Q1703" s="35">
        <f t="shared" si="80"/>
        <v>0.52123076923076928</v>
      </c>
    </row>
    <row r="1704" spans="1:17">
      <c r="A1704" s="12" t="s">
        <v>2219</v>
      </c>
      <c r="B1704" s="13">
        <v>45474</v>
      </c>
      <c r="C1704" s="12" t="s">
        <v>854</v>
      </c>
      <c r="D1704" s="12" t="s">
        <v>168</v>
      </c>
      <c r="E1704" s="12" t="s">
        <v>124</v>
      </c>
      <c r="F1704" s="14">
        <v>3</v>
      </c>
      <c r="G1704" s="14">
        <v>2400</v>
      </c>
      <c r="H1704" s="14">
        <v>17.5</v>
      </c>
      <c r="I1704" s="14">
        <v>5940</v>
      </c>
      <c r="J1704" s="12" t="s">
        <v>104</v>
      </c>
      <c r="K1704" s="12" t="s">
        <v>134</v>
      </c>
      <c r="L1704" s="23" t="str">
        <f>VLOOKUP(D1704,Products!$A:$F,3,FALSE)</f>
        <v>Sports</v>
      </c>
      <c r="M1704" s="23" t="str">
        <f>VLOOKUP(E1704,Sales_Reps!$A:$E,3,FALSE)</f>
        <v>North</v>
      </c>
      <c r="N1704" s="23" t="str">
        <f t="shared" si="78"/>
        <v>Jul-24</v>
      </c>
      <c r="O1704" s="23" t="str">
        <f t="shared" si="79"/>
        <v>Q3 2024</v>
      </c>
      <c r="P1704" s="23">
        <f>VLOOKUP(D1704,Products!$A:$F,4,FALSE)</f>
        <v>974</v>
      </c>
      <c r="Q1704" s="35">
        <f t="shared" si="80"/>
        <v>0.59416666666666662</v>
      </c>
    </row>
    <row r="1705" spans="1:17">
      <c r="A1705" s="12" t="s">
        <v>2220</v>
      </c>
      <c r="B1705" s="13">
        <v>45372</v>
      </c>
      <c r="C1705" s="12" t="s">
        <v>308</v>
      </c>
      <c r="D1705" s="12" t="s">
        <v>377</v>
      </c>
      <c r="E1705" s="12" t="s">
        <v>120</v>
      </c>
      <c r="F1705" s="14">
        <v>8</v>
      </c>
      <c r="G1705" s="14">
        <v>5410</v>
      </c>
      <c r="H1705" s="14">
        <v>8.3000000000000007</v>
      </c>
      <c r="I1705" s="14">
        <v>39687.760000000002</v>
      </c>
      <c r="J1705" s="12" t="s">
        <v>104</v>
      </c>
      <c r="K1705" s="12" t="s">
        <v>116</v>
      </c>
      <c r="L1705" s="23" t="str">
        <f>VLOOKUP(D1705,Products!$A:$F,3,FALSE)</f>
        <v>Sports</v>
      </c>
      <c r="M1705" s="23" t="str">
        <f>VLOOKUP(E1705,Sales_Reps!$A:$E,3,FALSE)</f>
        <v>North</v>
      </c>
      <c r="N1705" s="23" t="str">
        <f t="shared" si="78"/>
        <v>Mar-24</v>
      </c>
      <c r="O1705" s="23" t="str">
        <f t="shared" si="79"/>
        <v>Q1 2024</v>
      </c>
      <c r="P1705" s="23">
        <f>VLOOKUP(D1705,Products!$A:$F,4,FALSE)</f>
        <v>2265</v>
      </c>
      <c r="Q1705" s="35">
        <f t="shared" si="80"/>
        <v>0.58133086876155271</v>
      </c>
    </row>
    <row r="1706" spans="1:17">
      <c r="A1706" s="12" t="s">
        <v>2221</v>
      </c>
      <c r="B1706" s="13">
        <v>45622</v>
      </c>
      <c r="C1706" s="12" t="s">
        <v>852</v>
      </c>
      <c r="D1706" s="12" t="s">
        <v>155</v>
      </c>
      <c r="E1706" s="12" t="s">
        <v>320</v>
      </c>
      <c r="F1706" s="14">
        <v>1</v>
      </c>
      <c r="G1706" s="14">
        <v>2600</v>
      </c>
      <c r="H1706" s="14">
        <v>5.9</v>
      </c>
      <c r="I1706" s="14">
        <v>2446.6</v>
      </c>
      <c r="J1706" s="12" t="s">
        <v>104</v>
      </c>
      <c r="K1706" s="12" t="s">
        <v>134</v>
      </c>
      <c r="L1706" s="23" t="str">
        <f>VLOOKUP(D1706,Products!$A:$F,3,FALSE)</f>
        <v>Electronics</v>
      </c>
      <c r="M1706" s="23" t="str">
        <f>VLOOKUP(E1706,Sales_Reps!$A:$E,3,FALSE)</f>
        <v>East</v>
      </c>
      <c r="N1706" s="23" t="str">
        <f t="shared" si="78"/>
        <v>Nov-24</v>
      </c>
      <c r="O1706" s="23" t="str">
        <f t="shared" si="79"/>
        <v>Q4 2024</v>
      </c>
      <c r="P1706" s="23">
        <f>VLOOKUP(D1706,Products!$A:$F,4,FALSE)</f>
        <v>1052</v>
      </c>
      <c r="Q1706" s="35">
        <f t="shared" si="80"/>
        <v>0.5953846153846154</v>
      </c>
    </row>
    <row r="1707" spans="1:17">
      <c r="A1707" s="12" t="s">
        <v>2222</v>
      </c>
      <c r="B1707" s="13">
        <v>45603</v>
      </c>
      <c r="C1707" s="12" t="s">
        <v>383</v>
      </c>
      <c r="D1707" s="12" t="s">
        <v>368</v>
      </c>
      <c r="E1707" s="12" t="s">
        <v>165</v>
      </c>
      <c r="F1707" s="14">
        <v>10</v>
      </c>
      <c r="G1707" s="14">
        <v>4060</v>
      </c>
      <c r="H1707" s="14">
        <v>2.2999999999999998</v>
      </c>
      <c r="I1707" s="14">
        <v>39666.199999999997</v>
      </c>
      <c r="J1707" s="12" t="s">
        <v>104</v>
      </c>
      <c r="K1707" s="12" t="s">
        <v>129</v>
      </c>
      <c r="L1707" s="23" t="str">
        <f>VLOOKUP(D1707,Products!$A:$F,3,FALSE)</f>
        <v>Grocery</v>
      </c>
      <c r="M1707" s="23" t="str">
        <f>VLOOKUP(E1707,Sales_Reps!$A:$E,3,FALSE)</f>
        <v>North</v>
      </c>
      <c r="N1707" s="23" t="str">
        <f t="shared" si="78"/>
        <v>Nov-24</v>
      </c>
      <c r="O1707" s="23" t="str">
        <f t="shared" si="79"/>
        <v>Q4 2024</v>
      </c>
      <c r="P1707" s="23">
        <f>VLOOKUP(D1707,Products!$A:$F,4,FALSE)</f>
        <v>2911</v>
      </c>
      <c r="Q1707" s="35">
        <f t="shared" si="80"/>
        <v>0.28300492610837441</v>
      </c>
    </row>
    <row r="1708" spans="1:17">
      <c r="A1708" s="12" t="s">
        <v>2223</v>
      </c>
      <c r="B1708" s="13">
        <v>45352</v>
      </c>
      <c r="C1708" s="12" t="s">
        <v>746</v>
      </c>
      <c r="D1708" s="12" t="s">
        <v>381</v>
      </c>
      <c r="E1708" s="12" t="s">
        <v>209</v>
      </c>
      <c r="F1708" s="14">
        <v>9</v>
      </c>
      <c r="G1708" s="14">
        <v>5330</v>
      </c>
      <c r="H1708" s="14">
        <v>23.5</v>
      </c>
      <c r="I1708" s="14">
        <v>36697.050000000003</v>
      </c>
      <c r="J1708" s="12" t="s">
        <v>104</v>
      </c>
      <c r="K1708" s="12" t="s">
        <v>129</v>
      </c>
      <c r="L1708" s="23" t="str">
        <f>VLOOKUP(D1708,Products!$A:$F,3,FALSE)</f>
        <v>Electronics</v>
      </c>
      <c r="M1708" s="23" t="str">
        <f>VLOOKUP(E1708,Sales_Reps!$A:$E,3,FALSE)</f>
        <v>East</v>
      </c>
      <c r="N1708" s="23" t="str">
        <f t="shared" si="78"/>
        <v>Mar-24</v>
      </c>
      <c r="O1708" s="23" t="str">
        <f t="shared" si="79"/>
        <v>Q1 2024</v>
      </c>
      <c r="P1708" s="23">
        <f>VLOOKUP(D1708,Products!$A:$F,4,FALSE)</f>
        <v>2405</v>
      </c>
      <c r="Q1708" s="35">
        <f t="shared" si="80"/>
        <v>0.54878048780487809</v>
      </c>
    </row>
    <row r="1709" spans="1:17">
      <c r="A1709" s="12" t="s">
        <v>2224</v>
      </c>
      <c r="B1709" s="13">
        <v>45600</v>
      </c>
      <c r="C1709" s="12" t="s">
        <v>316</v>
      </c>
      <c r="D1709" s="12" t="s">
        <v>196</v>
      </c>
      <c r="E1709" s="12" t="s">
        <v>128</v>
      </c>
      <c r="F1709" s="14">
        <v>7</v>
      </c>
      <c r="G1709" s="14">
        <v>3350</v>
      </c>
      <c r="H1709" s="14">
        <v>13.4</v>
      </c>
      <c r="I1709" s="14">
        <v>20307.7</v>
      </c>
      <c r="J1709" s="12" t="s">
        <v>110</v>
      </c>
      <c r="K1709" s="12" t="s">
        <v>150</v>
      </c>
      <c r="L1709" s="23" t="str">
        <f>VLOOKUP(D1709,Products!$A:$F,3,FALSE)</f>
        <v>Beauty</v>
      </c>
      <c r="M1709" s="23" t="str">
        <f>VLOOKUP(E1709,Sales_Reps!$A:$E,3,FALSE)</f>
        <v>West</v>
      </c>
      <c r="N1709" s="23" t="str">
        <f t="shared" si="78"/>
        <v>Nov-24</v>
      </c>
      <c r="O1709" s="23" t="str">
        <f t="shared" si="79"/>
        <v>Q4 2024</v>
      </c>
      <c r="P1709" s="23">
        <f>VLOOKUP(D1709,Products!$A:$F,4,FALSE)</f>
        <v>1728</v>
      </c>
      <c r="Q1709" s="35">
        <f t="shared" si="80"/>
        <v>0.48417910447761192</v>
      </c>
    </row>
    <row r="1710" spans="1:17">
      <c r="A1710" s="12" t="s">
        <v>2225</v>
      </c>
      <c r="B1710" s="13">
        <v>45631</v>
      </c>
      <c r="C1710" s="12" t="s">
        <v>582</v>
      </c>
      <c r="D1710" s="12" t="s">
        <v>372</v>
      </c>
      <c r="E1710" s="12" t="s">
        <v>115</v>
      </c>
      <c r="F1710" s="14">
        <v>4</v>
      </c>
      <c r="G1710" s="14">
        <v>2510</v>
      </c>
      <c r="H1710" s="14">
        <v>26.6</v>
      </c>
      <c r="I1710" s="14">
        <v>7369.36</v>
      </c>
      <c r="J1710" s="12" t="s">
        <v>104</v>
      </c>
      <c r="K1710" s="12" t="s">
        <v>129</v>
      </c>
      <c r="L1710" s="23" t="str">
        <f>VLOOKUP(D1710,Products!$A:$F,3,FALSE)</f>
        <v>Apparel</v>
      </c>
      <c r="M1710" s="23" t="str">
        <f>VLOOKUP(E1710,Sales_Reps!$A:$E,3,FALSE)</f>
        <v>South</v>
      </c>
      <c r="N1710" s="23" t="str">
        <f t="shared" si="78"/>
        <v>Dec-24</v>
      </c>
      <c r="O1710" s="23" t="str">
        <f t="shared" si="79"/>
        <v>Q4 2024</v>
      </c>
      <c r="P1710" s="23">
        <f>VLOOKUP(D1710,Products!$A:$F,4,FALSE)</f>
        <v>1075</v>
      </c>
      <c r="Q1710" s="35">
        <f t="shared" si="80"/>
        <v>0.57171314741035861</v>
      </c>
    </row>
    <row r="1711" spans="1:17">
      <c r="A1711" s="12" t="s">
        <v>2226</v>
      </c>
      <c r="B1711" s="13">
        <v>45456</v>
      </c>
      <c r="C1711" s="12" t="s">
        <v>211</v>
      </c>
      <c r="D1711" s="12" t="s">
        <v>293</v>
      </c>
      <c r="E1711" s="12" t="s">
        <v>175</v>
      </c>
      <c r="F1711" s="14">
        <v>1</v>
      </c>
      <c r="G1711" s="14">
        <v>3020</v>
      </c>
      <c r="H1711" s="14">
        <v>15.2</v>
      </c>
      <c r="I1711" s="14">
        <v>2560.96</v>
      </c>
      <c r="J1711" s="12" t="s">
        <v>157</v>
      </c>
      <c r="K1711" s="12" t="s">
        <v>105</v>
      </c>
      <c r="L1711" s="23" t="str">
        <f>VLOOKUP(D1711,Products!$A:$F,3,FALSE)</f>
        <v>Beauty</v>
      </c>
      <c r="M1711" s="23" t="str">
        <f>VLOOKUP(E1711,Sales_Reps!$A:$E,3,FALSE)</f>
        <v>East</v>
      </c>
      <c r="N1711" s="23" t="str">
        <f t="shared" si="78"/>
        <v>Jun-24</v>
      </c>
      <c r="O1711" s="23" t="str">
        <f t="shared" si="79"/>
        <v>Q2 2024</v>
      </c>
      <c r="P1711" s="23">
        <f>VLOOKUP(D1711,Products!$A:$F,4,FALSE)</f>
        <v>1626</v>
      </c>
      <c r="Q1711" s="35">
        <f t="shared" si="80"/>
        <v>0.46158940397350995</v>
      </c>
    </row>
    <row r="1712" spans="1:17">
      <c r="A1712" s="12" t="s">
        <v>2227</v>
      </c>
      <c r="B1712" s="13">
        <v>45539</v>
      </c>
      <c r="C1712" s="12" t="s">
        <v>987</v>
      </c>
      <c r="D1712" s="12" t="s">
        <v>108</v>
      </c>
      <c r="E1712" s="12" t="s">
        <v>246</v>
      </c>
      <c r="F1712" s="14">
        <v>1</v>
      </c>
      <c r="G1712" s="14">
        <v>820</v>
      </c>
      <c r="H1712" s="14">
        <v>6.3</v>
      </c>
      <c r="I1712" s="14">
        <v>768.34</v>
      </c>
      <c r="J1712" s="12" t="s">
        <v>104</v>
      </c>
      <c r="K1712" s="12" t="s">
        <v>129</v>
      </c>
      <c r="L1712" s="23" t="str">
        <f>VLOOKUP(D1712,Products!$A:$F,3,FALSE)</f>
        <v>Apparel</v>
      </c>
      <c r="M1712" s="23" t="str">
        <f>VLOOKUP(E1712,Sales_Reps!$A:$E,3,FALSE)</f>
        <v>West</v>
      </c>
      <c r="N1712" s="23" t="str">
        <f t="shared" si="78"/>
        <v>Sep-24</v>
      </c>
      <c r="O1712" s="23" t="str">
        <f t="shared" si="79"/>
        <v>Q3 2024</v>
      </c>
      <c r="P1712" s="23">
        <f>VLOOKUP(D1712,Products!$A:$F,4,FALSE)</f>
        <v>391</v>
      </c>
      <c r="Q1712" s="35">
        <f t="shared" si="80"/>
        <v>0.52317073170731709</v>
      </c>
    </row>
    <row r="1713" spans="1:17">
      <c r="A1713" s="12" t="s">
        <v>2228</v>
      </c>
      <c r="B1713" s="13">
        <v>45488</v>
      </c>
      <c r="C1713" s="12" t="s">
        <v>985</v>
      </c>
      <c r="D1713" s="12" t="s">
        <v>123</v>
      </c>
      <c r="E1713" s="12" t="s">
        <v>360</v>
      </c>
      <c r="F1713" s="14">
        <v>4</v>
      </c>
      <c r="G1713" s="14">
        <v>3160</v>
      </c>
      <c r="H1713" s="14">
        <v>3.6</v>
      </c>
      <c r="I1713" s="14">
        <v>12184.96</v>
      </c>
      <c r="J1713" s="12" t="s">
        <v>110</v>
      </c>
      <c r="K1713" s="12" t="s">
        <v>116</v>
      </c>
      <c r="L1713" s="23" t="str">
        <f>VLOOKUP(D1713,Products!$A:$F,3,FALSE)</f>
        <v>Apparel</v>
      </c>
      <c r="M1713" s="23" t="str">
        <f>VLOOKUP(E1713,Sales_Reps!$A:$E,3,FALSE)</f>
        <v>West</v>
      </c>
      <c r="N1713" s="23" t="str">
        <f t="shared" si="78"/>
        <v>Jul-24</v>
      </c>
      <c r="O1713" s="23" t="str">
        <f t="shared" si="79"/>
        <v>Q3 2024</v>
      </c>
      <c r="P1713" s="23">
        <f>VLOOKUP(D1713,Products!$A:$F,4,FALSE)</f>
        <v>1886</v>
      </c>
      <c r="Q1713" s="35">
        <f t="shared" si="80"/>
        <v>0.4031645569620253</v>
      </c>
    </row>
    <row r="1714" spans="1:17">
      <c r="A1714" s="12" t="s">
        <v>2229</v>
      </c>
      <c r="B1714" s="13">
        <v>45370</v>
      </c>
      <c r="C1714" s="12" t="s">
        <v>539</v>
      </c>
      <c r="D1714" s="12" t="s">
        <v>119</v>
      </c>
      <c r="E1714" s="12" t="s">
        <v>342</v>
      </c>
      <c r="F1714" s="14">
        <v>1</v>
      </c>
      <c r="G1714" s="14">
        <v>3660</v>
      </c>
      <c r="H1714" s="14">
        <v>28.2</v>
      </c>
      <c r="I1714" s="14">
        <v>2627.88</v>
      </c>
      <c r="J1714" s="12" t="s">
        <v>110</v>
      </c>
      <c r="K1714" s="12" t="s">
        <v>116</v>
      </c>
      <c r="L1714" s="23" t="str">
        <f>VLOOKUP(D1714,Products!$A:$F,3,FALSE)</f>
        <v>Grocery</v>
      </c>
      <c r="M1714" s="23" t="str">
        <f>VLOOKUP(E1714,Sales_Reps!$A:$E,3,FALSE)</f>
        <v>South</v>
      </c>
      <c r="N1714" s="23" t="str">
        <f t="shared" si="78"/>
        <v>Mar-24</v>
      </c>
      <c r="O1714" s="23" t="str">
        <f t="shared" si="79"/>
        <v>Q1 2024</v>
      </c>
      <c r="P1714" s="23">
        <f>VLOOKUP(D1714,Products!$A:$F,4,FALSE)</f>
        <v>2214</v>
      </c>
      <c r="Q1714" s="35">
        <f t="shared" si="80"/>
        <v>0.39508196721311473</v>
      </c>
    </row>
    <row r="1715" spans="1:17">
      <c r="A1715" s="12" t="s">
        <v>2230</v>
      </c>
      <c r="B1715" s="13">
        <v>45394</v>
      </c>
      <c r="C1715" s="12" t="s">
        <v>113</v>
      </c>
      <c r="D1715" s="12" t="s">
        <v>108</v>
      </c>
      <c r="E1715" s="12" t="s">
        <v>218</v>
      </c>
      <c r="F1715" s="14">
        <v>2</v>
      </c>
      <c r="G1715" s="14">
        <v>820</v>
      </c>
      <c r="H1715" s="14">
        <v>7</v>
      </c>
      <c r="I1715" s="14">
        <v>1525.2</v>
      </c>
      <c r="J1715" s="12" t="s">
        <v>104</v>
      </c>
      <c r="K1715" s="12" t="s">
        <v>116</v>
      </c>
      <c r="L1715" s="23" t="str">
        <f>VLOOKUP(D1715,Products!$A:$F,3,FALSE)</f>
        <v>Apparel</v>
      </c>
      <c r="M1715" s="23" t="str">
        <f>VLOOKUP(E1715,Sales_Reps!$A:$E,3,FALSE)</f>
        <v>West</v>
      </c>
      <c r="N1715" s="23" t="str">
        <f t="shared" si="78"/>
        <v>Apr-24</v>
      </c>
      <c r="O1715" s="23" t="str">
        <f t="shared" si="79"/>
        <v>Q2 2024</v>
      </c>
      <c r="P1715" s="23">
        <f>VLOOKUP(D1715,Products!$A:$F,4,FALSE)</f>
        <v>391</v>
      </c>
      <c r="Q1715" s="35">
        <f t="shared" si="80"/>
        <v>0.52317073170731709</v>
      </c>
    </row>
    <row r="1716" spans="1:17">
      <c r="A1716" s="12" t="s">
        <v>2231</v>
      </c>
      <c r="B1716" s="13">
        <v>45446</v>
      </c>
      <c r="C1716" s="12" t="s">
        <v>280</v>
      </c>
      <c r="D1716" s="12" t="s">
        <v>384</v>
      </c>
      <c r="E1716" s="12" t="s">
        <v>302</v>
      </c>
      <c r="F1716" s="14">
        <v>5</v>
      </c>
      <c r="G1716" s="14">
        <v>2380</v>
      </c>
      <c r="H1716" s="14">
        <v>23</v>
      </c>
      <c r="I1716" s="14">
        <v>9163</v>
      </c>
      <c r="J1716" s="12" t="s">
        <v>104</v>
      </c>
      <c r="K1716" s="12" t="s">
        <v>150</v>
      </c>
      <c r="L1716" s="23" t="str">
        <f>VLOOKUP(D1716,Products!$A:$F,3,FALSE)</f>
        <v>Grocery</v>
      </c>
      <c r="M1716" s="23" t="str">
        <f>VLOOKUP(E1716,Sales_Reps!$A:$E,3,FALSE)</f>
        <v>East</v>
      </c>
      <c r="N1716" s="23" t="str">
        <f t="shared" si="78"/>
        <v>Jun-24</v>
      </c>
      <c r="O1716" s="23" t="str">
        <f t="shared" si="79"/>
        <v>Q2 2024</v>
      </c>
      <c r="P1716" s="23">
        <f>VLOOKUP(D1716,Products!$A:$F,4,FALSE)</f>
        <v>1182</v>
      </c>
      <c r="Q1716" s="35">
        <f t="shared" si="80"/>
        <v>0.50336134453781511</v>
      </c>
    </row>
    <row r="1717" spans="1:17">
      <c r="A1717" s="12" t="s">
        <v>2232</v>
      </c>
      <c r="B1717" s="13">
        <v>45612</v>
      </c>
      <c r="C1717" s="12" t="s">
        <v>578</v>
      </c>
      <c r="D1717" s="12" t="s">
        <v>265</v>
      </c>
      <c r="E1717" s="12" t="s">
        <v>269</v>
      </c>
      <c r="F1717" s="14">
        <v>1</v>
      </c>
      <c r="G1717" s="14">
        <v>3870</v>
      </c>
      <c r="H1717" s="14">
        <v>27.3</v>
      </c>
      <c r="I1717" s="14">
        <v>2813.49</v>
      </c>
      <c r="J1717" s="12" t="s">
        <v>104</v>
      </c>
      <c r="K1717" s="12" t="s">
        <v>150</v>
      </c>
      <c r="L1717" s="23" t="str">
        <f>VLOOKUP(D1717,Products!$A:$F,3,FALSE)</f>
        <v>Electronics</v>
      </c>
      <c r="M1717" s="23" t="str">
        <f>VLOOKUP(E1717,Sales_Reps!$A:$E,3,FALSE)</f>
        <v>South</v>
      </c>
      <c r="N1717" s="23" t="str">
        <f t="shared" si="78"/>
        <v>Nov-24</v>
      </c>
      <c r="O1717" s="23" t="str">
        <f t="shared" si="79"/>
        <v>Q4 2024</v>
      </c>
      <c r="P1717" s="23">
        <f>VLOOKUP(D1717,Products!$A:$F,4,FALSE)</f>
        <v>1559</v>
      </c>
      <c r="Q1717" s="35">
        <f t="shared" si="80"/>
        <v>0.59715762273901807</v>
      </c>
    </row>
    <row r="1718" spans="1:17">
      <c r="A1718" s="12" t="s">
        <v>2233</v>
      </c>
      <c r="B1718" s="13">
        <v>45301</v>
      </c>
      <c r="C1718" s="12" t="s">
        <v>679</v>
      </c>
      <c r="D1718" s="12" t="s">
        <v>299</v>
      </c>
      <c r="E1718" s="12" t="s">
        <v>103</v>
      </c>
      <c r="F1718" s="14">
        <v>10</v>
      </c>
      <c r="G1718" s="14">
        <v>300</v>
      </c>
      <c r="H1718" s="14">
        <v>14.1</v>
      </c>
      <c r="I1718" s="14">
        <v>2577</v>
      </c>
      <c r="J1718" s="12" t="s">
        <v>157</v>
      </c>
      <c r="K1718" s="12" t="s">
        <v>111</v>
      </c>
      <c r="L1718" s="23" t="str">
        <f>VLOOKUP(D1718,Products!$A:$F,3,FALSE)</f>
        <v>Electronics</v>
      </c>
      <c r="M1718" s="23" t="str">
        <f>VLOOKUP(E1718,Sales_Reps!$A:$E,3,FALSE)</f>
        <v>North</v>
      </c>
      <c r="N1718" s="23" t="str">
        <f t="shared" si="78"/>
        <v>Jan-24</v>
      </c>
      <c r="O1718" s="23" t="str">
        <f t="shared" si="79"/>
        <v>Q1 2024</v>
      </c>
      <c r="P1718" s="23">
        <f>VLOOKUP(D1718,Products!$A:$F,4,FALSE)</f>
        <v>128</v>
      </c>
      <c r="Q1718" s="35">
        <f t="shared" si="80"/>
        <v>0.57333333333333336</v>
      </c>
    </row>
    <row r="1719" spans="1:17">
      <c r="A1719" s="12" t="s">
        <v>2234</v>
      </c>
      <c r="B1719" s="13">
        <v>45647</v>
      </c>
      <c r="C1719" s="12" t="s">
        <v>912</v>
      </c>
      <c r="D1719" s="12" t="s">
        <v>208</v>
      </c>
      <c r="E1719" s="12" t="s">
        <v>360</v>
      </c>
      <c r="F1719" s="14">
        <v>10</v>
      </c>
      <c r="G1719" s="14">
        <v>5100</v>
      </c>
      <c r="H1719" s="14">
        <v>12.7</v>
      </c>
      <c r="I1719" s="14">
        <v>44523</v>
      </c>
      <c r="J1719" s="12" t="s">
        <v>104</v>
      </c>
      <c r="K1719" s="12" t="s">
        <v>134</v>
      </c>
      <c r="L1719" s="23" t="str">
        <f>VLOOKUP(D1719,Products!$A:$F,3,FALSE)</f>
        <v>Beauty</v>
      </c>
      <c r="M1719" s="23" t="str">
        <f>VLOOKUP(E1719,Sales_Reps!$A:$E,3,FALSE)</f>
        <v>West</v>
      </c>
      <c r="N1719" s="23" t="str">
        <f t="shared" si="78"/>
        <v>Dec-24</v>
      </c>
      <c r="O1719" s="23" t="str">
        <f t="shared" si="79"/>
        <v>Q4 2024</v>
      </c>
      <c r="P1719" s="23">
        <f>VLOOKUP(D1719,Products!$A:$F,4,FALSE)</f>
        <v>2237</v>
      </c>
      <c r="Q1719" s="35">
        <f t="shared" si="80"/>
        <v>0.56137254901960787</v>
      </c>
    </row>
    <row r="1720" spans="1:17">
      <c r="A1720" s="12" t="s">
        <v>2235</v>
      </c>
      <c r="B1720" s="13">
        <v>45589</v>
      </c>
      <c r="C1720" s="12" t="s">
        <v>919</v>
      </c>
      <c r="D1720" s="12" t="s">
        <v>217</v>
      </c>
      <c r="E1720" s="12" t="s">
        <v>269</v>
      </c>
      <c r="F1720" s="14">
        <v>1</v>
      </c>
      <c r="G1720" s="14">
        <v>2760</v>
      </c>
      <c r="H1720" s="14">
        <v>17.8</v>
      </c>
      <c r="I1720" s="14">
        <v>2268.7199999999998</v>
      </c>
      <c r="J1720" s="12" t="s">
        <v>161</v>
      </c>
      <c r="K1720" s="12" t="s">
        <v>129</v>
      </c>
      <c r="L1720" s="23" t="str">
        <f>VLOOKUP(D1720,Products!$A:$F,3,FALSE)</f>
        <v>Grocery</v>
      </c>
      <c r="M1720" s="23" t="str">
        <f>VLOOKUP(E1720,Sales_Reps!$A:$E,3,FALSE)</f>
        <v>South</v>
      </c>
      <c r="N1720" s="23" t="str">
        <f t="shared" si="78"/>
        <v>Oct-24</v>
      </c>
      <c r="O1720" s="23" t="str">
        <f t="shared" si="79"/>
        <v>Q4 2024</v>
      </c>
      <c r="P1720" s="23">
        <f>VLOOKUP(D1720,Products!$A:$F,4,FALSE)</f>
        <v>1435</v>
      </c>
      <c r="Q1720" s="35">
        <f t="shared" si="80"/>
        <v>0.48007246376811596</v>
      </c>
    </row>
    <row r="1721" spans="1:17">
      <c r="A1721" s="12" t="s">
        <v>2236</v>
      </c>
      <c r="B1721" s="13">
        <v>45382</v>
      </c>
      <c r="C1721" s="12" t="s">
        <v>518</v>
      </c>
      <c r="D1721" s="12" t="s">
        <v>381</v>
      </c>
      <c r="E1721" s="12" t="s">
        <v>314</v>
      </c>
      <c r="F1721" s="14">
        <v>8</v>
      </c>
      <c r="G1721" s="14">
        <v>5330</v>
      </c>
      <c r="H1721" s="14">
        <v>16.399999999999999</v>
      </c>
      <c r="I1721" s="14">
        <v>35647.040000000001</v>
      </c>
      <c r="J1721" s="12" t="s">
        <v>104</v>
      </c>
      <c r="K1721" s="12" t="s">
        <v>150</v>
      </c>
      <c r="L1721" s="23" t="str">
        <f>VLOOKUP(D1721,Products!$A:$F,3,FALSE)</f>
        <v>Electronics</v>
      </c>
      <c r="M1721" s="23" t="str">
        <f>VLOOKUP(E1721,Sales_Reps!$A:$E,3,FALSE)</f>
        <v>North</v>
      </c>
      <c r="N1721" s="23" t="str">
        <f t="shared" si="78"/>
        <v>Mar-24</v>
      </c>
      <c r="O1721" s="23" t="str">
        <f t="shared" si="79"/>
        <v>Q1 2024</v>
      </c>
      <c r="P1721" s="23">
        <f>VLOOKUP(D1721,Products!$A:$F,4,FALSE)</f>
        <v>2405</v>
      </c>
      <c r="Q1721" s="35">
        <f t="shared" si="80"/>
        <v>0.54878048780487809</v>
      </c>
    </row>
    <row r="1722" spans="1:17">
      <c r="A1722" s="12" t="s">
        <v>2237</v>
      </c>
      <c r="B1722" s="13">
        <v>45457</v>
      </c>
      <c r="C1722" s="12" t="s">
        <v>679</v>
      </c>
      <c r="D1722" s="12" t="s">
        <v>199</v>
      </c>
      <c r="E1722" s="12" t="s">
        <v>363</v>
      </c>
      <c r="F1722" s="14">
        <v>1</v>
      </c>
      <c r="G1722" s="14">
        <v>1010</v>
      </c>
      <c r="H1722" s="14">
        <v>20.399999999999999</v>
      </c>
      <c r="I1722" s="14">
        <v>803.96</v>
      </c>
      <c r="J1722" s="12" t="s">
        <v>157</v>
      </c>
      <c r="K1722" s="12" t="s">
        <v>111</v>
      </c>
      <c r="L1722" s="23" t="str">
        <f>VLOOKUP(D1722,Products!$A:$F,3,FALSE)</f>
        <v>Sports</v>
      </c>
      <c r="M1722" s="23" t="str">
        <f>VLOOKUP(E1722,Sales_Reps!$A:$E,3,FALSE)</f>
        <v>South</v>
      </c>
      <c r="N1722" s="23" t="str">
        <f t="shared" si="78"/>
        <v>Jun-24</v>
      </c>
      <c r="O1722" s="23" t="str">
        <f t="shared" si="79"/>
        <v>Q2 2024</v>
      </c>
      <c r="P1722" s="23">
        <f>VLOOKUP(D1722,Products!$A:$F,4,FALSE)</f>
        <v>516</v>
      </c>
      <c r="Q1722" s="35">
        <f t="shared" si="80"/>
        <v>0.4891089108910891</v>
      </c>
    </row>
    <row r="1723" spans="1:17">
      <c r="A1723" s="12" t="s">
        <v>2238</v>
      </c>
      <c r="B1723" s="13">
        <v>45376</v>
      </c>
      <c r="C1723" s="12" t="s">
        <v>126</v>
      </c>
      <c r="D1723" s="12" t="s">
        <v>296</v>
      </c>
      <c r="E1723" s="12" t="s">
        <v>138</v>
      </c>
      <c r="F1723" s="14">
        <v>10</v>
      </c>
      <c r="G1723" s="14">
        <v>2660</v>
      </c>
      <c r="H1723" s="14">
        <v>29.3</v>
      </c>
      <c r="I1723" s="14">
        <v>18806.2</v>
      </c>
      <c r="J1723" s="12" t="s">
        <v>104</v>
      </c>
      <c r="K1723" s="12" t="s">
        <v>129</v>
      </c>
      <c r="L1723" s="23" t="str">
        <f>VLOOKUP(D1723,Products!$A:$F,3,FALSE)</f>
        <v>Electronics</v>
      </c>
      <c r="M1723" s="23" t="str">
        <f>VLOOKUP(E1723,Sales_Reps!$A:$E,3,FALSE)</f>
        <v>East</v>
      </c>
      <c r="N1723" s="23" t="str">
        <f t="shared" si="78"/>
        <v>Mar-24</v>
      </c>
      <c r="O1723" s="23" t="str">
        <f t="shared" si="79"/>
        <v>Q1 2024</v>
      </c>
      <c r="P1723" s="23">
        <f>VLOOKUP(D1723,Products!$A:$F,4,FALSE)</f>
        <v>1259</v>
      </c>
      <c r="Q1723" s="35">
        <f t="shared" si="80"/>
        <v>0.52669172932330832</v>
      </c>
    </row>
    <row r="1724" spans="1:17">
      <c r="A1724" s="12" t="s">
        <v>2239</v>
      </c>
      <c r="B1724" s="13">
        <v>45506</v>
      </c>
      <c r="C1724" s="12" t="s">
        <v>186</v>
      </c>
      <c r="D1724" s="12" t="s">
        <v>425</v>
      </c>
      <c r="E1724" s="12" t="s">
        <v>290</v>
      </c>
      <c r="F1724" s="14">
        <v>9</v>
      </c>
      <c r="G1724" s="14">
        <v>3970</v>
      </c>
      <c r="H1724" s="14">
        <v>10.4</v>
      </c>
      <c r="I1724" s="14">
        <v>32014.080000000002</v>
      </c>
      <c r="J1724" s="12" t="s">
        <v>110</v>
      </c>
      <c r="K1724" s="12" t="s">
        <v>129</v>
      </c>
      <c r="L1724" s="23" t="str">
        <f>VLOOKUP(D1724,Products!$A:$F,3,FALSE)</f>
        <v>Electronics</v>
      </c>
      <c r="M1724" s="23" t="str">
        <f>VLOOKUP(E1724,Sales_Reps!$A:$E,3,FALSE)</f>
        <v>South</v>
      </c>
      <c r="N1724" s="23" t="str">
        <f t="shared" si="78"/>
        <v>Aug-24</v>
      </c>
      <c r="O1724" s="23" t="str">
        <f t="shared" si="79"/>
        <v>Q3 2024</v>
      </c>
      <c r="P1724" s="23">
        <f>VLOOKUP(D1724,Products!$A:$F,4,FALSE)</f>
        <v>2865</v>
      </c>
      <c r="Q1724" s="35">
        <f t="shared" si="80"/>
        <v>0.27833753148614609</v>
      </c>
    </row>
    <row r="1725" spans="1:17">
      <c r="A1725" s="12" t="s">
        <v>2240</v>
      </c>
      <c r="B1725" s="13">
        <v>45472</v>
      </c>
      <c r="C1725" s="12" t="s">
        <v>922</v>
      </c>
      <c r="D1725" s="12" t="s">
        <v>102</v>
      </c>
      <c r="E1725" s="12" t="s">
        <v>124</v>
      </c>
      <c r="F1725" s="14">
        <v>3</v>
      </c>
      <c r="G1725" s="14">
        <v>3620</v>
      </c>
      <c r="H1725" s="14">
        <v>22</v>
      </c>
      <c r="I1725" s="14">
        <v>8470.7999999999993</v>
      </c>
      <c r="J1725" s="12" t="s">
        <v>104</v>
      </c>
      <c r="K1725" s="12" t="s">
        <v>129</v>
      </c>
      <c r="L1725" s="23" t="str">
        <f>VLOOKUP(D1725,Products!$A:$F,3,FALSE)</f>
        <v>Apparel</v>
      </c>
      <c r="M1725" s="23" t="str">
        <f>VLOOKUP(E1725,Sales_Reps!$A:$E,3,FALSE)</f>
        <v>North</v>
      </c>
      <c r="N1725" s="23" t="str">
        <f t="shared" si="78"/>
        <v>Jun-24</v>
      </c>
      <c r="O1725" s="23" t="str">
        <f t="shared" si="79"/>
        <v>Q2 2024</v>
      </c>
      <c r="P1725" s="23">
        <f>VLOOKUP(D1725,Products!$A:$F,4,FALSE)</f>
        <v>2509</v>
      </c>
      <c r="Q1725" s="35">
        <f t="shared" si="80"/>
        <v>0.3069060773480663</v>
      </c>
    </row>
    <row r="1726" spans="1:17">
      <c r="A1726" s="12" t="s">
        <v>2241</v>
      </c>
      <c r="B1726" s="13">
        <v>45383</v>
      </c>
      <c r="C1726" s="12" t="s">
        <v>556</v>
      </c>
      <c r="D1726" s="12" t="s">
        <v>262</v>
      </c>
      <c r="E1726" s="12" t="s">
        <v>320</v>
      </c>
      <c r="F1726" s="14">
        <v>6</v>
      </c>
      <c r="G1726" s="14">
        <v>2270</v>
      </c>
      <c r="H1726" s="14">
        <v>11.1</v>
      </c>
      <c r="I1726" s="14">
        <v>12108.18</v>
      </c>
      <c r="J1726" s="12" t="s">
        <v>157</v>
      </c>
      <c r="K1726" s="12" t="s">
        <v>150</v>
      </c>
      <c r="L1726" s="23" t="str">
        <f>VLOOKUP(D1726,Products!$A:$F,3,FALSE)</f>
        <v>Grocery</v>
      </c>
      <c r="M1726" s="23" t="str">
        <f>VLOOKUP(E1726,Sales_Reps!$A:$E,3,FALSE)</f>
        <v>East</v>
      </c>
      <c r="N1726" s="23" t="str">
        <f t="shared" si="78"/>
        <v>Apr-24</v>
      </c>
      <c r="O1726" s="23" t="str">
        <f t="shared" si="79"/>
        <v>Q2 2024</v>
      </c>
      <c r="P1726" s="23">
        <f>VLOOKUP(D1726,Products!$A:$F,4,FALSE)</f>
        <v>1412</v>
      </c>
      <c r="Q1726" s="35">
        <f t="shared" si="80"/>
        <v>0.37797356828193834</v>
      </c>
    </row>
    <row r="1727" spans="1:17">
      <c r="A1727" s="12" t="s">
        <v>2242</v>
      </c>
      <c r="B1727" s="13">
        <v>45543</v>
      </c>
      <c r="C1727" s="12" t="s">
        <v>1378</v>
      </c>
      <c r="D1727" s="12" t="s">
        <v>262</v>
      </c>
      <c r="E1727" s="12" t="s">
        <v>115</v>
      </c>
      <c r="F1727" s="14">
        <v>4</v>
      </c>
      <c r="G1727" s="14">
        <v>2270</v>
      </c>
      <c r="H1727" s="14">
        <v>27.2</v>
      </c>
      <c r="I1727" s="14">
        <v>6610.24</v>
      </c>
      <c r="J1727" s="12" t="s">
        <v>110</v>
      </c>
      <c r="K1727" s="12" t="s">
        <v>111</v>
      </c>
      <c r="L1727" s="23" t="str">
        <f>VLOOKUP(D1727,Products!$A:$F,3,FALSE)</f>
        <v>Grocery</v>
      </c>
      <c r="M1727" s="23" t="str">
        <f>VLOOKUP(E1727,Sales_Reps!$A:$E,3,FALSE)</f>
        <v>South</v>
      </c>
      <c r="N1727" s="23" t="str">
        <f t="shared" si="78"/>
        <v>Sep-24</v>
      </c>
      <c r="O1727" s="23" t="str">
        <f t="shared" si="79"/>
        <v>Q3 2024</v>
      </c>
      <c r="P1727" s="23">
        <f>VLOOKUP(D1727,Products!$A:$F,4,FALSE)</f>
        <v>1412</v>
      </c>
      <c r="Q1727" s="35">
        <f t="shared" si="80"/>
        <v>0.37797356828193834</v>
      </c>
    </row>
    <row r="1728" spans="1:17">
      <c r="A1728" s="12" t="s">
        <v>2243</v>
      </c>
      <c r="B1728" s="13">
        <v>45576</v>
      </c>
      <c r="C1728" s="12" t="s">
        <v>464</v>
      </c>
      <c r="D1728" s="12" t="s">
        <v>287</v>
      </c>
      <c r="E1728" s="12" t="s">
        <v>342</v>
      </c>
      <c r="F1728" s="14">
        <v>8</v>
      </c>
      <c r="G1728" s="14">
        <v>4610</v>
      </c>
      <c r="H1728" s="14">
        <v>24.5</v>
      </c>
      <c r="I1728" s="14">
        <v>27844.400000000001</v>
      </c>
      <c r="J1728" s="12" t="s">
        <v>104</v>
      </c>
      <c r="K1728" s="12" t="s">
        <v>129</v>
      </c>
      <c r="L1728" s="23" t="str">
        <f>VLOOKUP(D1728,Products!$A:$F,3,FALSE)</f>
        <v>Home</v>
      </c>
      <c r="M1728" s="23" t="str">
        <f>VLOOKUP(E1728,Sales_Reps!$A:$E,3,FALSE)</f>
        <v>South</v>
      </c>
      <c r="N1728" s="23" t="str">
        <f t="shared" si="78"/>
        <v>Oct-24</v>
      </c>
      <c r="O1728" s="23" t="str">
        <f t="shared" si="79"/>
        <v>Q4 2024</v>
      </c>
      <c r="P1728" s="23">
        <f>VLOOKUP(D1728,Products!$A:$F,4,FALSE)</f>
        <v>1850</v>
      </c>
      <c r="Q1728" s="35">
        <f t="shared" si="80"/>
        <v>0.59869848156182215</v>
      </c>
    </row>
    <row r="1729" spans="1:17">
      <c r="A1729" s="12" t="s">
        <v>2244</v>
      </c>
      <c r="B1729" s="13">
        <v>45366</v>
      </c>
      <c r="C1729" s="12" t="s">
        <v>701</v>
      </c>
      <c r="D1729" s="12" t="s">
        <v>164</v>
      </c>
      <c r="E1729" s="12" t="s">
        <v>209</v>
      </c>
      <c r="F1729" s="14">
        <v>6</v>
      </c>
      <c r="G1729" s="14">
        <v>190</v>
      </c>
      <c r="H1729" s="14">
        <v>8.6999999999999993</v>
      </c>
      <c r="I1729" s="14">
        <v>1040.82</v>
      </c>
      <c r="J1729" s="12" t="s">
        <v>157</v>
      </c>
      <c r="K1729" s="12" t="s">
        <v>116</v>
      </c>
      <c r="L1729" s="23" t="str">
        <f>VLOOKUP(D1729,Products!$A:$F,3,FALSE)</f>
        <v>Sports</v>
      </c>
      <c r="M1729" s="23" t="str">
        <f>VLOOKUP(E1729,Sales_Reps!$A:$E,3,FALSE)</f>
        <v>East</v>
      </c>
      <c r="N1729" s="23" t="str">
        <f t="shared" si="78"/>
        <v>Mar-24</v>
      </c>
      <c r="O1729" s="23" t="str">
        <f t="shared" si="79"/>
        <v>Q1 2024</v>
      </c>
      <c r="P1729" s="23">
        <f>VLOOKUP(D1729,Products!$A:$F,4,FALSE)</f>
        <v>147</v>
      </c>
      <c r="Q1729" s="35">
        <f t="shared" si="80"/>
        <v>0.22631578947368422</v>
      </c>
    </row>
    <row r="1730" spans="1:17">
      <c r="A1730" s="12" t="s">
        <v>2245</v>
      </c>
      <c r="B1730" s="13">
        <v>45617</v>
      </c>
      <c r="C1730" s="12" t="s">
        <v>261</v>
      </c>
      <c r="D1730" s="12" t="s">
        <v>312</v>
      </c>
      <c r="E1730" s="12" t="s">
        <v>218</v>
      </c>
      <c r="F1730" s="14">
        <v>5</v>
      </c>
      <c r="G1730" s="14">
        <v>2030</v>
      </c>
      <c r="H1730" s="14">
        <v>0.9</v>
      </c>
      <c r="I1730" s="14">
        <v>10058.65</v>
      </c>
      <c r="J1730" s="12" t="s">
        <v>157</v>
      </c>
      <c r="K1730" s="12" t="s">
        <v>111</v>
      </c>
      <c r="L1730" s="23" t="str">
        <f>VLOOKUP(D1730,Products!$A:$F,3,FALSE)</f>
        <v>Home</v>
      </c>
      <c r="M1730" s="23" t="str">
        <f>VLOOKUP(E1730,Sales_Reps!$A:$E,3,FALSE)</f>
        <v>West</v>
      </c>
      <c r="N1730" s="23" t="str">
        <f t="shared" si="78"/>
        <v>Nov-24</v>
      </c>
      <c r="O1730" s="23" t="str">
        <f t="shared" si="79"/>
        <v>Q4 2024</v>
      </c>
      <c r="P1730" s="23">
        <f>VLOOKUP(D1730,Products!$A:$F,4,FALSE)</f>
        <v>1143</v>
      </c>
      <c r="Q1730" s="35">
        <f t="shared" si="80"/>
        <v>0.43694581280788175</v>
      </c>
    </row>
    <row r="1731" spans="1:17">
      <c r="A1731" s="12" t="s">
        <v>2246</v>
      </c>
      <c r="B1731" s="13">
        <v>45614</v>
      </c>
      <c r="C1731" s="12" t="s">
        <v>457</v>
      </c>
      <c r="D1731" s="12" t="s">
        <v>281</v>
      </c>
      <c r="E1731" s="12" t="s">
        <v>209</v>
      </c>
      <c r="F1731" s="14">
        <v>1</v>
      </c>
      <c r="G1731" s="14">
        <v>4070</v>
      </c>
      <c r="H1731" s="14">
        <v>9.3000000000000007</v>
      </c>
      <c r="I1731" s="14">
        <v>3691.49</v>
      </c>
      <c r="J1731" s="12" t="s">
        <v>161</v>
      </c>
      <c r="K1731" s="12" t="s">
        <v>105</v>
      </c>
      <c r="L1731" s="23" t="str">
        <f>VLOOKUP(D1731,Products!$A:$F,3,FALSE)</f>
        <v>Grocery</v>
      </c>
      <c r="M1731" s="23" t="str">
        <f>VLOOKUP(E1731,Sales_Reps!$A:$E,3,FALSE)</f>
        <v>East</v>
      </c>
      <c r="N1731" s="23" t="str">
        <f t="shared" ref="N1731:N1794" si="81">TEXT(B1731, "mmm-yy")</f>
        <v>Nov-24</v>
      </c>
      <c r="O1731" s="23" t="str">
        <f t="shared" ref="O1731:O1794" si="82">"Q" &amp; INT((MONTH(B1731)-1)/3)+1 &amp; " " &amp; YEAR(B1731)</f>
        <v>Q4 2024</v>
      </c>
      <c r="P1731" s="23">
        <f>VLOOKUP(D1731,Products!$A:$F,4,FALSE)</f>
        <v>2027</v>
      </c>
      <c r="Q1731" s="35">
        <f t="shared" ref="Q1731:Q1794" si="83">(G1731 - P1731) / G1731</f>
        <v>0.50196560196560192</v>
      </c>
    </row>
    <row r="1732" spans="1:17">
      <c r="A1732" s="12" t="s">
        <v>2247</v>
      </c>
      <c r="B1732" s="13">
        <v>45460</v>
      </c>
      <c r="C1732" s="12" t="s">
        <v>550</v>
      </c>
      <c r="D1732" s="12" t="s">
        <v>403</v>
      </c>
      <c r="E1732" s="12" t="s">
        <v>232</v>
      </c>
      <c r="F1732" s="14">
        <v>3</v>
      </c>
      <c r="G1732" s="14">
        <v>2290</v>
      </c>
      <c r="H1732" s="14">
        <v>12.1</v>
      </c>
      <c r="I1732" s="14">
        <v>6038.73</v>
      </c>
      <c r="J1732" s="12" t="s">
        <v>104</v>
      </c>
      <c r="K1732" s="12" t="s">
        <v>116</v>
      </c>
      <c r="L1732" s="23" t="str">
        <f>VLOOKUP(D1732,Products!$A:$F,3,FALSE)</f>
        <v>Beauty</v>
      </c>
      <c r="M1732" s="23" t="str">
        <f>VLOOKUP(E1732,Sales_Reps!$A:$E,3,FALSE)</f>
        <v>North</v>
      </c>
      <c r="N1732" s="23" t="str">
        <f t="shared" si="81"/>
        <v>Jun-24</v>
      </c>
      <c r="O1732" s="23" t="str">
        <f t="shared" si="82"/>
        <v>Q2 2024</v>
      </c>
      <c r="P1732" s="23">
        <f>VLOOKUP(D1732,Products!$A:$F,4,FALSE)</f>
        <v>1219</v>
      </c>
      <c r="Q1732" s="35">
        <f t="shared" si="83"/>
        <v>0.46768558951965067</v>
      </c>
    </row>
    <row r="1733" spans="1:17">
      <c r="A1733" s="12" t="s">
        <v>2248</v>
      </c>
      <c r="B1733" s="13">
        <v>45514</v>
      </c>
      <c r="C1733" s="12" t="s">
        <v>435</v>
      </c>
      <c r="D1733" s="12" t="s">
        <v>243</v>
      </c>
      <c r="E1733" s="12" t="s">
        <v>209</v>
      </c>
      <c r="F1733" s="14">
        <v>7</v>
      </c>
      <c r="G1733" s="14">
        <v>3730</v>
      </c>
      <c r="H1733" s="14">
        <v>4.5</v>
      </c>
      <c r="I1733" s="14">
        <v>24935.05</v>
      </c>
      <c r="J1733" s="12" t="s">
        <v>104</v>
      </c>
      <c r="K1733" s="12" t="s">
        <v>150</v>
      </c>
      <c r="L1733" s="23" t="str">
        <f>VLOOKUP(D1733,Products!$A:$F,3,FALSE)</f>
        <v>Home</v>
      </c>
      <c r="M1733" s="23" t="str">
        <f>VLOOKUP(E1733,Sales_Reps!$A:$E,3,FALSE)</f>
        <v>East</v>
      </c>
      <c r="N1733" s="23" t="str">
        <f t="shared" si="81"/>
        <v>Aug-24</v>
      </c>
      <c r="O1733" s="23" t="str">
        <f t="shared" si="82"/>
        <v>Q3 2024</v>
      </c>
      <c r="P1733" s="23">
        <f>VLOOKUP(D1733,Products!$A:$F,4,FALSE)</f>
        <v>2135</v>
      </c>
      <c r="Q1733" s="35">
        <f t="shared" si="83"/>
        <v>0.42761394101876676</v>
      </c>
    </row>
    <row r="1734" spans="1:17">
      <c r="A1734" s="12" t="s">
        <v>2249</v>
      </c>
      <c r="B1734" s="13">
        <v>45306</v>
      </c>
      <c r="C1734" s="12" t="s">
        <v>430</v>
      </c>
      <c r="D1734" s="12" t="s">
        <v>309</v>
      </c>
      <c r="E1734" s="12" t="s">
        <v>109</v>
      </c>
      <c r="F1734" s="14">
        <v>5</v>
      </c>
      <c r="G1734" s="14">
        <v>620</v>
      </c>
      <c r="H1734" s="14">
        <v>7.5</v>
      </c>
      <c r="I1734" s="14">
        <v>2867.5</v>
      </c>
      <c r="J1734" s="12" t="s">
        <v>104</v>
      </c>
      <c r="K1734" s="12" t="s">
        <v>105</v>
      </c>
      <c r="L1734" s="23" t="str">
        <f>VLOOKUP(D1734,Products!$A:$F,3,FALSE)</f>
        <v>Apparel</v>
      </c>
      <c r="M1734" s="23" t="str">
        <f>VLOOKUP(E1734,Sales_Reps!$A:$E,3,FALSE)</f>
        <v>North</v>
      </c>
      <c r="N1734" s="23" t="str">
        <f t="shared" si="81"/>
        <v>Jan-24</v>
      </c>
      <c r="O1734" s="23" t="str">
        <f t="shared" si="82"/>
        <v>Q1 2024</v>
      </c>
      <c r="P1734" s="23">
        <f>VLOOKUP(D1734,Products!$A:$F,4,FALSE)</f>
        <v>396</v>
      </c>
      <c r="Q1734" s="35">
        <f t="shared" si="83"/>
        <v>0.36129032258064514</v>
      </c>
    </row>
    <row r="1735" spans="1:17">
      <c r="A1735" s="12" t="s">
        <v>2250</v>
      </c>
      <c r="B1735" s="13">
        <v>45455</v>
      </c>
      <c r="C1735" s="12" t="s">
        <v>399</v>
      </c>
      <c r="D1735" s="12" t="s">
        <v>152</v>
      </c>
      <c r="E1735" s="12" t="s">
        <v>149</v>
      </c>
      <c r="F1735" s="14">
        <v>8</v>
      </c>
      <c r="G1735" s="14">
        <v>2640</v>
      </c>
      <c r="H1735" s="14">
        <v>16.399999999999999</v>
      </c>
      <c r="I1735" s="14">
        <v>17656.32</v>
      </c>
      <c r="J1735" s="12" t="s">
        <v>104</v>
      </c>
      <c r="K1735" s="12" t="s">
        <v>116</v>
      </c>
      <c r="L1735" s="23" t="str">
        <f>VLOOKUP(D1735,Products!$A:$F,3,FALSE)</f>
        <v>Electronics</v>
      </c>
      <c r="M1735" s="23" t="str">
        <f>VLOOKUP(E1735,Sales_Reps!$A:$E,3,FALSE)</f>
        <v>South</v>
      </c>
      <c r="N1735" s="23" t="str">
        <f t="shared" si="81"/>
        <v>Jun-24</v>
      </c>
      <c r="O1735" s="23" t="str">
        <f t="shared" si="82"/>
        <v>Q2 2024</v>
      </c>
      <c r="P1735" s="23">
        <f>VLOOKUP(D1735,Products!$A:$F,4,FALSE)</f>
        <v>1149</v>
      </c>
      <c r="Q1735" s="35">
        <f t="shared" si="83"/>
        <v>0.56477272727272732</v>
      </c>
    </row>
    <row r="1736" spans="1:17">
      <c r="A1736" s="12" t="s">
        <v>2251</v>
      </c>
      <c r="B1736" s="13">
        <v>45564</v>
      </c>
      <c r="C1736" s="12" t="s">
        <v>335</v>
      </c>
      <c r="D1736" s="12" t="s">
        <v>119</v>
      </c>
      <c r="E1736" s="12" t="s">
        <v>156</v>
      </c>
      <c r="F1736" s="14">
        <v>6</v>
      </c>
      <c r="G1736" s="14">
        <v>3660</v>
      </c>
      <c r="H1736" s="14">
        <v>6.2</v>
      </c>
      <c r="I1736" s="14">
        <v>20598.48</v>
      </c>
      <c r="J1736" s="12" t="s">
        <v>104</v>
      </c>
      <c r="K1736" s="12" t="s">
        <v>111</v>
      </c>
      <c r="L1736" s="23" t="str">
        <f>VLOOKUP(D1736,Products!$A:$F,3,FALSE)</f>
        <v>Grocery</v>
      </c>
      <c r="M1736" s="23" t="str">
        <f>VLOOKUP(E1736,Sales_Reps!$A:$E,3,FALSE)</f>
        <v>North</v>
      </c>
      <c r="N1736" s="23" t="str">
        <f t="shared" si="81"/>
        <v>Sep-24</v>
      </c>
      <c r="O1736" s="23" t="str">
        <f t="shared" si="82"/>
        <v>Q3 2024</v>
      </c>
      <c r="P1736" s="23">
        <f>VLOOKUP(D1736,Products!$A:$F,4,FALSE)</f>
        <v>2214</v>
      </c>
      <c r="Q1736" s="35">
        <f t="shared" si="83"/>
        <v>0.39508196721311473</v>
      </c>
    </row>
    <row r="1737" spans="1:17">
      <c r="A1737" s="12" t="s">
        <v>2252</v>
      </c>
      <c r="B1737" s="13">
        <v>45507</v>
      </c>
      <c r="C1737" s="12" t="s">
        <v>668</v>
      </c>
      <c r="D1737" s="12" t="s">
        <v>108</v>
      </c>
      <c r="E1737" s="12" t="s">
        <v>209</v>
      </c>
      <c r="F1737" s="14">
        <v>2</v>
      </c>
      <c r="G1737" s="14">
        <v>820</v>
      </c>
      <c r="H1737" s="14">
        <v>25.4</v>
      </c>
      <c r="I1737" s="14">
        <v>1223.44</v>
      </c>
      <c r="J1737" s="12" t="s">
        <v>104</v>
      </c>
      <c r="K1737" s="12" t="s">
        <v>150</v>
      </c>
      <c r="L1737" s="23" t="str">
        <f>VLOOKUP(D1737,Products!$A:$F,3,FALSE)</f>
        <v>Apparel</v>
      </c>
      <c r="M1737" s="23" t="str">
        <f>VLOOKUP(E1737,Sales_Reps!$A:$E,3,FALSE)</f>
        <v>East</v>
      </c>
      <c r="N1737" s="23" t="str">
        <f t="shared" si="81"/>
        <v>Aug-24</v>
      </c>
      <c r="O1737" s="23" t="str">
        <f t="shared" si="82"/>
        <v>Q3 2024</v>
      </c>
      <c r="P1737" s="23">
        <f>VLOOKUP(D1737,Products!$A:$F,4,FALSE)</f>
        <v>391</v>
      </c>
      <c r="Q1737" s="35">
        <f t="shared" si="83"/>
        <v>0.52317073170731709</v>
      </c>
    </row>
    <row r="1738" spans="1:17">
      <c r="A1738" s="12" t="s">
        <v>2253</v>
      </c>
      <c r="B1738" s="13">
        <v>45596</v>
      </c>
      <c r="C1738" s="12" t="s">
        <v>1251</v>
      </c>
      <c r="D1738" s="12" t="s">
        <v>184</v>
      </c>
      <c r="E1738" s="12" t="s">
        <v>175</v>
      </c>
      <c r="F1738" s="14">
        <v>3</v>
      </c>
      <c r="G1738" s="14">
        <v>2480</v>
      </c>
      <c r="H1738" s="14">
        <v>28.7</v>
      </c>
      <c r="I1738" s="14">
        <v>5304.72</v>
      </c>
      <c r="J1738" s="12" t="s">
        <v>110</v>
      </c>
      <c r="K1738" s="12" t="s">
        <v>129</v>
      </c>
      <c r="L1738" s="23" t="str">
        <f>VLOOKUP(D1738,Products!$A:$F,3,FALSE)</f>
        <v>Apparel</v>
      </c>
      <c r="M1738" s="23" t="str">
        <f>VLOOKUP(E1738,Sales_Reps!$A:$E,3,FALSE)</f>
        <v>East</v>
      </c>
      <c r="N1738" s="23" t="str">
        <f t="shared" si="81"/>
        <v>Oct-24</v>
      </c>
      <c r="O1738" s="23" t="str">
        <f t="shared" si="82"/>
        <v>Q4 2024</v>
      </c>
      <c r="P1738" s="23">
        <f>VLOOKUP(D1738,Products!$A:$F,4,FALSE)</f>
        <v>1173</v>
      </c>
      <c r="Q1738" s="35">
        <f t="shared" si="83"/>
        <v>0.52701612903225803</v>
      </c>
    </row>
    <row r="1739" spans="1:17">
      <c r="A1739" s="12" t="s">
        <v>2254</v>
      </c>
      <c r="B1739" s="13">
        <v>45534</v>
      </c>
      <c r="C1739" s="12" t="s">
        <v>840</v>
      </c>
      <c r="D1739" s="12" t="s">
        <v>258</v>
      </c>
      <c r="E1739" s="12" t="s">
        <v>145</v>
      </c>
      <c r="F1739" s="14">
        <v>10</v>
      </c>
      <c r="G1739" s="14">
        <v>6080</v>
      </c>
      <c r="H1739" s="14">
        <v>18.899999999999999</v>
      </c>
      <c r="I1739" s="14">
        <v>49308.800000000003</v>
      </c>
      <c r="J1739" s="12" t="s">
        <v>104</v>
      </c>
      <c r="K1739" s="12" t="s">
        <v>111</v>
      </c>
      <c r="L1739" s="23" t="str">
        <f>VLOOKUP(D1739,Products!$A:$F,3,FALSE)</f>
        <v>Beauty</v>
      </c>
      <c r="M1739" s="23" t="str">
        <f>VLOOKUP(E1739,Sales_Reps!$A:$E,3,FALSE)</f>
        <v>West</v>
      </c>
      <c r="N1739" s="23" t="str">
        <f t="shared" si="81"/>
        <v>Aug-24</v>
      </c>
      <c r="O1739" s="23" t="str">
        <f t="shared" si="82"/>
        <v>Q3 2024</v>
      </c>
      <c r="P1739" s="23">
        <f>VLOOKUP(D1739,Products!$A:$F,4,FALSE)</f>
        <v>2617</v>
      </c>
      <c r="Q1739" s="35">
        <f t="shared" si="83"/>
        <v>0.56957236842105263</v>
      </c>
    </row>
    <row r="1740" spans="1:17">
      <c r="A1740" s="12" t="s">
        <v>2255</v>
      </c>
      <c r="B1740" s="13">
        <v>45336</v>
      </c>
      <c r="C1740" s="12" t="s">
        <v>159</v>
      </c>
      <c r="D1740" s="12" t="s">
        <v>164</v>
      </c>
      <c r="E1740" s="12" t="s">
        <v>302</v>
      </c>
      <c r="F1740" s="14">
        <v>1</v>
      </c>
      <c r="G1740" s="14">
        <v>190</v>
      </c>
      <c r="H1740" s="14">
        <v>5.7</v>
      </c>
      <c r="I1740" s="14">
        <v>179.17</v>
      </c>
      <c r="J1740" s="12" t="s">
        <v>104</v>
      </c>
      <c r="K1740" s="12" t="s">
        <v>105</v>
      </c>
      <c r="L1740" s="23" t="str">
        <f>VLOOKUP(D1740,Products!$A:$F,3,FALSE)</f>
        <v>Sports</v>
      </c>
      <c r="M1740" s="23" t="str">
        <f>VLOOKUP(E1740,Sales_Reps!$A:$E,3,FALSE)</f>
        <v>East</v>
      </c>
      <c r="N1740" s="23" t="str">
        <f t="shared" si="81"/>
        <v>Feb-24</v>
      </c>
      <c r="O1740" s="23" t="str">
        <f t="shared" si="82"/>
        <v>Q1 2024</v>
      </c>
      <c r="P1740" s="23">
        <f>VLOOKUP(D1740,Products!$A:$F,4,FALSE)</f>
        <v>147</v>
      </c>
      <c r="Q1740" s="35">
        <f t="shared" si="83"/>
        <v>0.22631578947368422</v>
      </c>
    </row>
    <row r="1741" spans="1:17">
      <c r="A1741" s="12" t="s">
        <v>2256</v>
      </c>
      <c r="B1741" s="13">
        <v>45463</v>
      </c>
      <c r="C1741" s="12" t="s">
        <v>227</v>
      </c>
      <c r="D1741" s="12" t="s">
        <v>478</v>
      </c>
      <c r="E1741" s="12" t="s">
        <v>218</v>
      </c>
      <c r="F1741" s="14">
        <v>2</v>
      </c>
      <c r="G1741" s="14">
        <v>3780</v>
      </c>
      <c r="H1741" s="14">
        <v>11.8</v>
      </c>
      <c r="I1741" s="14">
        <v>6667.92</v>
      </c>
      <c r="J1741" s="12" t="s">
        <v>104</v>
      </c>
      <c r="K1741" s="12" t="s">
        <v>116</v>
      </c>
      <c r="L1741" s="23" t="str">
        <f>VLOOKUP(D1741,Products!$A:$F,3,FALSE)</f>
        <v>Sports</v>
      </c>
      <c r="M1741" s="23" t="str">
        <f>VLOOKUP(E1741,Sales_Reps!$A:$E,3,FALSE)</f>
        <v>West</v>
      </c>
      <c r="N1741" s="23" t="str">
        <f t="shared" si="81"/>
        <v>Jun-24</v>
      </c>
      <c r="O1741" s="23" t="str">
        <f t="shared" si="82"/>
        <v>Q2 2024</v>
      </c>
      <c r="P1741" s="23">
        <f>VLOOKUP(D1741,Products!$A:$F,4,FALSE)</f>
        <v>1860</v>
      </c>
      <c r="Q1741" s="35">
        <f t="shared" si="83"/>
        <v>0.50793650793650791</v>
      </c>
    </row>
    <row r="1742" spans="1:17">
      <c r="A1742" s="12" t="s">
        <v>2257</v>
      </c>
      <c r="B1742" s="13">
        <v>45602</v>
      </c>
      <c r="C1742" s="12" t="s">
        <v>264</v>
      </c>
      <c r="D1742" s="12" t="s">
        <v>160</v>
      </c>
      <c r="E1742" s="12" t="s">
        <v>232</v>
      </c>
      <c r="F1742" s="14">
        <v>5</v>
      </c>
      <c r="G1742" s="14">
        <v>3250</v>
      </c>
      <c r="H1742" s="14">
        <v>19.899999999999999</v>
      </c>
      <c r="I1742" s="14">
        <v>13016.25</v>
      </c>
      <c r="J1742" s="12" t="s">
        <v>104</v>
      </c>
      <c r="K1742" s="12" t="s">
        <v>134</v>
      </c>
      <c r="L1742" s="23" t="str">
        <f>VLOOKUP(D1742,Products!$A:$F,3,FALSE)</f>
        <v>Home</v>
      </c>
      <c r="M1742" s="23" t="str">
        <f>VLOOKUP(E1742,Sales_Reps!$A:$E,3,FALSE)</f>
        <v>North</v>
      </c>
      <c r="N1742" s="23" t="str">
        <f t="shared" si="81"/>
        <v>Nov-24</v>
      </c>
      <c r="O1742" s="23" t="str">
        <f t="shared" si="82"/>
        <v>Q4 2024</v>
      </c>
      <c r="P1742" s="23">
        <f>VLOOKUP(D1742,Products!$A:$F,4,FALSE)</f>
        <v>1556</v>
      </c>
      <c r="Q1742" s="35">
        <f t="shared" si="83"/>
        <v>0.52123076923076928</v>
      </c>
    </row>
    <row r="1743" spans="1:17">
      <c r="A1743" s="12" t="s">
        <v>2258</v>
      </c>
      <c r="B1743" s="13">
        <v>45365</v>
      </c>
      <c r="C1743" s="12" t="s">
        <v>1907</v>
      </c>
      <c r="D1743" s="12" t="s">
        <v>312</v>
      </c>
      <c r="E1743" s="12" t="s">
        <v>124</v>
      </c>
      <c r="F1743" s="14">
        <v>7</v>
      </c>
      <c r="G1743" s="14">
        <v>2030</v>
      </c>
      <c r="H1743" s="14">
        <v>4.0999999999999996</v>
      </c>
      <c r="I1743" s="14">
        <v>13627.39</v>
      </c>
      <c r="J1743" s="12" t="s">
        <v>104</v>
      </c>
      <c r="K1743" s="12" t="s">
        <v>150</v>
      </c>
      <c r="L1743" s="23" t="str">
        <f>VLOOKUP(D1743,Products!$A:$F,3,FALSE)</f>
        <v>Home</v>
      </c>
      <c r="M1743" s="23" t="str">
        <f>VLOOKUP(E1743,Sales_Reps!$A:$E,3,FALSE)</f>
        <v>North</v>
      </c>
      <c r="N1743" s="23" t="str">
        <f t="shared" si="81"/>
        <v>Mar-24</v>
      </c>
      <c r="O1743" s="23" t="str">
        <f t="shared" si="82"/>
        <v>Q1 2024</v>
      </c>
      <c r="P1743" s="23">
        <f>VLOOKUP(D1743,Products!$A:$F,4,FALSE)</f>
        <v>1143</v>
      </c>
      <c r="Q1743" s="35">
        <f t="shared" si="83"/>
        <v>0.43694581280788175</v>
      </c>
    </row>
    <row r="1744" spans="1:17">
      <c r="A1744" s="12" t="s">
        <v>2259</v>
      </c>
      <c r="B1744" s="13">
        <v>45651</v>
      </c>
      <c r="C1744" s="12" t="s">
        <v>714</v>
      </c>
      <c r="D1744" s="12" t="s">
        <v>201</v>
      </c>
      <c r="E1744" s="12" t="s">
        <v>342</v>
      </c>
      <c r="F1744" s="14">
        <v>5</v>
      </c>
      <c r="G1744" s="14">
        <v>4880</v>
      </c>
      <c r="H1744" s="14">
        <v>22.9</v>
      </c>
      <c r="I1744" s="14">
        <v>18812.400000000001</v>
      </c>
      <c r="J1744" s="12" t="s">
        <v>104</v>
      </c>
      <c r="K1744" s="12" t="s">
        <v>150</v>
      </c>
      <c r="L1744" s="23" t="str">
        <f>VLOOKUP(D1744,Products!$A:$F,3,FALSE)</f>
        <v>Beauty</v>
      </c>
      <c r="M1744" s="23" t="str">
        <f>VLOOKUP(E1744,Sales_Reps!$A:$E,3,FALSE)</f>
        <v>South</v>
      </c>
      <c r="N1744" s="23" t="str">
        <f t="shared" si="81"/>
        <v>Dec-24</v>
      </c>
      <c r="O1744" s="23" t="str">
        <f t="shared" si="82"/>
        <v>Q4 2024</v>
      </c>
      <c r="P1744" s="23">
        <f>VLOOKUP(D1744,Products!$A:$F,4,FALSE)</f>
        <v>2768</v>
      </c>
      <c r="Q1744" s="35">
        <f t="shared" si="83"/>
        <v>0.43278688524590164</v>
      </c>
    </row>
    <row r="1745" spans="1:17">
      <c r="A1745" s="12" t="s">
        <v>2260</v>
      </c>
      <c r="B1745" s="13">
        <v>45297</v>
      </c>
      <c r="C1745" s="12" t="s">
        <v>758</v>
      </c>
      <c r="D1745" s="12" t="s">
        <v>196</v>
      </c>
      <c r="E1745" s="12" t="s">
        <v>209</v>
      </c>
      <c r="F1745" s="14">
        <v>3</v>
      </c>
      <c r="G1745" s="14">
        <v>3350</v>
      </c>
      <c r="H1745" s="14">
        <v>15.2</v>
      </c>
      <c r="I1745" s="14">
        <v>8522.4</v>
      </c>
      <c r="J1745" s="12" t="s">
        <v>110</v>
      </c>
      <c r="K1745" s="12" t="s">
        <v>150</v>
      </c>
      <c r="L1745" s="23" t="str">
        <f>VLOOKUP(D1745,Products!$A:$F,3,FALSE)</f>
        <v>Beauty</v>
      </c>
      <c r="M1745" s="23" t="str">
        <f>VLOOKUP(E1745,Sales_Reps!$A:$E,3,FALSE)</f>
        <v>East</v>
      </c>
      <c r="N1745" s="23" t="str">
        <f t="shared" si="81"/>
        <v>Jan-24</v>
      </c>
      <c r="O1745" s="23" t="str">
        <f t="shared" si="82"/>
        <v>Q1 2024</v>
      </c>
      <c r="P1745" s="23">
        <f>VLOOKUP(D1745,Products!$A:$F,4,FALSE)</f>
        <v>1728</v>
      </c>
      <c r="Q1745" s="35">
        <f t="shared" si="83"/>
        <v>0.48417910447761192</v>
      </c>
    </row>
    <row r="1746" spans="1:17">
      <c r="A1746" s="12" t="s">
        <v>2261</v>
      </c>
      <c r="B1746" s="13">
        <v>45425</v>
      </c>
      <c r="C1746" s="12" t="s">
        <v>524</v>
      </c>
      <c r="D1746" s="12" t="s">
        <v>212</v>
      </c>
      <c r="E1746" s="12" t="s">
        <v>246</v>
      </c>
      <c r="F1746" s="14">
        <v>10</v>
      </c>
      <c r="G1746" s="14">
        <v>2860</v>
      </c>
      <c r="H1746" s="14">
        <v>15</v>
      </c>
      <c r="I1746" s="14">
        <v>24310</v>
      </c>
      <c r="J1746" s="12" t="s">
        <v>104</v>
      </c>
      <c r="K1746" s="12" t="s">
        <v>105</v>
      </c>
      <c r="L1746" s="23" t="str">
        <f>VLOOKUP(D1746,Products!$A:$F,3,FALSE)</f>
        <v>Sports</v>
      </c>
      <c r="M1746" s="23" t="str">
        <f>VLOOKUP(E1746,Sales_Reps!$A:$E,3,FALSE)</f>
        <v>West</v>
      </c>
      <c r="N1746" s="23" t="str">
        <f t="shared" si="81"/>
        <v>May-24</v>
      </c>
      <c r="O1746" s="23" t="str">
        <f t="shared" si="82"/>
        <v>Q2 2024</v>
      </c>
      <c r="P1746" s="23">
        <f>VLOOKUP(D1746,Products!$A:$F,4,FALSE)</f>
        <v>2028</v>
      </c>
      <c r="Q1746" s="35">
        <f t="shared" si="83"/>
        <v>0.29090909090909089</v>
      </c>
    </row>
    <row r="1747" spans="1:17">
      <c r="A1747" s="12" t="s">
        <v>2262</v>
      </c>
      <c r="B1747" s="13">
        <v>45444</v>
      </c>
      <c r="C1747" s="12" t="s">
        <v>327</v>
      </c>
      <c r="D1747" s="12" t="s">
        <v>174</v>
      </c>
      <c r="E1747" s="12" t="s">
        <v>320</v>
      </c>
      <c r="F1747" s="14">
        <v>5</v>
      </c>
      <c r="G1747" s="14">
        <v>3450</v>
      </c>
      <c r="H1747" s="14">
        <v>2.2999999999999998</v>
      </c>
      <c r="I1747" s="14">
        <v>16853.25</v>
      </c>
      <c r="J1747" s="12" t="s">
        <v>104</v>
      </c>
      <c r="K1747" s="12" t="s">
        <v>134</v>
      </c>
      <c r="L1747" s="23" t="str">
        <f>VLOOKUP(D1747,Products!$A:$F,3,FALSE)</f>
        <v>Beauty</v>
      </c>
      <c r="M1747" s="23" t="str">
        <f>VLOOKUP(E1747,Sales_Reps!$A:$E,3,FALSE)</f>
        <v>East</v>
      </c>
      <c r="N1747" s="23" t="str">
        <f t="shared" si="81"/>
        <v>Jun-24</v>
      </c>
      <c r="O1747" s="23" t="str">
        <f t="shared" si="82"/>
        <v>Q2 2024</v>
      </c>
      <c r="P1747" s="23">
        <f>VLOOKUP(D1747,Products!$A:$F,4,FALSE)</f>
        <v>2420</v>
      </c>
      <c r="Q1747" s="35">
        <f t="shared" si="83"/>
        <v>0.29855072463768118</v>
      </c>
    </row>
    <row r="1748" spans="1:17">
      <c r="A1748" s="12" t="s">
        <v>2263</v>
      </c>
      <c r="B1748" s="13">
        <v>45397</v>
      </c>
      <c r="C1748" s="12" t="s">
        <v>211</v>
      </c>
      <c r="D1748" s="12" t="s">
        <v>148</v>
      </c>
      <c r="E1748" s="12" t="s">
        <v>205</v>
      </c>
      <c r="F1748" s="14">
        <v>3</v>
      </c>
      <c r="G1748" s="14">
        <v>2270</v>
      </c>
      <c r="H1748" s="14">
        <v>2.8</v>
      </c>
      <c r="I1748" s="14">
        <v>6619.32</v>
      </c>
      <c r="J1748" s="12" t="s">
        <v>110</v>
      </c>
      <c r="K1748" s="12" t="s">
        <v>105</v>
      </c>
      <c r="L1748" s="23" t="str">
        <f>VLOOKUP(D1748,Products!$A:$F,3,FALSE)</f>
        <v>Grocery</v>
      </c>
      <c r="M1748" s="23" t="str">
        <f>VLOOKUP(E1748,Sales_Reps!$A:$E,3,FALSE)</f>
        <v>South</v>
      </c>
      <c r="N1748" s="23" t="str">
        <f t="shared" si="81"/>
        <v>Apr-24</v>
      </c>
      <c r="O1748" s="23" t="str">
        <f t="shared" si="82"/>
        <v>Q2 2024</v>
      </c>
      <c r="P1748" s="23">
        <f>VLOOKUP(D1748,Products!$A:$F,4,FALSE)</f>
        <v>1203</v>
      </c>
      <c r="Q1748" s="35">
        <f t="shared" si="83"/>
        <v>0.47004405286343615</v>
      </c>
    </row>
    <row r="1749" spans="1:17">
      <c r="A1749" s="12" t="s">
        <v>2264</v>
      </c>
      <c r="B1749" s="13">
        <v>45354</v>
      </c>
      <c r="C1749" s="12" t="s">
        <v>798</v>
      </c>
      <c r="D1749" s="12" t="s">
        <v>119</v>
      </c>
      <c r="E1749" s="12" t="s">
        <v>103</v>
      </c>
      <c r="F1749" s="14">
        <v>8</v>
      </c>
      <c r="G1749" s="14">
        <v>3660</v>
      </c>
      <c r="H1749" s="14">
        <v>16.8</v>
      </c>
      <c r="I1749" s="14">
        <v>24360.959999999999</v>
      </c>
      <c r="J1749" s="12" t="s">
        <v>104</v>
      </c>
      <c r="K1749" s="12" t="s">
        <v>116</v>
      </c>
      <c r="L1749" s="23" t="str">
        <f>VLOOKUP(D1749,Products!$A:$F,3,FALSE)</f>
        <v>Grocery</v>
      </c>
      <c r="M1749" s="23" t="str">
        <f>VLOOKUP(E1749,Sales_Reps!$A:$E,3,FALSE)</f>
        <v>North</v>
      </c>
      <c r="N1749" s="23" t="str">
        <f t="shared" si="81"/>
        <v>Mar-24</v>
      </c>
      <c r="O1749" s="23" t="str">
        <f t="shared" si="82"/>
        <v>Q1 2024</v>
      </c>
      <c r="P1749" s="23">
        <f>VLOOKUP(D1749,Products!$A:$F,4,FALSE)</f>
        <v>2214</v>
      </c>
      <c r="Q1749" s="35">
        <f t="shared" si="83"/>
        <v>0.39508196721311473</v>
      </c>
    </row>
    <row r="1750" spans="1:17">
      <c r="A1750" s="12" t="s">
        <v>2265</v>
      </c>
      <c r="B1750" s="13">
        <v>45469</v>
      </c>
      <c r="C1750" s="12" t="s">
        <v>632</v>
      </c>
      <c r="D1750" s="12" t="s">
        <v>293</v>
      </c>
      <c r="E1750" s="12" t="s">
        <v>124</v>
      </c>
      <c r="F1750" s="14">
        <v>7</v>
      </c>
      <c r="G1750" s="14">
        <v>3020</v>
      </c>
      <c r="H1750" s="14">
        <v>17.8</v>
      </c>
      <c r="I1750" s="14">
        <v>17377.080000000002</v>
      </c>
      <c r="J1750" s="12" t="s">
        <v>104</v>
      </c>
      <c r="K1750" s="12" t="s">
        <v>129</v>
      </c>
      <c r="L1750" s="23" t="str">
        <f>VLOOKUP(D1750,Products!$A:$F,3,FALSE)</f>
        <v>Beauty</v>
      </c>
      <c r="M1750" s="23" t="str">
        <f>VLOOKUP(E1750,Sales_Reps!$A:$E,3,FALSE)</f>
        <v>North</v>
      </c>
      <c r="N1750" s="23" t="str">
        <f t="shared" si="81"/>
        <v>Jun-24</v>
      </c>
      <c r="O1750" s="23" t="str">
        <f t="shared" si="82"/>
        <v>Q2 2024</v>
      </c>
      <c r="P1750" s="23">
        <f>VLOOKUP(D1750,Products!$A:$F,4,FALSE)</f>
        <v>1626</v>
      </c>
      <c r="Q1750" s="35">
        <f t="shared" si="83"/>
        <v>0.46158940397350995</v>
      </c>
    </row>
    <row r="1751" spans="1:17">
      <c r="A1751" s="12" t="s">
        <v>2266</v>
      </c>
      <c r="B1751" s="13">
        <v>45587</v>
      </c>
      <c r="C1751" s="12" t="s">
        <v>1278</v>
      </c>
      <c r="D1751" s="12" t="s">
        <v>181</v>
      </c>
      <c r="E1751" s="12" t="s">
        <v>115</v>
      </c>
      <c r="F1751" s="14">
        <v>7</v>
      </c>
      <c r="G1751" s="14">
        <v>1080</v>
      </c>
      <c r="H1751" s="14">
        <v>12.9</v>
      </c>
      <c r="I1751" s="14">
        <v>6584.76</v>
      </c>
      <c r="J1751" s="12" t="s">
        <v>104</v>
      </c>
      <c r="K1751" s="12" t="s">
        <v>134</v>
      </c>
      <c r="L1751" s="23" t="str">
        <f>VLOOKUP(D1751,Products!$A:$F,3,FALSE)</f>
        <v>Home</v>
      </c>
      <c r="M1751" s="23" t="str">
        <f>VLOOKUP(E1751,Sales_Reps!$A:$E,3,FALSE)</f>
        <v>South</v>
      </c>
      <c r="N1751" s="23" t="str">
        <f t="shared" si="81"/>
        <v>Oct-24</v>
      </c>
      <c r="O1751" s="23" t="str">
        <f t="shared" si="82"/>
        <v>Q4 2024</v>
      </c>
      <c r="P1751" s="23">
        <f>VLOOKUP(D1751,Products!$A:$F,4,FALSE)</f>
        <v>519</v>
      </c>
      <c r="Q1751" s="35">
        <f t="shared" si="83"/>
        <v>0.51944444444444449</v>
      </c>
    </row>
    <row r="1752" spans="1:17">
      <c r="A1752" s="12" t="s">
        <v>2267</v>
      </c>
      <c r="B1752" s="13">
        <v>45494</v>
      </c>
      <c r="C1752" s="12" t="s">
        <v>582</v>
      </c>
      <c r="D1752" s="12" t="s">
        <v>262</v>
      </c>
      <c r="E1752" s="12" t="s">
        <v>342</v>
      </c>
      <c r="F1752" s="14">
        <v>2</v>
      </c>
      <c r="G1752" s="14">
        <v>2270</v>
      </c>
      <c r="H1752" s="14">
        <v>8.6</v>
      </c>
      <c r="I1752" s="14">
        <v>4149.5600000000004</v>
      </c>
      <c r="J1752" s="12" t="s">
        <v>157</v>
      </c>
      <c r="K1752" s="12" t="s">
        <v>129</v>
      </c>
      <c r="L1752" s="23" t="str">
        <f>VLOOKUP(D1752,Products!$A:$F,3,FALSE)</f>
        <v>Grocery</v>
      </c>
      <c r="M1752" s="23" t="str">
        <f>VLOOKUP(E1752,Sales_Reps!$A:$E,3,FALSE)</f>
        <v>South</v>
      </c>
      <c r="N1752" s="23" t="str">
        <f t="shared" si="81"/>
        <v>Jul-24</v>
      </c>
      <c r="O1752" s="23" t="str">
        <f t="shared" si="82"/>
        <v>Q3 2024</v>
      </c>
      <c r="P1752" s="23">
        <f>VLOOKUP(D1752,Products!$A:$F,4,FALSE)</f>
        <v>1412</v>
      </c>
      <c r="Q1752" s="35">
        <f t="shared" si="83"/>
        <v>0.37797356828193834</v>
      </c>
    </row>
    <row r="1753" spans="1:17">
      <c r="A1753" s="12" t="s">
        <v>2268</v>
      </c>
      <c r="B1753" s="13">
        <v>45445</v>
      </c>
      <c r="C1753" s="12" t="s">
        <v>407</v>
      </c>
      <c r="D1753" s="12" t="s">
        <v>309</v>
      </c>
      <c r="E1753" s="12" t="s">
        <v>342</v>
      </c>
      <c r="F1753" s="14">
        <v>10</v>
      </c>
      <c r="G1753" s="14">
        <v>620</v>
      </c>
      <c r="H1753" s="14">
        <v>26.1</v>
      </c>
      <c r="I1753" s="14">
        <v>4581.8</v>
      </c>
      <c r="J1753" s="12" t="s">
        <v>104</v>
      </c>
      <c r="K1753" s="12" t="s">
        <v>105</v>
      </c>
      <c r="L1753" s="23" t="str">
        <f>VLOOKUP(D1753,Products!$A:$F,3,FALSE)</f>
        <v>Apparel</v>
      </c>
      <c r="M1753" s="23" t="str">
        <f>VLOOKUP(E1753,Sales_Reps!$A:$E,3,FALSE)</f>
        <v>South</v>
      </c>
      <c r="N1753" s="23" t="str">
        <f t="shared" si="81"/>
        <v>Jun-24</v>
      </c>
      <c r="O1753" s="23" t="str">
        <f t="shared" si="82"/>
        <v>Q2 2024</v>
      </c>
      <c r="P1753" s="23">
        <f>VLOOKUP(D1753,Products!$A:$F,4,FALSE)</f>
        <v>396</v>
      </c>
      <c r="Q1753" s="35">
        <f t="shared" si="83"/>
        <v>0.36129032258064514</v>
      </c>
    </row>
    <row r="1754" spans="1:17">
      <c r="A1754" s="12" t="s">
        <v>2269</v>
      </c>
      <c r="B1754" s="13">
        <v>45561</v>
      </c>
      <c r="C1754" s="12" t="s">
        <v>623</v>
      </c>
      <c r="D1754" s="12" t="s">
        <v>368</v>
      </c>
      <c r="E1754" s="12" t="s">
        <v>205</v>
      </c>
      <c r="F1754" s="14">
        <v>2</v>
      </c>
      <c r="G1754" s="14">
        <v>4060</v>
      </c>
      <c r="H1754" s="14">
        <v>3.8</v>
      </c>
      <c r="I1754" s="14">
        <v>7811.44</v>
      </c>
      <c r="J1754" s="12" t="s">
        <v>104</v>
      </c>
      <c r="K1754" s="12" t="s">
        <v>129</v>
      </c>
      <c r="L1754" s="23" t="str">
        <f>VLOOKUP(D1754,Products!$A:$F,3,FALSE)</f>
        <v>Grocery</v>
      </c>
      <c r="M1754" s="23" t="str">
        <f>VLOOKUP(E1754,Sales_Reps!$A:$E,3,FALSE)</f>
        <v>South</v>
      </c>
      <c r="N1754" s="23" t="str">
        <f t="shared" si="81"/>
        <v>Sep-24</v>
      </c>
      <c r="O1754" s="23" t="str">
        <f t="shared" si="82"/>
        <v>Q3 2024</v>
      </c>
      <c r="P1754" s="23">
        <f>VLOOKUP(D1754,Products!$A:$F,4,FALSE)</f>
        <v>2911</v>
      </c>
      <c r="Q1754" s="35">
        <f t="shared" si="83"/>
        <v>0.28300492610837441</v>
      </c>
    </row>
    <row r="1755" spans="1:17">
      <c r="A1755" s="12" t="s">
        <v>2270</v>
      </c>
      <c r="B1755" s="13">
        <v>45488</v>
      </c>
      <c r="C1755" s="12" t="s">
        <v>295</v>
      </c>
      <c r="D1755" s="12" t="s">
        <v>251</v>
      </c>
      <c r="E1755" s="12" t="s">
        <v>342</v>
      </c>
      <c r="F1755" s="14">
        <v>1</v>
      </c>
      <c r="G1755" s="14">
        <v>3780</v>
      </c>
      <c r="H1755" s="14">
        <v>27.9</v>
      </c>
      <c r="I1755" s="14">
        <v>2725.38</v>
      </c>
      <c r="J1755" s="12" t="s">
        <v>104</v>
      </c>
      <c r="K1755" s="12" t="s">
        <v>150</v>
      </c>
      <c r="L1755" s="23" t="str">
        <f>VLOOKUP(D1755,Products!$A:$F,3,FALSE)</f>
        <v>Grocery</v>
      </c>
      <c r="M1755" s="23" t="str">
        <f>VLOOKUP(E1755,Sales_Reps!$A:$E,3,FALSE)</f>
        <v>South</v>
      </c>
      <c r="N1755" s="23" t="str">
        <f t="shared" si="81"/>
        <v>Jul-24</v>
      </c>
      <c r="O1755" s="23" t="str">
        <f t="shared" si="82"/>
        <v>Q3 2024</v>
      </c>
      <c r="P1755" s="23">
        <f>VLOOKUP(D1755,Products!$A:$F,4,FALSE)</f>
        <v>2436</v>
      </c>
      <c r="Q1755" s="35">
        <f t="shared" si="83"/>
        <v>0.35555555555555557</v>
      </c>
    </row>
    <row r="1756" spans="1:17">
      <c r="A1756" s="12" t="s">
        <v>2271</v>
      </c>
      <c r="B1756" s="13">
        <v>45617</v>
      </c>
      <c r="C1756" s="12" t="s">
        <v>275</v>
      </c>
      <c r="D1756" s="12" t="s">
        <v>384</v>
      </c>
      <c r="E1756" s="12" t="s">
        <v>302</v>
      </c>
      <c r="F1756" s="14">
        <v>8</v>
      </c>
      <c r="G1756" s="14">
        <v>2380</v>
      </c>
      <c r="H1756" s="14">
        <v>3.8</v>
      </c>
      <c r="I1756" s="14">
        <v>18316.48</v>
      </c>
      <c r="J1756" s="12" t="s">
        <v>104</v>
      </c>
      <c r="K1756" s="12" t="s">
        <v>116</v>
      </c>
      <c r="L1756" s="23" t="str">
        <f>VLOOKUP(D1756,Products!$A:$F,3,FALSE)</f>
        <v>Grocery</v>
      </c>
      <c r="M1756" s="23" t="str">
        <f>VLOOKUP(E1756,Sales_Reps!$A:$E,3,FALSE)</f>
        <v>East</v>
      </c>
      <c r="N1756" s="23" t="str">
        <f t="shared" si="81"/>
        <v>Nov-24</v>
      </c>
      <c r="O1756" s="23" t="str">
        <f t="shared" si="82"/>
        <v>Q4 2024</v>
      </c>
      <c r="P1756" s="23">
        <f>VLOOKUP(D1756,Products!$A:$F,4,FALSE)</f>
        <v>1182</v>
      </c>
      <c r="Q1756" s="35">
        <f t="shared" si="83"/>
        <v>0.50336134453781511</v>
      </c>
    </row>
    <row r="1757" spans="1:17">
      <c r="A1757" s="12" t="s">
        <v>2272</v>
      </c>
      <c r="B1757" s="13">
        <v>45378</v>
      </c>
      <c r="C1757" s="12" t="s">
        <v>306</v>
      </c>
      <c r="D1757" s="12" t="s">
        <v>281</v>
      </c>
      <c r="E1757" s="12" t="s">
        <v>133</v>
      </c>
      <c r="F1757" s="14">
        <v>7</v>
      </c>
      <c r="G1757" s="14">
        <v>4070</v>
      </c>
      <c r="H1757" s="14">
        <v>0.3</v>
      </c>
      <c r="I1757" s="14">
        <v>28404.53</v>
      </c>
      <c r="J1757" s="12" t="s">
        <v>104</v>
      </c>
      <c r="K1757" s="12" t="s">
        <v>111</v>
      </c>
      <c r="L1757" s="23" t="str">
        <f>VLOOKUP(D1757,Products!$A:$F,3,FALSE)</f>
        <v>Grocery</v>
      </c>
      <c r="M1757" s="23" t="str">
        <f>VLOOKUP(E1757,Sales_Reps!$A:$E,3,FALSE)</f>
        <v>West</v>
      </c>
      <c r="N1757" s="23" t="str">
        <f t="shared" si="81"/>
        <v>Mar-24</v>
      </c>
      <c r="O1757" s="23" t="str">
        <f t="shared" si="82"/>
        <v>Q1 2024</v>
      </c>
      <c r="P1757" s="23">
        <f>VLOOKUP(D1757,Products!$A:$F,4,FALSE)</f>
        <v>2027</v>
      </c>
      <c r="Q1757" s="35">
        <f t="shared" si="83"/>
        <v>0.50196560196560192</v>
      </c>
    </row>
    <row r="1758" spans="1:17">
      <c r="A1758" s="12" t="s">
        <v>2273</v>
      </c>
      <c r="B1758" s="13">
        <v>45459</v>
      </c>
      <c r="C1758" s="12" t="s">
        <v>1251</v>
      </c>
      <c r="D1758" s="12" t="s">
        <v>152</v>
      </c>
      <c r="E1758" s="12" t="s">
        <v>209</v>
      </c>
      <c r="F1758" s="14">
        <v>6</v>
      </c>
      <c r="G1758" s="14">
        <v>2640</v>
      </c>
      <c r="H1758" s="14">
        <v>3.4</v>
      </c>
      <c r="I1758" s="14">
        <v>15301.44</v>
      </c>
      <c r="J1758" s="12" t="s">
        <v>104</v>
      </c>
      <c r="K1758" s="12" t="s">
        <v>129</v>
      </c>
      <c r="L1758" s="23" t="str">
        <f>VLOOKUP(D1758,Products!$A:$F,3,FALSE)</f>
        <v>Electronics</v>
      </c>
      <c r="M1758" s="23" t="str">
        <f>VLOOKUP(E1758,Sales_Reps!$A:$E,3,FALSE)</f>
        <v>East</v>
      </c>
      <c r="N1758" s="23" t="str">
        <f t="shared" si="81"/>
        <v>Jun-24</v>
      </c>
      <c r="O1758" s="23" t="str">
        <f t="shared" si="82"/>
        <v>Q2 2024</v>
      </c>
      <c r="P1758" s="23">
        <f>VLOOKUP(D1758,Products!$A:$F,4,FALSE)</f>
        <v>1149</v>
      </c>
      <c r="Q1758" s="35">
        <f t="shared" si="83"/>
        <v>0.56477272727272732</v>
      </c>
    </row>
    <row r="1759" spans="1:17">
      <c r="A1759" s="12" t="s">
        <v>2274</v>
      </c>
      <c r="B1759" s="13">
        <v>45377</v>
      </c>
      <c r="C1759" s="12" t="s">
        <v>198</v>
      </c>
      <c r="D1759" s="12" t="s">
        <v>478</v>
      </c>
      <c r="E1759" s="12" t="s">
        <v>187</v>
      </c>
      <c r="F1759" s="14">
        <v>10</v>
      </c>
      <c r="G1759" s="14">
        <v>3780</v>
      </c>
      <c r="H1759" s="14">
        <v>13.3</v>
      </c>
      <c r="I1759" s="14">
        <v>32772.6</v>
      </c>
      <c r="J1759" s="12" t="s">
        <v>104</v>
      </c>
      <c r="K1759" s="12" t="s">
        <v>116</v>
      </c>
      <c r="L1759" s="23" t="str">
        <f>VLOOKUP(D1759,Products!$A:$F,3,FALSE)</f>
        <v>Sports</v>
      </c>
      <c r="M1759" s="23" t="str">
        <f>VLOOKUP(E1759,Sales_Reps!$A:$E,3,FALSE)</f>
        <v>West</v>
      </c>
      <c r="N1759" s="23" t="str">
        <f t="shared" si="81"/>
        <v>Mar-24</v>
      </c>
      <c r="O1759" s="23" t="str">
        <f t="shared" si="82"/>
        <v>Q1 2024</v>
      </c>
      <c r="P1759" s="23">
        <f>VLOOKUP(D1759,Products!$A:$F,4,FALSE)</f>
        <v>1860</v>
      </c>
      <c r="Q1759" s="35">
        <f t="shared" si="83"/>
        <v>0.50793650793650791</v>
      </c>
    </row>
    <row r="1760" spans="1:17">
      <c r="A1760" s="12" t="s">
        <v>2275</v>
      </c>
      <c r="B1760" s="13">
        <v>45302</v>
      </c>
      <c r="C1760" s="12" t="s">
        <v>889</v>
      </c>
      <c r="D1760" s="12" t="s">
        <v>196</v>
      </c>
      <c r="E1760" s="12" t="s">
        <v>221</v>
      </c>
      <c r="F1760" s="14">
        <v>9</v>
      </c>
      <c r="G1760" s="14">
        <v>3350</v>
      </c>
      <c r="H1760" s="14">
        <v>12.8</v>
      </c>
      <c r="I1760" s="14">
        <v>26290.799999999999</v>
      </c>
      <c r="J1760" s="12" t="s">
        <v>104</v>
      </c>
      <c r="K1760" s="12" t="s">
        <v>129</v>
      </c>
      <c r="L1760" s="23" t="str">
        <f>VLOOKUP(D1760,Products!$A:$F,3,FALSE)</f>
        <v>Beauty</v>
      </c>
      <c r="M1760" s="23" t="str">
        <f>VLOOKUP(E1760,Sales_Reps!$A:$E,3,FALSE)</f>
        <v>South</v>
      </c>
      <c r="N1760" s="23" t="str">
        <f t="shared" si="81"/>
        <v>Jan-24</v>
      </c>
      <c r="O1760" s="23" t="str">
        <f t="shared" si="82"/>
        <v>Q1 2024</v>
      </c>
      <c r="P1760" s="23">
        <f>VLOOKUP(D1760,Products!$A:$F,4,FALSE)</f>
        <v>1728</v>
      </c>
      <c r="Q1760" s="35">
        <f t="shared" si="83"/>
        <v>0.48417910447761192</v>
      </c>
    </row>
    <row r="1761" spans="1:17">
      <c r="A1761" s="12" t="s">
        <v>2276</v>
      </c>
      <c r="B1761" s="13">
        <v>45459</v>
      </c>
      <c r="C1761" s="12" t="s">
        <v>693</v>
      </c>
      <c r="D1761" s="12" t="s">
        <v>123</v>
      </c>
      <c r="E1761" s="12" t="s">
        <v>133</v>
      </c>
      <c r="F1761" s="14">
        <v>7</v>
      </c>
      <c r="G1761" s="14">
        <v>3160</v>
      </c>
      <c r="H1761" s="14">
        <v>15.3</v>
      </c>
      <c r="I1761" s="14">
        <v>18735.64</v>
      </c>
      <c r="J1761" s="12" t="s">
        <v>104</v>
      </c>
      <c r="K1761" s="12" t="s">
        <v>105</v>
      </c>
      <c r="L1761" s="23" t="str">
        <f>VLOOKUP(D1761,Products!$A:$F,3,FALSE)</f>
        <v>Apparel</v>
      </c>
      <c r="M1761" s="23" t="str">
        <f>VLOOKUP(E1761,Sales_Reps!$A:$E,3,FALSE)</f>
        <v>West</v>
      </c>
      <c r="N1761" s="23" t="str">
        <f t="shared" si="81"/>
        <v>Jun-24</v>
      </c>
      <c r="O1761" s="23" t="str">
        <f t="shared" si="82"/>
        <v>Q2 2024</v>
      </c>
      <c r="P1761" s="23">
        <f>VLOOKUP(D1761,Products!$A:$F,4,FALSE)</f>
        <v>1886</v>
      </c>
      <c r="Q1761" s="35">
        <f t="shared" si="83"/>
        <v>0.4031645569620253</v>
      </c>
    </row>
    <row r="1762" spans="1:17">
      <c r="A1762" s="12" t="s">
        <v>2277</v>
      </c>
      <c r="B1762" s="13">
        <v>45428</v>
      </c>
      <c r="C1762" s="12" t="s">
        <v>1000</v>
      </c>
      <c r="D1762" s="12" t="s">
        <v>212</v>
      </c>
      <c r="E1762" s="12" t="s">
        <v>156</v>
      </c>
      <c r="F1762" s="14">
        <v>6</v>
      </c>
      <c r="G1762" s="14">
        <v>2860</v>
      </c>
      <c r="H1762" s="14">
        <v>17.5</v>
      </c>
      <c r="I1762" s="14">
        <v>14157</v>
      </c>
      <c r="J1762" s="12" t="s">
        <v>104</v>
      </c>
      <c r="K1762" s="12" t="s">
        <v>134</v>
      </c>
      <c r="L1762" s="23" t="str">
        <f>VLOOKUP(D1762,Products!$A:$F,3,FALSE)</f>
        <v>Sports</v>
      </c>
      <c r="M1762" s="23" t="str">
        <f>VLOOKUP(E1762,Sales_Reps!$A:$E,3,FALSE)</f>
        <v>North</v>
      </c>
      <c r="N1762" s="23" t="str">
        <f t="shared" si="81"/>
        <v>May-24</v>
      </c>
      <c r="O1762" s="23" t="str">
        <f t="shared" si="82"/>
        <v>Q2 2024</v>
      </c>
      <c r="P1762" s="23">
        <f>VLOOKUP(D1762,Products!$A:$F,4,FALSE)</f>
        <v>2028</v>
      </c>
      <c r="Q1762" s="35">
        <f t="shared" si="83"/>
        <v>0.29090909090909089</v>
      </c>
    </row>
    <row r="1763" spans="1:17">
      <c r="A1763" s="12" t="s">
        <v>2278</v>
      </c>
      <c r="B1763" s="13">
        <v>45341</v>
      </c>
      <c r="C1763" s="12" t="s">
        <v>774</v>
      </c>
      <c r="D1763" s="12" t="s">
        <v>299</v>
      </c>
      <c r="E1763" s="12" t="s">
        <v>149</v>
      </c>
      <c r="F1763" s="14">
        <v>9</v>
      </c>
      <c r="G1763" s="14">
        <v>300</v>
      </c>
      <c r="H1763" s="14">
        <v>25.2</v>
      </c>
      <c r="I1763" s="14">
        <v>2019.6</v>
      </c>
      <c r="J1763" s="12" t="s">
        <v>104</v>
      </c>
      <c r="K1763" s="12" t="s">
        <v>134</v>
      </c>
      <c r="L1763" s="23" t="str">
        <f>VLOOKUP(D1763,Products!$A:$F,3,FALSE)</f>
        <v>Electronics</v>
      </c>
      <c r="M1763" s="23" t="str">
        <f>VLOOKUP(E1763,Sales_Reps!$A:$E,3,FALSE)</f>
        <v>South</v>
      </c>
      <c r="N1763" s="23" t="str">
        <f t="shared" si="81"/>
        <v>Feb-24</v>
      </c>
      <c r="O1763" s="23" t="str">
        <f t="shared" si="82"/>
        <v>Q1 2024</v>
      </c>
      <c r="P1763" s="23">
        <f>VLOOKUP(D1763,Products!$A:$F,4,FALSE)</f>
        <v>128</v>
      </c>
      <c r="Q1763" s="35">
        <f t="shared" si="83"/>
        <v>0.57333333333333336</v>
      </c>
    </row>
    <row r="1764" spans="1:17">
      <c r="A1764" s="12" t="s">
        <v>2279</v>
      </c>
      <c r="B1764" s="13">
        <v>45296</v>
      </c>
      <c r="C1764" s="12" t="s">
        <v>994</v>
      </c>
      <c r="D1764" s="12" t="s">
        <v>164</v>
      </c>
      <c r="E1764" s="12" t="s">
        <v>209</v>
      </c>
      <c r="F1764" s="14">
        <v>5</v>
      </c>
      <c r="G1764" s="14">
        <v>190</v>
      </c>
      <c r="H1764" s="14">
        <v>1.8</v>
      </c>
      <c r="I1764" s="14">
        <v>932.9</v>
      </c>
      <c r="J1764" s="12" t="s">
        <v>104</v>
      </c>
      <c r="K1764" s="12" t="s">
        <v>105</v>
      </c>
      <c r="L1764" s="23" t="str">
        <f>VLOOKUP(D1764,Products!$A:$F,3,FALSE)</f>
        <v>Sports</v>
      </c>
      <c r="M1764" s="23" t="str">
        <f>VLOOKUP(E1764,Sales_Reps!$A:$E,3,FALSE)</f>
        <v>East</v>
      </c>
      <c r="N1764" s="23" t="str">
        <f t="shared" si="81"/>
        <v>Jan-24</v>
      </c>
      <c r="O1764" s="23" t="str">
        <f t="shared" si="82"/>
        <v>Q1 2024</v>
      </c>
      <c r="P1764" s="23">
        <f>VLOOKUP(D1764,Products!$A:$F,4,FALSE)</f>
        <v>147</v>
      </c>
      <c r="Q1764" s="35">
        <f t="shared" si="83"/>
        <v>0.22631578947368422</v>
      </c>
    </row>
    <row r="1765" spans="1:17">
      <c r="A1765" s="12" t="s">
        <v>2280</v>
      </c>
      <c r="B1765" s="13">
        <v>45533</v>
      </c>
      <c r="C1765" s="12" t="s">
        <v>459</v>
      </c>
      <c r="D1765" s="12" t="s">
        <v>199</v>
      </c>
      <c r="E1765" s="12" t="s">
        <v>175</v>
      </c>
      <c r="F1765" s="14">
        <v>7</v>
      </c>
      <c r="G1765" s="14">
        <v>1010</v>
      </c>
      <c r="H1765" s="14">
        <v>11.2</v>
      </c>
      <c r="I1765" s="14">
        <v>6278.16</v>
      </c>
      <c r="J1765" s="12" t="s">
        <v>104</v>
      </c>
      <c r="K1765" s="12" t="s">
        <v>105</v>
      </c>
      <c r="L1765" s="23" t="str">
        <f>VLOOKUP(D1765,Products!$A:$F,3,FALSE)</f>
        <v>Sports</v>
      </c>
      <c r="M1765" s="23" t="str">
        <f>VLOOKUP(E1765,Sales_Reps!$A:$E,3,FALSE)</f>
        <v>East</v>
      </c>
      <c r="N1765" s="23" t="str">
        <f t="shared" si="81"/>
        <v>Aug-24</v>
      </c>
      <c r="O1765" s="23" t="str">
        <f t="shared" si="82"/>
        <v>Q3 2024</v>
      </c>
      <c r="P1765" s="23">
        <f>VLOOKUP(D1765,Products!$A:$F,4,FALSE)</f>
        <v>516</v>
      </c>
      <c r="Q1765" s="35">
        <f t="shared" si="83"/>
        <v>0.4891089108910891</v>
      </c>
    </row>
    <row r="1766" spans="1:17">
      <c r="A1766" s="12" t="s">
        <v>2281</v>
      </c>
      <c r="B1766" s="13">
        <v>45515</v>
      </c>
      <c r="C1766" s="12" t="s">
        <v>236</v>
      </c>
      <c r="D1766" s="12" t="s">
        <v>178</v>
      </c>
      <c r="E1766" s="12" t="s">
        <v>232</v>
      </c>
      <c r="F1766" s="14">
        <v>8</v>
      </c>
      <c r="G1766" s="14">
        <v>3450</v>
      </c>
      <c r="H1766" s="14">
        <v>8.4</v>
      </c>
      <c r="I1766" s="14">
        <v>25281.599999999999</v>
      </c>
      <c r="J1766" s="12" t="s">
        <v>104</v>
      </c>
      <c r="K1766" s="12" t="s">
        <v>116</v>
      </c>
      <c r="L1766" s="23" t="str">
        <f>VLOOKUP(D1766,Products!$A:$F,3,FALSE)</f>
        <v>Sports</v>
      </c>
      <c r="M1766" s="23" t="str">
        <f>VLOOKUP(E1766,Sales_Reps!$A:$E,3,FALSE)</f>
        <v>North</v>
      </c>
      <c r="N1766" s="23" t="str">
        <f t="shared" si="81"/>
        <v>Aug-24</v>
      </c>
      <c r="O1766" s="23" t="str">
        <f t="shared" si="82"/>
        <v>Q3 2024</v>
      </c>
      <c r="P1766" s="23">
        <f>VLOOKUP(D1766,Products!$A:$F,4,FALSE)</f>
        <v>2467</v>
      </c>
      <c r="Q1766" s="35">
        <f t="shared" si="83"/>
        <v>0.28492753623188405</v>
      </c>
    </row>
    <row r="1767" spans="1:17">
      <c r="A1767" s="12" t="s">
        <v>2282</v>
      </c>
      <c r="B1767" s="13">
        <v>45597</v>
      </c>
      <c r="C1767" s="12" t="s">
        <v>1003</v>
      </c>
      <c r="D1767" s="12" t="s">
        <v>299</v>
      </c>
      <c r="E1767" s="12" t="s">
        <v>232</v>
      </c>
      <c r="F1767" s="14">
        <v>3</v>
      </c>
      <c r="G1767" s="14">
        <v>300</v>
      </c>
      <c r="H1767" s="14">
        <v>7.5</v>
      </c>
      <c r="I1767" s="14">
        <v>832.5</v>
      </c>
      <c r="J1767" s="12" t="s">
        <v>161</v>
      </c>
      <c r="K1767" s="12" t="s">
        <v>111</v>
      </c>
      <c r="L1767" s="23" t="str">
        <f>VLOOKUP(D1767,Products!$A:$F,3,FALSE)</f>
        <v>Electronics</v>
      </c>
      <c r="M1767" s="23" t="str">
        <f>VLOOKUP(E1767,Sales_Reps!$A:$E,3,FALSE)</f>
        <v>North</v>
      </c>
      <c r="N1767" s="23" t="str">
        <f t="shared" si="81"/>
        <v>Nov-24</v>
      </c>
      <c r="O1767" s="23" t="str">
        <f t="shared" si="82"/>
        <v>Q4 2024</v>
      </c>
      <c r="P1767" s="23">
        <f>VLOOKUP(D1767,Products!$A:$F,4,FALSE)</f>
        <v>128</v>
      </c>
      <c r="Q1767" s="35">
        <f t="shared" si="83"/>
        <v>0.57333333333333336</v>
      </c>
    </row>
    <row r="1768" spans="1:17">
      <c r="A1768" s="12" t="s">
        <v>2283</v>
      </c>
      <c r="B1768" s="13">
        <v>45370</v>
      </c>
      <c r="C1768" s="12" t="s">
        <v>245</v>
      </c>
      <c r="D1768" s="12" t="s">
        <v>243</v>
      </c>
      <c r="E1768" s="12" t="s">
        <v>320</v>
      </c>
      <c r="F1768" s="14">
        <v>4</v>
      </c>
      <c r="G1768" s="14">
        <v>3730</v>
      </c>
      <c r="H1768" s="14">
        <v>24.8</v>
      </c>
      <c r="I1768" s="14">
        <v>11219.84</v>
      </c>
      <c r="J1768" s="12" t="s">
        <v>104</v>
      </c>
      <c r="K1768" s="12" t="s">
        <v>129</v>
      </c>
      <c r="L1768" s="23" t="str">
        <f>VLOOKUP(D1768,Products!$A:$F,3,FALSE)</f>
        <v>Home</v>
      </c>
      <c r="M1768" s="23" t="str">
        <f>VLOOKUP(E1768,Sales_Reps!$A:$E,3,FALSE)</f>
        <v>East</v>
      </c>
      <c r="N1768" s="23" t="str">
        <f t="shared" si="81"/>
        <v>Mar-24</v>
      </c>
      <c r="O1768" s="23" t="str">
        <f t="shared" si="82"/>
        <v>Q1 2024</v>
      </c>
      <c r="P1768" s="23">
        <f>VLOOKUP(D1768,Products!$A:$F,4,FALSE)</f>
        <v>2135</v>
      </c>
      <c r="Q1768" s="35">
        <f t="shared" si="83"/>
        <v>0.42761394101876676</v>
      </c>
    </row>
    <row r="1769" spans="1:17">
      <c r="A1769" s="12" t="s">
        <v>2284</v>
      </c>
      <c r="B1769" s="13">
        <v>45462</v>
      </c>
      <c r="C1769" s="12" t="s">
        <v>195</v>
      </c>
      <c r="D1769" s="12" t="s">
        <v>168</v>
      </c>
      <c r="E1769" s="12" t="s">
        <v>209</v>
      </c>
      <c r="F1769" s="14">
        <v>5</v>
      </c>
      <c r="G1769" s="14">
        <v>2400</v>
      </c>
      <c r="H1769" s="14">
        <v>9.1999999999999993</v>
      </c>
      <c r="I1769" s="14">
        <v>10896</v>
      </c>
      <c r="J1769" s="12" t="s">
        <v>104</v>
      </c>
      <c r="K1769" s="12" t="s">
        <v>111</v>
      </c>
      <c r="L1769" s="23" t="str">
        <f>VLOOKUP(D1769,Products!$A:$F,3,FALSE)</f>
        <v>Sports</v>
      </c>
      <c r="M1769" s="23" t="str">
        <f>VLOOKUP(E1769,Sales_Reps!$A:$E,3,FALSE)</f>
        <v>East</v>
      </c>
      <c r="N1769" s="23" t="str">
        <f t="shared" si="81"/>
        <v>Jun-24</v>
      </c>
      <c r="O1769" s="23" t="str">
        <f t="shared" si="82"/>
        <v>Q2 2024</v>
      </c>
      <c r="P1769" s="23">
        <f>VLOOKUP(D1769,Products!$A:$F,4,FALSE)</f>
        <v>974</v>
      </c>
      <c r="Q1769" s="35">
        <f t="shared" si="83"/>
        <v>0.59416666666666662</v>
      </c>
    </row>
    <row r="1770" spans="1:17">
      <c r="A1770" s="12" t="s">
        <v>2285</v>
      </c>
      <c r="B1770" s="13">
        <v>45609</v>
      </c>
      <c r="C1770" s="12" t="s">
        <v>420</v>
      </c>
      <c r="D1770" s="12" t="s">
        <v>217</v>
      </c>
      <c r="E1770" s="12" t="s">
        <v>232</v>
      </c>
      <c r="F1770" s="14">
        <v>3</v>
      </c>
      <c r="G1770" s="14">
        <v>2760</v>
      </c>
      <c r="H1770" s="14">
        <v>2.4</v>
      </c>
      <c r="I1770" s="14">
        <v>8081.28</v>
      </c>
      <c r="J1770" s="12" t="s">
        <v>104</v>
      </c>
      <c r="K1770" s="12" t="s">
        <v>134</v>
      </c>
      <c r="L1770" s="23" t="str">
        <f>VLOOKUP(D1770,Products!$A:$F,3,FALSE)</f>
        <v>Grocery</v>
      </c>
      <c r="M1770" s="23" t="str">
        <f>VLOOKUP(E1770,Sales_Reps!$A:$E,3,FALSE)</f>
        <v>North</v>
      </c>
      <c r="N1770" s="23" t="str">
        <f t="shared" si="81"/>
        <v>Nov-24</v>
      </c>
      <c r="O1770" s="23" t="str">
        <f t="shared" si="82"/>
        <v>Q4 2024</v>
      </c>
      <c r="P1770" s="23">
        <f>VLOOKUP(D1770,Products!$A:$F,4,FALSE)</f>
        <v>1435</v>
      </c>
      <c r="Q1770" s="35">
        <f t="shared" si="83"/>
        <v>0.48007246376811596</v>
      </c>
    </row>
    <row r="1771" spans="1:17">
      <c r="A1771" s="12" t="s">
        <v>684</v>
      </c>
      <c r="B1771" s="13">
        <v>45548</v>
      </c>
      <c r="C1771" s="12" t="s">
        <v>225</v>
      </c>
      <c r="D1771" s="12" t="s">
        <v>114</v>
      </c>
      <c r="E1771" s="12" t="s">
        <v>221</v>
      </c>
      <c r="F1771" s="14">
        <v>8</v>
      </c>
      <c r="G1771" s="14">
        <v>470</v>
      </c>
      <c r="H1771" s="14">
        <v>24.8</v>
      </c>
      <c r="I1771" s="14">
        <v>2827.52</v>
      </c>
      <c r="J1771" s="12" t="s">
        <v>110</v>
      </c>
      <c r="K1771" s="12" t="s">
        <v>150</v>
      </c>
      <c r="L1771" s="23" t="str">
        <f>VLOOKUP(D1771,Products!$A:$F,3,FALSE)</f>
        <v>Sports</v>
      </c>
      <c r="M1771" s="23" t="str">
        <f>VLOOKUP(E1771,Sales_Reps!$A:$E,3,FALSE)</f>
        <v>South</v>
      </c>
      <c r="N1771" s="23" t="str">
        <f t="shared" si="81"/>
        <v>Sep-24</v>
      </c>
      <c r="O1771" s="23" t="str">
        <f t="shared" si="82"/>
        <v>Q3 2024</v>
      </c>
      <c r="P1771" s="23">
        <f>VLOOKUP(D1771,Products!$A:$F,4,FALSE)</f>
        <v>302</v>
      </c>
      <c r="Q1771" s="35">
        <f t="shared" si="83"/>
        <v>0.35744680851063831</v>
      </c>
    </row>
    <row r="1772" spans="1:17">
      <c r="A1772" s="12" t="s">
        <v>2286</v>
      </c>
      <c r="B1772" s="13">
        <v>45633</v>
      </c>
      <c r="C1772" s="12" t="s">
        <v>619</v>
      </c>
      <c r="D1772" s="12" t="s">
        <v>114</v>
      </c>
      <c r="E1772" s="12" t="s">
        <v>360</v>
      </c>
      <c r="F1772" s="14">
        <v>3</v>
      </c>
      <c r="G1772" s="14">
        <v>470</v>
      </c>
      <c r="H1772" s="14">
        <v>18.600000000000001</v>
      </c>
      <c r="I1772" s="14">
        <v>1147.74</v>
      </c>
      <c r="J1772" s="12" t="s">
        <v>104</v>
      </c>
      <c r="K1772" s="12" t="s">
        <v>111</v>
      </c>
      <c r="L1772" s="23" t="str">
        <f>VLOOKUP(D1772,Products!$A:$F,3,FALSE)</f>
        <v>Sports</v>
      </c>
      <c r="M1772" s="23" t="str">
        <f>VLOOKUP(E1772,Sales_Reps!$A:$E,3,FALSE)</f>
        <v>West</v>
      </c>
      <c r="N1772" s="23" t="str">
        <f t="shared" si="81"/>
        <v>Dec-24</v>
      </c>
      <c r="O1772" s="23" t="str">
        <f t="shared" si="82"/>
        <v>Q4 2024</v>
      </c>
      <c r="P1772" s="23">
        <f>VLOOKUP(D1772,Products!$A:$F,4,FALSE)</f>
        <v>302</v>
      </c>
      <c r="Q1772" s="35">
        <f t="shared" si="83"/>
        <v>0.35744680851063831</v>
      </c>
    </row>
    <row r="1773" spans="1:17">
      <c r="A1773" s="12" t="s">
        <v>2287</v>
      </c>
      <c r="B1773" s="13">
        <v>45580</v>
      </c>
      <c r="C1773" s="12" t="s">
        <v>524</v>
      </c>
      <c r="D1773" s="12" t="s">
        <v>127</v>
      </c>
      <c r="E1773" s="12" t="s">
        <v>145</v>
      </c>
      <c r="F1773" s="14">
        <v>2</v>
      </c>
      <c r="G1773" s="14">
        <v>370</v>
      </c>
      <c r="H1773" s="14">
        <v>24</v>
      </c>
      <c r="I1773" s="14">
        <v>562.4</v>
      </c>
      <c r="J1773" s="12" t="s">
        <v>104</v>
      </c>
      <c r="K1773" s="12" t="s">
        <v>105</v>
      </c>
      <c r="L1773" s="23" t="str">
        <f>VLOOKUP(D1773,Products!$A:$F,3,FALSE)</f>
        <v>Home</v>
      </c>
      <c r="M1773" s="23" t="str">
        <f>VLOOKUP(E1773,Sales_Reps!$A:$E,3,FALSE)</f>
        <v>West</v>
      </c>
      <c r="N1773" s="23" t="str">
        <f t="shared" si="81"/>
        <v>Oct-24</v>
      </c>
      <c r="O1773" s="23" t="str">
        <f t="shared" si="82"/>
        <v>Q4 2024</v>
      </c>
      <c r="P1773" s="23">
        <f>VLOOKUP(D1773,Products!$A:$F,4,FALSE)</f>
        <v>288</v>
      </c>
      <c r="Q1773" s="35">
        <f t="shared" si="83"/>
        <v>0.22162162162162163</v>
      </c>
    </row>
    <row r="1774" spans="1:17">
      <c r="A1774" s="12" t="s">
        <v>2288</v>
      </c>
      <c r="B1774" s="13">
        <v>45329</v>
      </c>
      <c r="C1774" s="12" t="s">
        <v>1251</v>
      </c>
      <c r="D1774" s="12" t="s">
        <v>355</v>
      </c>
      <c r="E1774" s="12" t="s">
        <v>232</v>
      </c>
      <c r="F1774" s="14">
        <v>6</v>
      </c>
      <c r="G1774" s="14">
        <v>2210</v>
      </c>
      <c r="H1774" s="14">
        <v>28.3</v>
      </c>
      <c r="I1774" s="14">
        <v>9507.42</v>
      </c>
      <c r="J1774" s="12" t="s">
        <v>157</v>
      </c>
      <c r="K1774" s="12" t="s">
        <v>129</v>
      </c>
      <c r="L1774" s="23" t="str">
        <f>VLOOKUP(D1774,Products!$A:$F,3,FALSE)</f>
        <v>Grocery</v>
      </c>
      <c r="M1774" s="23" t="str">
        <f>VLOOKUP(E1774,Sales_Reps!$A:$E,3,FALSE)</f>
        <v>North</v>
      </c>
      <c r="N1774" s="23" t="str">
        <f t="shared" si="81"/>
        <v>Feb-24</v>
      </c>
      <c r="O1774" s="23" t="str">
        <f t="shared" si="82"/>
        <v>Q1 2024</v>
      </c>
      <c r="P1774" s="23">
        <f>VLOOKUP(D1774,Products!$A:$F,4,FALSE)</f>
        <v>1010</v>
      </c>
      <c r="Q1774" s="35">
        <f t="shared" si="83"/>
        <v>0.54298642533936647</v>
      </c>
    </row>
    <row r="1775" spans="1:17">
      <c r="A1775" s="12" t="s">
        <v>2289</v>
      </c>
      <c r="B1775" s="13">
        <v>45549</v>
      </c>
      <c r="C1775" s="12" t="s">
        <v>578</v>
      </c>
      <c r="D1775" s="12" t="s">
        <v>532</v>
      </c>
      <c r="E1775" s="12" t="s">
        <v>314</v>
      </c>
      <c r="F1775" s="14">
        <v>3</v>
      </c>
      <c r="G1775" s="14">
        <v>6940</v>
      </c>
      <c r="H1775" s="14">
        <v>27.2</v>
      </c>
      <c r="I1775" s="14">
        <v>15156.96</v>
      </c>
      <c r="J1775" s="12" t="s">
        <v>161</v>
      </c>
      <c r="K1775" s="12" t="s">
        <v>150</v>
      </c>
      <c r="L1775" s="23" t="str">
        <f>VLOOKUP(D1775,Products!$A:$F,3,FALSE)</f>
        <v>Sports</v>
      </c>
      <c r="M1775" s="23" t="str">
        <f>VLOOKUP(E1775,Sales_Reps!$A:$E,3,FALSE)</f>
        <v>North</v>
      </c>
      <c r="N1775" s="23" t="str">
        <f t="shared" si="81"/>
        <v>Sep-24</v>
      </c>
      <c r="O1775" s="23" t="str">
        <f t="shared" si="82"/>
        <v>Q3 2024</v>
      </c>
      <c r="P1775" s="23">
        <f>VLOOKUP(D1775,Products!$A:$F,4,FALSE)</f>
        <v>2827</v>
      </c>
      <c r="Q1775" s="35">
        <f t="shared" si="83"/>
        <v>0.5926512968299712</v>
      </c>
    </row>
    <row r="1776" spans="1:17">
      <c r="A1776" s="12" t="s">
        <v>2290</v>
      </c>
      <c r="B1776" s="13">
        <v>45423</v>
      </c>
      <c r="C1776" s="12" t="s">
        <v>962</v>
      </c>
      <c r="D1776" s="12" t="s">
        <v>312</v>
      </c>
      <c r="E1776" s="12" t="s">
        <v>320</v>
      </c>
      <c r="F1776" s="14">
        <v>10</v>
      </c>
      <c r="G1776" s="14">
        <v>2030</v>
      </c>
      <c r="H1776" s="14">
        <v>25.6</v>
      </c>
      <c r="I1776" s="14">
        <v>15103.2</v>
      </c>
      <c r="J1776" s="12" t="s">
        <v>104</v>
      </c>
      <c r="K1776" s="12" t="s">
        <v>105</v>
      </c>
      <c r="L1776" s="23" t="str">
        <f>VLOOKUP(D1776,Products!$A:$F,3,FALSE)</f>
        <v>Home</v>
      </c>
      <c r="M1776" s="23" t="str">
        <f>VLOOKUP(E1776,Sales_Reps!$A:$E,3,FALSE)</f>
        <v>East</v>
      </c>
      <c r="N1776" s="23" t="str">
        <f t="shared" si="81"/>
        <v>May-24</v>
      </c>
      <c r="O1776" s="23" t="str">
        <f t="shared" si="82"/>
        <v>Q2 2024</v>
      </c>
      <c r="P1776" s="23">
        <f>VLOOKUP(D1776,Products!$A:$F,4,FALSE)</f>
        <v>1143</v>
      </c>
      <c r="Q1776" s="35">
        <f t="shared" si="83"/>
        <v>0.43694581280788175</v>
      </c>
    </row>
    <row r="1777" spans="1:17">
      <c r="A1777" s="12" t="s">
        <v>2291</v>
      </c>
      <c r="B1777" s="13">
        <v>45533</v>
      </c>
      <c r="C1777" s="12" t="s">
        <v>962</v>
      </c>
      <c r="D1777" s="12" t="s">
        <v>199</v>
      </c>
      <c r="E1777" s="12" t="s">
        <v>255</v>
      </c>
      <c r="F1777" s="14">
        <v>9</v>
      </c>
      <c r="G1777" s="14">
        <v>1010</v>
      </c>
      <c r="H1777" s="14">
        <v>9.3000000000000007</v>
      </c>
      <c r="I1777" s="14">
        <v>8244.6299999999992</v>
      </c>
      <c r="J1777" s="12" t="s">
        <v>104</v>
      </c>
      <c r="K1777" s="12" t="s">
        <v>105</v>
      </c>
      <c r="L1777" s="23" t="str">
        <f>VLOOKUP(D1777,Products!$A:$F,3,FALSE)</f>
        <v>Sports</v>
      </c>
      <c r="M1777" s="23" t="str">
        <f>VLOOKUP(E1777,Sales_Reps!$A:$E,3,FALSE)</f>
        <v>East</v>
      </c>
      <c r="N1777" s="23" t="str">
        <f t="shared" si="81"/>
        <v>Aug-24</v>
      </c>
      <c r="O1777" s="23" t="str">
        <f t="shared" si="82"/>
        <v>Q3 2024</v>
      </c>
      <c r="P1777" s="23">
        <f>VLOOKUP(D1777,Products!$A:$F,4,FALSE)</f>
        <v>516</v>
      </c>
      <c r="Q1777" s="35">
        <f t="shared" si="83"/>
        <v>0.4891089108910891</v>
      </c>
    </row>
    <row r="1778" spans="1:17">
      <c r="A1778" s="12" t="s">
        <v>2292</v>
      </c>
      <c r="B1778" s="13">
        <v>45571</v>
      </c>
      <c r="C1778" s="12" t="s">
        <v>345</v>
      </c>
      <c r="D1778" s="12" t="s">
        <v>372</v>
      </c>
      <c r="E1778" s="12" t="s">
        <v>314</v>
      </c>
      <c r="F1778" s="14">
        <v>5</v>
      </c>
      <c r="G1778" s="14">
        <v>2510</v>
      </c>
      <c r="H1778" s="14">
        <v>22.2</v>
      </c>
      <c r="I1778" s="14">
        <v>9763.9</v>
      </c>
      <c r="J1778" s="12" t="s">
        <v>104</v>
      </c>
      <c r="K1778" s="12" t="s">
        <v>111</v>
      </c>
      <c r="L1778" s="23" t="str">
        <f>VLOOKUP(D1778,Products!$A:$F,3,FALSE)</f>
        <v>Apparel</v>
      </c>
      <c r="M1778" s="23" t="str">
        <f>VLOOKUP(E1778,Sales_Reps!$A:$E,3,FALSE)</f>
        <v>North</v>
      </c>
      <c r="N1778" s="23" t="str">
        <f t="shared" si="81"/>
        <v>Oct-24</v>
      </c>
      <c r="O1778" s="23" t="str">
        <f t="shared" si="82"/>
        <v>Q4 2024</v>
      </c>
      <c r="P1778" s="23">
        <f>VLOOKUP(D1778,Products!$A:$F,4,FALSE)</f>
        <v>1075</v>
      </c>
      <c r="Q1778" s="35">
        <f t="shared" si="83"/>
        <v>0.57171314741035861</v>
      </c>
    </row>
    <row r="1779" spans="1:17">
      <c r="A1779" s="12" t="s">
        <v>2293</v>
      </c>
      <c r="B1779" s="13">
        <v>45441</v>
      </c>
      <c r="C1779" s="12" t="s">
        <v>776</v>
      </c>
      <c r="D1779" s="12" t="s">
        <v>127</v>
      </c>
      <c r="E1779" s="12" t="s">
        <v>314</v>
      </c>
      <c r="F1779" s="14">
        <v>10</v>
      </c>
      <c r="G1779" s="14">
        <v>370</v>
      </c>
      <c r="H1779" s="14">
        <v>29</v>
      </c>
      <c r="I1779" s="14">
        <v>2627</v>
      </c>
      <c r="J1779" s="12" t="s">
        <v>104</v>
      </c>
      <c r="K1779" s="12" t="s">
        <v>134</v>
      </c>
      <c r="L1779" s="23" t="str">
        <f>VLOOKUP(D1779,Products!$A:$F,3,FALSE)</f>
        <v>Home</v>
      </c>
      <c r="M1779" s="23" t="str">
        <f>VLOOKUP(E1779,Sales_Reps!$A:$E,3,FALSE)</f>
        <v>North</v>
      </c>
      <c r="N1779" s="23" t="str">
        <f t="shared" si="81"/>
        <v>May-24</v>
      </c>
      <c r="O1779" s="23" t="str">
        <f t="shared" si="82"/>
        <v>Q2 2024</v>
      </c>
      <c r="P1779" s="23">
        <f>VLOOKUP(D1779,Products!$A:$F,4,FALSE)</f>
        <v>288</v>
      </c>
      <c r="Q1779" s="35">
        <f t="shared" si="83"/>
        <v>0.22162162162162163</v>
      </c>
    </row>
    <row r="1780" spans="1:17">
      <c r="A1780" s="12" t="s">
        <v>2294</v>
      </c>
      <c r="B1780" s="13">
        <v>45403</v>
      </c>
      <c r="C1780" s="12" t="s">
        <v>561</v>
      </c>
      <c r="D1780" s="12" t="s">
        <v>184</v>
      </c>
      <c r="E1780" s="12" t="s">
        <v>175</v>
      </c>
      <c r="F1780" s="14">
        <v>3</v>
      </c>
      <c r="G1780" s="14">
        <v>2480</v>
      </c>
      <c r="H1780" s="14">
        <v>9.6</v>
      </c>
      <c r="I1780" s="14">
        <v>6725.76</v>
      </c>
      <c r="J1780" s="12" t="s">
        <v>104</v>
      </c>
      <c r="K1780" s="12" t="s">
        <v>150</v>
      </c>
      <c r="L1780" s="23" t="str">
        <f>VLOOKUP(D1780,Products!$A:$F,3,FALSE)</f>
        <v>Apparel</v>
      </c>
      <c r="M1780" s="23" t="str">
        <f>VLOOKUP(E1780,Sales_Reps!$A:$E,3,FALSE)</f>
        <v>East</v>
      </c>
      <c r="N1780" s="23" t="str">
        <f t="shared" si="81"/>
        <v>Apr-24</v>
      </c>
      <c r="O1780" s="23" t="str">
        <f t="shared" si="82"/>
        <v>Q2 2024</v>
      </c>
      <c r="P1780" s="23">
        <f>VLOOKUP(D1780,Products!$A:$F,4,FALSE)</f>
        <v>1173</v>
      </c>
      <c r="Q1780" s="35">
        <f t="shared" si="83"/>
        <v>0.52701612903225803</v>
      </c>
    </row>
    <row r="1781" spans="1:17">
      <c r="A1781" s="12" t="s">
        <v>2295</v>
      </c>
      <c r="B1781" s="13">
        <v>45644</v>
      </c>
      <c r="C1781" s="12" t="s">
        <v>812</v>
      </c>
      <c r="D1781" s="12" t="s">
        <v>152</v>
      </c>
      <c r="E1781" s="12" t="s">
        <v>255</v>
      </c>
      <c r="F1781" s="14">
        <v>3</v>
      </c>
      <c r="G1781" s="14">
        <v>2640</v>
      </c>
      <c r="H1781" s="14">
        <v>10.199999999999999</v>
      </c>
      <c r="I1781" s="14">
        <v>7112.16</v>
      </c>
      <c r="J1781" s="12" t="s">
        <v>157</v>
      </c>
      <c r="K1781" s="12" t="s">
        <v>111</v>
      </c>
      <c r="L1781" s="23" t="str">
        <f>VLOOKUP(D1781,Products!$A:$F,3,FALSE)</f>
        <v>Electronics</v>
      </c>
      <c r="M1781" s="23" t="str">
        <f>VLOOKUP(E1781,Sales_Reps!$A:$E,3,FALSE)</f>
        <v>East</v>
      </c>
      <c r="N1781" s="23" t="str">
        <f t="shared" si="81"/>
        <v>Dec-24</v>
      </c>
      <c r="O1781" s="23" t="str">
        <f t="shared" si="82"/>
        <v>Q4 2024</v>
      </c>
      <c r="P1781" s="23">
        <f>VLOOKUP(D1781,Products!$A:$F,4,FALSE)</f>
        <v>1149</v>
      </c>
      <c r="Q1781" s="35">
        <f t="shared" si="83"/>
        <v>0.56477272727272732</v>
      </c>
    </row>
    <row r="1782" spans="1:17">
      <c r="A1782" s="12" t="s">
        <v>2296</v>
      </c>
      <c r="B1782" s="13">
        <v>45504</v>
      </c>
      <c r="C1782" s="12" t="s">
        <v>1516</v>
      </c>
      <c r="D1782" s="12" t="s">
        <v>519</v>
      </c>
      <c r="E1782" s="12" t="s">
        <v>209</v>
      </c>
      <c r="F1782" s="14">
        <v>1</v>
      </c>
      <c r="G1782" s="14">
        <v>1090</v>
      </c>
      <c r="H1782" s="14">
        <v>21.6</v>
      </c>
      <c r="I1782" s="14">
        <v>854.56</v>
      </c>
      <c r="J1782" s="12" t="s">
        <v>157</v>
      </c>
      <c r="K1782" s="12" t="s">
        <v>111</v>
      </c>
      <c r="L1782" s="23" t="str">
        <f>VLOOKUP(D1782,Products!$A:$F,3,FALSE)</f>
        <v>Home</v>
      </c>
      <c r="M1782" s="23" t="str">
        <f>VLOOKUP(E1782,Sales_Reps!$A:$E,3,FALSE)</f>
        <v>East</v>
      </c>
      <c r="N1782" s="23" t="str">
        <f t="shared" si="81"/>
        <v>Jul-24</v>
      </c>
      <c r="O1782" s="23" t="str">
        <f t="shared" si="82"/>
        <v>Q3 2024</v>
      </c>
      <c r="P1782" s="23">
        <f>VLOOKUP(D1782,Products!$A:$F,4,FALSE)</f>
        <v>464</v>
      </c>
      <c r="Q1782" s="35">
        <f t="shared" si="83"/>
        <v>0.57431192660550456</v>
      </c>
    </row>
    <row r="1783" spans="1:17">
      <c r="A1783" s="12" t="s">
        <v>2297</v>
      </c>
      <c r="B1783" s="13">
        <v>45606</v>
      </c>
      <c r="C1783" s="12" t="s">
        <v>1367</v>
      </c>
      <c r="D1783" s="12" t="s">
        <v>196</v>
      </c>
      <c r="E1783" s="12" t="s">
        <v>314</v>
      </c>
      <c r="F1783" s="14">
        <v>10</v>
      </c>
      <c r="G1783" s="14">
        <v>3350</v>
      </c>
      <c r="H1783" s="14">
        <v>12.1</v>
      </c>
      <c r="I1783" s="14">
        <v>29446.5</v>
      </c>
      <c r="J1783" s="12" t="s">
        <v>104</v>
      </c>
      <c r="K1783" s="12" t="s">
        <v>129</v>
      </c>
      <c r="L1783" s="23" t="str">
        <f>VLOOKUP(D1783,Products!$A:$F,3,FALSE)</f>
        <v>Beauty</v>
      </c>
      <c r="M1783" s="23" t="str">
        <f>VLOOKUP(E1783,Sales_Reps!$A:$E,3,FALSE)</f>
        <v>North</v>
      </c>
      <c r="N1783" s="23" t="str">
        <f t="shared" si="81"/>
        <v>Nov-24</v>
      </c>
      <c r="O1783" s="23" t="str">
        <f t="shared" si="82"/>
        <v>Q4 2024</v>
      </c>
      <c r="P1783" s="23">
        <f>VLOOKUP(D1783,Products!$A:$F,4,FALSE)</f>
        <v>1728</v>
      </c>
      <c r="Q1783" s="35">
        <f t="shared" si="83"/>
        <v>0.48417910447761192</v>
      </c>
    </row>
    <row r="1784" spans="1:17">
      <c r="A1784" s="12" t="s">
        <v>2298</v>
      </c>
      <c r="B1784" s="13">
        <v>45562</v>
      </c>
      <c r="C1784" s="12" t="s">
        <v>602</v>
      </c>
      <c r="D1784" s="12" t="s">
        <v>258</v>
      </c>
      <c r="E1784" s="12" t="s">
        <v>205</v>
      </c>
      <c r="F1784" s="14">
        <v>4</v>
      </c>
      <c r="G1784" s="14">
        <v>6080</v>
      </c>
      <c r="H1784" s="14">
        <v>26.7</v>
      </c>
      <c r="I1784" s="14">
        <v>17826.560000000001</v>
      </c>
      <c r="J1784" s="12" t="s">
        <v>157</v>
      </c>
      <c r="K1784" s="12" t="s">
        <v>111</v>
      </c>
      <c r="L1784" s="23" t="str">
        <f>VLOOKUP(D1784,Products!$A:$F,3,FALSE)</f>
        <v>Beauty</v>
      </c>
      <c r="M1784" s="23" t="str">
        <f>VLOOKUP(E1784,Sales_Reps!$A:$E,3,FALSE)</f>
        <v>South</v>
      </c>
      <c r="N1784" s="23" t="str">
        <f t="shared" si="81"/>
        <v>Sep-24</v>
      </c>
      <c r="O1784" s="23" t="str">
        <f t="shared" si="82"/>
        <v>Q3 2024</v>
      </c>
      <c r="P1784" s="23">
        <f>VLOOKUP(D1784,Products!$A:$F,4,FALSE)</f>
        <v>2617</v>
      </c>
      <c r="Q1784" s="35">
        <f t="shared" si="83"/>
        <v>0.56957236842105263</v>
      </c>
    </row>
    <row r="1785" spans="1:17">
      <c r="A1785" s="12" t="s">
        <v>2299</v>
      </c>
      <c r="B1785" s="13">
        <v>45372</v>
      </c>
      <c r="C1785" s="12" t="s">
        <v>714</v>
      </c>
      <c r="D1785" s="12" t="s">
        <v>397</v>
      </c>
      <c r="E1785" s="12" t="s">
        <v>314</v>
      </c>
      <c r="F1785" s="14">
        <v>3</v>
      </c>
      <c r="G1785" s="14">
        <v>960</v>
      </c>
      <c r="H1785" s="14">
        <v>13.2</v>
      </c>
      <c r="I1785" s="14">
        <v>2499.84</v>
      </c>
      <c r="J1785" s="12" t="s">
        <v>104</v>
      </c>
      <c r="K1785" s="12" t="s">
        <v>150</v>
      </c>
      <c r="L1785" s="23" t="str">
        <f>VLOOKUP(D1785,Products!$A:$F,3,FALSE)</f>
        <v>Beauty</v>
      </c>
      <c r="M1785" s="23" t="str">
        <f>VLOOKUP(E1785,Sales_Reps!$A:$E,3,FALSE)</f>
        <v>North</v>
      </c>
      <c r="N1785" s="23" t="str">
        <f t="shared" si="81"/>
        <v>Mar-24</v>
      </c>
      <c r="O1785" s="23" t="str">
        <f t="shared" si="82"/>
        <v>Q1 2024</v>
      </c>
      <c r="P1785" s="23">
        <f>VLOOKUP(D1785,Products!$A:$F,4,FALSE)</f>
        <v>675</v>
      </c>
      <c r="Q1785" s="35">
        <f t="shared" si="83"/>
        <v>0.296875</v>
      </c>
    </row>
    <row r="1786" spans="1:17">
      <c r="A1786" s="12" t="s">
        <v>2300</v>
      </c>
      <c r="B1786" s="13">
        <v>45610</v>
      </c>
      <c r="C1786" s="12" t="s">
        <v>580</v>
      </c>
      <c r="D1786" s="12" t="s">
        <v>119</v>
      </c>
      <c r="E1786" s="12" t="s">
        <v>103</v>
      </c>
      <c r="F1786" s="14">
        <v>9</v>
      </c>
      <c r="G1786" s="14">
        <v>3660</v>
      </c>
      <c r="H1786" s="14">
        <v>9.3000000000000007</v>
      </c>
      <c r="I1786" s="14">
        <v>29876.58</v>
      </c>
      <c r="J1786" s="12" t="s">
        <v>157</v>
      </c>
      <c r="K1786" s="12" t="s">
        <v>105</v>
      </c>
      <c r="L1786" s="23" t="str">
        <f>VLOOKUP(D1786,Products!$A:$F,3,FALSE)</f>
        <v>Grocery</v>
      </c>
      <c r="M1786" s="23" t="str">
        <f>VLOOKUP(E1786,Sales_Reps!$A:$E,3,FALSE)</f>
        <v>North</v>
      </c>
      <c r="N1786" s="23" t="str">
        <f t="shared" si="81"/>
        <v>Nov-24</v>
      </c>
      <c r="O1786" s="23" t="str">
        <f t="shared" si="82"/>
        <v>Q4 2024</v>
      </c>
      <c r="P1786" s="23">
        <f>VLOOKUP(D1786,Products!$A:$F,4,FALSE)</f>
        <v>2214</v>
      </c>
      <c r="Q1786" s="35">
        <f t="shared" si="83"/>
        <v>0.39508196721311473</v>
      </c>
    </row>
    <row r="1787" spans="1:17">
      <c r="A1787" s="12" t="s">
        <v>2301</v>
      </c>
      <c r="B1787" s="13">
        <v>45388</v>
      </c>
      <c r="C1787" s="12" t="s">
        <v>422</v>
      </c>
      <c r="D1787" s="12" t="s">
        <v>174</v>
      </c>
      <c r="E1787" s="12" t="s">
        <v>138</v>
      </c>
      <c r="F1787" s="14">
        <v>6</v>
      </c>
      <c r="G1787" s="14">
        <v>3450</v>
      </c>
      <c r="H1787" s="14">
        <v>8.1999999999999993</v>
      </c>
      <c r="I1787" s="14">
        <v>19002.599999999999</v>
      </c>
      <c r="J1787" s="12" t="s">
        <v>104</v>
      </c>
      <c r="K1787" s="12" t="s">
        <v>111</v>
      </c>
      <c r="L1787" s="23" t="str">
        <f>VLOOKUP(D1787,Products!$A:$F,3,FALSE)</f>
        <v>Beauty</v>
      </c>
      <c r="M1787" s="23" t="str">
        <f>VLOOKUP(E1787,Sales_Reps!$A:$E,3,FALSE)</f>
        <v>East</v>
      </c>
      <c r="N1787" s="23" t="str">
        <f t="shared" si="81"/>
        <v>Apr-24</v>
      </c>
      <c r="O1787" s="23" t="str">
        <f t="shared" si="82"/>
        <v>Q2 2024</v>
      </c>
      <c r="P1787" s="23">
        <f>VLOOKUP(D1787,Products!$A:$F,4,FALSE)</f>
        <v>2420</v>
      </c>
      <c r="Q1787" s="35">
        <f t="shared" si="83"/>
        <v>0.29855072463768118</v>
      </c>
    </row>
    <row r="1788" spans="1:17">
      <c r="A1788" s="12" t="s">
        <v>2302</v>
      </c>
      <c r="B1788" s="13">
        <v>45421</v>
      </c>
      <c r="C1788" s="12" t="s">
        <v>690</v>
      </c>
      <c r="D1788" s="12" t="s">
        <v>287</v>
      </c>
      <c r="E1788" s="12" t="s">
        <v>209</v>
      </c>
      <c r="F1788" s="14">
        <v>7</v>
      </c>
      <c r="G1788" s="14">
        <v>4610</v>
      </c>
      <c r="H1788" s="14">
        <v>10.4</v>
      </c>
      <c r="I1788" s="14">
        <v>28913.919999999998</v>
      </c>
      <c r="J1788" s="12" t="s">
        <v>104</v>
      </c>
      <c r="K1788" s="12" t="s">
        <v>129</v>
      </c>
      <c r="L1788" s="23" t="str">
        <f>VLOOKUP(D1788,Products!$A:$F,3,FALSE)</f>
        <v>Home</v>
      </c>
      <c r="M1788" s="23" t="str">
        <f>VLOOKUP(E1788,Sales_Reps!$A:$E,3,FALSE)</f>
        <v>East</v>
      </c>
      <c r="N1788" s="23" t="str">
        <f t="shared" si="81"/>
        <v>May-24</v>
      </c>
      <c r="O1788" s="23" t="str">
        <f t="shared" si="82"/>
        <v>Q2 2024</v>
      </c>
      <c r="P1788" s="23">
        <f>VLOOKUP(D1788,Products!$A:$F,4,FALSE)</f>
        <v>1850</v>
      </c>
      <c r="Q1788" s="35">
        <f t="shared" si="83"/>
        <v>0.59869848156182215</v>
      </c>
    </row>
    <row r="1789" spans="1:17">
      <c r="A1789" s="12" t="s">
        <v>2303</v>
      </c>
      <c r="B1789" s="13">
        <v>45529</v>
      </c>
      <c r="C1789" s="12" t="s">
        <v>480</v>
      </c>
      <c r="D1789" s="12" t="s">
        <v>132</v>
      </c>
      <c r="E1789" s="12" t="s">
        <v>221</v>
      </c>
      <c r="F1789" s="14">
        <v>2</v>
      </c>
      <c r="G1789" s="14">
        <v>960</v>
      </c>
      <c r="H1789" s="14">
        <v>16.5</v>
      </c>
      <c r="I1789" s="14">
        <v>1603.2</v>
      </c>
      <c r="J1789" s="12" t="s">
        <v>104</v>
      </c>
      <c r="K1789" s="12" t="s">
        <v>134</v>
      </c>
      <c r="L1789" s="23" t="str">
        <f>VLOOKUP(D1789,Products!$A:$F,3,FALSE)</f>
        <v>Sports</v>
      </c>
      <c r="M1789" s="23" t="str">
        <f>VLOOKUP(E1789,Sales_Reps!$A:$E,3,FALSE)</f>
        <v>South</v>
      </c>
      <c r="N1789" s="23" t="str">
        <f t="shared" si="81"/>
        <v>Aug-24</v>
      </c>
      <c r="O1789" s="23" t="str">
        <f t="shared" si="82"/>
        <v>Q3 2024</v>
      </c>
      <c r="P1789" s="23">
        <f>VLOOKUP(D1789,Products!$A:$F,4,FALSE)</f>
        <v>705</v>
      </c>
      <c r="Q1789" s="35">
        <f t="shared" si="83"/>
        <v>0.265625</v>
      </c>
    </row>
    <row r="1790" spans="1:17">
      <c r="A1790" s="12" t="s">
        <v>2304</v>
      </c>
      <c r="B1790" s="13">
        <v>45553</v>
      </c>
      <c r="C1790" s="12" t="s">
        <v>439</v>
      </c>
      <c r="D1790" s="12" t="s">
        <v>127</v>
      </c>
      <c r="E1790" s="12" t="s">
        <v>171</v>
      </c>
      <c r="F1790" s="14">
        <v>7</v>
      </c>
      <c r="G1790" s="14">
        <v>370</v>
      </c>
      <c r="H1790" s="14">
        <v>1.4</v>
      </c>
      <c r="I1790" s="14">
        <v>2553.7399999999998</v>
      </c>
      <c r="J1790" s="12" t="s">
        <v>161</v>
      </c>
      <c r="K1790" s="12" t="s">
        <v>111</v>
      </c>
      <c r="L1790" s="23" t="str">
        <f>VLOOKUP(D1790,Products!$A:$F,3,FALSE)</f>
        <v>Home</v>
      </c>
      <c r="M1790" s="23" t="str">
        <f>VLOOKUP(E1790,Sales_Reps!$A:$E,3,FALSE)</f>
        <v>East</v>
      </c>
      <c r="N1790" s="23" t="str">
        <f t="shared" si="81"/>
        <v>Sep-24</v>
      </c>
      <c r="O1790" s="23" t="str">
        <f t="shared" si="82"/>
        <v>Q3 2024</v>
      </c>
      <c r="P1790" s="23">
        <f>VLOOKUP(D1790,Products!$A:$F,4,FALSE)</f>
        <v>288</v>
      </c>
      <c r="Q1790" s="35">
        <f t="shared" si="83"/>
        <v>0.22162162162162163</v>
      </c>
    </row>
    <row r="1791" spans="1:17">
      <c r="A1791" s="12" t="s">
        <v>2305</v>
      </c>
      <c r="B1791" s="13">
        <v>45535</v>
      </c>
      <c r="C1791" s="12" t="s">
        <v>638</v>
      </c>
      <c r="D1791" s="12" t="s">
        <v>148</v>
      </c>
      <c r="E1791" s="12" t="s">
        <v>156</v>
      </c>
      <c r="F1791" s="14">
        <v>3</v>
      </c>
      <c r="G1791" s="14">
        <v>2270</v>
      </c>
      <c r="H1791" s="14">
        <v>12.6</v>
      </c>
      <c r="I1791" s="14">
        <v>5951.94</v>
      </c>
      <c r="J1791" s="12" t="s">
        <v>104</v>
      </c>
      <c r="K1791" s="12" t="s">
        <v>111</v>
      </c>
      <c r="L1791" s="23" t="str">
        <f>VLOOKUP(D1791,Products!$A:$F,3,FALSE)</f>
        <v>Grocery</v>
      </c>
      <c r="M1791" s="23" t="str">
        <f>VLOOKUP(E1791,Sales_Reps!$A:$E,3,FALSE)</f>
        <v>North</v>
      </c>
      <c r="N1791" s="23" t="str">
        <f t="shared" si="81"/>
        <v>Aug-24</v>
      </c>
      <c r="O1791" s="23" t="str">
        <f t="shared" si="82"/>
        <v>Q3 2024</v>
      </c>
      <c r="P1791" s="23">
        <f>VLOOKUP(D1791,Products!$A:$F,4,FALSE)</f>
        <v>1203</v>
      </c>
      <c r="Q1791" s="35">
        <f t="shared" si="83"/>
        <v>0.47004405286343615</v>
      </c>
    </row>
    <row r="1792" spans="1:17">
      <c r="A1792" s="12" t="s">
        <v>648</v>
      </c>
      <c r="B1792" s="13">
        <v>45301</v>
      </c>
      <c r="C1792" s="12" t="s">
        <v>1375</v>
      </c>
      <c r="D1792" s="12" t="s">
        <v>160</v>
      </c>
      <c r="E1792" s="12" t="s">
        <v>115</v>
      </c>
      <c r="F1792" s="14">
        <v>1</v>
      </c>
      <c r="G1792" s="14">
        <v>3250</v>
      </c>
      <c r="H1792" s="14">
        <v>17.8</v>
      </c>
      <c r="I1792" s="14">
        <v>2671.5</v>
      </c>
      <c r="J1792" s="12" t="s">
        <v>104</v>
      </c>
      <c r="K1792" s="12" t="s">
        <v>129</v>
      </c>
      <c r="L1792" s="23" t="str">
        <f>VLOOKUP(D1792,Products!$A:$F,3,FALSE)</f>
        <v>Home</v>
      </c>
      <c r="M1792" s="23" t="str">
        <f>VLOOKUP(E1792,Sales_Reps!$A:$E,3,FALSE)</f>
        <v>South</v>
      </c>
      <c r="N1792" s="23" t="str">
        <f t="shared" si="81"/>
        <v>Jan-24</v>
      </c>
      <c r="O1792" s="23" t="str">
        <f t="shared" si="82"/>
        <v>Q1 2024</v>
      </c>
      <c r="P1792" s="23">
        <f>VLOOKUP(D1792,Products!$A:$F,4,FALSE)</f>
        <v>1556</v>
      </c>
      <c r="Q1792" s="35">
        <f t="shared" si="83"/>
        <v>0.52123076923076928</v>
      </c>
    </row>
    <row r="1793" spans="1:17">
      <c r="A1793" s="12" t="s">
        <v>2306</v>
      </c>
      <c r="B1793" s="13">
        <v>45404</v>
      </c>
      <c r="C1793" s="12" t="s">
        <v>1892</v>
      </c>
      <c r="D1793" s="12" t="s">
        <v>309</v>
      </c>
      <c r="E1793" s="12" t="s">
        <v>320</v>
      </c>
      <c r="F1793" s="14">
        <v>5</v>
      </c>
      <c r="G1793" s="14">
        <v>620</v>
      </c>
      <c r="H1793" s="14">
        <v>19.399999999999999</v>
      </c>
      <c r="I1793" s="14">
        <v>2498.6</v>
      </c>
      <c r="J1793" s="12" t="s">
        <v>110</v>
      </c>
      <c r="K1793" s="12" t="s">
        <v>111</v>
      </c>
      <c r="L1793" s="23" t="str">
        <f>VLOOKUP(D1793,Products!$A:$F,3,FALSE)</f>
        <v>Apparel</v>
      </c>
      <c r="M1793" s="23" t="str">
        <f>VLOOKUP(E1793,Sales_Reps!$A:$E,3,FALSE)</f>
        <v>East</v>
      </c>
      <c r="N1793" s="23" t="str">
        <f t="shared" si="81"/>
        <v>Apr-24</v>
      </c>
      <c r="O1793" s="23" t="str">
        <f t="shared" si="82"/>
        <v>Q2 2024</v>
      </c>
      <c r="P1793" s="23">
        <f>VLOOKUP(D1793,Products!$A:$F,4,FALSE)</f>
        <v>396</v>
      </c>
      <c r="Q1793" s="35">
        <f t="shared" si="83"/>
        <v>0.36129032258064514</v>
      </c>
    </row>
    <row r="1794" spans="1:17">
      <c r="A1794" s="12" t="s">
        <v>2307</v>
      </c>
      <c r="B1794" s="13">
        <v>45600</v>
      </c>
      <c r="C1794" s="12" t="s">
        <v>407</v>
      </c>
      <c r="D1794" s="12" t="s">
        <v>296</v>
      </c>
      <c r="E1794" s="12" t="s">
        <v>109</v>
      </c>
      <c r="F1794" s="14">
        <v>6</v>
      </c>
      <c r="G1794" s="14">
        <v>2660</v>
      </c>
      <c r="H1794" s="14">
        <v>14.9</v>
      </c>
      <c r="I1794" s="14">
        <v>13581.96</v>
      </c>
      <c r="J1794" s="12" t="s">
        <v>104</v>
      </c>
      <c r="K1794" s="12" t="s">
        <v>105</v>
      </c>
      <c r="L1794" s="23" t="str">
        <f>VLOOKUP(D1794,Products!$A:$F,3,FALSE)</f>
        <v>Electronics</v>
      </c>
      <c r="M1794" s="23" t="str">
        <f>VLOOKUP(E1794,Sales_Reps!$A:$E,3,FALSE)</f>
        <v>North</v>
      </c>
      <c r="N1794" s="23" t="str">
        <f t="shared" si="81"/>
        <v>Nov-24</v>
      </c>
      <c r="O1794" s="23" t="str">
        <f t="shared" si="82"/>
        <v>Q4 2024</v>
      </c>
      <c r="P1794" s="23">
        <f>VLOOKUP(D1794,Products!$A:$F,4,FALSE)</f>
        <v>1259</v>
      </c>
      <c r="Q1794" s="35">
        <f t="shared" si="83"/>
        <v>0.52669172932330832</v>
      </c>
    </row>
    <row r="1795" spans="1:17">
      <c r="A1795" s="12" t="s">
        <v>2308</v>
      </c>
      <c r="B1795" s="13">
        <v>45526</v>
      </c>
      <c r="C1795" s="12" t="s">
        <v>887</v>
      </c>
      <c r="D1795" s="12" t="s">
        <v>102</v>
      </c>
      <c r="E1795" s="12" t="s">
        <v>232</v>
      </c>
      <c r="F1795" s="14">
        <v>5</v>
      </c>
      <c r="G1795" s="14">
        <v>3620</v>
      </c>
      <c r="H1795" s="14">
        <v>21</v>
      </c>
      <c r="I1795" s="14">
        <v>14299</v>
      </c>
      <c r="J1795" s="12" t="s">
        <v>157</v>
      </c>
      <c r="K1795" s="12" t="s">
        <v>134</v>
      </c>
      <c r="L1795" s="23" t="str">
        <f>VLOOKUP(D1795,Products!$A:$F,3,FALSE)</f>
        <v>Apparel</v>
      </c>
      <c r="M1795" s="23" t="str">
        <f>VLOOKUP(E1795,Sales_Reps!$A:$E,3,FALSE)</f>
        <v>North</v>
      </c>
      <c r="N1795" s="23" t="str">
        <f t="shared" ref="N1795:N1858" si="84">TEXT(B1795, "mmm-yy")</f>
        <v>Aug-24</v>
      </c>
      <c r="O1795" s="23" t="str">
        <f t="shared" ref="O1795:O1858" si="85">"Q" &amp; INT((MONTH(B1795)-1)/3)+1 &amp; " " &amp; YEAR(B1795)</f>
        <v>Q3 2024</v>
      </c>
      <c r="P1795" s="23">
        <f>VLOOKUP(D1795,Products!$A:$F,4,FALSE)</f>
        <v>2509</v>
      </c>
      <c r="Q1795" s="35">
        <f t="shared" ref="Q1795:Q1858" si="86">(G1795 - P1795) / G1795</f>
        <v>0.3069060773480663</v>
      </c>
    </row>
    <row r="1796" spans="1:17">
      <c r="A1796" s="12" t="s">
        <v>2309</v>
      </c>
      <c r="B1796" s="13">
        <v>45580</v>
      </c>
      <c r="C1796" s="12" t="s">
        <v>1681</v>
      </c>
      <c r="D1796" s="12" t="s">
        <v>254</v>
      </c>
      <c r="E1796" s="12" t="s">
        <v>175</v>
      </c>
      <c r="F1796" s="14">
        <v>1</v>
      </c>
      <c r="G1796" s="14">
        <v>3640</v>
      </c>
      <c r="H1796" s="14">
        <v>15.8</v>
      </c>
      <c r="I1796" s="14">
        <v>3064.88</v>
      </c>
      <c r="J1796" s="12" t="s">
        <v>104</v>
      </c>
      <c r="K1796" s="12" t="s">
        <v>134</v>
      </c>
      <c r="L1796" s="23" t="str">
        <f>VLOOKUP(D1796,Products!$A:$F,3,FALSE)</f>
        <v>Apparel</v>
      </c>
      <c r="M1796" s="23" t="str">
        <f>VLOOKUP(E1796,Sales_Reps!$A:$E,3,FALSE)</f>
        <v>East</v>
      </c>
      <c r="N1796" s="23" t="str">
        <f t="shared" si="84"/>
        <v>Oct-24</v>
      </c>
      <c r="O1796" s="23" t="str">
        <f t="shared" si="85"/>
        <v>Q4 2024</v>
      </c>
      <c r="P1796" s="23">
        <f>VLOOKUP(D1796,Products!$A:$F,4,FALSE)</f>
        <v>2611</v>
      </c>
      <c r="Q1796" s="35">
        <f t="shared" si="86"/>
        <v>0.28269230769230769</v>
      </c>
    </row>
    <row r="1797" spans="1:17">
      <c r="A1797" s="12" t="s">
        <v>2310</v>
      </c>
      <c r="B1797" s="13">
        <v>45444</v>
      </c>
      <c r="C1797" s="12" t="s">
        <v>779</v>
      </c>
      <c r="D1797" s="12" t="s">
        <v>284</v>
      </c>
      <c r="E1797" s="12" t="s">
        <v>103</v>
      </c>
      <c r="F1797" s="14">
        <v>1</v>
      </c>
      <c r="G1797" s="14">
        <v>1220</v>
      </c>
      <c r="H1797" s="14">
        <v>0.6</v>
      </c>
      <c r="I1797" s="14">
        <v>1212.68</v>
      </c>
      <c r="J1797" s="12" t="s">
        <v>161</v>
      </c>
      <c r="K1797" s="12" t="s">
        <v>150</v>
      </c>
      <c r="L1797" s="23" t="str">
        <f>VLOOKUP(D1797,Products!$A:$F,3,FALSE)</f>
        <v>Electronics</v>
      </c>
      <c r="M1797" s="23" t="str">
        <f>VLOOKUP(E1797,Sales_Reps!$A:$E,3,FALSE)</f>
        <v>North</v>
      </c>
      <c r="N1797" s="23" t="str">
        <f t="shared" si="84"/>
        <v>Jun-24</v>
      </c>
      <c r="O1797" s="23" t="str">
        <f t="shared" si="85"/>
        <v>Q2 2024</v>
      </c>
      <c r="P1797" s="23">
        <f>VLOOKUP(D1797,Products!$A:$F,4,FALSE)</f>
        <v>517</v>
      </c>
      <c r="Q1797" s="35">
        <f t="shared" si="86"/>
        <v>0.57622950819672136</v>
      </c>
    </row>
    <row r="1798" spans="1:17">
      <c r="A1798" s="12" t="s">
        <v>2311</v>
      </c>
      <c r="B1798" s="13">
        <v>45350</v>
      </c>
      <c r="C1798" s="12" t="s">
        <v>170</v>
      </c>
      <c r="D1798" s="12" t="s">
        <v>184</v>
      </c>
      <c r="E1798" s="12" t="s">
        <v>314</v>
      </c>
      <c r="F1798" s="14">
        <v>10</v>
      </c>
      <c r="G1798" s="14">
        <v>2480</v>
      </c>
      <c r="H1798" s="14">
        <v>0.6</v>
      </c>
      <c r="I1798" s="14">
        <v>24651.200000000001</v>
      </c>
      <c r="J1798" s="12" t="s">
        <v>104</v>
      </c>
      <c r="K1798" s="12" t="s">
        <v>134</v>
      </c>
      <c r="L1798" s="23" t="str">
        <f>VLOOKUP(D1798,Products!$A:$F,3,FALSE)</f>
        <v>Apparel</v>
      </c>
      <c r="M1798" s="23" t="str">
        <f>VLOOKUP(E1798,Sales_Reps!$A:$E,3,FALSE)</f>
        <v>North</v>
      </c>
      <c r="N1798" s="23" t="str">
        <f t="shared" si="84"/>
        <v>Feb-24</v>
      </c>
      <c r="O1798" s="23" t="str">
        <f t="shared" si="85"/>
        <v>Q1 2024</v>
      </c>
      <c r="P1798" s="23">
        <f>VLOOKUP(D1798,Products!$A:$F,4,FALSE)</f>
        <v>1173</v>
      </c>
      <c r="Q1798" s="35">
        <f t="shared" si="86"/>
        <v>0.52701612903225803</v>
      </c>
    </row>
    <row r="1799" spans="1:17">
      <c r="A1799" s="12" t="s">
        <v>2312</v>
      </c>
      <c r="B1799" s="13">
        <v>45634</v>
      </c>
      <c r="C1799" s="12" t="s">
        <v>619</v>
      </c>
      <c r="D1799" s="12" t="s">
        <v>193</v>
      </c>
      <c r="E1799" s="12" t="s">
        <v>360</v>
      </c>
      <c r="F1799" s="14">
        <v>9</v>
      </c>
      <c r="G1799" s="14">
        <v>1650</v>
      </c>
      <c r="H1799" s="14">
        <v>26.8</v>
      </c>
      <c r="I1799" s="14">
        <v>10870.2</v>
      </c>
      <c r="J1799" s="12" t="s">
        <v>104</v>
      </c>
      <c r="K1799" s="12" t="s">
        <v>111</v>
      </c>
      <c r="L1799" s="23" t="str">
        <f>VLOOKUP(D1799,Products!$A:$F,3,FALSE)</f>
        <v>Beauty</v>
      </c>
      <c r="M1799" s="23" t="str">
        <f>VLOOKUP(E1799,Sales_Reps!$A:$E,3,FALSE)</f>
        <v>West</v>
      </c>
      <c r="N1799" s="23" t="str">
        <f t="shared" si="84"/>
        <v>Dec-24</v>
      </c>
      <c r="O1799" s="23" t="str">
        <f t="shared" si="85"/>
        <v>Q4 2024</v>
      </c>
      <c r="P1799" s="23">
        <f>VLOOKUP(D1799,Products!$A:$F,4,FALSE)</f>
        <v>1222</v>
      </c>
      <c r="Q1799" s="35">
        <f t="shared" si="86"/>
        <v>0.2593939393939394</v>
      </c>
    </row>
    <row r="1800" spans="1:17">
      <c r="A1800" s="12" t="s">
        <v>2313</v>
      </c>
      <c r="B1800" s="13">
        <v>45560</v>
      </c>
      <c r="C1800" s="12" t="s">
        <v>734</v>
      </c>
      <c r="D1800" s="12" t="s">
        <v>293</v>
      </c>
      <c r="E1800" s="12" t="s">
        <v>124</v>
      </c>
      <c r="F1800" s="14">
        <v>10</v>
      </c>
      <c r="G1800" s="14">
        <v>3020</v>
      </c>
      <c r="H1800" s="14">
        <v>2.6</v>
      </c>
      <c r="I1800" s="14">
        <v>29414.799999999999</v>
      </c>
      <c r="J1800" s="12" t="s">
        <v>104</v>
      </c>
      <c r="K1800" s="12" t="s">
        <v>111</v>
      </c>
      <c r="L1800" s="23" t="str">
        <f>VLOOKUP(D1800,Products!$A:$F,3,FALSE)</f>
        <v>Beauty</v>
      </c>
      <c r="M1800" s="23" t="str">
        <f>VLOOKUP(E1800,Sales_Reps!$A:$E,3,FALSE)</f>
        <v>North</v>
      </c>
      <c r="N1800" s="23" t="str">
        <f t="shared" si="84"/>
        <v>Sep-24</v>
      </c>
      <c r="O1800" s="23" t="str">
        <f t="shared" si="85"/>
        <v>Q3 2024</v>
      </c>
      <c r="P1800" s="23">
        <f>VLOOKUP(D1800,Products!$A:$F,4,FALSE)</f>
        <v>1626</v>
      </c>
      <c r="Q1800" s="35">
        <f t="shared" si="86"/>
        <v>0.46158940397350995</v>
      </c>
    </row>
    <row r="1801" spans="1:17">
      <c r="A1801" s="12" t="s">
        <v>2314</v>
      </c>
      <c r="B1801" s="13">
        <v>45544</v>
      </c>
      <c r="C1801" s="12" t="s">
        <v>887</v>
      </c>
      <c r="D1801" s="12" t="s">
        <v>469</v>
      </c>
      <c r="E1801" s="12" t="s">
        <v>115</v>
      </c>
      <c r="F1801" s="14">
        <v>5</v>
      </c>
      <c r="G1801" s="14">
        <v>3450</v>
      </c>
      <c r="H1801" s="14">
        <v>25.3</v>
      </c>
      <c r="I1801" s="14">
        <v>12885.75</v>
      </c>
      <c r="J1801" s="12" t="s">
        <v>104</v>
      </c>
      <c r="K1801" s="12" t="s">
        <v>134</v>
      </c>
      <c r="L1801" s="23" t="str">
        <f>VLOOKUP(D1801,Products!$A:$F,3,FALSE)</f>
        <v>Apparel</v>
      </c>
      <c r="M1801" s="23" t="str">
        <f>VLOOKUP(E1801,Sales_Reps!$A:$E,3,FALSE)</f>
        <v>South</v>
      </c>
      <c r="N1801" s="23" t="str">
        <f t="shared" si="84"/>
        <v>Sep-24</v>
      </c>
      <c r="O1801" s="23" t="str">
        <f t="shared" si="85"/>
        <v>Q3 2024</v>
      </c>
      <c r="P1801" s="23">
        <f>VLOOKUP(D1801,Products!$A:$F,4,FALSE)</f>
        <v>1748</v>
      </c>
      <c r="Q1801" s="35">
        <f t="shared" si="86"/>
        <v>0.49333333333333335</v>
      </c>
    </row>
    <row r="1802" spans="1:17">
      <c r="A1802" s="12" t="s">
        <v>2315</v>
      </c>
      <c r="B1802" s="13">
        <v>45457</v>
      </c>
      <c r="C1802" s="12" t="s">
        <v>225</v>
      </c>
      <c r="D1802" s="12" t="s">
        <v>284</v>
      </c>
      <c r="E1802" s="12" t="s">
        <v>138</v>
      </c>
      <c r="F1802" s="14">
        <v>7</v>
      </c>
      <c r="G1802" s="14">
        <v>1220</v>
      </c>
      <c r="H1802" s="14">
        <v>13.1</v>
      </c>
      <c r="I1802" s="14">
        <v>7421.26</v>
      </c>
      <c r="J1802" s="12" t="s">
        <v>104</v>
      </c>
      <c r="K1802" s="12" t="s">
        <v>150</v>
      </c>
      <c r="L1802" s="23" t="str">
        <f>VLOOKUP(D1802,Products!$A:$F,3,FALSE)</f>
        <v>Electronics</v>
      </c>
      <c r="M1802" s="23" t="str">
        <f>VLOOKUP(E1802,Sales_Reps!$A:$E,3,FALSE)</f>
        <v>East</v>
      </c>
      <c r="N1802" s="23" t="str">
        <f t="shared" si="84"/>
        <v>Jun-24</v>
      </c>
      <c r="O1802" s="23" t="str">
        <f t="shared" si="85"/>
        <v>Q2 2024</v>
      </c>
      <c r="P1802" s="23">
        <f>VLOOKUP(D1802,Products!$A:$F,4,FALSE)</f>
        <v>517</v>
      </c>
      <c r="Q1802" s="35">
        <f t="shared" si="86"/>
        <v>0.57622950819672136</v>
      </c>
    </row>
    <row r="1803" spans="1:17">
      <c r="A1803" s="12" t="s">
        <v>2316</v>
      </c>
      <c r="B1803" s="13">
        <v>45578</v>
      </c>
      <c r="C1803" s="12" t="s">
        <v>223</v>
      </c>
      <c r="D1803" s="12" t="s">
        <v>251</v>
      </c>
      <c r="E1803" s="12" t="s">
        <v>109</v>
      </c>
      <c r="F1803" s="14">
        <v>10</v>
      </c>
      <c r="G1803" s="14">
        <v>3780</v>
      </c>
      <c r="H1803" s="14">
        <v>23.7</v>
      </c>
      <c r="I1803" s="14">
        <v>28841.4</v>
      </c>
      <c r="J1803" s="12" t="s">
        <v>104</v>
      </c>
      <c r="K1803" s="12" t="s">
        <v>150</v>
      </c>
      <c r="L1803" s="23" t="str">
        <f>VLOOKUP(D1803,Products!$A:$F,3,FALSE)</f>
        <v>Grocery</v>
      </c>
      <c r="M1803" s="23" t="str">
        <f>VLOOKUP(E1803,Sales_Reps!$A:$E,3,FALSE)</f>
        <v>North</v>
      </c>
      <c r="N1803" s="23" t="str">
        <f t="shared" si="84"/>
        <v>Oct-24</v>
      </c>
      <c r="O1803" s="23" t="str">
        <f t="shared" si="85"/>
        <v>Q4 2024</v>
      </c>
      <c r="P1803" s="23">
        <f>VLOOKUP(D1803,Products!$A:$F,4,FALSE)</f>
        <v>2436</v>
      </c>
      <c r="Q1803" s="35">
        <f t="shared" si="86"/>
        <v>0.35555555555555557</v>
      </c>
    </row>
    <row r="1804" spans="1:17">
      <c r="A1804" s="12" t="s">
        <v>2317</v>
      </c>
      <c r="B1804" s="13">
        <v>45405</v>
      </c>
      <c r="C1804" s="12" t="s">
        <v>437</v>
      </c>
      <c r="D1804" s="12" t="s">
        <v>296</v>
      </c>
      <c r="E1804" s="12" t="s">
        <v>314</v>
      </c>
      <c r="F1804" s="14">
        <v>8</v>
      </c>
      <c r="G1804" s="14">
        <v>2660</v>
      </c>
      <c r="H1804" s="14">
        <v>16.100000000000001</v>
      </c>
      <c r="I1804" s="14">
        <v>17853.919999999998</v>
      </c>
      <c r="J1804" s="12" t="s">
        <v>104</v>
      </c>
      <c r="K1804" s="12" t="s">
        <v>116</v>
      </c>
      <c r="L1804" s="23" t="str">
        <f>VLOOKUP(D1804,Products!$A:$F,3,FALSE)</f>
        <v>Electronics</v>
      </c>
      <c r="M1804" s="23" t="str">
        <f>VLOOKUP(E1804,Sales_Reps!$A:$E,3,FALSE)</f>
        <v>North</v>
      </c>
      <c r="N1804" s="23" t="str">
        <f t="shared" si="84"/>
        <v>Apr-24</v>
      </c>
      <c r="O1804" s="23" t="str">
        <f t="shared" si="85"/>
        <v>Q2 2024</v>
      </c>
      <c r="P1804" s="23">
        <f>VLOOKUP(D1804,Products!$A:$F,4,FALSE)</f>
        <v>1259</v>
      </c>
      <c r="Q1804" s="35">
        <f t="shared" si="86"/>
        <v>0.52669172932330832</v>
      </c>
    </row>
    <row r="1805" spans="1:17">
      <c r="A1805" s="12" t="s">
        <v>2318</v>
      </c>
      <c r="B1805" s="13">
        <v>45338</v>
      </c>
      <c r="C1805" s="12" t="s">
        <v>329</v>
      </c>
      <c r="D1805" s="12" t="s">
        <v>519</v>
      </c>
      <c r="E1805" s="12" t="s">
        <v>124</v>
      </c>
      <c r="F1805" s="14">
        <v>6</v>
      </c>
      <c r="G1805" s="14">
        <v>1090</v>
      </c>
      <c r="H1805" s="14">
        <v>20</v>
      </c>
      <c r="I1805" s="14">
        <v>5232</v>
      </c>
      <c r="J1805" s="12" t="s">
        <v>110</v>
      </c>
      <c r="K1805" s="12" t="s">
        <v>150</v>
      </c>
      <c r="L1805" s="23" t="str">
        <f>VLOOKUP(D1805,Products!$A:$F,3,FALSE)</f>
        <v>Home</v>
      </c>
      <c r="M1805" s="23" t="str">
        <f>VLOOKUP(E1805,Sales_Reps!$A:$E,3,FALSE)</f>
        <v>North</v>
      </c>
      <c r="N1805" s="23" t="str">
        <f t="shared" si="84"/>
        <v>Feb-24</v>
      </c>
      <c r="O1805" s="23" t="str">
        <f t="shared" si="85"/>
        <v>Q1 2024</v>
      </c>
      <c r="P1805" s="23">
        <f>VLOOKUP(D1805,Products!$A:$F,4,FALSE)</f>
        <v>464</v>
      </c>
      <c r="Q1805" s="35">
        <f t="shared" si="86"/>
        <v>0.57431192660550456</v>
      </c>
    </row>
    <row r="1806" spans="1:17">
      <c r="A1806" s="12" t="s">
        <v>2319</v>
      </c>
      <c r="B1806" s="13">
        <v>45324</v>
      </c>
      <c r="C1806" s="12" t="s">
        <v>2320</v>
      </c>
      <c r="D1806" s="12" t="s">
        <v>220</v>
      </c>
      <c r="E1806" s="12" t="s">
        <v>363</v>
      </c>
      <c r="F1806" s="14">
        <v>2</v>
      </c>
      <c r="G1806" s="14">
        <v>660</v>
      </c>
      <c r="H1806" s="14">
        <v>18.7</v>
      </c>
      <c r="I1806" s="14">
        <v>1073.1600000000001</v>
      </c>
      <c r="J1806" s="12" t="s">
        <v>104</v>
      </c>
      <c r="K1806" s="12" t="s">
        <v>129</v>
      </c>
      <c r="L1806" s="23" t="str">
        <f>VLOOKUP(D1806,Products!$A:$F,3,FALSE)</f>
        <v>Home</v>
      </c>
      <c r="M1806" s="23" t="str">
        <f>VLOOKUP(E1806,Sales_Reps!$A:$E,3,FALSE)</f>
        <v>South</v>
      </c>
      <c r="N1806" s="23" t="str">
        <f t="shared" si="84"/>
        <v>Feb-24</v>
      </c>
      <c r="O1806" s="23" t="str">
        <f t="shared" si="85"/>
        <v>Q1 2024</v>
      </c>
      <c r="P1806" s="23">
        <f>VLOOKUP(D1806,Products!$A:$F,4,FALSE)</f>
        <v>329</v>
      </c>
      <c r="Q1806" s="35">
        <f t="shared" si="86"/>
        <v>0.50151515151515147</v>
      </c>
    </row>
    <row r="1807" spans="1:17">
      <c r="A1807" s="12" t="s">
        <v>2321</v>
      </c>
      <c r="B1807" s="13">
        <v>45332</v>
      </c>
      <c r="C1807" s="12" t="s">
        <v>1089</v>
      </c>
      <c r="D1807" s="12" t="s">
        <v>519</v>
      </c>
      <c r="E1807" s="12" t="s">
        <v>205</v>
      </c>
      <c r="F1807" s="14">
        <v>7</v>
      </c>
      <c r="G1807" s="14">
        <v>1090</v>
      </c>
      <c r="H1807" s="14">
        <v>19.399999999999999</v>
      </c>
      <c r="I1807" s="14">
        <v>6149.78</v>
      </c>
      <c r="J1807" s="12" t="s">
        <v>110</v>
      </c>
      <c r="K1807" s="12" t="s">
        <v>129</v>
      </c>
      <c r="L1807" s="23" t="str">
        <f>VLOOKUP(D1807,Products!$A:$F,3,FALSE)</f>
        <v>Home</v>
      </c>
      <c r="M1807" s="23" t="str">
        <f>VLOOKUP(E1807,Sales_Reps!$A:$E,3,FALSE)</f>
        <v>South</v>
      </c>
      <c r="N1807" s="23" t="str">
        <f t="shared" si="84"/>
        <v>Feb-24</v>
      </c>
      <c r="O1807" s="23" t="str">
        <f t="shared" si="85"/>
        <v>Q1 2024</v>
      </c>
      <c r="P1807" s="23">
        <f>VLOOKUP(D1807,Products!$A:$F,4,FALSE)</f>
        <v>464</v>
      </c>
      <c r="Q1807" s="35">
        <f t="shared" si="86"/>
        <v>0.57431192660550456</v>
      </c>
    </row>
    <row r="1808" spans="1:17">
      <c r="A1808" s="12" t="s">
        <v>2322</v>
      </c>
      <c r="B1808" s="13">
        <v>45429</v>
      </c>
      <c r="C1808" s="12" t="s">
        <v>327</v>
      </c>
      <c r="D1808" s="12" t="s">
        <v>355</v>
      </c>
      <c r="E1808" s="12" t="s">
        <v>205</v>
      </c>
      <c r="F1808" s="14">
        <v>3</v>
      </c>
      <c r="G1808" s="14">
        <v>2210</v>
      </c>
      <c r="H1808" s="14">
        <v>11</v>
      </c>
      <c r="I1808" s="14">
        <v>5900.7</v>
      </c>
      <c r="J1808" s="12" t="s">
        <v>104</v>
      </c>
      <c r="K1808" s="12" t="s">
        <v>134</v>
      </c>
      <c r="L1808" s="23" t="str">
        <f>VLOOKUP(D1808,Products!$A:$F,3,FALSE)</f>
        <v>Grocery</v>
      </c>
      <c r="M1808" s="23" t="str">
        <f>VLOOKUP(E1808,Sales_Reps!$A:$E,3,FALSE)</f>
        <v>South</v>
      </c>
      <c r="N1808" s="23" t="str">
        <f t="shared" si="84"/>
        <v>May-24</v>
      </c>
      <c r="O1808" s="23" t="str">
        <f t="shared" si="85"/>
        <v>Q2 2024</v>
      </c>
      <c r="P1808" s="23">
        <f>VLOOKUP(D1808,Products!$A:$F,4,FALSE)</f>
        <v>1010</v>
      </c>
      <c r="Q1808" s="35">
        <f t="shared" si="86"/>
        <v>0.54298642533936647</v>
      </c>
    </row>
    <row r="1809" spans="1:17">
      <c r="A1809" s="12" t="s">
        <v>2323</v>
      </c>
      <c r="B1809" s="13">
        <v>45420</v>
      </c>
      <c r="C1809" s="12" t="s">
        <v>195</v>
      </c>
      <c r="D1809" s="12" t="s">
        <v>425</v>
      </c>
      <c r="E1809" s="12" t="s">
        <v>246</v>
      </c>
      <c r="F1809" s="14">
        <v>2</v>
      </c>
      <c r="G1809" s="14">
        <v>3970</v>
      </c>
      <c r="H1809" s="14">
        <v>24.9</v>
      </c>
      <c r="I1809" s="14">
        <v>5962.94</v>
      </c>
      <c r="J1809" s="12" t="s">
        <v>104</v>
      </c>
      <c r="K1809" s="12" t="s">
        <v>111</v>
      </c>
      <c r="L1809" s="23" t="str">
        <f>VLOOKUP(D1809,Products!$A:$F,3,FALSE)</f>
        <v>Electronics</v>
      </c>
      <c r="M1809" s="23" t="str">
        <f>VLOOKUP(E1809,Sales_Reps!$A:$E,3,FALSE)</f>
        <v>West</v>
      </c>
      <c r="N1809" s="23" t="str">
        <f t="shared" si="84"/>
        <v>May-24</v>
      </c>
      <c r="O1809" s="23" t="str">
        <f t="shared" si="85"/>
        <v>Q2 2024</v>
      </c>
      <c r="P1809" s="23">
        <f>VLOOKUP(D1809,Products!$A:$F,4,FALSE)</f>
        <v>2865</v>
      </c>
      <c r="Q1809" s="35">
        <f t="shared" si="86"/>
        <v>0.27833753148614609</v>
      </c>
    </row>
    <row r="1810" spans="1:17">
      <c r="A1810" s="12" t="s">
        <v>2324</v>
      </c>
      <c r="B1810" s="13">
        <v>45403</v>
      </c>
      <c r="C1810" s="12" t="s">
        <v>524</v>
      </c>
      <c r="D1810" s="12" t="s">
        <v>287</v>
      </c>
      <c r="E1810" s="12" t="s">
        <v>175</v>
      </c>
      <c r="F1810" s="14">
        <v>7</v>
      </c>
      <c r="G1810" s="14">
        <v>4610</v>
      </c>
      <c r="H1810" s="14">
        <v>6.3</v>
      </c>
      <c r="I1810" s="14">
        <v>30236.99</v>
      </c>
      <c r="J1810" s="12" t="s">
        <v>104</v>
      </c>
      <c r="K1810" s="12" t="s">
        <v>105</v>
      </c>
      <c r="L1810" s="23" t="str">
        <f>VLOOKUP(D1810,Products!$A:$F,3,FALSE)</f>
        <v>Home</v>
      </c>
      <c r="M1810" s="23" t="str">
        <f>VLOOKUP(E1810,Sales_Reps!$A:$E,3,FALSE)</f>
        <v>East</v>
      </c>
      <c r="N1810" s="23" t="str">
        <f t="shared" si="84"/>
        <v>Apr-24</v>
      </c>
      <c r="O1810" s="23" t="str">
        <f t="shared" si="85"/>
        <v>Q2 2024</v>
      </c>
      <c r="P1810" s="23">
        <f>VLOOKUP(D1810,Products!$A:$F,4,FALSE)</f>
        <v>1850</v>
      </c>
      <c r="Q1810" s="35">
        <f t="shared" si="86"/>
        <v>0.59869848156182215</v>
      </c>
    </row>
    <row r="1811" spans="1:17">
      <c r="A1811" s="12" t="s">
        <v>2325</v>
      </c>
      <c r="B1811" s="13">
        <v>45403</v>
      </c>
      <c r="C1811" s="12" t="s">
        <v>539</v>
      </c>
      <c r="D1811" s="12" t="s">
        <v>397</v>
      </c>
      <c r="E1811" s="12" t="s">
        <v>218</v>
      </c>
      <c r="F1811" s="14">
        <v>10</v>
      </c>
      <c r="G1811" s="14">
        <v>960</v>
      </c>
      <c r="H1811" s="14">
        <v>14.6</v>
      </c>
      <c r="I1811" s="14">
        <v>8198.4</v>
      </c>
      <c r="J1811" s="12" t="s">
        <v>104</v>
      </c>
      <c r="K1811" s="12" t="s">
        <v>116</v>
      </c>
      <c r="L1811" s="23" t="str">
        <f>VLOOKUP(D1811,Products!$A:$F,3,FALSE)</f>
        <v>Beauty</v>
      </c>
      <c r="M1811" s="23" t="str">
        <f>VLOOKUP(E1811,Sales_Reps!$A:$E,3,FALSE)</f>
        <v>West</v>
      </c>
      <c r="N1811" s="23" t="str">
        <f t="shared" si="84"/>
        <v>Apr-24</v>
      </c>
      <c r="O1811" s="23" t="str">
        <f t="shared" si="85"/>
        <v>Q2 2024</v>
      </c>
      <c r="P1811" s="23">
        <f>VLOOKUP(D1811,Products!$A:$F,4,FALSE)</f>
        <v>675</v>
      </c>
      <c r="Q1811" s="35">
        <f t="shared" si="86"/>
        <v>0.296875</v>
      </c>
    </row>
    <row r="1812" spans="1:17">
      <c r="A1812" s="12" t="s">
        <v>2326</v>
      </c>
      <c r="B1812" s="13">
        <v>45600</v>
      </c>
      <c r="C1812" s="12" t="s">
        <v>248</v>
      </c>
      <c r="D1812" s="12" t="s">
        <v>293</v>
      </c>
      <c r="E1812" s="12" t="s">
        <v>363</v>
      </c>
      <c r="F1812" s="14">
        <v>8</v>
      </c>
      <c r="G1812" s="14">
        <v>3020</v>
      </c>
      <c r="H1812" s="14">
        <v>14.5</v>
      </c>
      <c r="I1812" s="14">
        <v>20656.8</v>
      </c>
      <c r="J1812" s="12" t="s">
        <v>104</v>
      </c>
      <c r="K1812" s="12" t="s">
        <v>134</v>
      </c>
      <c r="L1812" s="23" t="str">
        <f>VLOOKUP(D1812,Products!$A:$F,3,FALSE)</f>
        <v>Beauty</v>
      </c>
      <c r="M1812" s="23" t="str">
        <f>VLOOKUP(E1812,Sales_Reps!$A:$E,3,FALSE)</f>
        <v>South</v>
      </c>
      <c r="N1812" s="23" t="str">
        <f t="shared" si="84"/>
        <v>Nov-24</v>
      </c>
      <c r="O1812" s="23" t="str">
        <f t="shared" si="85"/>
        <v>Q4 2024</v>
      </c>
      <c r="P1812" s="23">
        <f>VLOOKUP(D1812,Products!$A:$F,4,FALSE)</f>
        <v>1626</v>
      </c>
      <c r="Q1812" s="35">
        <f t="shared" si="86"/>
        <v>0.46158940397350995</v>
      </c>
    </row>
    <row r="1813" spans="1:17">
      <c r="A1813" s="12" t="s">
        <v>2327</v>
      </c>
      <c r="B1813" s="13">
        <v>45629</v>
      </c>
      <c r="C1813" s="12" t="s">
        <v>159</v>
      </c>
      <c r="D1813" s="12" t="s">
        <v>184</v>
      </c>
      <c r="E1813" s="12" t="s">
        <v>218</v>
      </c>
      <c r="F1813" s="14">
        <v>7</v>
      </c>
      <c r="G1813" s="14">
        <v>2480</v>
      </c>
      <c r="H1813" s="14">
        <v>17.3</v>
      </c>
      <c r="I1813" s="14">
        <v>14356.72</v>
      </c>
      <c r="J1813" s="12" t="s">
        <v>104</v>
      </c>
      <c r="K1813" s="12" t="s">
        <v>105</v>
      </c>
      <c r="L1813" s="23" t="str">
        <f>VLOOKUP(D1813,Products!$A:$F,3,FALSE)</f>
        <v>Apparel</v>
      </c>
      <c r="M1813" s="23" t="str">
        <f>VLOOKUP(E1813,Sales_Reps!$A:$E,3,FALSE)</f>
        <v>West</v>
      </c>
      <c r="N1813" s="23" t="str">
        <f t="shared" si="84"/>
        <v>Dec-24</v>
      </c>
      <c r="O1813" s="23" t="str">
        <f t="shared" si="85"/>
        <v>Q4 2024</v>
      </c>
      <c r="P1813" s="23">
        <f>VLOOKUP(D1813,Products!$A:$F,4,FALSE)</f>
        <v>1173</v>
      </c>
      <c r="Q1813" s="35">
        <f t="shared" si="86"/>
        <v>0.52701612903225803</v>
      </c>
    </row>
    <row r="1814" spans="1:17">
      <c r="A1814" s="12" t="s">
        <v>2328</v>
      </c>
      <c r="B1814" s="13">
        <v>45330</v>
      </c>
      <c r="C1814" s="12" t="s">
        <v>609</v>
      </c>
      <c r="D1814" s="12" t="s">
        <v>265</v>
      </c>
      <c r="E1814" s="12" t="s">
        <v>269</v>
      </c>
      <c r="F1814" s="14">
        <v>10</v>
      </c>
      <c r="G1814" s="14">
        <v>3870</v>
      </c>
      <c r="H1814" s="14">
        <v>22.4</v>
      </c>
      <c r="I1814" s="14">
        <v>30031.200000000001</v>
      </c>
      <c r="J1814" s="12" t="s">
        <v>110</v>
      </c>
      <c r="K1814" s="12" t="s">
        <v>150</v>
      </c>
      <c r="L1814" s="23" t="str">
        <f>VLOOKUP(D1814,Products!$A:$F,3,FALSE)</f>
        <v>Electronics</v>
      </c>
      <c r="M1814" s="23" t="str">
        <f>VLOOKUP(E1814,Sales_Reps!$A:$E,3,FALSE)</f>
        <v>South</v>
      </c>
      <c r="N1814" s="23" t="str">
        <f t="shared" si="84"/>
        <v>Feb-24</v>
      </c>
      <c r="O1814" s="23" t="str">
        <f t="shared" si="85"/>
        <v>Q1 2024</v>
      </c>
      <c r="P1814" s="23">
        <f>VLOOKUP(D1814,Products!$A:$F,4,FALSE)</f>
        <v>1559</v>
      </c>
      <c r="Q1814" s="35">
        <f t="shared" si="86"/>
        <v>0.59715762273901807</v>
      </c>
    </row>
    <row r="1815" spans="1:17">
      <c r="A1815" s="12" t="s">
        <v>2329</v>
      </c>
      <c r="B1815" s="13">
        <v>45551</v>
      </c>
      <c r="C1815" s="12" t="s">
        <v>895</v>
      </c>
      <c r="D1815" s="12" t="s">
        <v>220</v>
      </c>
      <c r="E1815" s="12" t="s">
        <v>302</v>
      </c>
      <c r="F1815" s="14">
        <v>6</v>
      </c>
      <c r="G1815" s="14">
        <v>660</v>
      </c>
      <c r="H1815" s="14">
        <v>27.3</v>
      </c>
      <c r="I1815" s="14">
        <v>2878.92</v>
      </c>
      <c r="J1815" s="12" t="s">
        <v>104</v>
      </c>
      <c r="K1815" s="12" t="s">
        <v>129</v>
      </c>
      <c r="L1815" s="23" t="str">
        <f>VLOOKUP(D1815,Products!$A:$F,3,FALSE)</f>
        <v>Home</v>
      </c>
      <c r="M1815" s="23" t="str">
        <f>VLOOKUP(E1815,Sales_Reps!$A:$E,3,FALSE)</f>
        <v>East</v>
      </c>
      <c r="N1815" s="23" t="str">
        <f t="shared" si="84"/>
        <v>Sep-24</v>
      </c>
      <c r="O1815" s="23" t="str">
        <f t="shared" si="85"/>
        <v>Q3 2024</v>
      </c>
      <c r="P1815" s="23">
        <f>VLOOKUP(D1815,Products!$A:$F,4,FALSE)</f>
        <v>329</v>
      </c>
      <c r="Q1815" s="35">
        <f t="shared" si="86"/>
        <v>0.50151515151515147</v>
      </c>
    </row>
    <row r="1816" spans="1:17">
      <c r="A1816" s="12" t="s">
        <v>2330</v>
      </c>
      <c r="B1816" s="13">
        <v>45321</v>
      </c>
      <c r="C1816" s="12" t="s">
        <v>2331</v>
      </c>
      <c r="D1816" s="12" t="s">
        <v>265</v>
      </c>
      <c r="E1816" s="12" t="s">
        <v>218</v>
      </c>
      <c r="F1816" s="14">
        <v>3</v>
      </c>
      <c r="G1816" s="14">
        <v>3870</v>
      </c>
      <c r="H1816" s="14">
        <v>7.6</v>
      </c>
      <c r="I1816" s="14">
        <v>10727.64</v>
      </c>
      <c r="J1816" s="12" t="s">
        <v>157</v>
      </c>
      <c r="K1816" s="12" t="s">
        <v>111</v>
      </c>
      <c r="L1816" s="23" t="str">
        <f>VLOOKUP(D1816,Products!$A:$F,3,FALSE)</f>
        <v>Electronics</v>
      </c>
      <c r="M1816" s="23" t="str">
        <f>VLOOKUP(E1816,Sales_Reps!$A:$E,3,FALSE)</f>
        <v>West</v>
      </c>
      <c r="N1816" s="23" t="str">
        <f t="shared" si="84"/>
        <v>Jan-24</v>
      </c>
      <c r="O1816" s="23" t="str">
        <f t="shared" si="85"/>
        <v>Q1 2024</v>
      </c>
      <c r="P1816" s="23">
        <f>VLOOKUP(D1816,Products!$A:$F,4,FALSE)</f>
        <v>1559</v>
      </c>
      <c r="Q1816" s="35">
        <f t="shared" si="86"/>
        <v>0.59715762273901807</v>
      </c>
    </row>
    <row r="1817" spans="1:17">
      <c r="A1817" s="12" t="s">
        <v>2332</v>
      </c>
      <c r="B1817" s="13">
        <v>45542</v>
      </c>
      <c r="C1817" s="12" t="s">
        <v>101</v>
      </c>
      <c r="D1817" s="12" t="s">
        <v>184</v>
      </c>
      <c r="E1817" s="12" t="s">
        <v>120</v>
      </c>
      <c r="F1817" s="14">
        <v>10</v>
      </c>
      <c r="G1817" s="14">
        <v>2480</v>
      </c>
      <c r="H1817" s="14">
        <v>21.5</v>
      </c>
      <c r="I1817" s="14">
        <v>19468</v>
      </c>
      <c r="J1817" s="12" t="s">
        <v>110</v>
      </c>
      <c r="K1817" s="12" t="s">
        <v>105</v>
      </c>
      <c r="L1817" s="23" t="str">
        <f>VLOOKUP(D1817,Products!$A:$F,3,FALSE)</f>
        <v>Apparel</v>
      </c>
      <c r="M1817" s="23" t="str">
        <f>VLOOKUP(E1817,Sales_Reps!$A:$E,3,FALSE)</f>
        <v>North</v>
      </c>
      <c r="N1817" s="23" t="str">
        <f t="shared" si="84"/>
        <v>Sep-24</v>
      </c>
      <c r="O1817" s="23" t="str">
        <f t="shared" si="85"/>
        <v>Q3 2024</v>
      </c>
      <c r="P1817" s="23">
        <f>VLOOKUP(D1817,Products!$A:$F,4,FALSE)</f>
        <v>1173</v>
      </c>
      <c r="Q1817" s="35">
        <f t="shared" si="86"/>
        <v>0.52701612903225803</v>
      </c>
    </row>
    <row r="1818" spans="1:17">
      <c r="A1818" s="12" t="s">
        <v>2333</v>
      </c>
      <c r="B1818" s="13">
        <v>45643</v>
      </c>
      <c r="C1818" s="12" t="s">
        <v>619</v>
      </c>
      <c r="D1818" s="12" t="s">
        <v>152</v>
      </c>
      <c r="E1818" s="12" t="s">
        <v>232</v>
      </c>
      <c r="F1818" s="14">
        <v>8</v>
      </c>
      <c r="G1818" s="14">
        <v>2640</v>
      </c>
      <c r="H1818" s="14">
        <v>22.3</v>
      </c>
      <c r="I1818" s="14">
        <v>16410.240000000002</v>
      </c>
      <c r="J1818" s="12" t="s">
        <v>104</v>
      </c>
      <c r="K1818" s="12" t="s">
        <v>111</v>
      </c>
      <c r="L1818" s="23" t="str">
        <f>VLOOKUP(D1818,Products!$A:$F,3,FALSE)</f>
        <v>Electronics</v>
      </c>
      <c r="M1818" s="23" t="str">
        <f>VLOOKUP(E1818,Sales_Reps!$A:$E,3,FALSE)</f>
        <v>North</v>
      </c>
      <c r="N1818" s="23" t="str">
        <f t="shared" si="84"/>
        <v>Dec-24</v>
      </c>
      <c r="O1818" s="23" t="str">
        <f t="shared" si="85"/>
        <v>Q4 2024</v>
      </c>
      <c r="P1818" s="23">
        <f>VLOOKUP(D1818,Products!$A:$F,4,FALSE)</f>
        <v>1149</v>
      </c>
      <c r="Q1818" s="35">
        <f t="shared" si="86"/>
        <v>0.56477272727272732</v>
      </c>
    </row>
    <row r="1819" spans="1:17">
      <c r="A1819" s="12" t="s">
        <v>2334</v>
      </c>
      <c r="B1819" s="13">
        <v>45559</v>
      </c>
      <c r="C1819" s="12" t="s">
        <v>1210</v>
      </c>
      <c r="D1819" s="12" t="s">
        <v>144</v>
      </c>
      <c r="E1819" s="12" t="s">
        <v>232</v>
      </c>
      <c r="F1819" s="14">
        <v>8</v>
      </c>
      <c r="G1819" s="14">
        <v>970</v>
      </c>
      <c r="H1819" s="14">
        <v>13.1</v>
      </c>
      <c r="I1819" s="14">
        <v>6743.44</v>
      </c>
      <c r="J1819" s="12" t="s">
        <v>104</v>
      </c>
      <c r="K1819" s="12" t="s">
        <v>150</v>
      </c>
      <c r="L1819" s="23" t="str">
        <f>VLOOKUP(D1819,Products!$A:$F,3,FALSE)</f>
        <v>Grocery</v>
      </c>
      <c r="M1819" s="23" t="str">
        <f>VLOOKUP(E1819,Sales_Reps!$A:$E,3,FALSE)</f>
        <v>North</v>
      </c>
      <c r="N1819" s="23" t="str">
        <f t="shared" si="84"/>
        <v>Sep-24</v>
      </c>
      <c r="O1819" s="23" t="str">
        <f t="shared" si="85"/>
        <v>Q3 2024</v>
      </c>
      <c r="P1819" s="23">
        <f>VLOOKUP(D1819,Products!$A:$F,4,FALSE)</f>
        <v>434</v>
      </c>
      <c r="Q1819" s="35">
        <f t="shared" si="86"/>
        <v>0.5525773195876289</v>
      </c>
    </row>
    <row r="1820" spans="1:17">
      <c r="A1820" s="12" t="s">
        <v>2335</v>
      </c>
      <c r="B1820" s="13">
        <v>45416</v>
      </c>
      <c r="C1820" s="12" t="s">
        <v>614</v>
      </c>
      <c r="D1820" s="12" t="s">
        <v>132</v>
      </c>
      <c r="E1820" s="12" t="s">
        <v>232</v>
      </c>
      <c r="F1820" s="14">
        <v>6</v>
      </c>
      <c r="G1820" s="14">
        <v>960</v>
      </c>
      <c r="H1820" s="14">
        <v>3.2</v>
      </c>
      <c r="I1820" s="14">
        <v>5575.68</v>
      </c>
      <c r="J1820" s="12" t="s">
        <v>104</v>
      </c>
      <c r="K1820" s="12" t="s">
        <v>129</v>
      </c>
      <c r="L1820" s="23" t="str">
        <f>VLOOKUP(D1820,Products!$A:$F,3,FALSE)</f>
        <v>Sports</v>
      </c>
      <c r="M1820" s="23" t="str">
        <f>VLOOKUP(E1820,Sales_Reps!$A:$E,3,FALSE)</f>
        <v>North</v>
      </c>
      <c r="N1820" s="23" t="str">
        <f t="shared" si="84"/>
        <v>May-24</v>
      </c>
      <c r="O1820" s="23" t="str">
        <f t="shared" si="85"/>
        <v>Q2 2024</v>
      </c>
      <c r="P1820" s="23">
        <f>VLOOKUP(D1820,Products!$A:$F,4,FALSE)</f>
        <v>705</v>
      </c>
      <c r="Q1820" s="35">
        <f t="shared" si="86"/>
        <v>0.265625</v>
      </c>
    </row>
    <row r="1821" spans="1:17">
      <c r="A1821" s="12" t="s">
        <v>2336</v>
      </c>
      <c r="B1821" s="13">
        <v>45469</v>
      </c>
      <c r="C1821" s="12" t="s">
        <v>1546</v>
      </c>
      <c r="D1821" s="12" t="s">
        <v>312</v>
      </c>
      <c r="E1821" s="12" t="s">
        <v>124</v>
      </c>
      <c r="F1821" s="14">
        <v>9</v>
      </c>
      <c r="G1821" s="14">
        <v>2030</v>
      </c>
      <c r="H1821" s="14">
        <v>12.6</v>
      </c>
      <c r="I1821" s="14">
        <v>15967.98</v>
      </c>
      <c r="J1821" s="12" t="s">
        <v>157</v>
      </c>
      <c r="K1821" s="12" t="s">
        <v>111</v>
      </c>
      <c r="L1821" s="23" t="str">
        <f>VLOOKUP(D1821,Products!$A:$F,3,FALSE)</f>
        <v>Home</v>
      </c>
      <c r="M1821" s="23" t="str">
        <f>VLOOKUP(E1821,Sales_Reps!$A:$E,3,FALSE)</f>
        <v>North</v>
      </c>
      <c r="N1821" s="23" t="str">
        <f t="shared" si="84"/>
        <v>Jun-24</v>
      </c>
      <c r="O1821" s="23" t="str">
        <f t="shared" si="85"/>
        <v>Q2 2024</v>
      </c>
      <c r="P1821" s="23">
        <f>VLOOKUP(D1821,Products!$A:$F,4,FALSE)</f>
        <v>1143</v>
      </c>
      <c r="Q1821" s="35">
        <f t="shared" si="86"/>
        <v>0.43694581280788175</v>
      </c>
    </row>
    <row r="1822" spans="1:17">
      <c r="A1822" s="12" t="s">
        <v>2042</v>
      </c>
      <c r="B1822" s="13">
        <v>45387</v>
      </c>
      <c r="C1822" s="12" t="s">
        <v>250</v>
      </c>
      <c r="D1822" s="12" t="s">
        <v>403</v>
      </c>
      <c r="E1822" s="12" t="s">
        <v>133</v>
      </c>
      <c r="F1822" s="14">
        <v>10</v>
      </c>
      <c r="G1822" s="14">
        <v>2290</v>
      </c>
      <c r="H1822" s="14">
        <v>22.2</v>
      </c>
      <c r="I1822" s="14">
        <v>17816.2</v>
      </c>
      <c r="J1822" s="12" t="s">
        <v>104</v>
      </c>
      <c r="K1822" s="12" t="s">
        <v>105</v>
      </c>
      <c r="L1822" s="23" t="str">
        <f>VLOOKUP(D1822,Products!$A:$F,3,FALSE)</f>
        <v>Beauty</v>
      </c>
      <c r="M1822" s="23" t="str">
        <f>VLOOKUP(E1822,Sales_Reps!$A:$E,3,FALSE)</f>
        <v>West</v>
      </c>
      <c r="N1822" s="23" t="str">
        <f t="shared" si="84"/>
        <v>Apr-24</v>
      </c>
      <c r="O1822" s="23" t="str">
        <f t="shared" si="85"/>
        <v>Q2 2024</v>
      </c>
      <c r="P1822" s="23">
        <f>VLOOKUP(D1822,Products!$A:$F,4,FALSE)</f>
        <v>1219</v>
      </c>
      <c r="Q1822" s="35">
        <f t="shared" si="86"/>
        <v>0.46768558951965067</v>
      </c>
    </row>
    <row r="1823" spans="1:17">
      <c r="A1823" s="12" t="s">
        <v>2337</v>
      </c>
      <c r="B1823" s="13">
        <v>45373</v>
      </c>
      <c r="C1823" s="12" t="s">
        <v>1516</v>
      </c>
      <c r="D1823" s="12" t="s">
        <v>108</v>
      </c>
      <c r="E1823" s="12" t="s">
        <v>360</v>
      </c>
      <c r="F1823" s="14">
        <v>7</v>
      </c>
      <c r="G1823" s="14">
        <v>820</v>
      </c>
      <c r="H1823" s="14">
        <v>6.4</v>
      </c>
      <c r="I1823" s="14">
        <v>5372.64</v>
      </c>
      <c r="J1823" s="12" t="s">
        <v>161</v>
      </c>
      <c r="K1823" s="12" t="s">
        <v>111</v>
      </c>
      <c r="L1823" s="23" t="str">
        <f>VLOOKUP(D1823,Products!$A:$F,3,FALSE)</f>
        <v>Apparel</v>
      </c>
      <c r="M1823" s="23" t="str">
        <f>VLOOKUP(E1823,Sales_Reps!$A:$E,3,FALSE)</f>
        <v>West</v>
      </c>
      <c r="N1823" s="23" t="str">
        <f t="shared" si="84"/>
        <v>Mar-24</v>
      </c>
      <c r="O1823" s="23" t="str">
        <f t="shared" si="85"/>
        <v>Q1 2024</v>
      </c>
      <c r="P1823" s="23">
        <f>VLOOKUP(D1823,Products!$A:$F,4,FALSE)</f>
        <v>391</v>
      </c>
      <c r="Q1823" s="35">
        <f t="shared" si="86"/>
        <v>0.52317073170731709</v>
      </c>
    </row>
    <row r="1824" spans="1:17">
      <c r="A1824" s="12" t="s">
        <v>2338</v>
      </c>
      <c r="B1824" s="13">
        <v>45614</v>
      </c>
      <c r="C1824" s="12" t="s">
        <v>350</v>
      </c>
      <c r="D1824" s="12" t="s">
        <v>181</v>
      </c>
      <c r="E1824" s="12" t="s">
        <v>187</v>
      </c>
      <c r="F1824" s="14">
        <v>5</v>
      </c>
      <c r="G1824" s="14">
        <v>1080</v>
      </c>
      <c r="H1824" s="14">
        <v>6</v>
      </c>
      <c r="I1824" s="14">
        <v>5076</v>
      </c>
      <c r="J1824" s="12" t="s">
        <v>104</v>
      </c>
      <c r="K1824" s="12" t="s">
        <v>150</v>
      </c>
      <c r="L1824" s="23" t="str">
        <f>VLOOKUP(D1824,Products!$A:$F,3,FALSE)</f>
        <v>Home</v>
      </c>
      <c r="M1824" s="23" t="str">
        <f>VLOOKUP(E1824,Sales_Reps!$A:$E,3,FALSE)</f>
        <v>West</v>
      </c>
      <c r="N1824" s="23" t="str">
        <f t="shared" si="84"/>
        <v>Nov-24</v>
      </c>
      <c r="O1824" s="23" t="str">
        <f t="shared" si="85"/>
        <v>Q4 2024</v>
      </c>
      <c r="P1824" s="23">
        <f>VLOOKUP(D1824,Products!$A:$F,4,FALSE)</f>
        <v>519</v>
      </c>
      <c r="Q1824" s="35">
        <f t="shared" si="86"/>
        <v>0.51944444444444449</v>
      </c>
    </row>
    <row r="1825" spans="1:17">
      <c r="A1825" s="12" t="s">
        <v>2339</v>
      </c>
      <c r="B1825" s="13">
        <v>45310</v>
      </c>
      <c r="C1825" s="12" t="s">
        <v>496</v>
      </c>
      <c r="D1825" s="12" t="s">
        <v>164</v>
      </c>
      <c r="E1825" s="12" t="s">
        <v>145</v>
      </c>
      <c r="F1825" s="14">
        <v>4</v>
      </c>
      <c r="G1825" s="14">
        <v>190</v>
      </c>
      <c r="H1825" s="14">
        <v>6.3</v>
      </c>
      <c r="I1825" s="14">
        <v>712.12</v>
      </c>
      <c r="J1825" s="12" t="s">
        <v>161</v>
      </c>
      <c r="K1825" s="12" t="s">
        <v>105</v>
      </c>
      <c r="L1825" s="23" t="str">
        <f>VLOOKUP(D1825,Products!$A:$F,3,FALSE)</f>
        <v>Sports</v>
      </c>
      <c r="M1825" s="23" t="str">
        <f>VLOOKUP(E1825,Sales_Reps!$A:$E,3,FALSE)</f>
        <v>West</v>
      </c>
      <c r="N1825" s="23" t="str">
        <f t="shared" si="84"/>
        <v>Jan-24</v>
      </c>
      <c r="O1825" s="23" t="str">
        <f t="shared" si="85"/>
        <v>Q1 2024</v>
      </c>
      <c r="P1825" s="23">
        <f>VLOOKUP(D1825,Products!$A:$F,4,FALSE)</f>
        <v>147</v>
      </c>
      <c r="Q1825" s="35">
        <f t="shared" si="86"/>
        <v>0.22631578947368422</v>
      </c>
    </row>
    <row r="1826" spans="1:17">
      <c r="A1826" s="12" t="s">
        <v>2340</v>
      </c>
      <c r="B1826" s="13">
        <v>45319</v>
      </c>
      <c r="C1826" s="12" t="s">
        <v>289</v>
      </c>
      <c r="D1826" s="12" t="s">
        <v>372</v>
      </c>
      <c r="E1826" s="12" t="s">
        <v>246</v>
      </c>
      <c r="F1826" s="14">
        <v>6</v>
      </c>
      <c r="G1826" s="14">
        <v>2510</v>
      </c>
      <c r="H1826" s="14">
        <v>11.5</v>
      </c>
      <c r="I1826" s="14">
        <v>13328.1</v>
      </c>
      <c r="J1826" s="12" t="s">
        <v>104</v>
      </c>
      <c r="K1826" s="12" t="s">
        <v>111</v>
      </c>
      <c r="L1826" s="23" t="str">
        <f>VLOOKUP(D1826,Products!$A:$F,3,FALSE)</f>
        <v>Apparel</v>
      </c>
      <c r="M1826" s="23" t="str">
        <f>VLOOKUP(E1826,Sales_Reps!$A:$E,3,FALSE)</f>
        <v>West</v>
      </c>
      <c r="N1826" s="23" t="str">
        <f t="shared" si="84"/>
        <v>Jan-24</v>
      </c>
      <c r="O1826" s="23" t="str">
        <f t="shared" si="85"/>
        <v>Q1 2024</v>
      </c>
      <c r="P1826" s="23">
        <f>VLOOKUP(D1826,Products!$A:$F,4,FALSE)</f>
        <v>1075</v>
      </c>
      <c r="Q1826" s="35">
        <f t="shared" si="86"/>
        <v>0.57171314741035861</v>
      </c>
    </row>
    <row r="1827" spans="1:17">
      <c r="A1827" s="12" t="s">
        <v>2341</v>
      </c>
      <c r="B1827" s="13">
        <v>45299</v>
      </c>
      <c r="C1827" s="12" t="s">
        <v>122</v>
      </c>
      <c r="D1827" s="12" t="s">
        <v>676</v>
      </c>
      <c r="E1827" s="12" t="s">
        <v>205</v>
      </c>
      <c r="F1827" s="14">
        <v>2</v>
      </c>
      <c r="G1827" s="14">
        <v>3560</v>
      </c>
      <c r="H1827" s="14">
        <v>10.5</v>
      </c>
      <c r="I1827" s="14">
        <v>6372.4</v>
      </c>
      <c r="J1827" s="12" t="s">
        <v>104</v>
      </c>
      <c r="K1827" s="12" t="s">
        <v>111</v>
      </c>
      <c r="L1827" s="23" t="str">
        <f>VLOOKUP(D1827,Products!$A:$F,3,FALSE)</f>
        <v>Apparel</v>
      </c>
      <c r="M1827" s="23" t="str">
        <f>VLOOKUP(E1827,Sales_Reps!$A:$E,3,FALSE)</f>
        <v>South</v>
      </c>
      <c r="N1827" s="23" t="str">
        <f t="shared" si="84"/>
        <v>Jan-24</v>
      </c>
      <c r="O1827" s="23" t="str">
        <f t="shared" si="85"/>
        <v>Q1 2024</v>
      </c>
      <c r="P1827" s="23">
        <f>VLOOKUP(D1827,Products!$A:$F,4,FALSE)</f>
        <v>2629</v>
      </c>
      <c r="Q1827" s="35">
        <f t="shared" si="86"/>
        <v>0.26151685393258428</v>
      </c>
    </row>
    <row r="1828" spans="1:17">
      <c r="A1828" s="12" t="s">
        <v>2342</v>
      </c>
      <c r="B1828" s="13">
        <v>45556</v>
      </c>
      <c r="C1828" s="12" t="s">
        <v>858</v>
      </c>
      <c r="D1828" s="12" t="s">
        <v>108</v>
      </c>
      <c r="E1828" s="12" t="s">
        <v>269</v>
      </c>
      <c r="F1828" s="14">
        <v>3</v>
      </c>
      <c r="G1828" s="14">
        <v>820</v>
      </c>
      <c r="H1828" s="14">
        <v>13</v>
      </c>
      <c r="I1828" s="14">
        <v>2140.1999999999998</v>
      </c>
      <c r="J1828" s="12" t="s">
        <v>157</v>
      </c>
      <c r="K1828" s="12" t="s">
        <v>134</v>
      </c>
      <c r="L1828" s="23" t="str">
        <f>VLOOKUP(D1828,Products!$A:$F,3,FALSE)</f>
        <v>Apparel</v>
      </c>
      <c r="M1828" s="23" t="str">
        <f>VLOOKUP(E1828,Sales_Reps!$A:$E,3,FALSE)</f>
        <v>South</v>
      </c>
      <c r="N1828" s="23" t="str">
        <f t="shared" si="84"/>
        <v>Sep-24</v>
      </c>
      <c r="O1828" s="23" t="str">
        <f t="shared" si="85"/>
        <v>Q3 2024</v>
      </c>
      <c r="P1828" s="23">
        <f>VLOOKUP(D1828,Products!$A:$F,4,FALSE)</f>
        <v>391</v>
      </c>
      <c r="Q1828" s="35">
        <f t="shared" si="86"/>
        <v>0.52317073170731709</v>
      </c>
    </row>
    <row r="1829" spans="1:17">
      <c r="A1829" s="12" t="s">
        <v>2343</v>
      </c>
      <c r="B1829" s="13">
        <v>45500</v>
      </c>
      <c r="C1829" s="12" t="s">
        <v>1375</v>
      </c>
      <c r="D1829" s="12" t="s">
        <v>254</v>
      </c>
      <c r="E1829" s="12" t="s">
        <v>165</v>
      </c>
      <c r="F1829" s="14">
        <v>6</v>
      </c>
      <c r="G1829" s="14">
        <v>3640</v>
      </c>
      <c r="H1829" s="14">
        <v>14</v>
      </c>
      <c r="I1829" s="14">
        <v>18782.400000000001</v>
      </c>
      <c r="J1829" s="12" t="s">
        <v>104</v>
      </c>
      <c r="K1829" s="12" t="s">
        <v>129</v>
      </c>
      <c r="L1829" s="23" t="str">
        <f>VLOOKUP(D1829,Products!$A:$F,3,FALSE)</f>
        <v>Apparel</v>
      </c>
      <c r="M1829" s="23" t="str">
        <f>VLOOKUP(E1829,Sales_Reps!$A:$E,3,FALSE)</f>
        <v>North</v>
      </c>
      <c r="N1829" s="23" t="str">
        <f t="shared" si="84"/>
        <v>Jul-24</v>
      </c>
      <c r="O1829" s="23" t="str">
        <f t="shared" si="85"/>
        <v>Q3 2024</v>
      </c>
      <c r="P1829" s="23">
        <f>VLOOKUP(D1829,Products!$A:$F,4,FALSE)</f>
        <v>2611</v>
      </c>
      <c r="Q1829" s="35">
        <f t="shared" si="86"/>
        <v>0.28269230769230769</v>
      </c>
    </row>
    <row r="1830" spans="1:17">
      <c r="A1830" s="12" t="s">
        <v>2344</v>
      </c>
      <c r="B1830" s="13">
        <v>45370</v>
      </c>
      <c r="C1830" s="12" t="s">
        <v>177</v>
      </c>
      <c r="D1830" s="12" t="s">
        <v>119</v>
      </c>
      <c r="E1830" s="12" t="s">
        <v>138</v>
      </c>
      <c r="F1830" s="14">
        <v>5</v>
      </c>
      <c r="G1830" s="14">
        <v>3660</v>
      </c>
      <c r="H1830" s="14">
        <v>28.7</v>
      </c>
      <c r="I1830" s="14">
        <v>13047.9</v>
      </c>
      <c r="J1830" s="12" t="s">
        <v>104</v>
      </c>
      <c r="K1830" s="12" t="s">
        <v>129</v>
      </c>
      <c r="L1830" s="23" t="str">
        <f>VLOOKUP(D1830,Products!$A:$F,3,FALSE)</f>
        <v>Grocery</v>
      </c>
      <c r="M1830" s="23" t="str">
        <f>VLOOKUP(E1830,Sales_Reps!$A:$E,3,FALSE)</f>
        <v>East</v>
      </c>
      <c r="N1830" s="23" t="str">
        <f t="shared" si="84"/>
        <v>Mar-24</v>
      </c>
      <c r="O1830" s="23" t="str">
        <f t="shared" si="85"/>
        <v>Q1 2024</v>
      </c>
      <c r="P1830" s="23">
        <f>VLOOKUP(D1830,Products!$A:$F,4,FALSE)</f>
        <v>2214</v>
      </c>
      <c r="Q1830" s="35">
        <f t="shared" si="86"/>
        <v>0.39508196721311473</v>
      </c>
    </row>
    <row r="1831" spans="1:17">
      <c r="A1831" s="12" t="s">
        <v>2345</v>
      </c>
      <c r="B1831" s="13">
        <v>45521</v>
      </c>
      <c r="C1831" s="12" t="s">
        <v>250</v>
      </c>
      <c r="D1831" s="12" t="s">
        <v>212</v>
      </c>
      <c r="E1831" s="12" t="s">
        <v>187</v>
      </c>
      <c r="F1831" s="14">
        <v>2</v>
      </c>
      <c r="G1831" s="14">
        <v>2860</v>
      </c>
      <c r="H1831" s="14">
        <v>21.1</v>
      </c>
      <c r="I1831" s="14">
        <v>4513.08</v>
      </c>
      <c r="J1831" s="12" t="s">
        <v>104</v>
      </c>
      <c r="K1831" s="12" t="s">
        <v>105</v>
      </c>
      <c r="L1831" s="23" t="str">
        <f>VLOOKUP(D1831,Products!$A:$F,3,FALSE)</f>
        <v>Sports</v>
      </c>
      <c r="M1831" s="23" t="str">
        <f>VLOOKUP(E1831,Sales_Reps!$A:$E,3,FALSE)</f>
        <v>West</v>
      </c>
      <c r="N1831" s="23" t="str">
        <f t="shared" si="84"/>
        <v>Aug-24</v>
      </c>
      <c r="O1831" s="23" t="str">
        <f t="shared" si="85"/>
        <v>Q3 2024</v>
      </c>
      <c r="P1831" s="23">
        <f>VLOOKUP(D1831,Products!$A:$F,4,FALSE)</f>
        <v>2028</v>
      </c>
      <c r="Q1831" s="35">
        <f t="shared" si="86"/>
        <v>0.29090909090909089</v>
      </c>
    </row>
    <row r="1832" spans="1:17">
      <c r="A1832" s="12" t="s">
        <v>2346</v>
      </c>
      <c r="B1832" s="13">
        <v>45481</v>
      </c>
      <c r="C1832" s="12" t="s">
        <v>655</v>
      </c>
      <c r="D1832" s="12" t="s">
        <v>190</v>
      </c>
      <c r="E1832" s="12" t="s">
        <v>138</v>
      </c>
      <c r="F1832" s="14">
        <v>1</v>
      </c>
      <c r="G1832" s="14">
        <v>2720</v>
      </c>
      <c r="H1832" s="14">
        <v>22.1</v>
      </c>
      <c r="I1832" s="14">
        <v>2118.88</v>
      </c>
      <c r="J1832" s="12" t="s">
        <v>104</v>
      </c>
      <c r="K1832" s="12" t="s">
        <v>116</v>
      </c>
      <c r="L1832" s="23" t="str">
        <f>VLOOKUP(D1832,Products!$A:$F,3,FALSE)</f>
        <v>Apparel</v>
      </c>
      <c r="M1832" s="23" t="str">
        <f>VLOOKUP(E1832,Sales_Reps!$A:$E,3,FALSE)</f>
        <v>East</v>
      </c>
      <c r="N1832" s="23" t="str">
        <f t="shared" si="84"/>
        <v>Jul-24</v>
      </c>
      <c r="O1832" s="23" t="str">
        <f t="shared" si="85"/>
        <v>Q3 2024</v>
      </c>
      <c r="P1832" s="23">
        <f>VLOOKUP(D1832,Products!$A:$F,4,FALSE)</f>
        <v>1962</v>
      </c>
      <c r="Q1832" s="35">
        <f t="shared" si="86"/>
        <v>0.2786764705882353</v>
      </c>
    </row>
    <row r="1833" spans="1:17">
      <c r="A1833" s="12" t="s">
        <v>2347</v>
      </c>
      <c r="B1833" s="13">
        <v>45633</v>
      </c>
      <c r="C1833" s="12" t="s">
        <v>912</v>
      </c>
      <c r="D1833" s="12" t="s">
        <v>212</v>
      </c>
      <c r="E1833" s="12" t="s">
        <v>156</v>
      </c>
      <c r="F1833" s="14">
        <v>6</v>
      </c>
      <c r="G1833" s="14">
        <v>2860</v>
      </c>
      <c r="H1833" s="14">
        <v>10.5</v>
      </c>
      <c r="I1833" s="14">
        <v>15358.2</v>
      </c>
      <c r="J1833" s="12" t="s">
        <v>157</v>
      </c>
      <c r="K1833" s="12" t="s">
        <v>134</v>
      </c>
      <c r="L1833" s="23" t="str">
        <f>VLOOKUP(D1833,Products!$A:$F,3,FALSE)</f>
        <v>Sports</v>
      </c>
      <c r="M1833" s="23" t="str">
        <f>VLOOKUP(E1833,Sales_Reps!$A:$E,3,FALSE)</f>
        <v>North</v>
      </c>
      <c r="N1833" s="23" t="str">
        <f t="shared" si="84"/>
        <v>Dec-24</v>
      </c>
      <c r="O1833" s="23" t="str">
        <f t="shared" si="85"/>
        <v>Q4 2024</v>
      </c>
      <c r="P1833" s="23">
        <f>VLOOKUP(D1833,Products!$A:$F,4,FALSE)</f>
        <v>2028</v>
      </c>
      <c r="Q1833" s="35">
        <f t="shared" si="86"/>
        <v>0.29090909090909089</v>
      </c>
    </row>
    <row r="1834" spans="1:17">
      <c r="A1834" s="12" t="s">
        <v>2348</v>
      </c>
      <c r="B1834" s="13">
        <v>45305</v>
      </c>
      <c r="C1834" s="12" t="s">
        <v>572</v>
      </c>
      <c r="D1834" s="12" t="s">
        <v>372</v>
      </c>
      <c r="E1834" s="12" t="s">
        <v>209</v>
      </c>
      <c r="F1834" s="14">
        <v>1</v>
      </c>
      <c r="G1834" s="14">
        <v>2510</v>
      </c>
      <c r="H1834" s="14">
        <v>12</v>
      </c>
      <c r="I1834" s="14">
        <v>2208.8000000000002</v>
      </c>
      <c r="J1834" s="12" t="s">
        <v>104</v>
      </c>
      <c r="K1834" s="12" t="s">
        <v>129</v>
      </c>
      <c r="L1834" s="23" t="str">
        <f>VLOOKUP(D1834,Products!$A:$F,3,FALSE)</f>
        <v>Apparel</v>
      </c>
      <c r="M1834" s="23" t="str">
        <f>VLOOKUP(E1834,Sales_Reps!$A:$E,3,FALSE)</f>
        <v>East</v>
      </c>
      <c r="N1834" s="23" t="str">
        <f t="shared" si="84"/>
        <v>Jan-24</v>
      </c>
      <c r="O1834" s="23" t="str">
        <f t="shared" si="85"/>
        <v>Q1 2024</v>
      </c>
      <c r="P1834" s="23">
        <f>VLOOKUP(D1834,Products!$A:$F,4,FALSE)</f>
        <v>1075</v>
      </c>
      <c r="Q1834" s="35">
        <f t="shared" si="86"/>
        <v>0.57171314741035861</v>
      </c>
    </row>
    <row r="1835" spans="1:17">
      <c r="A1835" s="12" t="s">
        <v>2349</v>
      </c>
      <c r="B1835" s="13">
        <v>45593</v>
      </c>
      <c r="C1835" s="12" t="s">
        <v>599</v>
      </c>
      <c r="D1835" s="12" t="s">
        <v>372</v>
      </c>
      <c r="E1835" s="12" t="s">
        <v>209</v>
      </c>
      <c r="F1835" s="14">
        <v>4</v>
      </c>
      <c r="G1835" s="14">
        <v>2510</v>
      </c>
      <c r="H1835" s="14">
        <v>23.2</v>
      </c>
      <c r="I1835" s="14">
        <v>7710.72</v>
      </c>
      <c r="J1835" s="12" t="s">
        <v>104</v>
      </c>
      <c r="K1835" s="12" t="s">
        <v>111</v>
      </c>
      <c r="L1835" s="23" t="str">
        <f>VLOOKUP(D1835,Products!$A:$F,3,FALSE)</f>
        <v>Apparel</v>
      </c>
      <c r="M1835" s="23" t="str">
        <f>VLOOKUP(E1835,Sales_Reps!$A:$E,3,FALSE)</f>
        <v>East</v>
      </c>
      <c r="N1835" s="23" t="str">
        <f t="shared" si="84"/>
        <v>Oct-24</v>
      </c>
      <c r="O1835" s="23" t="str">
        <f t="shared" si="85"/>
        <v>Q4 2024</v>
      </c>
      <c r="P1835" s="23">
        <f>VLOOKUP(D1835,Products!$A:$F,4,FALSE)</f>
        <v>1075</v>
      </c>
      <c r="Q1835" s="35">
        <f t="shared" si="86"/>
        <v>0.57171314741035861</v>
      </c>
    </row>
    <row r="1836" spans="1:17">
      <c r="A1836" s="12" t="s">
        <v>2350</v>
      </c>
      <c r="B1836" s="13">
        <v>45555</v>
      </c>
      <c r="C1836" s="12" t="s">
        <v>1082</v>
      </c>
      <c r="D1836" s="12" t="s">
        <v>397</v>
      </c>
      <c r="E1836" s="12" t="s">
        <v>109</v>
      </c>
      <c r="F1836" s="14">
        <v>8</v>
      </c>
      <c r="G1836" s="14">
        <v>960</v>
      </c>
      <c r="H1836" s="14">
        <v>20.3</v>
      </c>
      <c r="I1836" s="14">
        <v>6120.96</v>
      </c>
      <c r="J1836" s="12" t="s">
        <v>110</v>
      </c>
      <c r="K1836" s="12" t="s">
        <v>111</v>
      </c>
      <c r="L1836" s="23" t="str">
        <f>VLOOKUP(D1836,Products!$A:$F,3,FALSE)</f>
        <v>Beauty</v>
      </c>
      <c r="M1836" s="23" t="str">
        <f>VLOOKUP(E1836,Sales_Reps!$A:$E,3,FALSE)</f>
        <v>North</v>
      </c>
      <c r="N1836" s="23" t="str">
        <f t="shared" si="84"/>
        <v>Sep-24</v>
      </c>
      <c r="O1836" s="23" t="str">
        <f t="shared" si="85"/>
        <v>Q3 2024</v>
      </c>
      <c r="P1836" s="23">
        <f>VLOOKUP(D1836,Products!$A:$F,4,FALSE)</f>
        <v>675</v>
      </c>
      <c r="Q1836" s="35">
        <f t="shared" si="86"/>
        <v>0.296875</v>
      </c>
    </row>
    <row r="1837" spans="1:17">
      <c r="A1837" s="12" t="s">
        <v>2351</v>
      </c>
      <c r="B1837" s="13">
        <v>45406</v>
      </c>
      <c r="C1837" s="12" t="s">
        <v>2070</v>
      </c>
      <c r="D1837" s="12" t="s">
        <v>141</v>
      </c>
      <c r="E1837" s="12" t="s">
        <v>149</v>
      </c>
      <c r="F1837" s="14">
        <v>3</v>
      </c>
      <c r="G1837" s="14">
        <v>5490</v>
      </c>
      <c r="H1837" s="14">
        <v>25.2</v>
      </c>
      <c r="I1837" s="14">
        <v>12319.56</v>
      </c>
      <c r="J1837" s="12" t="s">
        <v>104</v>
      </c>
      <c r="K1837" s="12" t="s">
        <v>150</v>
      </c>
      <c r="L1837" s="23" t="str">
        <f>VLOOKUP(D1837,Products!$A:$F,3,FALSE)</f>
        <v>Home</v>
      </c>
      <c r="M1837" s="23" t="str">
        <f>VLOOKUP(E1837,Sales_Reps!$A:$E,3,FALSE)</f>
        <v>South</v>
      </c>
      <c r="N1837" s="23" t="str">
        <f t="shared" si="84"/>
        <v>Apr-24</v>
      </c>
      <c r="O1837" s="23" t="str">
        <f t="shared" si="85"/>
        <v>Q2 2024</v>
      </c>
      <c r="P1837" s="23">
        <f>VLOOKUP(D1837,Products!$A:$F,4,FALSE)</f>
        <v>2549</v>
      </c>
      <c r="Q1837" s="35">
        <f t="shared" si="86"/>
        <v>0.53570127504553733</v>
      </c>
    </row>
    <row r="1838" spans="1:17">
      <c r="A1838" s="12" t="s">
        <v>2352</v>
      </c>
      <c r="B1838" s="13">
        <v>45647</v>
      </c>
      <c r="C1838" s="12" t="s">
        <v>962</v>
      </c>
      <c r="D1838" s="12" t="s">
        <v>372</v>
      </c>
      <c r="E1838" s="12" t="s">
        <v>120</v>
      </c>
      <c r="F1838" s="14">
        <v>2</v>
      </c>
      <c r="G1838" s="14">
        <v>2510</v>
      </c>
      <c r="H1838" s="14">
        <v>28.2</v>
      </c>
      <c r="I1838" s="14">
        <v>3604.36</v>
      </c>
      <c r="J1838" s="12" t="s">
        <v>104</v>
      </c>
      <c r="K1838" s="12" t="s">
        <v>105</v>
      </c>
      <c r="L1838" s="23" t="str">
        <f>VLOOKUP(D1838,Products!$A:$F,3,FALSE)</f>
        <v>Apparel</v>
      </c>
      <c r="M1838" s="23" t="str">
        <f>VLOOKUP(E1838,Sales_Reps!$A:$E,3,FALSE)</f>
        <v>North</v>
      </c>
      <c r="N1838" s="23" t="str">
        <f t="shared" si="84"/>
        <v>Dec-24</v>
      </c>
      <c r="O1838" s="23" t="str">
        <f t="shared" si="85"/>
        <v>Q4 2024</v>
      </c>
      <c r="P1838" s="23">
        <f>VLOOKUP(D1838,Products!$A:$F,4,FALSE)</f>
        <v>1075</v>
      </c>
      <c r="Q1838" s="35">
        <f t="shared" si="86"/>
        <v>0.57171314741035861</v>
      </c>
    </row>
    <row r="1839" spans="1:17">
      <c r="A1839" s="12" t="s">
        <v>2353</v>
      </c>
      <c r="B1839" s="13">
        <v>45386</v>
      </c>
      <c r="C1839" s="12" t="s">
        <v>814</v>
      </c>
      <c r="D1839" s="12" t="s">
        <v>108</v>
      </c>
      <c r="E1839" s="12" t="s">
        <v>290</v>
      </c>
      <c r="F1839" s="14">
        <v>1</v>
      </c>
      <c r="G1839" s="14">
        <v>820</v>
      </c>
      <c r="H1839" s="14">
        <v>4.7</v>
      </c>
      <c r="I1839" s="14">
        <v>781.46</v>
      </c>
      <c r="J1839" s="12" t="s">
        <v>104</v>
      </c>
      <c r="K1839" s="12" t="s">
        <v>116</v>
      </c>
      <c r="L1839" s="23" t="str">
        <f>VLOOKUP(D1839,Products!$A:$F,3,FALSE)</f>
        <v>Apparel</v>
      </c>
      <c r="M1839" s="23" t="str">
        <f>VLOOKUP(E1839,Sales_Reps!$A:$E,3,FALSE)</f>
        <v>South</v>
      </c>
      <c r="N1839" s="23" t="str">
        <f t="shared" si="84"/>
        <v>Apr-24</v>
      </c>
      <c r="O1839" s="23" t="str">
        <f t="shared" si="85"/>
        <v>Q2 2024</v>
      </c>
      <c r="P1839" s="23">
        <f>VLOOKUP(D1839,Products!$A:$F,4,FALSE)</f>
        <v>391</v>
      </c>
      <c r="Q1839" s="35">
        <f t="shared" si="86"/>
        <v>0.52317073170731709</v>
      </c>
    </row>
    <row r="1840" spans="1:17">
      <c r="A1840" s="12" t="s">
        <v>2354</v>
      </c>
      <c r="B1840" s="13">
        <v>45453</v>
      </c>
      <c r="C1840" s="12" t="s">
        <v>367</v>
      </c>
      <c r="D1840" s="12" t="s">
        <v>299</v>
      </c>
      <c r="E1840" s="12" t="s">
        <v>320</v>
      </c>
      <c r="F1840" s="14">
        <v>6</v>
      </c>
      <c r="G1840" s="14">
        <v>300</v>
      </c>
      <c r="H1840" s="14">
        <v>13.3</v>
      </c>
      <c r="I1840" s="14">
        <v>1560.6</v>
      </c>
      <c r="J1840" s="12" t="s">
        <v>104</v>
      </c>
      <c r="K1840" s="12" t="s">
        <v>129</v>
      </c>
      <c r="L1840" s="23" t="str">
        <f>VLOOKUP(D1840,Products!$A:$F,3,FALSE)</f>
        <v>Electronics</v>
      </c>
      <c r="M1840" s="23" t="str">
        <f>VLOOKUP(E1840,Sales_Reps!$A:$E,3,FALSE)</f>
        <v>East</v>
      </c>
      <c r="N1840" s="23" t="str">
        <f t="shared" si="84"/>
        <v>Jun-24</v>
      </c>
      <c r="O1840" s="23" t="str">
        <f t="shared" si="85"/>
        <v>Q2 2024</v>
      </c>
      <c r="P1840" s="23">
        <f>VLOOKUP(D1840,Products!$A:$F,4,FALSE)</f>
        <v>128</v>
      </c>
      <c r="Q1840" s="35">
        <f t="shared" si="86"/>
        <v>0.57333333333333336</v>
      </c>
    </row>
    <row r="1841" spans="1:17">
      <c r="A1841" s="12" t="s">
        <v>2355</v>
      </c>
      <c r="B1841" s="13">
        <v>45492</v>
      </c>
      <c r="C1841" s="12" t="s">
        <v>122</v>
      </c>
      <c r="D1841" s="12" t="s">
        <v>196</v>
      </c>
      <c r="E1841" s="12" t="s">
        <v>363</v>
      </c>
      <c r="F1841" s="14">
        <v>4</v>
      </c>
      <c r="G1841" s="14">
        <v>3350</v>
      </c>
      <c r="H1841" s="14">
        <v>5.8</v>
      </c>
      <c r="I1841" s="14">
        <v>12622.8</v>
      </c>
      <c r="J1841" s="12" t="s">
        <v>110</v>
      </c>
      <c r="K1841" s="12" t="s">
        <v>111</v>
      </c>
      <c r="L1841" s="23" t="str">
        <f>VLOOKUP(D1841,Products!$A:$F,3,FALSE)</f>
        <v>Beauty</v>
      </c>
      <c r="M1841" s="23" t="str">
        <f>VLOOKUP(E1841,Sales_Reps!$A:$E,3,FALSE)</f>
        <v>South</v>
      </c>
      <c r="N1841" s="23" t="str">
        <f t="shared" si="84"/>
        <v>Jul-24</v>
      </c>
      <c r="O1841" s="23" t="str">
        <f t="shared" si="85"/>
        <v>Q3 2024</v>
      </c>
      <c r="P1841" s="23">
        <f>VLOOKUP(D1841,Products!$A:$F,4,FALSE)</f>
        <v>1728</v>
      </c>
      <c r="Q1841" s="35">
        <f t="shared" si="86"/>
        <v>0.48417910447761192</v>
      </c>
    </row>
    <row r="1842" spans="1:17">
      <c r="A1842" s="12" t="s">
        <v>2356</v>
      </c>
      <c r="B1842" s="13">
        <v>45605</v>
      </c>
      <c r="C1842" s="12" t="s">
        <v>1833</v>
      </c>
      <c r="D1842" s="12" t="s">
        <v>160</v>
      </c>
      <c r="E1842" s="12" t="s">
        <v>128</v>
      </c>
      <c r="F1842" s="14">
        <v>3</v>
      </c>
      <c r="G1842" s="14">
        <v>3250</v>
      </c>
      <c r="H1842" s="14">
        <v>19.600000000000001</v>
      </c>
      <c r="I1842" s="14">
        <v>7839</v>
      </c>
      <c r="J1842" s="12" t="s">
        <v>110</v>
      </c>
      <c r="K1842" s="12" t="s">
        <v>116</v>
      </c>
      <c r="L1842" s="23" t="str">
        <f>VLOOKUP(D1842,Products!$A:$F,3,FALSE)</f>
        <v>Home</v>
      </c>
      <c r="M1842" s="23" t="str">
        <f>VLOOKUP(E1842,Sales_Reps!$A:$E,3,FALSE)</f>
        <v>West</v>
      </c>
      <c r="N1842" s="23" t="str">
        <f t="shared" si="84"/>
        <v>Nov-24</v>
      </c>
      <c r="O1842" s="23" t="str">
        <f t="shared" si="85"/>
        <v>Q4 2024</v>
      </c>
      <c r="P1842" s="23">
        <f>VLOOKUP(D1842,Products!$A:$F,4,FALSE)</f>
        <v>1556</v>
      </c>
      <c r="Q1842" s="35">
        <f t="shared" si="86"/>
        <v>0.52123076923076928</v>
      </c>
    </row>
    <row r="1843" spans="1:17">
      <c r="A1843" s="12" t="s">
        <v>2357</v>
      </c>
      <c r="B1843" s="13">
        <v>45344</v>
      </c>
      <c r="C1843" s="12" t="s">
        <v>170</v>
      </c>
      <c r="D1843" s="12" t="s">
        <v>193</v>
      </c>
      <c r="E1843" s="12" t="s">
        <v>360</v>
      </c>
      <c r="F1843" s="14">
        <v>10</v>
      </c>
      <c r="G1843" s="14">
        <v>1650</v>
      </c>
      <c r="H1843" s="14">
        <v>22.5</v>
      </c>
      <c r="I1843" s="14">
        <v>12787.5</v>
      </c>
      <c r="J1843" s="12" t="s">
        <v>157</v>
      </c>
      <c r="K1843" s="12" t="s">
        <v>134</v>
      </c>
      <c r="L1843" s="23" t="str">
        <f>VLOOKUP(D1843,Products!$A:$F,3,FALSE)</f>
        <v>Beauty</v>
      </c>
      <c r="M1843" s="23" t="str">
        <f>VLOOKUP(E1843,Sales_Reps!$A:$E,3,FALSE)</f>
        <v>West</v>
      </c>
      <c r="N1843" s="23" t="str">
        <f t="shared" si="84"/>
        <v>Feb-24</v>
      </c>
      <c r="O1843" s="23" t="str">
        <f t="shared" si="85"/>
        <v>Q1 2024</v>
      </c>
      <c r="P1843" s="23">
        <f>VLOOKUP(D1843,Products!$A:$F,4,FALSE)</f>
        <v>1222</v>
      </c>
      <c r="Q1843" s="35">
        <f t="shared" si="86"/>
        <v>0.2593939393939394</v>
      </c>
    </row>
    <row r="1844" spans="1:17">
      <c r="A1844" s="12" t="s">
        <v>2358</v>
      </c>
      <c r="B1844" s="13">
        <v>45506</v>
      </c>
      <c r="C1844" s="12" t="s">
        <v>769</v>
      </c>
      <c r="D1844" s="12" t="s">
        <v>284</v>
      </c>
      <c r="E1844" s="12" t="s">
        <v>218</v>
      </c>
      <c r="F1844" s="14">
        <v>2</v>
      </c>
      <c r="G1844" s="14">
        <v>1220</v>
      </c>
      <c r="H1844" s="14">
        <v>10.5</v>
      </c>
      <c r="I1844" s="14">
        <v>2183.8000000000002</v>
      </c>
      <c r="J1844" s="12" t="s">
        <v>104</v>
      </c>
      <c r="K1844" s="12" t="s">
        <v>134</v>
      </c>
      <c r="L1844" s="23" t="str">
        <f>VLOOKUP(D1844,Products!$A:$F,3,FALSE)</f>
        <v>Electronics</v>
      </c>
      <c r="M1844" s="23" t="str">
        <f>VLOOKUP(E1844,Sales_Reps!$A:$E,3,FALSE)</f>
        <v>West</v>
      </c>
      <c r="N1844" s="23" t="str">
        <f t="shared" si="84"/>
        <v>Aug-24</v>
      </c>
      <c r="O1844" s="23" t="str">
        <f t="shared" si="85"/>
        <v>Q3 2024</v>
      </c>
      <c r="P1844" s="23">
        <f>VLOOKUP(D1844,Products!$A:$F,4,FALSE)</f>
        <v>517</v>
      </c>
      <c r="Q1844" s="35">
        <f t="shared" si="86"/>
        <v>0.57622950819672136</v>
      </c>
    </row>
    <row r="1845" spans="1:17">
      <c r="A1845" s="12" t="s">
        <v>2359</v>
      </c>
      <c r="B1845" s="13">
        <v>45521</v>
      </c>
      <c r="C1845" s="12" t="s">
        <v>329</v>
      </c>
      <c r="D1845" s="12" t="s">
        <v>397</v>
      </c>
      <c r="E1845" s="12" t="s">
        <v>218</v>
      </c>
      <c r="F1845" s="14">
        <v>7</v>
      </c>
      <c r="G1845" s="14">
        <v>960</v>
      </c>
      <c r="H1845" s="14">
        <v>5.4</v>
      </c>
      <c r="I1845" s="14">
        <v>6357.12</v>
      </c>
      <c r="J1845" s="12" t="s">
        <v>161</v>
      </c>
      <c r="K1845" s="12" t="s">
        <v>150</v>
      </c>
      <c r="L1845" s="23" t="str">
        <f>VLOOKUP(D1845,Products!$A:$F,3,FALSE)</f>
        <v>Beauty</v>
      </c>
      <c r="M1845" s="23" t="str">
        <f>VLOOKUP(E1845,Sales_Reps!$A:$E,3,FALSE)</f>
        <v>West</v>
      </c>
      <c r="N1845" s="23" t="str">
        <f t="shared" si="84"/>
        <v>Aug-24</v>
      </c>
      <c r="O1845" s="23" t="str">
        <f t="shared" si="85"/>
        <v>Q3 2024</v>
      </c>
      <c r="P1845" s="23">
        <f>VLOOKUP(D1845,Products!$A:$F,4,FALSE)</f>
        <v>675</v>
      </c>
      <c r="Q1845" s="35">
        <f t="shared" si="86"/>
        <v>0.296875</v>
      </c>
    </row>
    <row r="1846" spans="1:17">
      <c r="A1846" s="12" t="s">
        <v>2360</v>
      </c>
      <c r="B1846" s="13">
        <v>45389</v>
      </c>
      <c r="C1846" s="12" t="s">
        <v>922</v>
      </c>
      <c r="D1846" s="12" t="s">
        <v>201</v>
      </c>
      <c r="E1846" s="12" t="s">
        <v>115</v>
      </c>
      <c r="F1846" s="14">
        <v>3</v>
      </c>
      <c r="G1846" s="14">
        <v>4880</v>
      </c>
      <c r="H1846" s="14">
        <v>17.100000000000001</v>
      </c>
      <c r="I1846" s="14">
        <v>12136.56</v>
      </c>
      <c r="J1846" s="12" t="s">
        <v>104</v>
      </c>
      <c r="K1846" s="12" t="s">
        <v>129</v>
      </c>
      <c r="L1846" s="23" t="str">
        <f>VLOOKUP(D1846,Products!$A:$F,3,FALSE)</f>
        <v>Beauty</v>
      </c>
      <c r="M1846" s="23" t="str">
        <f>VLOOKUP(E1846,Sales_Reps!$A:$E,3,FALSE)</f>
        <v>South</v>
      </c>
      <c r="N1846" s="23" t="str">
        <f t="shared" si="84"/>
        <v>Apr-24</v>
      </c>
      <c r="O1846" s="23" t="str">
        <f t="shared" si="85"/>
        <v>Q2 2024</v>
      </c>
      <c r="P1846" s="23">
        <f>VLOOKUP(D1846,Products!$A:$F,4,FALSE)</f>
        <v>2768</v>
      </c>
      <c r="Q1846" s="35">
        <f t="shared" si="86"/>
        <v>0.43278688524590164</v>
      </c>
    </row>
    <row r="1847" spans="1:17">
      <c r="A1847" s="12" t="s">
        <v>2361</v>
      </c>
      <c r="B1847" s="13">
        <v>45390</v>
      </c>
      <c r="C1847" s="12" t="s">
        <v>599</v>
      </c>
      <c r="D1847" s="12" t="s">
        <v>148</v>
      </c>
      <c r="E1847" s="12" t="s">
        <v>145</v>
      </c>
      <c r="F1847" s="14">
        <v>5</v>
      </c>
      <c r="G1847" s="14">
        <v>2270</v>
      </c>
      <c r="H1847" s="14">
        <v>12.4</v>
      </c>
      <c r="I1847" s="14">
        <v>9942.6</v>
      </c>
      <c r="J1847" s="12" t="s">
        <v>104</v>
      </c>
      <c r="K1847" s="12" t="s">
        <v>111</v>
      </c>
      <c r="L1847" s="23" t="str">
        <f>VLOOKUP(D1847,Products!$A:$F,3,FALSE)</f>
        <v>Grocery</v>
      </c>
      <c r="M1847" s="23" t="str">
        <f>VLOOKUP(E1847,Sales_Reps!$A:$E,3,FALSE)</f>
        <v>West</v>
      </c>
      <c r="N1847" s="23" t="str">
        <f t="shared" si="84"/>
        <v>Apr-24</v>
      </c>
      <c r="O1847" s="23" t="str">
        <f t="shared" si="85"/>
        <v>Q2 2024</v>
      </c>
      <c r="P1847" s="23">
        <f>VLOOKUP(D1847,Products!$A:$F,4,FALSE)</f>
        <v>1203</v>
      </c>
      <c r="Q1847" s="35">
        <f t="shared" si="86"/>
        <v>0.47004405286343615</v>
      </c>
    </row>
    <row r="1848" spans="1:17">
      <c r="A1848" s="12" t="s">
        <v>2362</v>
      </c>
      <c r="B1848" s="13">
        <v>45413</v>
      </c>
      <c r="C1848" s="12" t="s">
        <v>630</v>
      </c>
      <c r="D1848" s="12" t="s">
        <v>519</v>
      </c>
      <c r="E1848" s="12" t="s">
        <v>145</v>
      </c>
      <c r="F1848" s="14">
        <v>1</v>
      </c>
      <c r="G1848" s="14">
        <v>1090</v>
      </c>
      <c r="H1848" s="14">
        <v>17.3</v>
      </c>
      <c r="I1848" s="14">
        <v>901.43</v>
      </c>
      <c r="J1848" s="12" t="s">
        <v>104</v>
      </c>
      <c r="K1848" s="12" t="s">
        <v>129</v>
      </c>
      <c r="L1848" s="23" t="str">
        <f>VLOOKUP(D1848,Products!$A:$F,3,FALSE)</f>
        <v>Home</v>
      </c>
      <c r="M1848" s="23" t="str">
        <f>VLOOKUP(E1848,Sales_Reps!$A:$E,3,FALSE)</f>
        <v>West</v>
      </c>
      <c r="N1848" s="23" t="str">
        <f t="shared" si="84"/>
        <v>May-24</v>
      </c>
      <c r="O1848" s="23" t="str">
        <f t="shared" si="85"/>
        <v>Q2 2024</v>
      </c>
      <c r="P1848" s="23">
        <f>VLOOKUP(D1848,Products!$A:$F,4,FALSE)</f>
        <v>464</v>
      </c>
      <c r="Q1848" s="35">
        <f t="shared" si="86"/>
        <v>0.57431192660550456</v>
      </c>
    </row>
    <row r="1849" spans="1:17">
      <c r="A1849" s="12" t="s">
        <v>2363</v>
      </c>
      <c r="B1849" s="13">
        <v>45535</v>
      </c>
      <c r="C1849" s="12" t="s">
        <v>341</v>
      </c>
      <c r="D1849" s="12" t="s">
        <v>460</v>
      </c>
      <c r="E1849" s="12" t="s">
        <v>246</v>
      </c>
      <c r="F1849" s="14">
        <v>8</v>
      </c>
      <c r="G1849" s="14">
        <v>5080</v>
      </c>
      <c r="H1849" s="14">
        <v>0.9</v>
      </c>
      <c r="I1849" s="14">
        <v>40274.239999999998</v>
      </c>
      <c r="J1849" s="12" t="s">
        <v>104</v>
      </c>
      <c r="K1849" s="12" t="s">
        <v>150</v>
      </c>
      <c r="L1849" s="23" t="str">
        <f>VLOOKUP(D1849,Products!$A:$F,3,FALSE)</f>
        <v>Home</v>
      </c>
      <c r="M1849" s="23" t="str">
        <f>VLOOKUP(E1849,Sales_Reps!$A:$E,3,FALSE)</f>
        <v>West</v>
      </c>
      <c r="N1849" s="23" t="str">
        <f t="shared" si="84"/>
        <v>Aug-24</v>
      </c>
      <c r="O1849" s="23" t="str">
        <f t="shared" si="85"/>
        <v>Q3 2024</v>
      </c>
      <c r="P1849" s="23">
        <f>VLOOKUP(D1849,Products!$A:$F,4,FALSE)</f>
        <v>2459</v>
      </c>
      <c r="Q1849" s="35">
        <f t="shared" si="86"/>
        <v>0.51594488188976373</v>
      </c>
    </row>
    <row r="1850" spans="1:17">
      <c r="A1850" s="12" t="s">
        <v>2364</v>
      </c>
      <c r="B1850" s="13">
        <v>45569</v>
      </c>
      <c r="C1850" s="12" t="s">
        <v>873</v>
      </c>
      <c r="D1850" s="12" t="s">
        <v>287</v>
      </c>
      <c r="E1850" s="12" t="s">
        <v>255</v>
      </c>
      <c r="F1850" s="14">
        <v>7</v>
      </c>
      <c r="G1850" s="14">
        <v>4610</v>
      </c>
      <c r="H1850" s="14">
        <v>0.9</v>
      </c>
      <c r="I1850" s="14">
        <v>31979.57</v>
      </c>
      <c r="J1850" s="12" t="s">
        <v>104</v>
      </c>
      <c r="K1850" s="12" t="s">
        <v>105</v>
      </c>
      <c r="L1850" s="23" t="str">
        <f>VLOOKUP(D1850,Products!$A:$F,3,FALSE)</f>
        <v>Home</v>
      </c>
      <c r="M1850" s="23" t="str">
        <f>VLOOKUP(E1850,Sales_Reps!$A:$E,3,FALSE)</f>
        <v>East</v>
      </c>
      <c r="N1850" s="23" t="str">
        <f t="shared" si="84"/>
        <v>Oct-24</v>
      </c>
      <c r="O1850" s="23" t="str">
        <f t="shared" si="85"/>
        <v>Q4 2024</v>
      </c>
      <c r="P1850" s="23">
        <f>VLOOKUP(D1850,Products!$A:$F,4,FALSE)</f>
        <v>1850</v>
      </c>
      <c r="Q1850" s="35">
        <f t="shared" si="86"/>
        <v>0.59869848156182215</v>
      </c>
    </row>
    <row r="1851" spans="1:17">
      <c r="A1851" s="12" t="s">
        <v>2365</v>
      </c>
      <c r="B1851" s="13">
        <v>45527</v>
      </c>
      <c r="C1851" s="12" t="s">
        <v>518</v>
      </c>
      <c r="D1851" s="12" t="s">
        <v>293</v>
      </c>
      <c r="E1851" s="12" t="s">
        <v>145</v>
      </c>
      <c r="F1851" s="14">
        <v>1</v>
      </c>
      <c r="G1851" s="14">
        <v>3020</v>
      </c>
      <c r="H1851" s="14">
        <v>10.3</v>
      </c>
      <c r="I1851" s="14">
        <v>2708.94</v>
      </c>
      <c r="J1851" s="12" t="s">
        <v>104</v>
      </c>
      <c r="K1851" s="12" t="s">
        <v>150</v>
      </c>
      <c r="L1851" s="23" t="str">
        <f>VLOOKUP(D1851,Products!$A:$F,3,FALSE)</f>
        <v>Beauty</v>
      </c>
      <c r="M1851" s="23" t="str">
        <f>VLOOKUP(E1851,Sales_Reps!$A:$E,3,FALSE)</f>
        <v>West</v>
      </c>
      <c r="N1851" s="23" t="str">
        <f t="shared" si="84"/>
        <v>Aug-24</v>
      </c>
      <c r="O1851" s="23" t="str">
        <f t="shared" si="85"/>
        <v>Q3 2024</v>
      </c>
      <c r="P1851" s="23">
        <f>VLOOKUP(D1851,Products!$A:$F,4,FALSE)</f>
        <v>1626</v>
      </c>
      <c r="Q1851" s="35">
        <f t="shared" si="86"/>
        <v>0.46158940397350995</v>
      </c>
    </row>
    <row r="1852" spans="1:17">
      <c r="A1852" s="12" t="s">
        <v>2366</v>
      </c>
      <c r="B1852" s="13">
        <v>45453</v>
      </c>
      <c r="C1852" s="12" t="s">
        <v>655</v>
      </c>
      <c r="D1852" s="12" t="s">
        <v>262</v>
      </c>
      <c r="E1852" s="12" t="s">
        <v>145</v>
      </c>
      <c r="F1852" s="14">
        <v>6</v>
      </c>
      <c r="G1852" s="14">
        <v>2270</v>
      </c>
      <c r="H1852" s="14">
        <v>23.1</v>
      </c>
      <c r="I1852" s="14">
        <v>10473.780000000001</v>
      </c>
      <c r="J1852" s="12" t="s">
        <v>104</v>
      </c>
      <c r="K1852" s="12" t="s">
        <v>116</v>
      </c>
      <c r="L1852" s="23" t="str">
        <f>VLOOKUP(D1852,Products!$A:$F,3,FALSE)</f>
        <v>Grocery</v>
      </c>
      <c r="M1852" s="23" t="str">
        <f>VLOOKUP(E1852,Sales_Reps!$A:$E,3,FALSE)</f>
        <v>West</v>
      </c>
      <c r="N1852" s="23" t="str">
        <f t="shared" si="84"/>
        <v>Jun-24</v>
      </c>
      <c r="O1852" s="23" t="str">
        <f t="shared" si="85"/>
        <v>Q2 2024</v>
      </c>
      <c r="P1852" s="23">
        <f>VLOOKUP(D1852,Products!$A:$F,4,FALSE)</f>
        <v>1412</v>
      </c>
      <c r="Q1852" s="35">
        <f t="shared" si="86"/>
        <v>0.37797356828193834</v>
      </c>
    </row>
    <row r="1853" spans="1:17">
      <c r="A1853" s="12" t="s">
        <v>2367</v>
      </c>
      <c r="B1853" s="13">
        <v>45605</v>
      </c>
      <c r="C1853" s="12" t="s">
        <v>159</v>
      </c>
      <c r="D1853" s="12" t="s">
        <v>281</v>
      </c>
      <c r="E1853" s="12" t="s">
        <v>149</v>
      </c>
      <c r="F1853" s="14">
        <v>6</v>
      </c>
      <c r="G1853" s="14">
        <v>4070</v>
      </c>
      <c r="H1853" s="14">
        <v>28.9</v>
      </c>
      <c r="I1853" s="14">
        <v>17362.62</v>
      </c>
      <c r="J1853" s="12" t="s">
        <v>104</v>
      </c>
      <c r="K1853" s="12" t="s">
        <v>105</v>
      </c>
      <c r="L1853" s="23" t="str">
        <f>VLOOKUP(D1853,Products!$A:$F,3,FALSE)</f>
        <v>Grocery</v>
      </c>
      <c r="M1853" s="23" t="str">
        <f>VLOOKUP(E1853,Sales_Reps!$A:$E,3,FALSE)</f>
        <v>South</v>
      </c>
      <c r="N1853" s="23" t="str">
        <f t="shared" si="84"/>
        <v>Nov-24</v>
      </c>
      <c r="O1853" s="23" t="str">
        <f t="shared" si="85"/>
        <v>Q4 2024</v>
      </c>
      <c r="P1853" s="23">
        <f>VLOOKUP(D1853,Products!$A:$F,4,FALSE)</f>
        <v>2027</v>
      </c>
      <c r="Q1853" s="35">
        <f t="shared" si="86"/>
        <v>0.50196560196560192</v>
      </c>
    </row>
    <row r="1854" spans="1:17">
      <c r="A1854" s="12" t="s">
        <v>2368</v>
      </c>
      <c r="B1854" s="13">
        <v>45650</v>
      </c>
      <c r="C1854" s="12" t="s">
        <v>558</v>
      </c>
      <c r="D1854" s="12" t="s">
        <v>284</v>
      </c>
      <c r="E1854" s="12" t="s">
        <v>255</v>
      </c>
      <c r="F1854" s="14">
        <v>5</v>
      </c>
      <c r="G1854" s="14">
        <v>1220</v>
      </c>
      <c r="H1854" s="14">
        <v>18.7</v>
      </c>
      <c r="I1854" s="14">
        <v>4959.3</v>
      </c>
      <c r="J1854" s="12" t="s">
        <v>104</v>
      </c>
      <c r="K1854" s="12" t="s">
        <v>111</v>
      </c>
      <c r="L1854" s="23" t="str">
        <f>VLOOKUP(D1854,Products!$A:$F,3,FALSE)</f>
        <v>Electronics</v>
      </c>
      <c r="M1854" s="23" t="str">
        <f>VLOOKUP(E1854,Sales_Reps!$A:$E,3,FALSE)</f>
        <v>East</v>
      </c>
      <c r="N1854" s="23" t="str">
        <f t="shared" si="84"/>
        <v>Dec-24</v>
      </c>
      <c r="O1854" s="23" t="str">
        <f t="shared" si="85"/>
        <v>Q4 2024</v>
      </c>
      <c r="P1854" s="23">
        <f>VLOOKUP(D1854,Products!$A:$F,4,FALSE)</f>
        <v>517</v>
      </c>
      <c r="Q1854" s="35">
        <f t="shared" si="86"/>
        <v>0.57622950819672136</v>
      </c>
    </row>
    <row r="1855" spans="1:17">
      <c r="A1855" s="12" t="s">
        <v>2369</v>
      </c>
      <c r="B1855" s="13">
        <v>45412</v>
      </c>
      <c r="C1855" s="12" t="s">
        <v>402</v>
      </c>
      <c r="D1855" s="12" t="s">
        <v>184</v>
      </c>
      <c r="E1855" s="12" t="s">
        <v>133</v>
      </c>
      <c r="F1855" s="14">
        <v>8</v>
      </c>
      <c r="G1855" s="14">
        <v>2480</v>
      </c>
      <c r="H1855" s="14">
        <v>3.2</v>
      </c>
      <c r="I1855" s="14">
        <v>19205.12</v>
      </c>
      <c r="J1855" s="12" t="s">
        <v>157</v>
      </c>
      <c r="K1855" s="12" t="s">
        <v>134</v>
      </c>
      <c r="L1855" s="23" t="str">
        <f>VLOOKUP(D1855,Products!$A:$F,3,FALSE)</f>
        <v>Apparel</v>
      </c>
      <c r="M1855" s="23" t="str">
        <f>VLOOKUP(E1855,Sales_Reps!$A:$E,3,FALSE)</f>
        <v>West</v>
      </c>
      <c r="N1855" s="23" t="str">
        <f t="shared" si="84"/>
        <v>Apr-24</v>
      </c>
      <c r="O1855" s="23" t="str">
        <f t="shared" si="85"/>
        <v>Q2 2024</v>
      </c>
      <c r="P1855" s="23">
        <f>VLOOKUP(D1855,Products!$A:$F,4,FALSE)</f>
        <v>1173</v>
      </c>
      <c r="Q1855" s="35">
        <f t="shared" si="86"/>
        <v>0.52701612903225803</v>
      </c>
    </row>
    <row r="1856" spans="1:17">
      <c r="A1856" s="12" t="s">
        <v>2370</v>
      </c>
      <c r="B1856" s="13">
        <v>45554</v>
      </c>
      <c r="C1856" s="12" t="s">
        <v>477</v>
      </c>
      <c r="D1856" s="12" t="s">
        <v>212</v>
      </c>
      <c r="E1856" s="12" t="s">
        <v>103</v>
      </c>
      <c r="F1856" s="14">
        <v>7</v>
      </c>
      <c r="G1856" s="14">
        <v>2860</v>
      </c>
      <c r="H1856" s="14">
        <v>8.4</v>
      </c>
      <c r="I1856" s="14">
        <v>18338.32</v>
      </c>
      <c r="J1856" s="12" t="s">
        <v>104</v>
      </c>
      <c r="K1856" s="12" t="s">
        <v>105</v>
      </c>
      <c r="L1856" s="23" t="str">
        <f>VLOOKUP(D1856,Products!$A:$F,3,FALSE)</f>
        <v>Sports</v>
      </c>
      <c r="M1856" s="23" t="str">
        <f>VLOOKUP(E1856,Sales_Reps!$A:$E,3,FALSE)</f>
        <v>North</v>
      </c>
      <c r="N1856" s="23" t="str">
        <f t="shared" si="84"/>
        <v>Sep-24</v>
      </c>
      <c r="O1856" s="23" t="str">
        <f t="shared" si="85"/>
        <v>Q3 2024</v>
      </c>
      <c r="P1856" s="23">
        <f>VLOOKUP(D1856,Products!$A:$F,4,FALSE)</f>
        <v>2028</v>
      </c>
      <c r="Q1856" s="35">
        <f t="shared" si="86"/>
        <v>0.29090909090909089</v>
      </c>
    </row>
    <row r="1857" spans="1:17">
      <c r="A1857" s="12" t="s">
        <v>2371</v>
      </c>
      <c r="B1857" s="13">
        <v>45365</v>
      </c>
      <c r="C1857" s="12" t="s">
        <v>339</v>
      </c>
      <c r="D1857" s="12" t="s">
        <v>251</v>
      </c>
      <c r="E1857" s="12" t="s">
        <v>133</v>
      </c>
      <c r="F1857" s="14">
        <v>1</v>
      </c>
      <c r="G1857" s="14">
        <v>3780</v>
      </c>
      <c r="H1857" s="14">
        <v>16.3</v>
      </c>
      <c r="I1857" s="14">
        <v>3163.86</v>
      </c>
      <c r="J1857" s="12" t="s">
        <v>157</v>
      </c>
      <c r="K1857" s="12" t="s">
        <v>116</v>
      </c>
      <c r="L1857" s="23" t="str">
        <f>VLOOKUP(D1857,Products!$A:$F,3,FALSE)</f>
        <v>Grocery</v>
      </c>
      <c r="M1857" s="23" t="str">
        <f>VLOOKUP(E1857,Sales_Reps!$A:$E,3,FALSE)</f>
        <v>West</v>
      </c>
      <c r="N1857" s="23" t="str">
        <f t="shared" si="84"/>
        <v>Mar-24</v>
      </c>
      <c r="O1857" s="23" t="str">
        <f t="shared" si="85"/>
        <v>Q1 2024</v>
      </c>
      <c r="P1857" s="23">
        <f>VLOOKUP(D1857,Products!$A:$F,4,FALSE)</f>
        <v>2436</v>
      </c>
      <c r="Q1857" s="35">
        <f t="shared" si="86"/>
        <v>0.35555555555555557</v>
      </c>
    </row>
    <row r="1858" spans="1:17">
      <c r="A1858" s="12" t="s">
        <v>2372</v>
      </c>
      <c r="B1858" s="13">
        <v>45504</v>
      </c>
      <c r="C1858" s="12" t="s">
        <v>994</v>
      </c>
      <c r="D1858" s="12" t="s">
        <v>212</v>
      </c>
      <c r="E1858" s="12" t="s">
        <v>128</v>
      </c>
      <c r="F1858" s="14">
        <v>6</v>
      </c>
      <c r="G1858" s="14">
        <v>2860</v>
      </c>
      <c r="H1858" s="14">
        <v>10.7</v>
      </c>
      <c r="I1858" s="14">
        <v>15323.88</v>
      </c>
      <c r="J1858" s="12" t="s">
        <v>104</v>
      </c>
      <c r="K1858" s="12" t="s">
        <v>105</v>
      </c>
      <c r="L1858" s="23" t="str">
        <f>VLOOKUP(D1858,Products!$A:$F,3,FALSE)</f>
        <v>Sports</v>
      </c>
      <c r="M1858" s="23" t="str">
        <f>VLOOKUP(E1858,Sales_Reps!$A:$E,3,FALSE)</f>
        <v>West</v>
      </c>
      <c r="N1858" s="23" t="str">
        <f t="shared" si="84"/>
        <v>Jul-24</v>
      </c>
      <c r="O1858" s="23" t="str">
        <f t="shared" si="85"/>
        <v>Q3 2024</v>
      </c>
      <c r="P1858" s="23">
        <f>VLOOKUP(D1858,Products!$A:$F,4,FALSE)</f>
        <v>2028</v>
      </c>
      <c r="Q1858" s="35">
        <f t="shared" si="86"/>
        <v>0.29090909090909089</v>
      </c>
    </row>
    <row r="1859" spans="1:17">
      <c r="A1859" s="12" t="s">
        <v>2373</v>
      </c>
      <c r="B1859" s="13">
        <v>45652</v>
      </c>
      <c r="C1859" s="12" t="s">
        <v>758</v>
      </c>
      <c r="D1859" s="12" t="s">
        <v>168</v>
      </c>
      <c r="E1859" s="12" t="s">
        <v>360</v>
      </c>
      <c r="F1859" s="14">
        <v>3</v>
      </c>
      <c r="G1859" s="14">
        <v>2400</v>
      </c>
      <c r="H1859" s="14">
        <v>20.7</v>
      </c>
      <c r="I1859" s="14">
        <v>5709.6</v>
      </c>
      <c r="J1859" s="12" t="s">
        <v>104</v>
      </c>
      <c r="K1859" s="12" t="s">
        <v>150</v>
      </c>
      <c r="L1859" s="23" t="str">
        <f>VLOOKUP(D1859,Products!$A:$F,3,FALSE)</f>
        <v>Sports</v>
      </c>
      <c r="M1859" s="23" t="str">
        <f>VLOOKUP(E1859,Sales_Reps!$A:$E,3,FALSE)</f>
        <v>West</v>
      </c>
      <c r="N1859" s="23" t="str">
        <f t="shared" ref="N1859:N1922" si="87">TEXT(B1859, "mmm-yy")</f>
        <v>Dec-24</v>
      </c>
      <c r="O1859" s="23" t="str">
        <f t="shared" ref="O1859:O1922" si="88">"Q" &amp; INT((MONTH(B1859)-1)/3)+1 &amp; " " &amp; YEAR(B1859)</f>
        <v>Q4 2024</v>
      </c>
      <c r="P1859" s="23">
        <f>VLOOKUP(D1859,Products!$A:$F,4,FALSE)</f>
        <v>974</v>
      </c>
      <c r="Q1859" s="35">
        <f t="shared" ref="Q1859:Q1922" si="89">(G1859 - P1859) / G1859</f>
        <v>0.59416666666666662</v>
      </c>
    </row>
    <row r="1860" spans="1:17">
      <c r="A1860" s="12" t="s">
        <v>2374</v>
      </c>
      <c r="B1860" s="13">
        <v>45330</v>
      </c>
      <c r="C1860" s="12" t="s">
        <v>1278</v>
      </c>
      <c r="D1860" s="12" t="s">
        <v>384</v>
      </c>
      <c r="E1860" s="12" t="s">
        <v>128</v>
      </c>
      <c r="F1860" s="14">
        <v>8</v>
      </c>
      <c r="G1860" s="14">
        <v>2380</v>
      </c>
      <c r="H1860" s="14">
        <v>22.3</v>
      </c>
      <c r="I1860" s="14">
        <v>14794.08</v>
      </c>
      <c r="J1860" s="12" t="s">
        <v>161</v>
      </c>
      <c r="K1860" s="12" t="s">
        <v>134</v>
      </c>
      <c r="L1860" s="23" t="str">
        <f>VLOOKUP(D1860,Products!$A:$F,3,FALSE)</f>
        <v>Grocery</v>
      </c>
      <c r="M1860" s="23" t="str">
        <f>VLOOKUP(E1860,Sales_Reps!$A:$E,3,FALSE)</f>
        <v>West</v>
      </c>
      <c r="N1860" s="23" t="str">
        <f t="shared" si="87"/>
        <v>Feb-24</v>
      </c>
      <c r="O1860" s="23" t="str">
        <f t="shared" si="88"/>
        <v>Q1 2024</v>
      </c>
      <c r="P1860" s="23">
        <f>VLOOKUP(D1860,Products!$A:$F,4,FALSE)</f>
        <v>1182</v>
      </c>
      <c r="Q1860" s="35">
        <f t="shared" si="89"/>
        <v>0.50336134453781511</v>
      </c>
    </row>
    <row r="1861" spans="1:17">
      <c r="A1861" s="12" t="s">
        <v>2375</v>
      </c>
      <c r="B1861" s="13">
        <v>45533</v>
      </c>
      <c r="C1861" s="12" t="s">
        <v>474</v>
      </c>
      <c r="D1861" s="12" t="s">
        <v>208</v>
      </c>
      <c r="E1861" s="12" t="s">
        <v>120</v>
      </c>
      <c r="F1861" s="14">
        <v>7</v>
      </c>
      <c r="G1861" s="14">
        <v>5100</v>
      </c>
      <c r="H1861" s="14">
        <v>22.9</v>
      </c>
      <c r="I1861" s="14">
        <v>27524.7</v>
      </c>
      <c r="J1861" s="12" t="s">
        <v>157</v>
      </c>
      <c r="K1861" s="12" t="s">
        <v>105</v>
      </c>
      <c r="L1861" s="23" t="str">
        <f>VLOOKUP(D1861,Products!$A:$F,3,FALSE)</f>
        <v>Beauty</v>
      </c>
      <c r="M1861" s="23" t="str">
        <f>VLOOKUP(E1861,Sales_Reps!$A:$E,3,FALSE)</f>
        <v>North</v>
      </c>
      <c r="N1861" s="23" t="str">
        <f t="shared" si="87"/>
        <v>Aug-24</v>
      </c>
      <c r="O1861" s="23" t="str">
        <f t="shared" si="88"/>
        <v>Q3 2024</v>
      </c>
      <c r="P1861" s="23">
        <f>VLOOKUP(D1861,Products!$A:$F,4,FALSE)</f>
        <v>2237</v>
      </c>
      <c r="Q1861" s="35">
        <f t="shared" si="89"/>
        <v>0.56137254901960787</v>
      </c>
    </row>
    <row r="1862" spans="1:17">
      <c r="A1862" s="12" t="s">
        <v>2376</v>
      </c>
      <c r="B1862" s="13">
        <v>45463</v>
      </c>
      <c r="C1862" s="12" t="s">
        <v>504</v>
      </c>
      <c r="D1862" s="12" t="s">
        <v>299</v>
      </c>
      <c r="E1862" s="12" t="s">
        <v>205</v>
      </c>
      <c r="F1862" s="14">
        <v>7</v>
      </c>
      <c r="G1862" s="14">
        <v>300</v>
      </c>
      <c r="H1862" s="14">
        <v>15.3</v>
      </c>
      <c r="I1862" s="14">
        <v>1778.7</v>
      </c>
      <c r="J1862" s="12" t="s">
        <v>104</v>
      </c>
      <c r="K1862" s="12" t="s">
        <v>105</v>
      </c>
      <c r="L1862" s="23" t="str">
        <f>VLOOKUP(D1862,Products!$A:$F,3,FALSE)</f>
        <v>Electronics</v>
      </c>
      <c r="M1862" s="23" t="str">
        <f>VLOOKUP(E1862,Sales_Reps!$A:$E,3,FALSE)</f>
        <v>South</v>
      </c>
      <c r="N1862" s="23" t="str">
        <f t="shared" si="87"/>
        <v>Jun-24</v>
      </c>
      <c r="O1862" s="23" t="str">
        <f t="shared" si="88"/>
        <v>Q2 2024</v>
      </c>
      <c r="P1862" s="23">
        <f>VLOOKUP(D1862,Products!$A:$F,4,FALSE)</f>
        <v>128</v>
      </c>
      <c r="Q1862" s="35">
        <f t="shared" si="89"/>
        <v>0.57333333333333336</v>
      </c>
    </row>
    <row r="1863" spans="1:17">
      <c r="A1863" s="12" t="s">
        <v>2377</v>
      </c>
      <c r="B1863" s="13">
        <v>45428</v>
      </c>
      <c r="C1863" s="12" t="s">
        <v>154</v>
      </c>
      <c r="D1863" s="12" t="s">
        <v>178</v>
      </c>
      <c r="E1863" s="12" t="s">
        <v>149</v>
      </c>
      <c r="F1863" s="14">
        <v>5</v>
      </c>
      <c r="G1863" s="14">
        <v>3450</v>
      </c>
      <c r="H1863" s="14">
        <v>16.8</v>
      </c>
      <c r="I1863" s="14">
        <v>14352</v>
      </c>
      <c r="J1863" s="12" t="s">
        <v>104</v>
      </c>
      <c r="K1863" s="12" t="s">
        <v>116</v>
      </c>
      <c r="L1863" s="23" t="str">
        <f>VLOOKUP(D1863,Products!$A:$F,3,FALSE)</f>
        <v>Sports</v>
      </c>
      <c r="M1863" s="23" t="str">
        <f>VLOOKUP(E1863,Sales_Reps!$A:$E,3,FALSE)</f>
        <v>South</v>
      </c>
      <c r="N1863" s="23" t="str">
        <f t="shared" si="87"/>
        <v>May-24</v>
      </c>
      <c r="O1863" s="23" t="str">
        <f t="shared" si="88"/>
        <v>Q2 2024</v>
      </c>
      <c r="P1863" s="23">
        <f>VLOOKUP(D1863,Products!$A:$F,4,FALSE)</f>
        <v>2467</v>
      </c>
      <c r="Q1863" s="35">
        <f t="shared" si="89"/>
        <v>0.28492753623188405</v>
      </c>
    </row>
    <row r="1864" spans="1:17">
      <c r="A1864" s="12" t="s">
        <v>2378</v>
      </c>
      <c r="B1864" s="13">
        <v>45634</v>
      </c>
      <c r="C1864" s="12" t="s">
        <v>703</v>
      </c>
      <c r="D1864" s="12" t="s">
        <v>212</v>
      </c>
      <c r="E1864" s="12" t="s">
        <v>115</v>
      </c>
      <c r="F1864" s="14">
        <v>4</v>
      </c>
      <c r="G1864" s="14">
        <v>2860</v>
      </c>
      <c r="H1864" s="14">
        <v>14.3</v>
      </c>
      <c r="I1864" s="14">
        <v>9804.08</v>
      </c>
      <c r="J1864" s="12" t="s">
        <v>104</v>
      </c>
      <c r="K1864" s="12" t="s">
        <v>129</v>
      </c>
      <c r="L1864" s="23" t="str">
        <f>VLOOKUP(D1864,Products!$A:$F,3,FALSE)</f>
        <v>Sports</v>
      </c>
      <c r="M1864" s="23" t="str">
        <f>VLOOKUP(E1864,Sales_Reps!$A:$E,3,FALSE)</f>
        <v>South</v>
      </c>
      <c r="N1864" s="23" t="str">
        <f t="shared" si="87"/>
        <v>Dec-24</v>
      </c>
      <c r="O1864" s="23" t="str">
        <f t="shared" si="88"/>
        <v>Q4 2024</v>
      </c>
      <c r="P1864" s="23">
        <f>VLOOKUP(D1864,Products!$A:$F,4,FALSE)</f>
        <v>2028</v>
      </c>
      <c r="Q1864" s="35">
        <f t="shared" si="89"/>
        <v>0.29090909090909089</v>
      </c>
    </row>
    <row r="1865" spans="1:17">
      <c r="A1865" s="12" t="s">
        <v>2379</v>
      </c>
      <c r="B1865" s="13">
        <v>45627</v>
      </c>
      <c r="C1865" s="12" t="s">
        <v>545</v>
      </c>
      <c r="D1865" s="12" t="s">
        <v>190</v>
      </c>
      <c r="E1865" s="12" t="s">
        <v>232</v>
      </c>
      <c r="F1865" s="14">
        <v>6</v>
      </c>
      <c r="G1865" s="14">
        <v>2720</v>
      </c>
      <c r="H1865" s="14">
        <v>25.1</v>
      </c>
      <c r="I1865" s="14">
        <v>12223.68</v>
      </c>
      <c r="J1865" s="12" t="s">
        <v>157</v>
      </c>
      <c r="K1865" s="12" t="s">
        <v>129</v>
      </c>
      <c r="L1865" s="23" t="str">
        <f>VLOOKUP(D1865,Products!$A:$F,3,FALSE)</f>
        <v>Apparel</v>
      </c>
      <c r="M1865" s="23" t="str">
        <f>VLOOKUP(E1865,Sales_Reps!$A:$E,3,FALSE)</f>
        <v>North</v>
      </c>
      <c r="N1865" s="23" t="str">
        <f t="shared" si="87"/>
        <v>Dec-24</v>
      </c>
      <c r="O1865" s="23" t="str">
        <f t="shared" si="88"/>
        <v>Q4 2024</v>
      </c>
      <c r="P1865" s="23">
        <f>VLOOKUP(D1865,Products!$A:$F,4,FALSE)</f>
        <v>1962</v>
      </c>
      <c r="Q1865" s="35">
        <f t="shared" si="89"/>
        <v>0.2786764705882353</v>
      </c>
    </row>
    <row r="1866" spans="1:17">
      <c r="A1866" s="12" t="s">
        <v>2380</v>
      </c>
      <c r="B1866" s="13">
        <v>45429</v>
      </c>
      <c r="C1866" s="12" t="s">
        <v>379</v>
      </c>
      <c r="D1866" s="12" t="s">
        <v>243</v>
      </c>
      <c r="E1866" s="12" t="s">
        <v>145</v>
      </c>
      <c r="F1866" s="14">
        <v>3</v>
      </c>
      <c r="G1866" s="14">
        <v>3730</v>
      </c>
      <c r="H1866" s="14">
        <v>24.8</v>
      </c>
      <c r="I1866" s="14">
        <v>8414.8799999999992</v>
      </c>
      <c r="J1866" s="12" t="s">
        <v>104</v>
      </c>
      <c r="K1866" s="12" t="s">
        <v>111</v>
      </c>
      <c r="L1866" s="23" t="str">
        <f>VLOOKUP(D1866,Products!$A:$F,3,FALSE)</f>
        <v>Home</v>
      </c>
      <c r="M1866" s="23" t="str">
        <f>VLOOKUP(E1866,Sales_Reps!$A:$E,3,FALSE)</f>
        <v>West</v>
      </c>
      <c r="N1866" s="23" t="str">
        <f t="shared" si="87"/>
        <v>May-24</v>
      </c>
      <c r="O1866" s="23" t="str">
        <f t="shared" si="88"/>
        <v>Q2 2024</v>
      </c>
      <c r="P1866" s="23">
        <f>VLOOKUP(D1866,Products!$A:$F,4,FALSE)</f>
        <v>2135</v>
      </c>
      <c r="Q1866" s="35">
        <f t="shared" si="89"/>
        <v>0.42761394101876676</v>
      </c>
    </row>
    <row r="1867" spans="1:17">
      <c r="A1867" s="12" t="s">
        <v>2381</v>
      </c>
      <c r="B1867" s="13">
        <v>45648</v>
      </c>
      <c r="C1867" s="12" t="s">
        <v>1367</v>
      </c>
      <c r="D1867" s="12" t="s">
        <v>368</v>
      </c>
      <c r="E1867" s="12" t="s">
        <v>314</v>
      </c>
      <c r="F1867" s="14">
        <v>2</v>
      </c>
      <c r="G1867" s="14">
        <v>4060</v>
      </c>
      <c r="H1867" s="14">
        <v>11.3</v>
      </c>
      <c r="I1867" s="14">
        <v>7202.44</v>
      </c>
      <c r="J1867" s="12" t="s">
        <v>104</v>
      </c>
      <c r="K1867" s="12" t="s">
        <v>129</v>
      </c>
      <c r="L1867" s="23" t="str">
        <f>VLOOKUP(D1867,Products!$A:$F,3,FALSE)</f>
        <v>Grocery</v>
      </c>
      <c r="M1867" s="23" t="str">
        <f>VLOOKUP(E1867,Sales_Reps!$A:$E,3,FALSE)</f>
        <v>North</v>
      </c>
      <c r="N1867" s="23" t="str">
        <f t="shared" si="87"/>
        <v>Dec-24</v>
      </c>
      <c r="O1867" s="23" t="str">
        <f t="shared" si="88"/>
        <v>Q4 2024</v>
      </c>
      <c r="P1867" s="23">
        <f>VLOOKUP(D1867,Products!$A:$F,4,FALSE)</f>
        <v>2911</v>
      </c>
      <c r="Q1867" s="35">
        <f t="shared" si="89"/>
        <v>0.28300492610837441</v>
      </c>
    </row>
    <row r="1868" spans="1:17">
      <c r="A1868" s="12" t="s">
        <v>2382</v>
      </c>
      <c r="B1868" s="13">
        <v>45295</v>
      </c>
      <c r="C1868" s="12" t="s">
        <v>938</v>
      </c>
      <c r="D1868" s="12" t="s">
        <v>403</v>
      </c>
      <c r="E1868" s="12" t="s">
        <v>320</v>
      </c>
      <c r="F1868" s="14">
        <v>6</v>
      </c>
      <c r="G1868" s="14">
        <v>2290</v>
      </c>
      <c r="H1868" s="14">
        <v>26.8</v>
      </c>
      <c r="I1868" s="14">
        <v>10057.68</v>
      </c>
      <c r="J1868" s="12" t="s">
        <v>161</v>
      </c>
      <c r="K1868" s="12" t="s">
        <v>134</v>
      </c>
      <c r="L1868" s="23" t="str">
        <f>VLOOKUP(D1868,Products!$A:$F,3,FALSE)</f>
        <v>Beauty</v>
      </c>
      <c r="M1868" s="23" t="str">
        <f>VLOOKUP(E1868,Sales_Reps!$A:$E,3,FALSE)</f>
        <v>East</v>
      </c>
      <c r="N1868" s="23" t="str">
        <f t="shared" si="87"/>
        <v>Jan-24</v>
      </c>
      <c r="O1868" s="23" t="str">
        <f t="shared" si="88"/>
        <v>Q1 2024</v>
      </c>
      <c r="P1868" s="23">
        <f>VLOOKUP(D1868,Products!$A:$F,4,FALSE)</f>
        <v>1219</v>
      </c>
      <c r="Q1868" s="35">
        <f t="shared" si="89"/>
        <v>0.46768558951965067</v>
      </c>
    </row>
    <row r="1869" spans="1:17">
      <c r="A1869" s="12" t="s">
        <v>2383</v>
      </c>
      <c r="B1869" s="13">
        <v>45418</v>
      </c>
      <c r="C1869" s="12" t="s">
        <v>370</v>
      </c>
      <c r="D1869" s="12" t="s">
        <v>532</v>
      </c>
      <c r="E1869" s="12" t="s">
        <v>269</v>
      </c>
      <c r="F1869" s="14">
        <v>1</v>
      </c>
      <c r="G1869" s="14">
        <v>6940</v>
      </c>
      <c r="H1869" s="14">
        <v>15.7</v>
      </c>
      <c r="I1869" s="14">
        <v>5850.42</v>
      </c>
      <c r="J1869" s="12" t="s">
        <v>104</v>
      </c>
      <c r="K1869" s="12" t="s">
        <v>111</v>
      </c>
      <c r="L1869" s="23" t="str">
        <f>VLOOKUP(D1869,Products!$A:$F,3,FALSE)</f>
        <v>Sports</v>
      </c>
      <c r="M1869" s="23" t="str">
        <f>VLOOKUP(E1869,Sales_Reps!$A:$E,3,FALSE)</f>
        <v>South</v>
      </c>
      <c r="N1869" s="23" t="str">
        <f t="shared" si="87"/>
        <v>May-24</v>
      </c>
      <c r="O1869" s="23" t="str">
        <f t="shared" si="88"/>
        <v>Q2 2024</v>
      </c>
      <c r="P1869" s="23">
        <f>VLOOKUP(D1869,Products!$A:$F,4,FALSE)</f>
        <v>2827</v>
      </c>
      <c r="Q1869" s="35">
        <f t="shared" si="89"/>
        <v>0.5926512968299712</v>
      </c>
    </row>
    <row r="1870" spans="1:17">
      <c r="A1870" s="12" t="s">
        <v>2384</v>
      </c>
      <c r="B1870" s="13">
        <v>45623</v>
      </c>
      <c r="C1870" s="12" t="s">
        <v>428</v>
      </c>
      <c r="D1870" s="12" t="s">
        <v>243</v>
      </c>
      <c r="E1870" s="12" t="s">
        <v>221</v>
      </c>
      <c r="F1870" s="14">
        <v>3</v>
      </c>
      <c r="G1870" s="14">
        <v>3730</v>
      </c>
      <c r="H1870" s="14">
        <v>18.100000000000001</v>
      </c>
      <c r="I1870" s="14">
        <v>9164.61</v>
      </c>
      <c r="J1870" s="12" t="s">
        <v>104</v>
      </c>
      <c r="K1870" s="12" t="s">
        <v>129</v>
      </c>
      <c r="L1870" s="23" t="str">
        <f>VLOOKUP(D1870,Products!$A:$F,3,FALSE)</f>
        <v>Home</v>
      </c>
      <c r="M1870" s="23" t="str">
        <f>VLOOKUP(E1870,Sales_Reps!$A:$E,3,FALSE)</f>
        <v>South</v>
      </c>
      <c r="N1870" s="23" t="str">
        <f t="shared" si="87"/>
        <v>Nov-24</v>
      </c>
      <c r="O1870" s="23" t="str">
        <f t="shared" si="88"/>
        <v>Q4 2024</v>
      </c>
      <c r="P1870" s="23">
        <f>VLOOKUP(D1870,Products!$A:$F,4,FALSE)</f>
        <v>2135</v>
      </c>
      <c r="Q1870" s="35">
        <f t="shared" si="89"/>
        <v>0.42761394101876676</v>
      </c>
    </row>
    <row r="1871" spans="1:17">
      <c r="A1871" s="12" t="s">
        <v>2385</v>
      </c>
      <c r="B1871" s="13">
        <v>45528</v>
      </c>
      <c r="C1871" s="12" t="s">
        <v>359</v>
      </c>
      <c r="D1871" s="12" t="s">
        <v>243</v>
      </c>
      <c r="E1871" s="12" t="s">
        <v>314</v>
      </c>
      <c r="F1871" s="14">
        <v>8</v>
      </c>
      <c r="G1871" s="14">
        <v>3730</v>
      </c>
      <c r="H1871" s="14">
        <v>12.5</v>
      </c>
      <c r="I1871" s="14">
        <v>26110</v>
      </c>
      <c r="J1871" s="12" t="s">
        <v>104</v>
      </c>
      <c r="K1871" s="12" t="s">
        <v>111</v>
      </c>
      <c r="L1871" s="23" t="str">
        <f>VLOOKUP(D1871,Products!$A:$F,3,FALSE)</f>
        <v>Home</v>
      </c>
      <c r="M1871" s="23" t="str">
        <f>VLOOKUP(E1871,Sales_Reps!$A:$E,3,FALSE)</f>
        <v>North</v>
      </c>
      <c r="N1871" s="23" t="str">
        <f t="shared" si="87"/>
        <v>Aug-24</v>
      </c>
      <c r="O1871" s="23" t="str">
        <f t="shared" si="88"/>
        <v>Q3 2024</v>
      </c>
      <c r="P1871" s="23">
        <f>VLOOKUP(D1871,Products!$A:$F,4,FALSE)</f>
        <v>2135</v>
      </c>
      <c r="Q1871" s="35">
        <f t="shared" si="89"/>
        <v>0.42761394101876676</v>
      </c>
    </row>
    <row r="1872" spans="1:17">
      <c r="A1872" s="12" t="s">
        <v>2386</v>
      </c>
      <c r="B1872" s="13">
        <v>45644</v>
      </c>
      <c r="C1872" s="12" t="s">
        <v>1833</v>
      </c>
      <c r="D1872" s="12" t="s">
        <v>384</v>
      </c>
      <c r="E1872" s="12" t="s">
        <v>205</v>
      </c>
      <c r="F1872" s="14">
        <v>9</v>
      </c>
      <c r="G1872" s="14">
        <v>2380</v>
      </c>
      <c r="H1872" s="14">
        <v>8.1</v>
      </c>
      <c r="I1872" s="14">
        <v>19684.98</v>
      </c>
      <c r="J1872" s="12" t="s">
        <v>157</v>
      </c>
      <c r="K1872" s="12" t="s">
        <v>116</v>
      </c>
      <c r="L1872" s="23" t="str">
        <f>VLOOKUP(D1872,Products!$A:$F,3,FALSE)</f>
        <v>Grocery</v>
      </c>
      <c r="M1872" s="23" t="str">
        <f>VLOOKUP(E1872,Sales_Reps!$A:$E,3,FALSE)</f>
        <v>South</v>
      </c>
      <c r="N1872" s="23" t="str">
        <f t="shared" si="87"/>
        <v>Dec-24</v>
      </c>
      <c r="O1872" s="23" t="str">
        <f t="shared" si="88"/>
        <v>Q4 2024</v>
      </c>
      <c r="P1872" s="23">
        <f>VLOOKUP(D1872,Products!$A:$F,4,FALSE)</f>
        <v>1182</v>
      </c>
      <c r="Q1872" s="35">
        <f t="shared" si="89"/>
        <v>0.50336134453781511</v>
      </c>
    </row>
    <row r="1873" spans="1:17">
      <c r="A1873" s="12" t="s">
        <v>2387</v>
      </c>
      <c r="B1873" s="13">
        <v>45475</v>
      </c>
      <c r="C1873" s="12" t="s">
        <v>1234</v>
      </c>
      <c r="D1873" s="12" t="s">
        <v>181</v>
      </c>
      <c r="E1873" s="12" t="s">
        <v>314</v>
      </c>
      <c r="F1873" s="14">
        <v>6</v>
      </c>
      <c r="G1873" s="14">
        <v>1080</v>
      </c>
      <c r="H1873" s="14">
        <v>8.8000000000000007</v>
      </c>
      <c r="I1873" s="14">
        <v>5909.76</v>
      </c>
      <c r="J1873" s="12" t="s">
        <v>104</v>
      </c>
      <c r="K1873" s="12" t="s">
        <v>129</v>
      </c>
      <c r="L1873" s="23" t="str">
        <f>VLOOKUP(D1873,Products!$A:$F,3,FALSE)</f>
        <v>Home</v>
      </c>
      <c r="M1873" s="23" t="str">
        <f>VLOOKUP(E1873,Sales_Reps!$A:$E,3,FALSE)</f>
        <v>North</v>
      </c>
      <c r="N1873" s="23" t="str">
        <f t="shared" si="87"/>
        <v>Jul-24</v>
      </c>
      <c r="O1873" s="23" t="str">
        <f t="shared" si="88"/>
        <v>Q3 2024</v>
      </c>
      <c r="P1873" s="23">
        <f>VLOOKUP(D1873,Products!$A:$F,4,FALSE)</f>
        <v>519</v>
      </c>
      <c r="Q1873" s="35">
        <f t="shared" si="89"/>
        <v>0.51944444444444449</v>
      </c>
    </row>
    <row r="1874" spans="1:17">
      <c r="A1874" s="12" t="s">
        <v>2228</v>
      </c>
      <c r="B1874" s="13">
        <v>45401</v>
      </c>
      <c r="C1874" s="12" t="s">
        <v>609</v>
      </c>
      <c r="D1874" s="12" t="s">
        <v>114</v>
      </c>
      <c r="E1874" s="12" t="s">
        <v>269</v>
      </c>
      <c r="F1874" s="14">
        <v>5</v>
      </c>
      <c r="G1874" s="14">
        <v>470</v>
      </c>
      <c r="H1874" s="14">
        <v>1.3</v>
      </c>
      <c r="I1874" s="14">
        <v>2319.4499999999998</v>
      </c>
      <c r="J1874" s="12" t="s">
        <v>104</v>
      </c>
      <c r="K1874" s="12" t="s">
        <v>150</v>
      </c>
      <c r="L1874" s="23" t="str">
        <f>VLOOKUP(D1874,Products!$A:$F,3,FALSE)</f>
        <v>Sports</v>
      </c>
      <c r="M1874" s="23" t="str">
        <f>VLOOKUP(E1874,Sales_Reps!$A:$E,3,FALSE)</f>
        <v>South</v>
      </c>
      <c r="N1874" s="23" t="str">
        <f t="shared" si="87"/>
        <v>Apr-24</v>
      </c>
      <c r="O1874" s="23" t="str">
        <f t="shared" si="88"/>
        <v>Q2 2024</v>
      </c>
      <c r="P1874" s="23">
        <f>VLOOKUP(D1874,Products!$A:$F,4,FALSE)</f>
        <v>302</v>
      </c>
      <c r="Q1874" s="35">
        <f t="shared" si="89"/>
        <v>0.35744680851063831</v>
      </c>
    </row>
    <row r="1875" spans="1:17">
      <c r="A1875" s="12" t="s">
        <v>2388</v>
      </c>
      <c r="B1875" s="13">
        <v>45516</v>
      </c>
      <c r="C1875" s="12" t="s">
        <v>962</v>
      </c>
      <c r="D1875" s="12" t="s">
        <v>127</v>
      </c>
      <c r="E1875" s="12" t="s">
        <v>218</v>
      </c>
      <c r="F1875" s="14">
        <v>4</v>
      </c>
      <c r="G1875" s="14">
        <v>370</v>
      </c>
      <c r="H1875" s="14">
        <v>13.1</v>
      </c>
      <c r="I1875" s="14">
        <v>1286.1199999999999</v>
      </c>
      <c r="J1875" s="12" t="s">
        <v>104</v>
      </c>
      <c r="K1875" s="12" t="s">
        <v>105</v>
      </c>
      <c r="L1875" s="23" t="str">
        <f>VLOOKUP(D1875,Products!$A:$F,3,FALSE)</f>
        <v>Home</v>
      </c>
      <c r="M1875" s="23" t="str">
        <f>VLOOKUP(E1875,Sales_Reps!$A:$E,3,FALSE)</f>
        <v>West</v>
      </c>
      <c r="N1875" s="23" t="str">
        <f t="shared" si="87"/>
        <v>Aug-24</v>
      </c>
      <c r="O1875" s="23" t="str">
        <f t="shared" si="88"/>
        <v>Q3 2024</v>
      </c>
      <c r="P1875" s="23">
        <f>VLOOKUP(D1875,Products!$A:$F,4,FALSE)</f>
        <v>288</v>
      </c>
      <c r="Q1875" s="35">
        <f t="shared" si="89"/>
        <v>0.22162162162162163</v>
      </c>
    </row>
    <row r="1876" spans="1:17">
      <c r="A1876" s="12" t="s">
        <v>2389</v>
      </c>
      <c r="B1876" s="13">
        <v>45517</v>
      </c>
      <c r="C1876" s="12" t="s">
        <v>634</v>
      </c>
      <c r="D1876" s="12" t="s">
        <v>123</v>
      </c>
      <c r="E1876" s="12" t="s">
        <v>103</v>
      </c>
      <c r="F1876" s="14">
        <v>7</v>
      </c>
      <c r="G1876" s="14">
        <v>3160</v>
      </c>
      <c r="H1876" s="14">
        <v>12.3</v>
      </c>
      <c r="I1876" s="14">
        <v>19399.240000000002</v>
      </c>
      <c r="J1876" s="12" t="s">
        <v>104</v>
      </c>
      <c r="K1876" s="12" t="s">
        <v>129</v>
      </c>
      <c r="L1876" s="23" t="str">
        <f>VLOOKUP(D1876,Products!$A:$F,3,FALSE)</f>
        <v>Apparel</v>
      </c>
      <c r="M1876" s="23" t="str">
        <f>VLOOKUP(E1876,Sales_Reps!$A:$E,3,FALSE)</f>
        <v>North</v>
      </c>
      <c r="N1876" s="23" t="str">
        <f t="shared" si="87"/>
        <v>Aug-24</v>
      </c>
      <c r="O1876" s="23" t="str">
        <f t="shared" si="88"/>
        <v>Q3 2024</v>
      </c>
      <c r="P1876" s="23">
        <f>VLOOKUP(D1876,Products!$A:$F,4,FALSE)</f>
        <v>1886</v>
      </c>
      <c r="Q1876" s="35">
        <f t="shared" si="89"/>
        <v>0.4031645569620253</v>
      </c>
    </row>
    <row r="1877" spans="1:17">
      <c r="A1877" s="12" t="s">
        <v>2390</v>
      </c>
      <c r="B1877" s="13">
        <v>45645</v>
      </c>
      <c r="C1877" s="12" t="s">
        <v>420</v>
      </c>
      <c r="D1877" s="12" t="s">
        <v>676</v>
      </c>
      <c r="E1877" s="12" t="s">
        <v>133</v>
      </c>
      <c r="F1877" s="14">
        <v>5</v>
      </c>
      <c r="G1877" s="14">
        <v>3560</v>
      </c>
      <c r="H1877" s="14">
        <v>24</v>
      </c>
      <c r="I1877" s="14">
        <v>13528</v>
      </c>
      <c r="J1877" s="12" t="s">
        <v>104</v>
      </c>
      <c r="K1877" s="12" t="s">
        <v>134</v>
      </c>
      <c r="L1877" s="23" t="str">
        <f>VLOOKUP(D1877,Products!$A:$F,3,FALSE)</f>
        <v>Apparel</v>
      </c>
      <c r="M1877" s="23" t="str">
        <f>VLOOKUP(E1877,Sales_Reps!$A:$E,3,FALSE)</f>
        <v>West</v>
      </c>
      <c r="N1877" s="23" t="str">
        <f t="shared" si="87"/>
        <v>Dec-24</v>
      </c>
      <c r="O1877" s="23" t="str">
        <f t="shared" si="88"/>
        <v>Q4 2024</v>
      </c>
      <c r="P1877" s="23">
        <f>VLOOKUP(D1877,Products!$A:$F,4,FALSE)</f>
        <v>2629</v>
      </c>
      <c r="Q1877" s="35">
        <f t="shared" si="89"/>
        <v>0.26151685393258428</v>
      </c>
    </row>
    <row r="1878" spans="1:17">
      <c r="A1878" s="12" t="s">
        <v>2391</v>
      </c>
      <c r="B1878" s="13">
        <v>45417</v>
      </c>
      <c r="C1878" s="12" t="s">
        <v>439</v>
      </c>
      <c r="D1878" s="12" t="s">
        <v>312</v>
      </c>
      <c r="E1878" s="12" t="s">
        <v>175</v>
      </c>
      <c r="F1878" s="14">
        <v>6</v>
      </c>
      <c r="G1878" s="14">
        <v>2030</v>
      </c>
      <c r="H1878" s="14">
        <v>20.5</v>
      </c>
      <c r="I1878" s="14">
        <v>9683.1</v>
      </c>
      <c r="J1878" s="12" t="s">
        <v>104</v>
      </c>
      <c r="K1878" s="12" t="s">
        <v>111</v>
      </c>
      <c r="L1878" s="23" t="str">
        <f>VLOOKUP(D1878,Products!$A:$F,3,FALSE)</f>
        <v>Home</v>
      </c>
      <c r="M1878" s="23" t="str">
        <f>VLOOKUP(E1878,Sales_Reps!$A:$E,3,FALSE)</f>
        <v>East</v>
      </c>
      <c r="N1878" s="23" t="str">
        <f t="shared" si="87"/>
        <v>May-24</v>
      </c>
      <c r="O1878" s="23" t="str">
        <f t="shared" si="88"/>
        <v>Q2 2024</v>
      </c>
      <c r="P1878" s="23">
        <f>VLOOKUP(D1878,Products!$A:$F,4,FALSE)</f>
        <v>1143</v>
      </c>
      <c r="Q1878" s="35">
        <f t="shared" si="89"/>
        <v>0.43694581280788175</v>
      </c>
    </row>
    <row r="1879" spans="1:17">
      <c r="A1879" s="12" t="s">
        <v>2392</v>
      </c>
      <c r="B1879" s="13">
        <v>45351</v>
      </c>
      <c r="C1879" s="12" t="s">
        <v>489</v>
      </c>
      <c r="D1879" s="12" t="s">
        <v>152</v>
      </c>
      <c r="E1879" s="12" t="s">
        <v>320</v>
      </c>
      <c r="F1879" s="14">
        <v>5</v>
      </c>
      <c r="G1879" s="14">
        <v>2640</v>
      </c>
      <c r="H1879" s="14">
        <v>21.3</v>
      </c>
      <c r="I1879" s="14">
        <v>10388.4</v>
      </c>
      <c r="J1879" s="12" t="s">
        <v>110</v>
      </c>
      <c r="K1879" s="12" t="s">
        <v>111</v>
      </c>
      <c r="L1879" s="23" t="str">
        <f>VLOOKUP(D1879,Products!$A:$F,3,FALSE)</f>
        <v>Electronics</v>
      </c>
      <c r="M1879" s="23" t="str">
        <f>VLOOKUP(E1879,Sales_Reps!$A:$E,3,FALSE)</f>
        <v>East</v>
      </c>
      <c r="N1879" s="23" t="str">
        <f t="shared" si="87"/>
        <v>Feb-24</v>
      </c>
      <c r="O1879" s="23" t="str">
        <f t="shared" si="88"/>
        <v>Q1 2024</v>
      </c>
      <c r="P1879" s="23">
        <f>VLOOKUP(D1879,Products!$A:$F,4,FALSE)</f>
        <v>1149</v>
      </c>
      <c r="Q1879" s="35">
        <f t="shared" si="89"/>
        <v>0.56477272727272732</v>
      </c>
    </row>
    <row r="1880" spans="1:17">
      <c r="A1880" s="12" t="s">
        <v>2393</v>
      </c>
      <c r="B1880" s="13">
        <v>45629</v>
      </c>
      <c r="C1880" s="12" t="s">
        <v>242</v>
      </c>
      <c r="D1880" s="12" t="s">
        <v>262</v>
      </c>
      <c r="E1880" s="12" t="s">
        <v>314</v>
      </c>
      <c r="F1880" s="14">
        <v>4</v>
      </c>
      <c r="G1880" s="14">
        <v>2270</v>
      </c>
      <c r="H1880" s="14">
        <v>15.8</v>
      </c>
      <c r="I1880" s="14">
        <v>7645.36</v>
      </c>
      <c r="J1880" s="12" t="s">
        <v>104</v>
      </c>
      <c r="K1880" s="12" t="s">
        <v>111</v>
      </c>
      <c r="L1880" s="23" t="str">
        <f>VLOOKUP(D1880,Products!$A:$F,3,FALSE)</f>
        <v>Grocery</v>
      </c>
      <c r="M1880" s="23" t="str">
        <f>VLOOKUP(E1880,Sales_Reps!$A:$E,3,FALSE)</f>
        <v>North</v>
      </c>
      <c r="N1880" s="23" t="str">
        <f t="shared" si="87"/>
        <v>Dec-24</v>
      </c>
      <c r="O1880" s="23" t="str">
        <f t="shared" si="88"/>
        <v>Q4 2024</v>
      </c>
      <c r="P1880" s="23">
        <f>VLOOKUP(D1880,Products!$A:$F,4,FALSE)</f>
        <v>1412</v>
      </c>
      <c r="Q1880" s="35">
        <f t="shared" si="89"/>
        <v>0.37797356828193834</v>
      </c>
    </row>
    <row r="1881" spans="1:17">
      <c r="A1881" s="12" t="s">
        <v>2394</v>
      </c>
      <c r="B1881" s="13">
        <v>45588</v>
      </c>
      <c r="C1881" s="12" t="s">
        <v>545</v>
      </c>
      <c r="D1881" s="12" t="s">
        <v>127</v>
      </c>
      <c r="E1881" s="12" t="s">
        <v>314</v>
      </c>
      <c r="F1881" s="14">
        <v>1</v>
      </c>
      <c r="G1881" s="14">
        <v>370</v>
      </c>
      <c r="H1881" s="14">
        <v>27</v>
      </c>
      <c r="I1881" s="14">
        <v>270.10000000000002</v>
      </c>
      <c r="J1881" s="12" t="s">
        <v>110</v>
      </c>
      <c r="K1881" s="12" t="s">
        <v>129</v>
      </c>
      <c r="L1881" s="23" t="str">
        <f>VLOOKUP(D1881,Products!$A:$F,3,FALSE)</f>
        <v>Home</v>
      </c>
      <c r="M1881" s="23" t="str">
        <f>VLOOKUP(E1881,Sales_Reps!$A:$E,3,FALSE)</f>
        <v>North</v>
      </c>
      <c r="N1881" s="23" t="str">
        <f t="shared" si="87"/>
        <v>Oct-24</v>
      </c>
      <c r="O1881" s="23" t="str">
        <f t="shared" si="88"/>
        <v>Q4 2024</v>
      </c>
      <c r="P1881" s="23">
        <f>VLOOKUP(D1881,Products!$A:$F,4,FALSE)</f>
        <v>288</v>
      </c>
      <c r="Q1881" s="35">
        <f t="shared" si="89"/>
        <v>0.22162162162162163</v>
      </c>
    </row>
    <row r="1882" spans="1:17">
      <c r="A1882" s="12" t="s">
        <v>2395</v>
      </c>
      <c r="B1882" s="13">
        <v>45366</v>
      </c>
      <c r="C1882" s="12" t="s">
        <v>289</v>
      </c>
      <c r="D1882" s="12" t="s">
        <v>208</v>
      </c>
      <c r="E1882" s="12" t="s">
        <v>255</v>
      </c>
      <c r="F1882" s="14">
        <v>9</v>
      </c>
      <c r="G1882" s="14">
        <v>5100</v>
      </c>
      <c r="H1882" s="14">
        <v>2.4</v>
      </c>
      <c r="I1882" s="14">
        <v>44798.400000000001</v>
      </c>
      <c r="J1882" s="12" t="s">
        <v>104</v>
      </c>
      <c r="K1882" s="12" t="s">
        <v>111</v>
      </c>
      <c r="L1882" s="23" t="str">
        <f>VLOOKUP(D1882,Products!$A:$F,3,FALSE)</f>
        <v>Beauty</v>
      </c>
      <c r="M1882" s="23" t="str">
        <f>VLOOKUP(E1882,Sales_Reps!$A:$E,3,FALSE)</f>
        <v>East</v>
      </c>
      <c r="N1882" s="23" t="str">
        <f t="shared" si="87"/>
        <v>Mar-24</v>
      </c>
      <c r="O1882" s="23" t="str">
        <f t="shared" si="88"/>
        <v>Q1 2024</v>
      </c>
      <c r="P1882" s="23">
        <f>VLOOKUP(D1882,Products!$A:$F,4,FALSE)</f>
        <v>2237</v>
      </c>
      <c r="Q1882" s="35">
        <f t="shared" si="89"/>
        <v>0.56137254901960787</v>
      </c>
    </row>
    <row r="1883" spans="1:17">
      <c r="A1883" s="12" t="s">
        <v>2396</v>
      </c>
      <c r="B1883" s="13">
        <v>45322</v>
      </c>
      <c r="C1883" s="12" t="s">
        <v>609</v>
      </c>
      <c r="D1883" s="12" t="s">
        <v>127</v>
      </c>
      <c r="E1883" s="12" t="s">
        <v>171</v>
      </c>
      <c r="F1883" s="14">
        <v>6</v>
      </c>
      <c r="G1883" s="14">
        <v>370</v>
      </c>
      <c r="H1883" s="14">
        <v>18.7</v>
      </c>
      <c r="I1883" s="14">
        <v>1804.86</v>
      </c>
      <c r="J1883" s="12" t="s">
        <v>157</v>
      </c>
      <c r="K1883" s="12" t="s">
        <v>150</v>
      </c>
      <c r="L1883" s="23" t="str">
        <f>VLOOKUP(D1883,Products!$A:$F,3,FALSE)</f>
        <v>Home</v>
      </c>
      <c r="M1883" s="23" t="str">
        <f>VLOOKUP(E1883,Sales_Reps!$A:$E,3,FALSE)</f>
        <v>East</v>
      </c>
      <c r="N1883" s="23" t="str">
        <f t="shared" si="87"/>
        <v>Jan-24</v>
      </c>
      <c r="O1883" s="23" t="str">
        <f t="shared" si="88"/>
        <v>Q1 2024</v>
      </c>
      <c r="P1883" s="23">
        <f>VLOOKUP(D1883,Products!$A:$F,4,FALSE)</f>
        <v>288</v>
      </c>
      <c r="Q1883" s="35">
        <f t="shared" si="89"/>
        <v>0.22162162162162163</v>
      </c>
    </row>
    <row r="1884" spans="1:17">
      <c r="A1884" s="12" t="s">
        <v>2397</v>
      </c>
      <c r="B1884" s="13">
        <v>45465</v>
      </c>
      <c r="C1884" s="12" t="s">
        <v>580</v>
      </c>
      <c r="D1884" s="12" t="s">
        <v>144</v>
      </c>
      <c r="E1884" s="12" t="s">
        <v>156</v>
      </c>
      <c r="F1884" s="14">
        <v>6</v>
      </c>
      <c r="G1884" s="14">
        <v>970</v>
      </c>
      <c r="H1884" s="14">
        <v>21.6</v>
      </c>
      <c r="I1884" s="14">
        <v>4562.88</v>
      </c>
      <c r="J1884" s="12" t="s">
        <v>104</v>
      </c>
      <c r="K1884" s="12" t="s">
        <v>105</v>
      </c>
      <c r="L1884" s="23" t="str">
        <f>VLOOKUP(D1884,Products!$A:$F,3,FALSE)</f>
        <v>Grocery</v>
      </c>
      <c r="M1884" s="23" t="str">
        <f>VLOOKUP(E1884,Sales_Reps!$A:$E,3,FALSE)</f>
        <v>North</v>
      </c>
      <c r="N1884" s="23" t="str">
        <f t="shared" si="87"/>
        <v>Jun-24</v>
      </c>
      <c r="O1884" s="23" t="str">
        <f t="shared" si="88"/>
        <v>Q2 2024</v>
      </c>
      <c r="P1884" s="23">
        <f>VLOOKUP(D1884,Products!$A:$F,4,FALSE)</f>
        <v>434</v>
      </c>
      <c r="Q1884" s="35">
        <f t="shared" si="89"/>
        <v>0.5525773195876289</v>
      </c>
    </row>
    <row r="1885" spans="1:17">
      <c r="A1885" s="12" t="s">
        <v>2398</v>
      </c>
      <c r="B1885" s="13">
        <v>45622</v>
      </c>
      <c r="C1885" s="12" t="s">
        <v>2399</v>
      </c>
      <c r="D1885" s="12" t="s">
        <v>355</v>
      </c>
      <c r="E1885" s="12" t="s">
        <v>246</v>
      </c>
      <c r="F1885" s="14">
        <v>3</v>
      </c>
      <c r="G1885" s="14">
        <v>2210</v>
      </c>
      <c r="H1885" s="14">
        <v>8.5</v>
      </c>
      <c r="I1885" s="14">
        <v>6066.45</v>
      </c>
      <c r="J1885" s="12" t="s">
        <v>104</v>
      </c>
      <c r="K1885" s="12" t="s">
        <v>116</v>
      </c>
      <c r="L1885" s="23" t="str">
        <f>VLOOKUP(D1885,Products!$A:$F,3,FALSE)</f>
        <v>Grocery</v>
      </c>
      <c r="M1885" s="23" t="str">
        <f>VLOOKUP(E1885,Sales_Reps!$A:$E,3,FALSE)</f>
        <v>West</v>
      </c>
      <c r="N1885" s="23" t="str">
        <f t="shared" si="87"/>
        <v>Nov-24</v>
      </c>
      <c r="O1885" s="23" t="str">
        <f t="shared" si="88"/>
        <v>Q4 2024</v>
      </c>
      <c r="P1885" s="23">
        <f>VLOOKUP(D1885,Products!$A:$F,4,FALSE)</f>
        <v>1010</v>
      </c>
      <c r="Q1885" s="35">
        <f t="shared" si="89"/>
        <v>0.54298642533936647</v>
      </c>
    </row>
    <row r="1886" spans="1:17">
      <c r="A1886" s="12" t="s">
        <v>2400</v>
      </c>
      <c r="B1886" s="13">
        <v>45457</v>
      </c>
      <c r="C1886" s="12" t="s">
        <v>399</v>
      </c>
      <c r="D1886" s="12" t="s">
        <v>193</v>
      </c>
      <c r="E1886" s="12" t="s">
        <v>314</v>
      </c>
      <c r="F1886" s="14">
        <v>1</v>
      </c>
      <c r="G1886" s="14">
        <v>1650</v>
      </c>
      <c r="H1886" s="14">
        <v>19.7</v>
      </c>
      <c r="I1886" s="14">
        <v>1324.95</v>
      </c>
      <c r="J1886" s="12" t="s">
        <v>104</v>
      </c>
      <c r="K1886" s="12" t="s">
        <v>116</v>
      </c>
      <c r="L1886" s="23" t="str">
        <f>VLOOKUP(D1886,Products!$A:$F,3,FALSE)</f>
        <v>Beauty</v>
      </c>
      <c r="M1886" s="23" t="str">
        <f>VLOOKUP(E1886,Sales_Reps!$A:$E,3,FALSE)</f>
        <v>North</v>
      </c>
      <c r="N1886" s="23" t="str">
        <f t="shared" si="87"/>
        <v>Jun-24</v>
      </c>
      <c r="O1886" s="23" t="str">
        <f t="shared" si="88"/>
        <v>Q2 2024</v>
      </c>
      <c r="P1886" s="23">
        <f>VLOOKUP(D1886,Products!$A:$F,4,FALSE)</f>
        <v>1222</v>
      </c>
      <c r="Q1886" s="35">
        <f t="shared" si="89"/>
        <v>0.2593939393939394</v>
      </c>
    </row>
    <row r="1887" spans="1:17">
      <c r="A1887" s="12" t="s">
        <v>2401</v>
      </c>
      <c r="B1887" s="13">
        <v>45480</v>
      </c>
      <c r="C1887" s="12" t="s">
        <v>965</v>
      </c>
      <c r="D1887" s="12" t="s">
        <v>532</v>
      </c>
      <c r="E1887" s="12" t="s">
        <v>165</v>
      </c>
      <c r="F1887" s="14">
        <v>5</v>
      </c>
      <c r="G1887" s="14">
        <v>6940</v>
      </c>
      <c r="H1887" s="14">
        <v>7.7</v>
      </c>
      <c r="I1887" s="14">
        <v>32028.1</v>
      </c>
      <c r="J1887" s="12" t="s">
        <v>104</v>
      </c>
      <c r="K1887" s="12" t="s">
        <v>105</v>
      </c>
      <c r="L1887" s="23" t="str">
        <f>VLOOKUP(D1887,Products!$A:$F,3,FALSE)</f>
        <v>Sports</v>
      </c>
      <c r="M1887" s="23" t="str">
        <f>VLOOKUP(E1887,Sales_Reps!$A:$E,3,FALSE)</f>
        <v>North</v>
      </c>
      <c r="N1887" s="23" t="str">
        <f t="shared" si="87"/>
        <v>Jul-24</v>
      </c>
      <c r="O1887" s="23" t="str">
        <f t="shared" si="88"/>
        <v>Q3 2024</v>
      </c>
      <c r="P1887" s="23">
        <f>VLOOKUP(D1887,Products!$A:$F,4,FALSE)</f>
        <v>2827</v>
      </c>
      <c r="Q1887" s="35">
        <f t="shared" si="89"/>
        <v>0.5926512968299712</v>
      </c>
    </row>
    <row r="1888" spans="1:17">
      <c r="A1888" s="12" t="s">
        <v>2402</v>
      </c>
      <c r="B1888" s="13">
        <v>45392</v>
      </c>
      <c r="C1888" s="12" t="s">
        <v>504</v>
      </c>
      <c r="D1888" s="12" t="s">
        <v>355</v>
      </c>
      <c r="E1888" s="12" t="s">
        <v>302</v>
      </c>
      <c r="F1888" s="14">
        <v>2</v>
      </c>
      <c r="G1888" s="14">
        <v>2210</v>
      </c>
      <c r="H1888" s="14">
        <v>5.6</v>
      </c>
      <c r="I1888" s="14">
        <v>4172.4799999999996</v>
      </c>
      <c r="J1888" s="12" t="s">
        <v>157</v>
      </c>
      <c r="K1888" s="12" t="s">
        <v>105</v>
      </c>
      <c r="L1888" s="23" t="str">
        <f>VLOOKUP(D1888,Products!$A:$F,3,FALSE)</f>
        <v>Grocery</v>
      </c>
      <c r="M1888" s="23" t="str">
        <f>VLOOKUP(E1888,Sales_Reps!$A:$E,3,FALSE)</f>
        <v>East</v>
      </c>
      <c r="N1888" s="23" t="str">
        <f t="shared" si="87"/>
        <v>Apr-24</v>
      </c>
      <c r="O1888" s="23" t="str">
        <f t="shared" si="88"/>
        <v>Q2 2024</v>
      </c>
      <c r="P1888" s="23">
        <f>VLOOKUP(D1888,Products!$A:$F,4,FALSE)</f>
        <v>1010</v>
      </c>
      <c r="Q1888" s="35">
        <f t="shared" si="89"/>
        <v>0.54298642533936647</v>
      </c>
    </row>
    <row r="1889" spans="1:17">
      <c r="A1889" s="12" t="s">
        <v>2403</v>
      </c>
      <c r="B1889" s="13">
        <v>45380</v>
      </c>
      <c r="C1889" s="12" t="s">
        <v>333</v>
      </c>
      <c r="D1889" s="12" t="s">
        <v>155</v>
      </c>
      <c r="E1889" s="12" t="s">
        <v>115</v>
      </c>
      <c r="F1889" s="14">
        <v>9</v>
      </c>
      <c r="G1889" s="14">
        <v>2600</v>
      </c>
      <c r="H1889" s="14">
        <v>3.1</v>
      </c>
      <c r="I1889" s="14">
        <v>22674.6</v>
      </c>
      <c r="J1889" s="12" t="s">
        <v>104</v>
      </c>
      <c r="K1889" s="12" t="s">
        <v>105</v>
      </c>
      <c r="L1889" s="23" t="str">
        <f>VLOOKUP(D1889,Products!$A:$F,3,FALSE)</f>
        <v>Electronics</v>
      </c>
      <c r="M1889" s="23" t="str">
        <f>VLOOKUP(E1889,Sales_Reps!$A:$E,3,FALSE)</f>
        <v>South</v>
      </c>
      <c r="N1889" s="23" t="str">
        <f t="shared" si="87"/>
        <v>Mar-24</v>
      </c>
      <c r="O1889" s="23" t="str">
        <f t="shared" si="88"/>
        <v>Q1 2024</v>
      </c>
      <c r="P1889" s="23">
        <f>VLOOKUP(D1889,Products!$A:$F,4,FALSE)</f>
        <v>1052</v>
      </c>
      <c r="Q1889" s="35">
        <f t="shared" si="89"/>
        <v>0.5953846153846154</v>
      </c>
    </row>
    <row r="1890" spans="1:17">
      <c r="A1890" s="12" t="s">
        <v>2404</v>
      </c>
      <c r="B1890" s="13">
        <v>45494</v>
      </c>
      <c r="C1890" s="12" t="s">
        <v>917</v>
      </c>
      <c r="D1890" s="12" t="s">
        <v>478</v>
      </c>
      <c r="E1890" s="12" t="s">
        <v>165</v>
      </c>
      <c r="F1890" s="14">
        <v>7</v>
      </c>
      <c r="G1890" s="14">
        <v>3780</v>
      </c>
      <c r="H1890" s="14">
        <v>13.3</v>
      </c>
      <c r="I1890" s="14">
        <v>22940.82</v>
      </c>
      <c r="J1890" s="12" t="s">
        <v>104</v>
      </c>
      <c r="K1890" s="12" t="s">
        <v>134</v>
      </c>
      <c r="L1890" s="23" t="str">
        <f>VLOOKUP(D1890,Products!$A:$F,3,FALSE)</f>
        <v>Sports</v>
      </c>
      <c r="M1890" s="23" t="str">
        <f>VLOOKUP(E1890,Sales_Reps!$A:$E,3,FALSE)</f>
        <v>North</v>
      </c>
      <c r="N1890" s="23" t="str">
        <f t="shared" si="87"/>
        <v>Jul-24</v>
      </c>
      <c r="O1890" s="23" t="str">
        <f t="shared" si="88"/>
        <v>Q3 2024</v>
      </c>
      <c r="P1890" s="23">
        <f>VLOOKUP(D1890,Products!$A:$F,4,FALSE)</f>
        <v>1860</v>
      </c>
      <c r="Q1890" s="35">
        <f t="shared" si="89"/>
        <v>0.50793650793650791</v>
      </c>
    </row>
    <row r="1891" spans="1:17">
      <c r="A1891" s="12" t="s">
        <v>2405</v>
      </c>
      <c r="B1891" s="13">
        <v>45621</v>
      </c>
      <c r="C1891" s="12" t="s">
        <v>1055</v>
      </c>
      <c r="D1891" s="12" t="s">
        <v>168</v>
      </c>
      <c r="E1891" s="12" t="s">
        <v>269</v>
      </c>
      <c r="F1891" s="14">
        <v>4</v>
      </c>
      <c r="G1891" s="14">
        <v>2400</v>
      </c>
      <c r="H1891" s="14">
        <v>16.600000000000001</v>
      </c>
      <c r="I1891" s="14">
        <v>8006.4</v>
      </c>
      <c r="J1891" s="12" t="s">
        <v>110</v>
      </c>
      <c r="K1891" s="12" t="s">
        <v>134</v>
      </c>
      <c r="L1891" s="23" t="str">
        <f>VLOOKUP(D1891,Products!$A:$F,3,FALSE)</f>
        <v>Sports</v>
      </c>
      <c r="M1891" s="23" t="str">
        <f>VLOOKUP(E1891,Sales_Reps!$A:$E,3,FALSE)</f>
        <v>South</v>
      </c>
      <c r="N1891" s="23" t="str">
        <f t="shared" si="87"/>
        <v>Nov-24</v>
      </c>
      <c r="O1891" s="23" t="str">
        <f t="shared" si="88"/>
        <v>Q4 2024</v>
      </c>
      <c r="P1891" s="23">
        <f>VLOOKUP(D1891,Products!$A:$F,4,FALSE)</f>
        <v>974</v>
      </c>
      <c r="Q1891" s="35">
        <f t="shared" si="89"/>
        <v>0.59416666666666662</v>
      </c>
    </row>
    <row r="1892" spans="1:17">
      <c r="A1892" s="12" t="s">
        <v>2406</v>
      </c>
      <c r="B1892" s="13">
        <v>45603</v>
      </c>
      <c r="C1892" s="12" t="s">
        <v>298</v>
      </c>
      <c r="D1892" s="12" t="s">
        <v>299</v>
      </c>
      <c r="E1892" s="12" t="s">
        <v>109</v>
      </c>
      <c r="F1892" s="14">
        <v>10</v>
      </c>
      <c r="G1892" s="14">
        <v>300</v>
      </c>
      <c r="H1892" s="14">
        <v>23.9</v>
      </c>
      <c r="I1892" s="14">
        <v>2283</v>
      </c>
      <c r="J1892" s="12" t="s">
        <v>104</v>
      </c>
      <c r="K1892" s="12" t="s">
        <v>105</v>
      </c>
      <c r="L1892" s="23" t="str">
        <f>VLOOKUP(D1892,Products!$A:$F,3,FALSE)</f>
        <v>Electronics</v>
      </c>
      <c r="M1892" s="23" t="str">
        <f>VLOOKUP(E1892,Sales_Reps!$A:$E,3,FALSE)</f>
        <v>North</v>
      </c>
      <c r="N1892" s="23" t="str">
        <f t="shared" si="87"/>
        <v>Nov-24</v>
      </c>
      <c r="O1892" s="23" t="str">
        <f t="shared" si="88"/>
        <v>Q4 2024</v>
      </c>
      <c r="P1892" s="23">
        <f>VLOOKUP(D1892,Products!$A:$F,4,FALSE)</f>
        <v>128</v>
      </c>
      <c r="Q1892" s="35">
        <f t="shared" si="89"/>
        <v>0.57333333333333336</v>
      </c>
    </row>
    <row r="1893" spans="1:17">
      <c r="A1893" s="12" t="s">
        <v>2407</v>
      </c>
      <c r="B1893" s="13">
        <v>45640</v>
      </c>
      <c r="C1893" s="12" t="s">
        <v>283</v>
      </c>
      <c r="D1893" s="12" t="s">
        <v>119</v>
      </c>
      <c r="E1893" s="12" t="s">
        <v>149</v>
      </c>
      <c r="F1893" s="14">
        <v>1</v>
      </c>
      <c r="G1893" s="14">
        <v>3660</v>
      </c>
      <c r="H1893" s="14">
        <v>1.5</v>
      </c>
      <c r="I1893" s="14">
        <v>3605.1</v>
      </c>
      <c r="J1893" s="12" t="s">
        <v>110</v>
      </c>
      <c r="K1893" s="12" t="s">
        <v>116</v>
      </c>
      <c r="L1893" s="23" t="str">
        <f>VLOOKUP(D1893,Products!$A:$F,3,FALSE)</f>
        <v>Grocery</v>
      </c>
      <c r="M1893" s="23" t="str">
        <f>VLOOKUP(E1893,Sales_Reps!$A:$E,3,FALSE)</f>
        <v>South</v>
      </c>
      <c r="N1893" s="23" t="str">
        <f t="shared" si="87"/>
        <v>Dec-24</v>
      </c>
      <c r="O1893" s="23" t="str">
        <f t="shared" si="88"/>
        <v>Q4 2024</v>
      </c>
      <c r="P1893" s="23">
        <f>VLOOKUP(D1893,Products!$A:$F,4,FALSE)</f>
        <v>2214</v>
      </c>
      <c r="Q1893" s="35">
        <f t="shared" si="89"/>
        <v>0.39508196721311473</v>
      </c>
    </row>
    <row r="1894" spans="1:17">
      <c r="A1894" s="12" t="s">
        <v>2408</v>
      </c>
      <c r="B1894" s="13">
        <v>45534</v>
      </c>
      <c r="C1894" s="12" t="s">
        <v>327</v>
      </c>
      <c r="D1894" s="12" t="s">
        <v>178</v>
      </c>
      <c r="E1894" s="12" t="s">
        <v>290</v>
      </c>
      <c r="F1894" s="14">
        <v>9</v>
      </c>
      <c r="G1894" s="14">
        <v>3450</v>
      </c>
      <c r="H1894" s="14">
        <v>21.8</v>
      </c>
      <c r="I1894" s="14">
        <v>24281.1</v>
      </c>
      <c r="J1894" s="12" t="s">
        <v>104</v>
      </c>
      <c r="K1894" s="12" t="s">
        <v>134</v>
      </c>
      <c r="L1894" s="23" t="str">
        <f>VLOOKUP(D1894,Products!$A:$F,3,FALSE)</f>
        <v>Sports</v>
      </c>
      <c r="M1894" s="23" t="str">
        <f>VLOOKUP(E1894,Sales_Reps!$A:$E,3,FALSE)</f>
        <v>South</v>
      </c>
      <c r="N1894" s="23" t="str">
        <f t="shared" si="87"/>
        <v>Aug-24</v>
      </c>
      <c r="O1894" s="23" t="str">
        <f t="shared" si="88"/>
        <v>Q3 2024</v>
      </c>
      <c r="P1894" s="23">
        <f>VLOOKUP(D1894,Products!$A:$F,4,FALSE)</f>
        <v>2467</v>
      </c>
      <c r="Q1894" s="35">
        <f t="shared" si="89"/>
        <v>0.28492753623188405</v>
      </c>
    </row>
    <row r="1895" spans="1:17">
      <c r="A1895" s="12" t="s">
        <v>2409</v>
      </c>
      <c r="B1895" s="13">
        <v>45410</v>
      </c>
      <c r="C1895" s="12" t="s">
        <v>518</v>
      </c>
      <c r="D1895" s="12" t="s">
        <v>469</v>
      </c>
      <c r="E1895" s="12" t="s">
        <v>103</v>
      </c>
      <c r="F1895" s="14">
        <v>10</v>
      </c>
      <c r="G1895" s="14">
        <v>3450</v>
      </c>
      <c r="H1895" s="14">
        <v>15.7</v>
      </c>
      <c r="I1895" s="14">
        <v>29083.5</v>
      </c>
      <c r="J1895" s="12" t="s">
        <v>157</v>
      </c>
      <c r="K1895" s="12" t="s">
        <v>150</v>
      </c>
      <c r="L1895" s="23" t="str">
        <f>VLOOKUP(D1895,Products!$A:$F,3,FALSE)</f>
        <v>Apparel</v>
      </c>
      <c r="M1895" s="23" t="str">
        <f>VLOOKUP(E1895,Sales_Reps!$A:$E,3,FALSE)</f>
        <v>North</v>
      </c>
      <c r="N1895" s="23" t="str">
        <f t="shared" si="87"/>
        <v>Apr-24</v>
      </c>
      <c r="O1895" s="23" t="str">
        <f t="shared" si="88"/>
        <v>Q2 2024</v>
      </c>
      <c r="P1895" s="23">
        <f>VLOOKUP(D1895,Products!$A:$F,4,FALSE)</f>
        <v>1748</v>
      </c>
      <c r="Q1895" s="35">
        <f t="shared" si="89"/>
        <v>0.49333333333333335</v>
      </c>
    </row>
    <row r="1896" spans="1:17">
      <c r="A1896" s="12" t="s">
        <v>2410</v>
      </c>
      <c r="B1896" s="13">
        <v>45412</v>
      </c>
      <c r="C1896" s="12" t="s">
        <v>118</v>
      </c>
      <c r="D1896" s="12" t="s">
        <v>281</v>
      </c>
      <c r="E1896" s="12" t="s">
        <v>124</v>
      </c>
      <c r="F1896" s="14">
        <v>2</v>
      </c>
      <c r="G1896" s="14">
        <v>4070</v>
      </c>
      <c r="H1896" s="14">
        <v>10.8</v>
      </c>
      <c r="I1896" s="14">
        <v>7260.88</v>
      </c>
      <c r="J1896" s="12" t="s">
        <v>104</v>
      </c>
      <c r="K1896" s="12" t="s">
        <v>116</v>
      </c>
      <c r="L1896" s="23" t="str">
        <f>VLOOKUP(D1896,Products!$A:$F,3,FALSE)</f>
        <v>Grocery</v>
      </c>
      <c r="M1896" s="23" t="str">
        <f>VLOOKUP(E1896,Sales_Reps!$A:$E,3,FALSE)</f>
        <v>North</v>
      </c>
      <c r="N1896" s="23" t="str">
        <f t="shared" si="87"/>
        <v>Apr-24</v>
      </c>
      <c r="O1896" s="23" t="str">
        <f t="shared" si="88"/>
        <v>Q2 2024</v>
      </c>
      <c r="P1896" s="23">
        <f>VLOOKUP(D1896,Products!$A:$F,4,FALSE)</f>
        <v>2027</v>
      </c>
      <c r="Q1896" s="35">
        <f t="shared" si="89"/>
        <v>0.50196560196560192</v>
      </c>
    </row>
    <row r="1897" spans="1:17">
      <c r="A1897" s="12" t="s">
        <v>2411</v>
      </c>
      <c r="B1897" s="13">
        <v>45372</v>
      </c>
      <c r="C1897" s="12" t="s">
        <v>386</v>
      </c>
      <c r="D1897" s="12" t="s">
        <v>478</v>
      </c>
      <c r="E1897" s="12" t="s">
        <v>171</v>
      </c>
      <c r="F1897" s="14">
        <v>4</v>
      </c>
      <c r="G1897" s="14">
        <v>3780</v>
      </c>
      <c r="H1897" s="14">
        <v>17.100000000000001</v>
      </c>
      <c r="I1897" s="14">
        <v>12534.48</v>
      </c>
      <c r="J1897" s="12" t="s">
        <v>104</v>
      </c>
      <c r="K1897" s="12" t="s">
        <v>111</v>
      </c>
      <c r="L1897" s="23" t="str">
        <f>VLOOKUP(D1897,Products!$A:$F,3,FALSE)</f>
        <v>Sports</v>
      </c>
      <c r="M1897" s="23" t="str">
        <f>VLOOKUP(E1897,Sales_Reps!$A:$E,3,FALSE)</f>
        <v>East</v>
      </c>
      <c r="N1897" s="23" t="str">
        <f t="shared" si="87"/>
        <v>Mar-24</v>
      </c>
      <c r="O1897" s="23" t="str">
        <f t="shared" si="88"/>
        <v>Q1 2024</v>
      </c>
      <c r="P1897" s="23">
        <f>VLOOKUP(D1897,Products!$A:$F,4,FALSE)</f>
        <v>1860</v>
      </c>
      <c r="Q1897" s="35">
        <f t="shared" si="89"/>
        <v>0.50793650793650791</v>
      </c>
    </row>
    <row r="1898" spans="1:17">
      <c r="A1898" s="12" t="s">
        <v>2412</v>
      </c>
      <c r="B1898" s="13">
        <v>45622</v>
      </c>
      <c r="C1898" s="12" t="s">
        <v>690</v>
      </c>
      <c r="D1898" s="12" t="s">
        <v>217</v>
      </c>
      <c r="E1898" s="12" t="s">
        <v>156</v>
      </c>
      <c r="F1898" s="14">
        <v>1</v>
      </c>
      <c r="G1898" s="14">
        <v>2760</v>
      </c>
      <c r="H1898" s="14">
        <v>2.5</v>
      </c>
      <c r="I1898" s="14">
        <v>2691</v>
      </c>
      <c r="J1898" s="12" t="s">
        <v>157</v>
      </c>
      <c r="K1898" s="12" t="s">
        <v>129</v>
      </c>
      <c r="L1898" s="23" t="str">
        <f>VLOOKUP(D1898,Products!$A:$F,3,FALSE)</f>
        <v>Grocery</v>
      </c>
      <c r="M1898" s="23" t="str">
        <f>VLOOKUP(E1898,Sales_Reps!$A:$E,3,FALSE)</f>
        <v>North</v>
      </c>
      <c r="N1898" s="23" t="str">
        <f t="shared" si="87"/>
        <v>Nov-24</v>
      </c>
      <c r="O1898" s="23" t="str">
        <f t="shared" si="88"/>
        <v>Q4 2024</v>
      </c>
      <c r="P1898" s="23">
        <f>VLOOKUP(D1898,Products!$A:$F,4,FALSE)</f>
        <v>1435</v>
      </c>
      <c r="Q1898" s="35">
        <f t="shared" si="89"/>
        <v>0.48007246376811596</v>
      </c>
    </row>
    <row r="1899" spans="1:17">
      <c r="A1899" s="12" t="s">
        <v>2413</v>
      </c>
      <c r="B1899" s="13">
        <v>45493</v>
      </c>
      <c r="C1899" s="12" t="s">
        <v>173</v>
      </c>
      <c r="D1899" s="12" t="s">
        <v>201</v>
      </c>
      <c r="E1899" s="12" t="s">
        <v>187</v>
      </c>
      <c r="F1899" s="14">
        <v>2</v>
      </c>
      <c r="G1899" s="14">
        <v>4880</v>
      </c>
      <c r="H1899" s="14">
        <v>11</v>
      </c>
      <c r="I1899" s="14">
        <v>8686.4</v>
      </c>
      <c r="J1899" s="12" t="s">
        <v>104</v>
      </c>
      <c r="K1899" s="12" t="s">
        <v>150</v>
      </c>
      <c r="L1899" s="23" t="str">
        <f>VLOOKUP(D1899,Products!$A:$F,3,FALSE)</f>
        <v>Beauty</v>
      </c>
      <c r="M1899" s="23" t="str">
        <f>VLOOKUP(E1899,Sales_Reps!$A:$E,3,FALSE)</f>
        <v>West</v>
      </c>
      <c r="N1899" s="23" t="str">
        <f t="shared" si="87"/>
        <v>Jul-24</v>
      </c>
      <c r="O1899" s="23" t="str">
        <f t="shared" si="88"/>
        <v>Q3 2024</v>
      </c>
      <c r="P1899" s="23">
        <f>VLOOKUP(D1899,Products!$A:$F,4,FALSE)</f>
        <v>2768</v>
      </c>
      <c r="Q1899" s="35">
        <f t="shared" si="89"/>
        <v>0.43278688524590164</v>
      </c>
    </row>
    <row r="1900" spans="1:17">
      <c r="A1900" s="12" t="s">
        <v>2414</v>
      </c>
      <c r="B1900" s="13">
        <v>45580</v>
      </c>
      <c r="C1900" s="12" t="s">
        <v>623</v>
      </c>
      <c r="D1900" s="12" t="s">
        <v>384</v>
      </c>
      <c r="E1900" s="12" t="s">
        <v>302</v>
      </c>
      <c r="F1900" s="14">
        <v>10</v>
      </c>
      <c r="G1900" s="14">
        <v>2380</v>
      </c>
      <c r="H1900" s="14">
        <v>28.3</v>
      </c>
      <c r="I1900" s="14">
        <v>17064.599999999999</v>
      </c>
      <c r="J1900" s="12" t="s">
        <v>104</v>
      </c>
      <c r="K1900" s="12" t="s">
        <v>129</v>
      </c>
      <c r="L1900" s="23" t="str">
        <f>VLOOKUP(D1900,Products!$A:$F,3,FALSE)</f>
        <v>Grocery</v>
      </c>
      <c r="M1900" s="23" t="str">
        <f>VLOOKUP(E1900,Sales_Reps!$A:$E,3,FALSE)</f>
        <v>East</v>
      </c>
      <c r="N1900" s="23" t="str">
        <f t="shared" si="87"/>
        <v>Oct-24</v>
      </c>
      <c r="O1900" s="23" t="str">
        <f t="shared" si="88"/>
        <v>Q4 2024</v>
      </c>
      <c r="P1900" s="23">
        <f>VLOOKUP(D1900,Products!$A:$F,4,FALSE)</f>
        <v>1182</v>
      </c>
      <c r="Q1900" s="35">
        <f t="shared" si="89"/>
        <v>0.50336134453781511</v>
      </c>
    </row>
    <row r="1901" spans="1:17">
      <c r="A1901" s="12" t="s">
        <v>2415</v>
      </c>
      <c r="B1901" s="13">
        <v>45449</v>
      </c>
      <c r="C1901" s="12" t="s">
        <v>1121</v>
      </c>
      <c r="D1901" s="12" t="s">
        <v>403</v>
      </c>
      <c r="E1901" s="12" t="s">
        <v>165</v>
      </c>
      <c r="F1901" s="14">
        <v>3</v>
      </c>
      <c r="G1901" s="14">
        <v>2290</v>
      </c>
      <c r="H1901" s="14">
        <v>11.1</v>
      </c>
      <c r="I1901" s="14">
        <v>6107.43</v>
      </c>
      <c r="J1901" s="12" t="s">
        <v>157</v>
      </c>
      <c r="K1901" s="12" t="s">
        <v>134</v>
      </c>
      <c r="L1901" s="23" t="str">
        <f>VLOOKUP(D1901,Products!$A:$F,3,FALSE)</f>
        <v>Beauty</v>
      </c>
      <c r="M1901" s="23" t="str">
        <f>VLOOKUP(E1901,Sales_Reps!$A:$E,3,FALSE)</f>
        <v>North</v>
      </c>
      <c r="N1901" s="23" t="str">
        <f t="shared" si="87"/>
        <v>Jun-24</v>
      </c>
      <c r="O1901" s="23" t="str">
        <f t="shared" si="88"/>
        <v>Q2 2024</v>
      </c>
      <c r="P1901" s="23">
        <f>VLOOKUP(D1901,Products!$A:$F,4,FALSE)</f>
        <v>1219</v>
      </c>
      <c r="Q1901" s="35">
        <f t="shared" si="89"/>
        <v>0.46768558951965067</v>
      </c>
    </row>
    <row r="1902" spans="1:17">
      <c r="A1902" s="12" t="s">
        <v>2416</v>
      </c>
      <c r="B1902" s="13">
        <v>45417</v>
      </c>
      <c r="C1902" s="12" t="s">
        <v>173</v>
      </c>
      <c r="D1902" s="12" t="s">
        <v>217</v>
      </c>
      <c r="E1902" s="12" t="s">
        <v>156</v>
      </c>
      <c r="F1902" s="14">
        <v>6</v>
      </c>
      <c r="G1902" s="14">
        <v>2760</v>
      </c>
      <c r="H1902" s="14">
        <v>16.5</v>
      </c>
      <c r="I1902" s="14">
        <v>13827.6</v>
      </c>
      <c r="J1902" s="12" t="s">
        <v>104</v>
      </c>
      <c r="K1902" s="12" t="s">
        <v>150</v>
      </c>
      <c r="L1902" s="23" t="str">
        <f>VLOOKUP(D1902,Products!$A:$F,3,FALSE)</f>
        <v>Grocery</v>
      </c>
      <c r="M1902" s="23" t="str">
        <f>VLOOKUP(E1902,Sales_Reps!$A:$E,3,FALSE)</f>
        <v>North</v>
      </c>
      <c r="N1902" s="23" t="str">
        <f t="shared" si="87"/>
        <v>May-24</v>
      </c>
      <c r="O1902" s="23" t="str">
        <f t="shared" si="88"/>
        <v>Q2 2024</v>
      </c>
      <c r="P1902" s="23">
        <f>VLOOKUP(D1902,Products!$A:$F,4,FALSE)</f>
        <v>1435</v>
      </c>
      <c r="Q1902" s="35">
        <f t="shared" si="89"/>
        <v>0.48007246376811596</v>
      </c>
    </row>
    <row r="1903" spans="1:17">
      <c r="A1903" s="12" t="s">
        <v>2417</v>
      </c>
      <c r="B1903" s="13">
        <v>45523</v>
      </c>
      <c r="C1903" s="12" t="s">
        <v>535</v>
      </c>
      <c r="D1903" s="12" t="s">
        <v>368</v>
      </c>
      <c r="E1903" s="12" t="s">
        <v>360</v>
      </c>
      <c r="F1903" s="14">
        <v>5</v>
      </c>
      <c r="G1903" s="14">
        <v>4060</v>
      </c>
      <c r="H1903" s="14">
        <v>22.5</v>
      </c>
      <c r="I1903" s="14">
        <v>15732.5</v>
      </c>
      <c r="J1903" s="12" t="s">
        <v>104</v>
      </c>
      <c r="K1903" s="12" t="s">
        <v>105</v>
      </c>
      <c r="L1903" s="23" t="str">
        <f>VLOOKUP(D1903,Products!$A:$F,3,FALSE)</f>
        <v>Grocery</v>
      </c>
      <c r="M1903" s="23" t="str">
        <f>VLOOKUP(E1903,Sales_Reps!$A:$E,3,FALSE)</f>
        <v>West</v>
      </c>
      <c r="N1903" s="23" t="str">
        <f t="shared" si="87"/>
        <v>Aug-24</v>
      </c>
      <c r="O1903" s="23" t="str">
        <f t="shared" si="88"/>
        <v>Q3 2024</v>
      </c>
      <c r="P1903" s="23">
        <f>VLOOKUP(D1903,Products!$A:$F,4,FALSE)</f>
        <v>2911</v>
      </c>
      <c r="Q1903" s="35">
        <f t="shared" si="89"/>
        <v>0.28300492610837441</v>
      </c>
    </row>
    <row r="1904" spans="1:17">
      <c r="A1904" s="12" t="s">
        <v>2418</v>
      </c>
      <c r="B1904" s="13">
        <v>45367</v>
      </c>
      <c r="C1904" s="12" t="s">
        <v>345</v>
      </c>
      <c r="D1904" s="12" t="s">
        <v>152</v>
      </c>
      <c r="E1904" s="12" t="s">
        <v>120</v>
      </c>
      <c r="F1904" s="14">
        <v>8</v>
      </c>
      <c r="G1904" s="14">
        <v>2640</v>
      </c>
      <c r="H1904" s="14">
        <v>11.8</v>
      </c>
      <c r="I1904" s="14">
        <v>18627.84</v>
      </c>
      <c r="J1904" s="12" t="s">
        <v>104</v>
      </c>
      <c r="K1904" s="12" t="s">
        <v>111</v>
      </c>
      <c r="L1904" s="23" t="str">
        <f>VLOOKUP(D1904,Products!$A:$F,3,FALSE)</f>
        <v>Electronics</v>
      </c>
      <c r="M1904" s="23" t="str">
        <f>VLOOKUP(E1904,Sales_Reps!$A:$E,3,FALSE)</f>
        <v>North</v>
      </c>
      <c r="N1904" s="23" t="str">
        <f t="shared" si="87"/>
        <v>Mar-24</v>
      </c>
      <c r="O1904" s="23" t="str">
        <f t="shared" si="88"/>
        <v>Q1 2024</v>
      </c>
      <c r="P1904" s="23">
        <f>VLOOKUP(D1904,Products!$A:$F,4,FALSE)</f>
        <v>1149</v>
      </c>
      <c r="Q1904" s="35">
        <f t="shared" si="89"/>
        <v>0.56477272727272732</v>
      </c>
    </row>
    <row r="1905" spans="1:17">
      <c r="A1905" s="12" t="s">
        <v>2419</v>
      </c>
      <c r="B1905" s="13">
        <v>45309</v>
      </c>
      <c r="C1905" s="12" t="s">
        <v>833</v>
      </c>
      <c r="D1905" s="12" t="s">
        <v>287</v>
      </c>
      <c r="E1905" s="12" t="s">
        <v>109</v>
      </c>
      <c r="F1905" s="14">
        <v>2</v>
      </c>
      <c r="G1905" s="14">
        <v>4610</v>
      </c>
      <c r="H1905" s="14">
        <v>10.4</v>
      </c>
      <c r="I1905" s="14">
        <v>8261.1200000000008</v>
      </c>
      <c r="J1905" s="12" t="s">
        <v>110</v>
      </c>
      <c r="K1905" s="12" t="s">
        <v>105</v>
      </c>
      <c r="L1905" s="23" t="str">
        <f>VLOOKUP(D1905,Products!$A:$F,3,FALSE)</f>
        <v>Home</v>
      </c>
      <c r="M1905" s="23" t="str">
        <f>VLOOKUP(E1905,Sales_Reps!$A:$E,3,FALSE)</f>
        <v>North</v>
      </c>
      <c r="N1905" s="23" t="str">
        <f t="shared" si="87"/>
        <v>Jan-24</v>
      </c>
      <c r="O1905" s="23" t="str">
        <f t="shared" si="88"/>
        <v>Q1 2024</v>
      </c>
      <c r="P1905" s="23">
        <f>VLOOKUP(D1905,Products!$A:$F,4,FALSE)</f>
        <v>1850</v>
      </c>
      <c r="Q1905" s="35">
        <f t="shared" si="89"/>
        <v>0.59869848156182215</v>
      </c>
    </row>
    <row r="1906" spans="1:17">
      <c r="A1906" s="12" t="s">
        <v>2420</v>
      </c>
      <c r="B1906" s="13">
        <v>45383</v>
      </c>
      <c r="C1906" s="12" t="s">
        <v>295</v>
      </c>
      <c r="D1906" s="12" t="s">
        <v>355</v>
      </c>
      <c r="E1906" s="12" t="s">
        <v>145</v>
      </c>
      <c r="F1906" s="14">
        <v>6</v>
      </c>
      <c r="G1906" s="14">
        <v>2210</v>
      </c>
      <c r="H1906" s="14">
        <v>22.5</v>
      </c>
      <c r="I1906" s="14">
        <v>10276.5</v>
      </c>
      <c r="J1906" s="12" t="s">
        <v>157</v>
      </c>
      <c r="K1906" s="12" t="s">
        <v>150</v>
      </c>
      <c r="L1906" s="23" t="str">
        <f>VLOOKUP(D1906,Products!$A:$F,3,FALSE)</f>
        <v>Grocery</v>
      </c>
      <c r="M1906" s="23" t="str">
        <f>VLOOKUP(E1906,Sales_Reps!$A:$E,3,FALSE)</f>
        <v>West</v>
      </c>
      <c r="N1906" s="23" t="str">
        <f t="shared" si="87"/>
        <v>Apr-24</v>
      </c>
      <c r="O1906" s="23" t="str">
        <f t="shared" si="88"/>
        <v>Q2 2024</v>
      </c>
      <c r="P1906" s="23">
        <f>VLOOKUP(D1906,Products!$A:$F,4,FALSE)</f>
        <v>1010</v>
      </c>
      <c r="Q1906" s="35">
        <f t="shared" si="89"/>
        <v>0.54298642533936647</v>
      </c>
    </row>
    <row r="1907" spans="1:17">
      <c r="A1907" s="12" t="s">
        <v>2421</v>
      </c>
      <c r="B1907" s="13">
        <v>45420</v>
      </c>
      <c r="C1907" s="12" t="s">
        <v>563</v>
      </c>
      <c r="D1907" s="12" t="s">
        <v>355</v>
      </c>
      <c r="E1907" s="12" t="s">
        <v>290</v>
      </c>
      <c r="F1907" s="14">
        <v>4</v>
      </c>
      <c r="G1907" s="14">
        <v>2210</v>
      </c>
      <c r="H1907" s="14">
        <v>21.5</v>
      </c>
      <c r="I1907" s="14">
        <v>6939.4</v>
      </c>
      <c r="J1907" s="12" t="s">
        <v>110</v>
      </c>
      <c r="K1907" s="12" t="s">
        <v>116</v>
      </c>
      <c r="L1907" s="23" t="str">
        <f>VLOOKUP(D1907,Products!$A:$F,3,FALSE)</f>
        <v>Grocery</v>
      </c>
      <c r="M1907" s="23" t="str">
        <f>VLOOKUP(E1907,Sales_Reps!$A:$E,3,FALSE)</f>
        <v>South</v>
      </c>
      <c r="N1907" s="23" t="str">
        <f t="shared" si="87"/>
        <v>May-24</v>
      </c>
      <c r="O1907" s="23" t="str">
        <f t="shared" si="88"/>
        <v>Q2 2024</v>
      </c>
      <c r="P1907" s="23">
        <f>VLOOKUP(D1907,Products!$A:$F,4,FALSE)</f>
        <v>1010</v>
      </c>
      <c r="Q1907" s="35">
        <f t="shared" si="89"/>
        <v>0.54298642533936647</v>
      </c>
    </row>
    <row r="1908" spans="1:17">
      <c r="A1908" s="12" t="s">
        <v>2422</v>
      </c>
      <c r="B1908" s="13">
        <v>45400</v>
      </c>
      <c r="C1908" s="12" t="s">
        <v>101</v>
      </c>
      <c r="D1908" s="12" t="s">
        <v>519</v>
      </c>
      <c r="E1908" s="12" t="s">
        <v>269</v>
      </c>
      <c r="F1908" s="14">
        <v>6</v>
      </c>
      <c r="G1908" s="14">
        <v>1090</v>
      </c>
      <c r="H1908" s="14">
        <v>28.3</v>
      </c>
      <c r="I1908" s="14">
        <v>4689.18</v>
      </c>
      <c r="J1908" s="12" t="s">
        <v>104</v>
      </c>
      <c r="K1908" s="12" t="s">
        <v>105</v>
      </c>
      <c r="L1908" s="23" t="str">
        <f>VLOOKUP(D1908,Products!$A:$F,3,FALSE)</f>
        <v>Home</v>
      </c>
      <c r="M1908" s="23" t="str">
        <f>VLOOKUP(E1908,Sales_Reps!$A:$E,3,FALSE)</f>
        <v>South</v>
      </c>
      <c r="N1908" s="23" t="str">
        <f t="shared" si="87"/>
        <v>Apr-24</v>
      </c>
      <c r="O1908" s="23" t="str">
        <f t="shared" si="88"/>
        <v>Q2 2024</v>
      </c>
      <c r="P1908" s="23">
        <f>VLOOKUP(D1908,Products!$A:$F,4,FALSE)</f>
        <v>464</v>
      </c>
      <c r="Q1908" s="35">
        <f t="shared" si="89"/>
        <v>0.57431192660550456</v>
      </c>
    </row>
    <row r="1909" spans="1:17">
      <c r="A1909" s="12" t="s">
        <v>2423</v>
      </c>
      <c r="B1909" s="13">
        <v>45625</v>
      </c>
      <c r="C1909" s="12" t="s">
        <v>437</v>
      </c>
      <c r="D1909" s="12" t="s">
        <v>127</v>
      </c>
      <c r="E1909" s="12" t="s">
        <v>165</v>
      </c>
      <c r="F1909" s="14">
        <v>9</v>
      </c>
      <c r="G1909" s="14">
        <v>370</v>
      </c>
      <c r="H1909" s="14">
        <v>13.8</v>
      </c>
      <c r="I1909" s="14">
        <v>2870.46</v>
      </c>
      <c r="J1909" s="12" t="s">
        <v>104</v>
      </c>
      <c r="K1909" s="12" t="s">
        <v>116</v>
      </c>
      <c r="L1909" s="23" t="str">
        <f>VLOOKUP(D1909,Products!$A:$F,3,FALSE)</f>
        <v>Home</v>
      </c>
      <c r="M1909" s="23" t="str">
        <f>VLOOKUP(E1909,Sales_Reps!$A:$E,3,FALSE)</f>
        <v>North</v>
      </c>
      <c r="N1909" s="23" t="str">
        <f t="shared" si="87"/>
        <v>Nov-24</v>
      </c>
      <c r="O1909" s="23" t="str">
        <f t="shared" si="88"/>
        <v>Q4 2024</v>
      </c>
      <c r="P1909" s="23">
        <f>VLOOKUP(D1909,Products!$A:$F,4,FALSE)</f>
        <v>288</v>
      </c>
      <c r="Q1909" s="35">
        <f t="shared" si="89"/>
        <v>0.22162162162162163</v>
      </c>
    </row>
    <row r="1910" spans="1:17">
      <c r="A1910" s="12" t="s">
        <v>2424</v>
      </c>
      <c r="B1910" s="13">
        <v>45555</v>
      </c>
      <c r="C1910" s="12" t="s">
        <v>510</v>
      </c>
      <c r="D1910" s="12" t="s">
        <v>204</v>
      </c>
      <c r="E1910" s="12" t="s">
        <v>128</v>
      </c>
      <c r="F1910" s="14">
        <v>10</v>
      </c>
      <c r="G1910" s="14">
        <v>3570</v>
      </c>
      <c r="H1910" s="14">
        <v>3</v>
      </c>
      <c r="I1910" s="14">
        <v>34629</v>
      </c>
      <c r="J1910" s="12" t="s">
        <v>157</v>
      </c>
      <c r="K1910" s="12" t="s">
        <v>105</v>
      </c>
      <c r="L1910" s="23" t="str">
        <f>VLOOKUP(D1910,Products!$A:$F,3,FALSE)</f>
        <v>Electronics</v>
      </c>
      <c r="M1910" s="23" t="str">
        <f>VLOOKUP(E1910,Sales_Reps!$A:$E,3,FALSE)</f>
        <v>West</v>
      </c>
      <c r="N1910" s="23" t="str">
        <f t="shared" si="87"/>
        <v>Sep-24</v>
      </c>
      <c r="O1910" s="23" t="str">
        <f t="shared" si="88"/>
        <v>Q3 2024</v>
      </c>
      <c r="P1910" s="23">
        <f>VLOOKUP(D1910,Products!$A:$F,4,FALSE)</f>
        <v>1665</v>
      </c>
      <c r="Q1910" s="35">
        <f t="shared" si="89"/>
        <v>0.53361344537815125</v>
      </c>
    </row>
    <row r="1911" spans="1:17">
      <c r="A1911" s="12" t="s">
        <v>2425</v>
      </c>
      <c r="B1911" s="13">
        <v>45509</v>
      </c>
      <c r="C1911" s="12" t="s">
        <v>388</v>
      </c>
      <c r="D1911" s="12" t="s">
        <v>160</v>
      </c>
      <c r="E1911" s="12" t="s">
        <v>363</v>
      </c>
      <c r="F1911" s="14">
        <v>10</v>
      </c>
      <c r="G1911" s="14">
        <v>3250</v>
      </c>
      <c r="H1911" s="14">
        <v>20.3</v>
      </c>
      <c r="I1911" s="14">
        <v>25902.5</v>
      </c>
      <c r="J1911" s="12" t="s">
        <v>104</v>
      </c>
      <c r="K1911" s="12" t="s">
        <v>129</v>
      </c>
      <c r="L1911" s="23" t="str">
        <f>VLOOKUP(D1911,Products!$A:$F,3,FALSE)</f>
        <v>Home</v>
      </c>
      <c r="M1911" s="23" t="str">
        <f>VLOOKUP(E1911,Sales_Reps!$A:$E,3,FALSE)</f>
        <v>South</v>
      </c>
      <c r="N1911" s="23" t="str">
        <f t="shared" si="87"/>
        <v>Aug-24</v>
      </c>
      <c r="O1911" s="23" t="str">
        <f t="shared" si="88"/>
        <v>Q3 2024</v>
      </c>
      <c r="P1911" s="23">
        <f>VLOOKUP(D1911,Products!$A:$F,4,FALSE)</f>
        <v>1556</v>
      </c>
      <c r="Q1911" s="35">
        <f t="shared" si="89"/>
        <v>0.52123076923076928</v>
      </c>
    </row>
    <row r="1912" spans="1:17">
      <c r="A1912" s="12" t="s">
        <v>2426</v>
      </c>
      <c r="B1912" s="13">
        <v>45436</v>
      </c>
      <c r="C1912" s="12" t="s">
        <v>889</v>
      </c>
      <c r="D1912" s="12" t="s">
        <v>160</v>
      </c>
      <c r="E1912" s="12" t="s">
        <v>145</v>
      </c>
      <c r="F1912" s="14">
        <v>6</v>
      </c>
      <c r="G1912" s="14">
        <v>3250</v>
      </c>
      <c r="H1912" s="14">
        <v>25.8</v>
      </c>
      <c r="I1912" s="14">
        <v>14469</v>
      </c>
      <c r="J1912" s="12" t="s">
        <v>110</v>
      </c>
      <c r="K1912" s="12" t="s">
        <v>129</v>
      </c>
      <c r="L1912" s="23" t="str">
        <f>VLOOKUP(D1912,Products!$A:$F,3,FALSE)</f>
        <v>Home</v>
      </c>
      <c r="M1912" s="23" t="str">
        <f>VLOOKUP(E1912,Sales_Reps!$A:$E,3,FALSE)</f>
        <v>West</v>
      </c>
      <c r="N1912" s="23" t="str">
        <f t="shared" si="87"/>
        <v>May-24</v>
      </c>
      <c r="O1912" s="23" t="str">
        <f t="shared" si="88"/>
        <v>Q2 2024</v>
      </c>
      <c r="P1912" s="23">
        <f>VLOOKUP(D1912,Products!$A:$F,4,FALSE)</f>
        <v>1556</v>
      </c>
      <c r="Q1912" s="35">
        <f t="shared" si="89"/>
        <v>0.52123076923076928</v>
      </c>
    </row>
    <row r="1913" spans="1:17">
      <c r="A1913" s="12" t="s">
        <v>2427</v>
      </c>
      <c r="B1913" s="13">
        <v>45610</v>
      </c>
      <c r="C1913" s="12" t="s">
        <v>353</v>
      </c>
      <c r="D1913" s="12" t="s">
        <v>132</v>
      </c>
      <c r="E1913" s="12" t="s">
        <v>133</v>
      </c>
      <c r="F1913" s="14">
        <v>9</v>
      </c>
      <c r="G1913" s="14">
        <v>960</v>
      </c>
      <c r="H1913" s="14">
        <v>29</v>
      </c>
      <c r="I1913" s="14">
        <v>6134.4</v>
      </c>
      <c r="J1913" s="12" t="s">
        <v>104</v>
      </c>
      <c r="K1913" s="12" t="s">
        <v>129</v>
      </c>
      <c r="L1913" s="23" t="str">
        <f>VLOOKUP(D1913,Products!$A:$F,3,FALSE)</f>
        <v>Sports</v>
      </c>
      <c r="M1913" s="23" t="str">
        <f>VLOOKUP(E1913,Sales_Reps!$A:$E,3,FALSE)</f>
        <v>West</v>
      </c>
      <c r="N1913" s="23" t="str">
        <f t="shared" si="87"/>
        <v>Nov-24</v>
      </c>
      <c r="O1913" s="23" t="str">
        <f t="shared" si="88"/>
        <v>Q4 2024</v>
      </c>
      <c r="P1913" s="23">
        <f>VLOOKUP(D1913,Products!$A:$F,4,FALSE)</f>
        <v>705</v>
      </c>
      <c r="Q1913" s="35">
        <f t="shared" si="89"/>
        <v>0.265625</v>
      </c>
    </row>
    <row r="1914" spans="1:17">
      <c r="A1914" s="12" t="s">
        <v>2428</v>
      </c>
      <c r="B1914" s="13">
        <v>45535</v>
      </c>
      <c r="C1914" s="12" t="s">
        <v>374</v>
      </c>
      <c r="D1914" s="12" t="s">
        <v>258</v>
      </c>
      <c r="E1914" s="12" t="s">
        <v>205</v>
      </c>
      <c r="F1914" s="14">
        <v>9</v>
      </c>
      <c r="G1914" s="14">
        <v>6080</v>
      </c>
      <c r="H1914" s="14">
        <v>21</v>
      </c>
      <c r="I1914" s="14">
        <v>43228.800000000003</v>
      </c>
      <c r="J1914" s="12" t="s">
        <v>104</v>
      </c>
      <c r="K1914" s="12" t="s">
        <v>116</v>
      </c>
      <c r="L1914" s="23" t="str">
        <f>VLOOKUP(D1914,Products!$A:$F,3,FALSE)</f>
        <v>Beauty</v>
      </c>
      <c r="M1914" s="23" t="str">
        <f>VLOOKUP(E1914,Sales_Reps!$A:$E,3,FALSE)</f>
        <v>South</v>
      </c>
      <c r="N1914" s="23" t="str">
        <f t="shared" si="87"/>
        <v>Aug-24</v>
      </c>
      <c r="O1914" s="23" t="str">
        <f t="shared" si="88"/>
        <v>Q3 2024</v>
      </c>
      <c r="P1914" s="23">
        <f>VLOOKUP(D1914,Products!$A:$F,4,FALSE)</f>
        <v>2617</v>
      </c>
      <c r="Q1914" s="35">
        <f t="shared" si="89"/>
        <v>0.56957236842105263</v>
      </c>
    </row>
    <row r="1915" spans="1:17">
      <c r="A1915" s="12" t="s">
        <v>2429</v>
      </c>
      <c r="B1915" s="13">
        <v>45366</v>
      </c>
      <c r="C1915" s="12" t="s">
        <v>186</v>
      </c>
      <c r="D1915" s="12" t="s">
        <v>287</v>
      </c>
      <c r="E1915" s="12" t="s">
        <v>209</v>
      </c>
      <c r="F1915" s="14">
        <v>6</v>
      </c>
      <c r="G1915" s="14">
        <v>4610</v>
      </c>
      <c r="H1915" s="14">
        <v>13.5</v>
      </c>
      <c r="I1915" s="14">
        <v>23925.9</v>
      </c>
      <c r="J1915" s="12" t="s">
        <v>104</v>
      </c>
      <c r="K1915" s="12" t="s">
        <v>129</v>
      </c>
      <c r="L1915" s="23" t="str">
        <f>VLOOKUP(D1915,Products!$A:$F,3,FALSE)</f>
        <v>Home</v>
      </c>
      <c r="M1915" s="23" t="str">
        <f>VLOOKUP(E1915,Sales_Reps!$A:$E,3,FALSE)</f>
        <v>East</v>
      </c>
      <c r="N1915" s="23" t="str">
        <f t="shared" si="87"/>
        <v>Mar-24</v>
      </c>
      <c r="O1915" s="23" t="str">
        <f t="shared" si="88"/>
        <v>Q1 2024</v>
      </c>
      <c r="P1915" s="23">
        <f>VLOOKUP(D1915,Products!$A:$F,4,FALSE)</f>
        <v>1850</v>
      </c>
      <c r="Q1915" s="35">
        <f t="shared" si="89"/>
        <v>0.59869848156182215</v>
      </c>
    </row>
    <row r="1916" spans="1:17">
      <c r="A1916" s="12" t="s">
        <v>2430</v>
      </c>
      <c r="B1916" s="13">
        <v>45446</v>
      </c>
      <c r="C1916" s="12" t="s">
        <v>558</v>
      </c>
      <c r="D1916" s="12" t="s">
        <v>460</v>
      </c>
      <c r="E1916" s="12" t="s">
        <v>175</v>
      </c>
      <c r="F1916" s="14">
        <v>7</v>
      </c>
      <c r="G1916" s="14">
        <v>5080</v>
      </c>
      <c r="H1916" s="14">
        <v>25.4</v>
      </c>
      <c r="I1916" s="14">
        <v>26527.759999999998</v>
      </c>
      <c r="J1916" s="12" t="s">
        <v>104</v>
      </c>
      <c r="K1916" s="12" t="s">
        <v>111</v>
      </c>
      <c r="L1916" s="23" t="str">
        <f>VLOOKUP(D1916,Products!$A:$F,3,FALSE)</f>
        <v>Home</v>
      </c>
      <c r="M1916" s="23" t="str">
        <f>VLOOKUP(E1916,Sales_Reps!$A:$E,3,FALSE)</f>
        <v>East</v>
      </c>
      <c r="N1916" s="23" t="str">
        <f t="shared" si="87"/>
        <v>Jun-24</v>
      </c>
      <c r="O1916" s="23" t="str">
        <f t="shared" si="88"/>
        <v>Q2 2024</v>
      </c>
      <c r="P1916" s="23">
        <f>VLOOKUP(D1916,Products!$A:$F,4,FALSE)</f>
        <v>2459</v>
      </c>
      <c r="Q1916" s="35">
        <f t="shared" si="89"/>
        <v>0.51594488188976373</v>
      </c>
    </row>
    <row r="1917" spans="1:17">
      <c r="A1917" s="12" t="s">
        <v>2431</v>
      </c>
      <c r="B1917" s="13">
        <v>45550</v>
      </c>
      <c r="C1917" s="12" t="s">
        <v>570</v>
      </c>
      <c r="D1917" s="12" t="s">
        <v>196</v>
      </c>
      <c r="E1917" s="12" t="s">
        <v>255</v>
      </c>
      <c r="F1917" s="14">
        <v>5</v>
      </c>
      <c r="G1917" s="14">
        <v>3350</v>
      </c>
      <c r="H1917" s="14">
        <v>2.2000000000000002</v>
      </c>
      <c r="I1917" s="14">
        <v>16381.5</v>
      </c>
      <c r="J1917" s="12" t="s">
        <v>104</v>
      </c>
      <c r="K1917" s="12" t="s">
        <v>129</v>
      </c>
      <c r="L1917" s="23" t="str">
        <f>VLOOKUP(D1917,Products!$A:$F,3,FALSE)</f>
        <v>Beauty</v>
      </c>
      <c r="M1917" s="23" t="str">
        <f>VLOOKUP(E1917,Sales_Reps!$A:$E,3,FALSE)</f>
        <v>East</v>
      </c>
      <c r="N1917" s="23" t="str">
        <f t="shared" si="87"/>
        <v>Sep-24</v>
      </c>
      <c r="O1917" s="23" t="str">
        <f t="shared" si="88"/>
        <v>Q3 2024</v>
      </c>
      <c r="P1917" s="23">
        <f>VLOOKUP(D1917,Products!$A:$F,4,FALSE)</f>
        <v>1728</v>
      </c>
      <c r="Q1917" s="35">
        <f t="shared" si="89"/>
        <v>0.48417910447761192</v>
      </c>
    </row>
    <row r="1918" spans="1:17">
      <c r="A1918" s="12" t="s">
        <v>2432</v>
      </c>
      <c r="B1918" s="13">
        <v>45600</v>
      </c>
      <c r="C1918" s="12" t="s">
        <v>927</v>
      </c>
      <c r="D1918" s="12" t="s">
        <v>251</v>
      </c>
      <c r="E1918" s="12" t="s">
        <v>115</v>
      </c>
      <c r="F1918" s="14">
        <v>1</v>
      </c>
      <c r="G1918" s="14">
        <v>3780</v>
      </c>
      <c r="H1918" s="14">
        <v>13.7</v>
      </c>
      <c r="I1918" s="14">
        <v>3262.14</v>
      </c>
      <c r="J1918" s="12" t="s">
        <v>104</v>
      </c>
      <c r="K1918" s="12" t="s">
        <v>116</v>
      </c>
      <c r="L1918" s="23" t="str">
        <f>VLOOKUP(D1918,Products!$A:$F,3,FALSE)</f>
        <v>Grocery</v>
      </c>
      <c r="M1918" s="23" t="str">
        <f>VLOOKUP(E1918,Sales_Reps!$A:$E,3,FALSE)</f>
        <v>South</v>
      </c>
      <c r="N1918" s="23" t="str">
        <f t="shared" si="87"/>
        <v>Nov-24</v>
      </c>
      <c r="O1918" s="23" t="str">
        <f t="shared" si="88"/>
        <v>Q4 2024</v>
      </c>
      <c r="P1918" s="23">
        <f>VLOOKUP(D1918,Products!$A:$F,4,FALSE)</f>
        <v>2436</v>
      </c>
      <c r="Q1918" s="35">
        <f t="shared" si="89"/>
        <v>0.35555555555555557</v>
      </c>
    </row>
    <row r="1919" spans="1:17">
      <c r="A1919" s="12" t="s">
        <v>2433</v>
      </c>
      <c r="B1919" s="13">
        <v>45352</v>
      </c>
      <c r="C1919" s="12" t="s">
        <v>195</v>
      </c>
      <c r="D1919" s="12" t="s">
        <v>201</v>
      </c>
      <c r="E1919" s="12" t="s">
        <v>209</v>
      </c>
      <c r="F1919" s="14">
        <v>4</v>
      </c>
      <c r="G1919" s="14">
        <v>4880</v>
      </c>
      <c r="H1919" s="14">
        <v>11.6</v>
      </c>
      <c r="I1919" s="14">
        <v>17255.68</v>
      </c>
      <c r="J1919" s="12" t="s">
        <v>104</v>
      </c>
      <c r="K1919" s="12" t="s">
        <v>111</v>
      </c>
      <c r="L1919" s="23" t="str">
        <f>VLOOKUP(D1919,Products!$A:$F,3,FALSE)</f>
        <v>Beauty</v>
      </c>
      <c r="M1919" s="23" t="str">
        <f>VLOOKUP(E1919,Sales_Reps!$A:$E,3,FALSE)</f>
        <v>East</v>
      </c>
      <c r="N1919" s="23" t="str">
        <f t="shared" si="87"/>
        <v>Mar-24</v>
      </c>
      <c r="O1919" s="23" t="str">
        <f t="shared" si="88"/>
        <v>Q1 2024</v>
      </c>
      <c r="P1919" s="23">
        <f>VLOOKUP(D1919,Products!$A:$F,4,FALSE)</f>
        <v>2768</v>
      </c>
      <c r="Q1919" s="35">
        <f t="shared" si="89"/>
        <v>0.43278688524590164</v>
      </c>
    </row>
    <row r="1920" spans="1:17">
      <c r="A1920" s="12" t="s">
        <v>2434</v>
      </c>
      <c r="B1920" s="13">
        <v>45385</v>
      </c>
      <c r="C1920" s="12" t="s">
        <v>679</v>
      </c>
      <c r="D1920" s="12" t="s">
        <v>208</v>
      </c>
      <c r="E1920" s="12" t="s">
        <v>246</v>
      </c>
      <c r="F1920" s="14">
        <v>3</v>
      </c>
      <c r="G1920" s="14">
        <v>5100</v>
      </c>
      <c r="H1920" s="14">
        <v>24.2</v>
      </c>
      <c r="I1920" s="14">
        <v>11597.4</v>
      </c>
      <c r="J1920" s="12" t="s">
        <v>104</v>
      </c>
      <c r="K1920" s="12" t="s">
        <v>2435</v>
      </c>
      <c r="L1920" s="23" t="str">
        <f>VLOOKUP(D1920,Products!$A:$F,3,FALSE)</f>
        <v>Beauty</v>
      </c>
      <c r="M1920" s="23" t="str">
        <f>VLOOKUP(E1920,Sales_Reps!$A:$E,3,FALSE)</f>
        <v>West</v>
      </c>
      <c r="N1920" s="23" t="str">
        <f t="shared" si="87"/>
        <v>Apr-24</v>
      </c>
      <c r="O1920" s="23" t="str">
        <f t="shared" si="88"/>
        <v>Q2 2024</v>
      </c>
      <c r="P1920" s="23">
        <f>VLOOKUP(D1920,Products!$A:$F,4,FALSE)</f>
        <v>2237</v>
      </c>
      <c r="Q1920" s="35">
        <f t="shared" si="89"/>
        <v>0.56137254901960787</v>
      </c>
    </row>
    <row r="1921" spans="1:17">
      <c r="A1921" s="12" t="s">
        <v>2436</v>
      </c>
      <c r="B1921" s="13">
        <v>45634</v>
      </c>
      <c r="C1921" s="12" t="s">
        <v>796</v>
      </c>
      <c r="D1921" s="12" t="s">
        <v>296</v>
      </c>
      <c r="E1921" s="12" t="s">
        <v>171</v>
      </c>
      <c r="F1921" s="14">
        <v>5</v>
      </c>
      <c r="G1921" s="14">
        <v>2660</v>
      </c>
      <c r="H1921" s="14">
        <v>4.7</v>
      </c>
      <c r="I1921" s="14">
        <v>12674.9</v>
      </c>
      <c r="J1921" s="12" t="s">
        <v>104</v>
      </c>
      <c r="K1921" s="12" t="s">
        <v>134</v>
      </c>
      <c r="L1921" s="23" t="str">
        <f>VLOOKUP(D1921,Products!$A:$F,3,FALSE)</f>
        <v>Electronics</v>
      </c>
      <c r="M1921" s="23" t="str">
        <f>VLOOKUP(E1921,Sales_Reps!$A:$E,3,FALSE)</f>
        <v>East</v>
      </c>
      <c r="N1921" s="23" t="str">
        <f t="shared" si="87"/>
        <v>Dec-24</v>
      </c>
      <c r="O1921" s="23" t="str">
        <f t="shared" si="88"/>
        <v>Q4 2024</v>
      </c>
      <c r="P1921" s="23">
        <f>VLOOKUP(D1921,Products!$A:$F,4,FALSE)</f>
        <v>1259</v>
      </c>
      <c r="Q1921" s="35">
        <f t="shared" si="89"/>
        <v>0.52669172932330832</v>
      </c>
    </row>
    <row r="1922" spans="1:17">
      <c r="A1922" s="12" t="s">
        <v>2437</v>
      </c>
      <c r="B1922" s="13">
        <v>45444</v>
      </c>
      <c r="C1922" s="12" t="s">
        <v>376</v>
      </c>
      <c r="D1922" s="12" t="s">
        <v>384</v>
      </c>
      <c r="E1922" s="12" t="s">
        <v>255</v>
      </c>
      <c r="F1922" s="14">
        <v>10</v>
      </c>
      <c r="G1922" s="14">
        <v>2380</v>
      </c>
      <c r="H1922" s="14">
        <v>1</v>
      </c>
      <c r="I1922" s="14">
        <v>23562</v>
      </c>
      <c r="J1922" s="12" t="s">
        <v>104</v>
      </c>
      <c r="K1922" s="12" t="s">
        <v>116</v>
      </c>
      <c r="L1922" s="23" t="str">
        <f>VLOOKUP(D1922,Products!$A:$F,3,FALSE)</f>
        <v>Grocery</v>
      </c>
      <c r="M1922" s="23" t="str">
        <f>VLOOKUP(E1922,Sales_Reps!$A:$E,3,FALSE)</f>
        <v>East</v>
      </c>
      <c r="N1922" s="23" t="str">
        <f t="shared" si="87"/>
        <v>Jun-24</v>
      </c>
      <c r="O1922" s="23" t="str">
        <f t="shared" si="88"/>
        <v>Q2 2024</v>
      </c>
      <c r="P1922" s="23">
        <f>VLOOKUP(D1922,Products!$A:$F,4,FALSE)</f>
        <v>1182</v>
      </c>
      <c r="Q1922" s="35">
        <f t="shared" si="89"/>
        <v>0.50336134453781511</v>
      </c>
    </row>
    <row r="1923" spans="1:17">
      <c r="A1923" s="12" t="s">
        <v>2438</v>
      </c>
      <c r="B1923" s="13">
        <v>45553</v>
      </c>
      <c r="C1923" s="12" t="s">
        <v>833</v>
      </c>
      <c r="D1923" s="12" t="s">
        <v>201</v>
      </c>
      <c r="E1923" s="12" t="s">
        <v>314</v>
      </c>
      <c r="F1923" s="14">
        <v>9</v>
      </c>
      <c r="G1923" s="14">
        <v>4880</v>
      </c>
      <c r="H1923" s="14">
        <v>7.2</v>
      </c>
      <c r="I1923" s="14">
        <v>40757.760000000002</v>
      </c>
      <c r="J1923" s="12" t="s">
        <v>104</v>
      </c>
      <c r="K1923" s="12" t="s">
        <v>105</v>
      </c>
      <c r="L1923" s="23" t="str">
        <f>VLOOKUP(D1923,Products!$A:$F,3,FALSE)</f>
        <v>Beauty</v>
      </c>
      <c r="M1923" s="23" t="str">
        <f>VLOOKUP(E1923,Sales_Reps!$A:$E,3,FALSE)</f>
        <v>North</v>
      </c>
      <c r="N1923" s="23" t="str">
        <f t="shared" ref="N1923:N1986" si="90">TEXT(B1923, "mmm-yy")</f>
        <v>Sep-24</v>
      </c>
      <c r="O1923" s="23" t="str">
        <f t="shared" ref="O1923:O1986" si="91">"Q" &amp; INT((MONTH(B1923)-1)/3)+1 &amp; " " &amp; YEAR(B1923)</f>
        <v>Q3 2024</v>
      </c>
      <c r="P1923" s="23">
        <f>VLOOKUP(D1923,Products!$A:$F,4,FALSE)</f>
        <v>2768</v>
      </c>
      <c r="Q1923" s="35">
        <f t="shared" ref="Q1923:Q1986" si="92">(G1923 - P1923) / G1923</f>
        <v>0.43278688524590164</v>
      </c>
    </row>
    <row r="1924" spans="1:17">
      <c r="A1924" s="12" t="s">
        <v>2439</v>
      </c>
      <c r="B1924" s="13">
        <v>45411</v>
      </c>
      <c r="C1924" s="12" t="s">
        <v>1210</v>
      </c>
      <c r="D1924" s="12" t="s">
        <v>243</v>
      </c>
      <c r="E1924" s="12" t="s">
        <v>115</v>
      </c>
      <c r="F1924" s="14">
        <v>1</v>
      </c>
      <c r="G1924" s="14">
        <v>3730</v>
      </c>
      <c r="H1924" s="14">
        <v>15.3</v>
      </c>
      <c r="I1924" s="14">
        <v>3159.31</v>
      </c>
      <c r="J1924" s="12" t="s">
        <v>104</v>
      </c>
      <c r="K1924" s="12" t="s">
        <v>150</v>
      </c>
      <c r="L1924" s="23" t="str">
        <f>VLOOKUP(D1924,Products!$A:$F,3,FALSE)</f>
        <v>Home</v>
      </c>
      <c r="M1924" s="23" t="str">
        <f>VLOOKUP(E1924,Sales_Reps!$A:$E,3,FALSE)</f>
        <v>South</v>
      </c>
      <c r="N1924" s="23" t="str">
        <f t="shared" si="90"/>
        <v>Apr-24</v>
      </c>
      <c r="O1924" s="23" t="str">
        <f t="shared" si="91"/>
        <v>Q2 2024</v>
      </c>
      <c r="P1924" s="23">
        <f>VLOOKUP(D1924,Products!$A:$F,4,FALSE)</f>
        <v>2135</v>
      </c>
      <c r="Q1924" s="35">
        <f t="shared" si="92"/>
        <v>0.42761394101876676</v>
      </c>
    </row>
    <row r="1925" spans="1:17">
      <c r="A1925" s="12" t="s">
        <v>2440</v>
      </c>
      <c r="B1925" s="13">
        <v>45442</v>
      </c>
      <c r="C1925" s="12" t="s">
        <v>131</v>
      </c>
      <c r="D1925" s="12" t="s">
        <v>478</v>
      </c>
      <c r="E1925" s="12" t="s">
        <v>165</v>
      </c>
      <c r="F1925" s="14">
        <v>10</v>
      </c>
      <c r="G1925" s="14">
        <v>3780</v>
      </c>
      <c r="H1925" s="14">
        <v>2.7</v>
      </c>
      <c r="I1925" s="14">
        <v>36779.4</v>
      </c>
      <c r="J1925" s="12" t="s">
        <v>104</v>
      </c>
      <c r="K1925" s="12" t="s">
        <v>134</v>
      </c>
      <c r="L1925" s="23" t="str">
        <f>VLOOKUP(D1925,Products!$A:$F,3,FALSE)</f>
        <v>Sports</v>
      </c>
      <c r="M1925" s="23" t="str">
        <f>VLOOKUP(E1925,Sales_Reps!$A:$E,3,FALSE)</f>
        <v>North</v>
      </c>
      <c r="N1925" s="23" t="str">
        <f t="shared" si="90"/>
        <v>May-24</v>
      </c>
      <c r="O1925" s="23" t="str">
        <f t="shared" si="91"/>
        <v>Q2 2024</v>
      </c>
      <c r="P1925" s="23">
        <f>VLOOKUP(D1925,Products!$A:$F,4,FALSE)</f>
        <v>1860</v>
      </c>
      <c r="Q1925" s="35">
        <f t="shared" si="92"/>
        <v>0.50793650793650791</v>
      </c>
    </row>
    <row r="1926" spans="1:17">
      <c r="A1926" s="12" t="s">
        <v>2441</v>
      </c>
      <c r="B1926" s="13">
        <v>45381</v>
      </c>
      <c r="C1926" s="12" t="s">
        <v>1325</v>
      </c>
      <c r="D1926" s="12" t="s">
        <v>102</v>
      </c>
      <c r="E1926" s="12" t="s">
        <v>171</v>
      </c>
      <c r="F1926" s="14">
        <v>2</v>
      </c>
      <c r="G1926" s="14">
        <v>3620</v>
      </c>
      <c r="H1926" s="14">
        <v>23</v>
      </c>
      <c r="I1926" s="14">
        <v>5574.8</v>
      </c>
      <c r="J1926" s="12" t="s">
        <v>104</v>
      </c>
      <c r="K1926" s="12" t="s">
        <v>111</v>
      </c>
      <c r="L1926" s="23" t="str">
        <f>VLOOKUP(D1926,Products!$A:$F,3,FALSE)</f>
        <v>Apparel</v>
      </c>
      <c r="M1926" s="23" t="str">
        <f>VLOOKUP(E1926,Sales_Reps!$A:$E,3,FALSE)</f>
        <v>East</v>
      </c>
      <c r="N1926" s="23" t="str">
        <f t="shared" si="90"/>
        <v>Mar-24</v>
      </c>
      <c r="O1926" s="23" t="str">
        <f t="shared" si="91"/>
        <v>Q1 2024</v>
      </c>
      <c r="P1926" s="23">
        <f>VLOOKUP(D1926,Products!$A:$F,4,FALSE)</f>
        <v>2509</v>
      </c>
      <c r="Q1926" s="35">
        <f t="shared" si="92"/>
        <v>0.3069060773480663</v>
      </c>
    </row>
    <row r="1927" spans="1:17">
      <c r="A1927" s="12" t="s">
        <v>2442</v>
      </c>
      <c r="B1927" s="13">
        <v>45536</v>
      </c>
      <c r="C1927" s="12" t="s">
        <v>724</v>
      </c>
      <c r="D1927" s="12" t="s">
        <v>460</v>
      </c>
      <c r="E1927" s="12" t="s">
        <v>175</v>
      </c>
      <c r="F1927" s="14">
        <v>9</v>
      </c>
      <c r="G1927" s="14">
        <v>5080</v>
      </c>
      <c r="H1927" s="14">
        <v>19.899999999999999</v>
      </c>
      <c r="I1927" s="14">
        <v>36621.72</v>
      </c>
      <c r="J1927" s="12" t="s">
        <v>104</v>
      </c>
      <c r="K1927" s="12" t="s">
        <v>129</v>
      </c>
      <c r="L1927" s="23" t="str">
        <f>VLOOKUP(D1927,Products!$A:$F,3,FALSE)</f>
        <v>Home</v>
      </c>
      <c r="M1927" s="23" t="str">
        <f>VLOOKUP(E1927,Sales_Reps!$A:$E,3,FALSE)</f>
        <v>East</v>
      </c>
      <c r="N1927" s="23" t="str">
        <f t="shared" si="90"/>
        <v>Sep-24</v>
      </c>
      <c r="O1927" s="23" t="str">
        <f t="shared" si="91"/>
        <v>Q3 2024</v>
      </c>
      <c r="P1927" s="23">
        <f>VLOOKUP(D1927,Products!$A:$F,4,FALSE)</f>
        <v>2459</v>
      </c>
      <c r="Q1927" s="35">
        <f t="shared" si="92"/>
        <v>0.51594488188976373</v>
      </c>
    </row>
    <row r="1928" spans="1:17">
      <c r="A1928" s="12" t="s">
        <v>2443</v>
      </c>
      <c r="B1928" s="13">
        <v>45561</v>
      </c>
      <c r="C1928" s="12" t="s">
        <v>411</v>
      </c>
      <c r="D1928" s="12" t="s">
        <v>676</v>
      </c>
      <c r="E1928" s="12" t="s">
        <v>133</v>
      </c>
      <c r="F1928" s="14">
        <v>2</v>
      </c>
      <c r="G1928" s="14">
        <v>3560</v>
      </c>
      <c r="H1928" s="14">
        <v>5.5</v>
      </c>
      <c r="I1928" s="14">
        <v>6728.4</v>
      </c>
      <c r="J1928" s="12" t="s">
        <v>104</v>
      </c>
      <c r="K1928" s="12" t="s">
        <v>134</v>
      </c>
      <c r="L1928" s="23" t="str">
        <f>VLOOKUP(D1928,Products!$A:$F,3,FALSE)</f>
        <v>Apparel</v>
      </c>
      <c r="M1928" s="23" t="str">
        <f>VLOOKUP(E1928,Sales_Reps!$A:$E,3,FALSE)</f>
        <v>West</v>
      </c>
      <c r="N1928" s="23" t="str">
        <f t="shared" si="90"/>
        <v>Sep-24</v>
      </c>
      <c r="O1928" s="23" t="str">
        <f t="shared" si="91"/>
        <v>Q3 2024</v>
      </c>
      <c r="P1928" s="23">
        <f>VLOOKUP(D1928,Products!$A:$F,4,FALSE)</f>
        <v>2629</v>
      </c>
      <c r="Q1928" s="35">
        <f t="shared" si="92"/>
        <v>0.26151685393258428</v>
      </c>
    </row>
    <row r="1929" spans="1:17">
      <c r="A1929" s="12" t="s">
        <v>2444</v>
      </c>
      <c r="B1929" s="13">
        <v>45349</v>
      </c>
      <c r="C1929" s="12" t="s">
        <v>572</v>
      </c>
      <c r="D1929" s="12" t="s">
        <v>144</v>
      </c>
      <c r="E1929" s="12" t="s">
        <v>232</v>
      </c>
      <c r="F1929" s="14">
        <v>6</v>
      </c>
      <c r="G1929" s="14">
        <v>970</v>
      </c>
      <c r="H1929" s="14">
        <v>22.5</v>
      </c>
      <c r="I1929" s="14">
        <v>4510.5</v>
      </c>
      <c r="J1929" s="12" t="s">
        <v>161</v>
      </c>
      <c r="K1929" s="12" t="s">
        <v>129</v>
      </c>
      <c r="L1929" s="23" t="str">
        <f>VLOOKUP(D1929,Products!$A:$F,3,FALSE)</f>
        <v>Grocery</v>
      </c>
      <c r="M1929" s="23" t="str">
        <f>VLOOKUP(E1929,Sales_Reps!$A:$E,3,FALSE)</f>
        <v>North</v>
      </c>
      <c r="N1929" s="23" t="str">
        <f t="shared" si="90"/>
        <v>Feb-24</v>
      </c>
      <c r="O1929" s="23" t="str">
        <f t="shared" si="91"/>
        <v>Q1 2024</v>
      </c>
      <c r="P1929" s="23">
        <f>VLOOKUP(D1929,Products!$A:$F,4,FALSE)</f>
        <v>434</v>
      </c>
      <c r="Q1929" s="35">
        <f t="shared" si="92"/>
        <v>0.5525773195876289</v>
      </c>
    </row>
    <row r="1930" spans="1:17">
      <c r="A1930" s="12" t="s">
        <v>2445</v>
      </c>
      <c r="B1930" s="13">
        <v>45650</v>
      </c>
      <c r="C1930" s="12" t="s">
        <v>973</v>
      </c>
      <c r="D1930" s="12" t="s">
        <v>196</v>
      </c>
      <c r="E1930" s="12" t="s">
        <v>115</v>
      </c>
      <c r="F1930" s="14">
        <v>9</v>
      </c>
      <c r="G1930" s="14">
        <v>3350</v>
      </c>
      <c r="H1930" s="14">
        <v>5.0999999999999996</v>
      </c>
      <c r="I1930" s="14">
        <v>28612.35</v>
      </c>
      <c r="J1930" s="12" t="s">
        <v>104</v>
      </c>
      <c r="K1930" s="12" t="s">
        <v>129</v>
      </c>
      <c r="L1930" s="23" t="str">
        <f>VLOOKUP(D1930,Products!$A:$F,3,FALSE)</f>
        <v>Beauty</v>
      </c>
      <c r="M1930" s="23" t="str">
        <f>VLOOKUP(E1930,Sales_Reps!$A:$E,3,FALSE)</f>
        <v>South</v>
      </c>
      <c r="N1930" s="23" t="str">
        <f t="shared" si="90"/>
        <v>Dec-24</v>
      </c>
      <c r="O1930" s="23" t="str">
        <f t="shared" si="91"/>
        <v>Q4 2024</v>
      </c>
      <c r="P1930" s="23">
        <f>VLOOKUP(D1930,Products!$A:$F,4,FALSE)</f>
        <v>1728</v>
      </c>
      <c r="Q1930" s="35">
        <f t="shared" si="92"/>
        <v>0.48417910447761192</v>
      </c>
    </row>
    <row r="1931" spans="1:17">
      <c r="A1931" s="12" t="s">
        <v>2446</v>
      </c>
      <c r="B1931" s="13">
        <v>45525</v>
      </c>
      <c r="C1931" s="12" t="s">
        <v>2447</v>
      </c>
      <c r="D1931" s="12" t="s">
        <v>127</v>
      </c>
      <c r="E1931" s="12" t="s">
        <v>290</v>
      </c>
      <c r="F1931" s="14">
        <v>6</v>
      </c>
      <c r="G1931" s="14">
        <v>370</v>
      </c>
      <c r="H1931" s="14">
        <v>17.8</v>
      </c>
      <c r="I1931" s="14">
        <v>1824.84</v>
      </c>
      <c r="J1931" s="12" t="s">
        <v>104</v>
      </c>
      <c r="K1931" s="12" t="s">
        <v>129</v>
      </c>
      <c r="L1931" s="23" t="str">
        <f>VLOOKUP(D1931,Products!$A:$F,3,FALSE)</f>
        <v>Home</v>
      </c>
      <c r="M1931" s="23" t="str">
        <f>VLOOKUP(E1931,Sales_Reps!$A:$E,3,FALSE)</f>
        <v>South</v>
      </c>
      <c r="N1931" s="23" t="str">
        <f t="shared" si="90"/>
        <v>Aug-24</v>
      </c>
      <c r="O1931" s="23" t="str">
        <f t="shared" si="91"/>
        <v>Q3 2024</v>
      </c>
      <c r="P1931" s="23">
        <f>VLOOKUP(D1931,Products!$A:$F,4,FALSE)</f>
        <v>288</v>
      </c>
      <c r="Q1931" s="35">
        <f t="shared" si="92"/>
        <v>0.22162162162162163</v>
      </c>
    </row>
    <row r="1932" spans="1:17">
      <c r="A1932" s="12" t="s">
        <v>2448</v>
      </c>
      <c r="B1932" s="13">
        <v>45365</v>
      </c>
      <c r="C1932" s="12" t="s">
        <v>283</v>
      </c>
      <c r="D1932" s="12" t="s">
        <v>148</v>
      </c>
      <c r="E1932" s="12" t="s">
        <v>290</v>
      </c>
      <c r="F1932" s="14">
        <v>3</v>
      </c>
      <c r="G1932" s="14">
        <v>2270</v>
      </c>
      <c r="H1932" s="14">
        <v>8.4</v>
      </c>
      <c r="I1932" s="14">
        <v>6237.96</v>
      </c>
      <c r="J1932" s="12" t="s">
        <v>110</v>
      </c>
      <c r="K1932" s="12" t="s">
        <v>116</v>
      </c>
      <c r="L1932" s="23" t="str">
        <f>VLOOKUP(D1932,Products!$A:$F,3,FALSE)</f>
        <v>Grocery</v>
      </c>
      <c r="M1932" s="23" t="str">
        <f>VLOOKUP(E1932,Sales_Reps!$A:$E,3,FALSE)</f>
        <v>South</v>
      </c>
      <c r="N1932" s="23" t="str">
        <f t="shared" si="90"/>
        <v>Mar-24</v>
      </c>
      <c r="O1932" s="23" t="str">
        <f t="shared" si="91"/>
        <v>Q1 2024</v>
      </c>
      <c r="P1932" s="23">
        <f>VLOOKUP(D1932,Products!$A:$F,4,FALSE)</f>
        <v>1203</v>
      </c>
      <c r="Q1932" s="35">
        <f t="shared" si="92"/>
        <v>0.47004405286343615</v>
      </c>
    </row>
    <row r="1933" spans="1:17">
      <c r="A1933" s="12" t="s">
        <v>2449</v>
      </c>
      <c r="B1933" s="13">
        <v>45464</v>
      </c>
      <c r="C1933" s="12" t="s">
        <v>584</v>
      </c>
      <c r="D1933" s="12" t="s">
        <v>178</v>
      </c>
      <c r="E1933" s="12" t="s">
        <v>175</v>
      </c>
      <c r="F1933" s="14">
        <v>3</v>
      </c>
      <c r="G1933" s="14">
        <v>3450</v>
      </c>
      <c r="H1933" s="14">
        <v>7.2</v>
      </c>
      <c r="I1933" s="14">
        <v>9604.7999999999993</v>
      </c>
      <c r="J1933" s="12" t="s">
        <v>104</v>
      </c>
      <c r="K1933" s="12" t="s">
        <v>134</v>
      </c>
      <c r="L1933" s="23" t="str">
        <f>VLOOKUP(D1933,Products!$A:$F,3,FALSE)</f>
        <v>Sports</v>
      </c>
      <c r="M1933" s="23" t="str">
        <f>VLOOKUP(E1933,Sales_Reps!$A:$E,3,FALSE)</f>
        <v>East</v>
      </c>
      <c r="N1933" s="23" t="str">
        <f t="shared" si="90"/>
        <v>Jun-24</v>
      </c>
      <c r="O1933" s="23" t="str">
        <f t="shared" si="91"/>
        <v>Q2 2024</v>
      </c>
      <c r="P1933" s="23">
        <f>VLOOKUP(D1933,Products!$A:$F,4,FALSE)</f>
        <v>2467</v>
      </c>
      <c r="Q1933" s="35">
        <f t="shared" si="92"/>
        <v>0.28492753623188405</v>
      </c>
    </row>
    <row r="1934" spans="1:17">
      <c r="A1934" s="12" t="s">
        <v>2450</v>
      </c>
      <c r="B1934" s="13">
        <v>45633</v>
      </c>
      <c r="C1934" s="12" t="s">
        <v>316</v>
      </c>
      <c r="D1934" s="12" t="s">
        <v>199</v>
      </c>
      <c r="E1934" s="12" t="s">
        <v>124</v>
      </c>
      <c r="F1934" s="14">
        <v>9</v>
      </c>
      <c r="G1934" s="14">
        <v>1010</v>
      </c>
      <c r="H1934" s="14">
        <v>17.8</v>
      </c>
      <c r="I1934" s="14">
        <v>7471.98</v>
      </c>
      <c r="J1934" s="12" t="s">
        <v>104</v>
      </c>
      <c r="K1934" s="12" t="s">
        <v>150</v>
      </c>
      <c r="L1934" s="23" t="str">
        <f>VLOOKUP(D1934,Products!$A:$F,3,FALSE)</f>
        <v>Sports</v>
      </c>
      <c r="M1934" s="23" t="str">
        <f>VLOOKUP(E1934,Sales_Reps!$A:$E,3,FALSE)</f>
        <v>North</v>
      </c>
      <c r="N1934" s="23" t="str">
        <f t="shared" si="90"/>
        <v>Dec-24</v>
      </c>
      <c r="O1934" s="23" t="str">
        <f t="shared" si="91"/>
        <v>Q4 2024</v>
      </c>
      <c r="P1934" s="23">
        <f>VLOOKUP(D1934,Products!$A:$F,4,FALSE)</f>
        <v>516</v>
      </c>
      <c r="Q1934" s="35">
        <f t="shared" si="92"/>
        <v>0.4891089108910891</v>
      </c>
    </row>
    <row r="1935" spans="1:17">
      <c r="A1935" s="12" t="s">
        <v>2451</v>
      </c>
      <c r="B1935" s="13">
        <v>45373</v>
      </c>
      <c r="C1935" s="12" t="s">
        <v>1053</v>
      </c>
      <c r="D1935" s="12" t="s">
        <v>287</v>
      </c>
      <c r="E1935" s="12" t="s">
        <v>165</v>
      </c>
      <c r="F1935" s="14">
        <v>5</v>
      </c>
      <c r="G1935" s="14">
        <v>4610</v>
      </c>
      <c r="H1935" s="14">
        <v>29.8</v>
      </c>
      <c r="I1935" s="14">
        <v>16181.1</v>
      </c>
      <c r="J1935" s="12" t="s">
        <v>157</v>
      </c>
      <c r="K1935" s="12" t="s">
        <v>129</v>
      </c>
      <c r="L1935" s="23" t="str">
        <f>VLOOKUP(D1935,Products!$A:$F,3,FALSE)</f>
        <v>Home</v>
      </c>
      <c r="M1935" s="23" t="str">
        <f>VLOOKUP(E1935,Sales_Reps!$A:$E,3,FALSE)</f>
        <v>North</v>
      </c>
      <c r="N1935" s="23" t="str">
        <f t="shared" si="90"/>
        <v>Mar-24</v>
      </c>
      <c r="O1935" s="23" t="str">
        <f t="shared" si="91"/>
        <v>Q1 2024</v>
      </c>
      <c r="P1935" s="23">
        <f>VLOOKUP(D1935,Products!$A:$F,4,FALSE)</f>
        <v>1850</v>
      </c>
      <c r="Q1935" s="35">
        <f t="shared" si="92"/>
        <v>0.59869848156182215</v>
      </c>
    </row>
    <row r="1936" spans="1:17">
      <c r="A1936" s="12" t="s">
        <v>2452</v>
      </c>
      <c r="B1936" s="13">
        <v>45497</v>
      </c>
      <c r="C1936" s="12" t="s">
        <v>507</v>
      </c>
      <c r="D1936" s="12" t="s">
        <v>127</v>
      </c>
      <c r="E1936" s="12" t="s">
        <v>165</v>
      </c>
      <c r="F1936" s="14">
        <v>6</v>
      </c>
      <c r="G1936" s="14">
        <v>370</v>
      </c>
      <c r="H1936" s="14">
        <v>17.899999999999999</v>
      </c>
      <c r="I1936" s="14">
        <v>1822.62</v>
      </c>
      <c r="J1936" s="12" t="s">
        <v>104</v>
      </c>
      <c r="K1936" s="12" t="s">
        <v>116</v>
      </c>
      <c r="L1936" s="23" t="str">
        <f>VLOOKUP(D1936,Products!$A:$F,3,FALSE)</f>
        <v>Home</v>
      </c>
      <c r="M1936" s="23" t="str">
        <f>VLOOKUP(E1936,Sales_Reps!$A:$E,3,FALSE)</f>
        <v>North</v>
      </c>
      <c r="N1936" s="23" t="str">
        <f t="shared" si="90"/>
        <v>Jul-24</v>
      </c>
      <c r="O1936" s="23" t="str">
        <f t="shared" si="91"/>
        <v>Q3 2024</v>
      </c>
      <c r="P1936" s="23">
        <f>VLOOKUP(D1936,Products!$A:$F,4,FALSE)</f>
        <v>288</v>
      </c>
      <c r="Q1936" s="35">
        <f t="shared" si="92"/>
        <v>0.22162162162162163</v>
      </c>
    </row>
    <row r="1937" spans="1:17">
      <c r="A1937" s="12" t="s">
        <v>2453</v>
      </c>
      <c r="B1937" s="13">
        <v>45352</v>
      </c>
      <c r="C1937" s="12" t="s">
        <v>422</v>
      </c>
      <c r="D1937" s="12" t="s">
        <v>384</v>
      </c>
      <c r="E1937" s="12" t="s">
        <v>218</v>
      </c>
      <c r="F1937" s="14">
        <v>6</v>
      </c>
      <c r="G1937" s="14">
        <v>2380</v>
      </c>
      <c r="H1937" s="14">
        <v>13.6</v>
      </c>
      <c r="I1937" s="14">
        <v>12337.92</v>
      </c>
      <c r="J1937" s="12" t="s">
        <v>157</v>
      </c>
      <c r="K1937" s="12" t="s">
        <v>111</v>
      </c>
      <c r="L1937" s="23" t="str">
        <f>VLOOKUP(D1937,Products!$A:$F,3,FALSE)</f>
        <v>Grocery</v>
      </c>
      <c r="M1937" s="23" t="str">
        <f>VLOOKUP(E1937,Sales_Reps!$A:$E,3,FALSE)</f>
        <v>West</v>
      </c>
      <c r="N1937" s="23" t="str">
        <f t="shared" si="90"/>
        <v>Mar-24</v>
      </c>
      <c r="O1937" s="23" t="str">
        <f t="shared" si="91"/>
        <v>Q1 2024</v>
      </c>
      <c r="P1937" s="23">
        <f>VLOOKUP(D1937,Products!$A:$F,4,FALSE)</f>
        <v>1182</v>
      </c>
      <c r="Q1937" s="35">
        <f t="shared" si="92"/>
        <v>0.50336134453781511</v>
      </c>
    </row>
    <row r="1938" spans="1:17">
      <c r="A1938" s="12" t="s">
        <v>2454</v>
      </c>
      <c r="B1938" s="13">
        <v>45379</v>
      </c>
      <c r="C1938" s="12" t="s">
        <v>192</v>
      </c>
      <c r="D1938" s="12" t="s">
        <v>397</v>
      </c>
      <c r="E1938" s="12" t="s">
        <v>171</v>
      </c>
      <c r="F1938" s="14">
        <v>6</v>
      </c>
      <c r="G1938" s="14">
        <v>960</v>
      </c>
      <c r="H1938" s="14">
        <v>15</v>
      </c>
      <c r="I1938" s="14">
        <v>4896</v>
      </c>
      <c r="J1938" s="12" t="s">
        <v>110</v>
      </c>
      <c r="K1938" s="12" t="s">
        <v>150</v>
      </c>
      <c r="L1938" s="23" t="str">
        <f>VLOOKUP(D1938,Products!$A:$F,3,FALSE)</f>
        <v>Beauty</v>
      </c>
      <c r="M1938" s="23" t="str">
        <f>VLOOKUP(E1938,Sales_Reps!$A:$E,3,FALSE)</f>
        <v>East</v>
      </c>
      <c r="N1938" s="23" t="str">
        <f t="shared" si="90"/>
        <v>Mar-24</v>
      </c>
      <c r="O1938" s="23" t="str">
        <f t="shared" si="91"/>
        <v>Q1 2024</v>
      </c>
      <c r="P1938" s="23">
        <f>VLOOKUP(D1938,Products!$A:$F,4,FALSE)</f>
        <v>675</v>
      </c>
      <c r="Q1938" s="35">
        <f t="shared" si="92"/>
        <v>0.296875</v>
      </c>
    </row>
    <row r="1939" spans="1:17">
      <c r="A1939" s="12" t="s">
        <v>2455</v>
      </c>
      <c r="B1939" s="13">
        <v>45422</v>
      </c>
      <c r="C1939" s="12" t="s">
        <v>737</v>
      </c>
      <c r="D1939" s="12" t="s">
        <v>132</v>
      </c>
      <c r="E1939" s="12" t="s">
        <v>314</v>
      </c>
      <c r="F1939" s="14">
        <v>3</v>
      </c>
      <c r="G1939" s="14">
        <v>960</v>
      </c>
      <c r="H1939" s="14">
        <v>12.3</v>
      </c>
      <c r="I1939" s="14">
        <v>2525.7600000000002</v>
      </c>
      <c r="J1939" s="12" t="s">
        <v>104</v>
      </c>
      <c r="K1939" s="12" t="s">
        <v>105</v>
      </c>
      <c r="L1939" s="23" t="str">
        <f>VLOOKUP(D1939,Products!$A:$F,3,FALSE)</f>
        <v>Sports</v>
      </c>
      <c r="M1939" s="23" t="str">
        <f>VLOOKUP(E1939,Sales_Reps!$A:$E,3,FALSE)</f>
        <v>North</v>
      </c>
      <c r="N1939" s="23" t="str">
        <f t="shared" si="90"/>
        <v>May-24</v>
      </c>
      <c r="O1939" s="23" t="str">
        <f t="shared" si="91"/>
        <v>Q2 2024</v>
      </c>
      <c r="P1939" s="23">
        <f>VLOOKUP(D1939,Products!$A:$F,4,FALSE)</f>
        <v>705</v>
      </c>
      <c r="Q1939" s="35">
        <f t="shared" si="92"/>
        <v>0.265625</v>
      </c>
    </row>
    <row r="1940" spans="1:17">
      <c r="A1940" s="12" t="s">
        <v>2456</v>
      </c>
      <c r="B1940" s="13">
        <v>45413</v>
      </c>
      <c r="C1940" s="12" t="s">
        <v>574</v>
      </c>
      <c r="D1940" s="12" t="s">
        <v>309</v>
      </c>
      <c r="E1940" s="12" t="s">
        <v>246</v>
      </c>
      <c r="F1940" s="14">
        <v>7</v>
      </c>
      <c r="G1940" s="14">
        <v>620</v>
      </c>
      <c r="H1940" s="14">
        <v>5.8</v>
      </c>
      <c r="I1940" s="14">
        <v>4088.28</v>
      </c>
      <c r="J1940" s="12" t="s">
        <v>104</v>
      </c>
      <c r="K1940" s="12" t="s">
        <v>129</v>
      </c>
      <c r="L1940" s="23" t="str">
        <f>VLOOKUP(D1940,Products!$A:$F,3,FALSE)</f>
        <v>Apparel</v>
      </c>
      <c r="M1940" s="23" t="str">
        <f>VLOOKUP(E1940,Sales_Reps!$A:$E,3,FALSE)</f>
        <v>West</v>
      </c>
      <c r="N1940" s="23" t="str">
        <f t="shared" si="90"/>
        <v>May-24</v>
      </c>
      <c r="O1940" s="23" t="str">
        <f t="shared" si="91"/>
        <v>Q2 2024</v>
      </c>
      <c r="P1940" s="23">
        <f>VLOOKUP(D1940,Products!$A:$F,4,FALSE)</f>
        <v>396</v>
      </c>
      <c r="Q1940" s="35">
        <f t="shared" si="92"/>
        <v>0.36129032258064514</v>
      </c>
    </row>
    <row r="1941" spans="1:17">
      <c r="A1941" s="12" t="s">
        <v>2457</v>
      </c>
      <c r="B1941" s="13">
        <v>45467</v>
      </c>
      <c r="C1941" s="12" t="s">
        <v>752</v>
      </c>
      <c r="D1941" s="12" t="s">
        <v>132</v>
      </c>
      <c r="E1941" s="12" t="s">
        <v>209</v>
      </c>
      <c r="F1941" s="14">
        <v>1</v>
      </c>
      <c r="G1941" s="14">
        <v>960</v>
      </c>
      <c r="H1941" s="14">
        <v>4.5999999999999996</v>
      </c>
      <c r="I1941" s="14">
        <v>915.84</v>
      </c>
      <c r="J1941" s="12" t="s">
        <v>104</v>
      </c>
      <c r="K1941" s="12" t="s">
        <v>105</v>
      </c>
      <c r="L1941" s="23" t="str">
        <f>VLOOKUP(D1941,Products!$A:$F,3,FALSE)</f>
        <v>Sports</v>
      </c>
      <c r="M1941" s="23" t="str">
        <f>VLOOKUP(E1941,Sales_Reps!$A:$E,3,FALSE)</f>
        <v>East</v>
      </c>
      <c r="N1941" s="23" t="str">
        <f t="shared" si="90"/>
        <v>Jun-24</v>
      </c>
      <c r="O1941" s="23" t="str">
        <f t="shared" si="91"/>
        <v>Q2 2024</v>
      </c>
      <c r="P1941" s="23">
        <f>VLOOKUP(D1941,Products!$A:$F,4,FALSE)</f>
        <v>705</v>
      </c>
      <c r="Q1941" s="35">
        <f t="shared" si="92"/>
        <v>0.265625</v>
      </c>
    </row>
    <row r="1942" spans="1:17">
      <c r="A1942" s="12" t="s">
        <v>2458</v>
      </c>
      <c r="B1942" s="13">
        <v>45520</v>
      </c>
      <c r="C1942" s="12" t="s">
        <v>510</v>
      </c>
      <c r="D1942" s="12" t="s">
        <v>174</v>
      </c>
      <c r="E1942" s="12" t="s">
        <v>145</v>
      </c>
      <c r="F1942" s="14">
        <v>4</v>
      </c>
      <c r="G1942" s="14">
        <v>3450</v>
      </c>
      <c r="H1942" s="14">
        <v>13.3</v>
      </c>
      <c r="I1942" s="14">
        <v>11964.6</v>
      </c>
      <c r="J1942" s="12" t="s">
        <v>104</v>
      </c>
      <c r="K1942" s="12" t="s">
        <v>105</v>
      </c>
      <c r="L1942" s="23" t="str">
        <f>VLOOKUP(D1942,Products!$A:$F,3,FALSE)</f>
        <v>Beauty</v>
      </c>
      <c r="M1942" s="23" t="str">
        <f>VLOOKUP(E1942,Sales_Reps!$A:$E,3,FALSE)</f>
        <v>West</v>
      </c>
      <c r="N1942" s="23" t="str">
        <f t="shared" si="90"/>
        <v>Aug-24</v>
      </c>
      <c r="O1942" s="23" t="str">
        <f t="shared" si="91"/>
        <v>Q3 2024</v>
      </c>
      <c r="P1942" s="23">
        <f>VLOOKUP(D1942,Products!$A:$F,4,FALSE)</f>
        <v>2420</v>
      </c>
      <c r="Q1942" s="35">
        <f t="shared" si="92"/>
        <v>0.29855072463768118</v>
      </c>
    </row>
    <row r="1943" spans="1:17">
      <c r="A1943" s="12" t="s">
        <v>2459</v>
      </c>
      <c r="B1943" s="13">
        <v>45626</v>
      </c>
      <c r="C1943" s="12" t="s">
        <v>578</v>
      </c>
      <c r="D1943" s="12" t="s">
        <v>190</v>
      </c>
      <c r="E1943" s="12" t="s">
        <v>138</v>
      </c>
      <c r="F1943" s="14">
        <v>10</v>
      </c>
      <c r="G1943" s="14">
        <v>2720</v>
      </c>
      <c r="H1943" s="14">
        <v>3.4</v>
      </c>
      <c r="I1943" s="14">
        <v>26275.200000000001</v>
      </c>
      <c r="J1943" s="12" t="s">
        <v>104</v>
      </c>
      <c r="K1943" s="12" t="s">
        <v>150</v>
      </c>
      <c r="L1943" s="23" t="str">
        <f>VLOOKUP(D1943,Products!$A:$F,3,FALSE)</f>
        <v>Apparel</v>
      </c>
      <c r="M1943" s="23" t="str">
        <f>VLOOKUP(E1943,Sales_Reps!$A:$E,3,FALSE)</f>
        <v>East</v>
      </c>
      <c r="N1943" s="23" t="str">
        <f t="shared" si="90"/>
        <v>Nov-24</v>
      </c>
      <c r="O1943" s="23" t="str">
        <f t="shared" si="91"/>
        <v>Q4 2024</v>
      </c>
      <c r="P1943" s="23">
        <f>VLOOKUP(D1943,Products!$A:$F,4,FALSE)</f>
        <v>1962</v>
      </c>
      <c r="Q1943" s="35">
        <f t="shared" si="92"/>
        <v>0.2786764705882353</v>
      </c>
    </row>
    <row r="1944" spans="1:17">
      <c r="A1944" s="12" t="s">
        <v>2460</v>
      </c>
      <c r="B1944" s="13">
        <v>45452</v>
      </c>
      <c r="C1944" s="12" t="s">
        <v>634</v>
      </c>
      <c r="D1944" s="12" t="s">
        <v>174</v>
      </c>
      <c r="E1944" s="12" t="s">
        <v>138</v>
      </c>
      <c r="F1944" s="14">
        <v>1</v>
      </c>
      <c r="G1944" s="14">
        <v>3450</v>
      </c>
      <c r="H1944" s="14">
        <v>29.4</v>
      </c>
      <c r="I1944" s="14">
        <v>2435.6999999999998</v>
      </c>
      <c r="J1944" s="12" t="s">
        <v>104</v>
      </c>
      <c r="K1944" s="12" t="s">
        <v>129</v>
      </c>
      <c r="L1944" s="23" t="str">
        <f>VLOOKUP(D1944,Products!$A:$F,3,FALSE)</f>
        <v>Beauty</v>
      </c>
      <c r="M1944" s="23" t="str">
        <f>VLOOKUP(E1944,Sales_Reps!$A:$E,3,FALSE)</f>
        <v>East</v>
      </c>
      <c r="N1944" s="23" t="str">
        <f t="shared" si="90"/>
        <v>Jun-24</v>
      </c>
      <c r="O1944" s="23" t="str">
        <f t="shared" si="91"/>
        <v>Q2 2024</v>
      </c>
      <c r="P1944" s="23">
        <f>VLOOKUP(D1944,Products!$A:$F,4,FALSE)</f>
        <v>2420</v>
      </c>
      <c r="Q1944" s="35">
        <f t="shared" si="92"/>
        <v>0.29855072463768118</v>
      </c>
    </row>
    <row r="1945" spans="1:17">
      <c r="A1945" s="12" t="s">
        <v>2461</v>
      </c>
      <c r="B1945" s="13">
        <v>45529</v>
      </c>
      <c r="C1945" s="12" t="s">
        <v>574</v>
      </c>
      <c r="D1945" s="12" t="s">
        <v>193</v>
      </c>
      <c r="E1945" s="12" t="s">
        <v>133</v>
      </c>
      <c r="F1945" s="14">
        <v>5</v>
      </c>
      <c r="G1945" s="14">
        <v>1650</v>
      </c>
      <c r="H1945" s="14">
        <v>29.4</v>
      </c>
      <c r="I1945" s="14">
        <v>5824.5</v>
      </c>
      <c r="J1945" s="12" t="s">
        <v>104</v>
      </c>
      <c r="K1945" s="12" t="s">
        <v>129</v>
      </c>
      <c r="L1945" s="23" t="str">
        <f>VLOOKUP(D1945,Products!$A:$F,3,FALSE)</f>
        <v>Beauty</v>
      </c>
      <c r="M1945" s="23" t="str">
        <f>VLOOKUP(E1945,Sales_Reps!$A:$E,3,FALSE)</f>
        <v>West</v>
      </c>
      <c r="N1945" s="23" t="str">
        <f t="shared" si="90"/>
        <v>Aug-24</v>
      </c>
      <c r="O1945" s="23" t="str">
        <f t="shared" si="91"/>
        <v>Q3 2024</v>
      </c>
      <c r="P1945" s="23">
        <f>VLOOKUP(D1945,Products!$A:$F,4,FALSE)</f>
        <v>1222</v>
      </c>
      <c r="Q1945" s="35">
        <f t="shared" si="92"/>
        <v>0.2593939393939394</v>
      </c>
    </row>
    <row r="1946" spans="1:17">
      <c r="A1946" s="12" t="s">
        <v>2462</v>
      </c>
      <c r="B1946" s="13">
        <v>45639</v>
      </c>
      <c r="C1946" s="12" t="s">
        <v>798</v>
      </c>
      <c r="D1946" s="12" t="s">
        <v>102</v>
      </c>
      <c r="E1946" s="12" t="s">
        <v>221</v>
      </c>
      <c r="F1946" s="14">
        <v>2</v>
      </c>
      <c r="G1946" s="14">
        <v>3620</v>
      </c>
      <c r="H1946" s="14">
        <v>15.6</v>
      </c>
      <c r="I1946" s="14">
        <v>6110.56</v>
      </c>
      <c r="J1946" s="12" t="s">
        <v>104</v>
      </c>
      <c r="K1946" s="12" t="s">
        <v>116</v>
      </c>
      <c r="L1946" s="23" t="str">
        <f>VLOOKUP(D1946,Products!$A:$F,3,FALSE)</f>
        <v>Apparel</v>
      </c>
      <c r="M1946" s="23" t="str">
        <f>VLOOKUP(E1946,Sales_Reps!$A:$E,3,FALSE)</f>
        <v>South</v>
      </c>
      <c r="N1946" s="23" t="str">
        <f t="shared" si="90"/>
        <v>Dec-24</v>
      </c>
      <c r="O1946" s="23" t="str">
        <f t="shared" si="91"/>
        <v>Q4 2024</v>
      </c>
      <c r="P1946" s="23">
        <f>VLOOKUP(D1946,Products!$A:$F,4,FALSE)</f>
        <v>2509</v>
      </c>
      <c r="Q1946" s="35">
        <f t="shared" si="92"/>
        <v>0.3069060773480663</v>
      </c>
    </row>
    <row r="1947" spans="1:17">
      <c r="A1947" s="12" t="s">
        <v>2463</v>
      </c>
      <c r="B1947" s="13">
        <v>45592</v>
      </c>
      <c r="C1947" s="12" t="s">
        <v>113</v>
      </c>
      <c r="D1947" s="12" t="s">
        <v>299</v>
      </c>
      <c r="E1947" s="12" t="s">
        <v>342</v>
      </c>
      <c r="F1947" s="14">
        <v>3</v>
      </c>
      <c r="G1947" s="14">
        <v>300</v>
      </c>
      <c r="H1947" s="14">
        <v>24.8</v>
      </c>
      <c r="I1947" s="14">
        <v>676.8</v>
      </c>
      <c r="J1947" s="12" t="s">
        <v>104</v>
      </c>
      <c r="K1947" s="12" t="s">
        <v>116</v>
      </c>
      <c r="L1947" s="23" t="str">
        <f>VLOOKUP(D1947,Products!$A:$F,3,FALSE)</f>
        <v>Electronics</v>
      </c>
      <c r="M1947" s="23" t="str">
        <f>VLOOKUP(E1947,Sales_Reps!$A:$E,3,FALSE)</f>
        <v>South</v>
      </c>
      <c r="N1947" s="23" t="str">
        <f t="shared" si="90"/>
        <v>Oct-24</v>
      </c>
      <c r="O1947" s="23" t="str">
        <f t="shared" si="91"/>
        <v>Q4 2024</v>
      </c>
      <c r="P1947" s="23">
        <f>VLOOKUP(D1947,Products!$A:$F,4,FALSE)</f>
        <v>128</v>
      </c>
      <c r="Q1947" s="35">
        <f t="shared" si="92"/>
        <v>0.57333333333333336</v>
      </c>
    </row>
    <row r="1948" spans="1:17">
      <c r="A1948" s="12" t="s">
        <v>2464</v>
      </c>
      <c r="B1948" s="13">
        <v>45338</v>
      </c>
      <c r="C1948" s="12" t="s">
        <v>289</v>
      </c>
      <c r="D1948" s="12" t="s">
        <v>276</v>
      </c>
      <c r="E1948" s="12" t="s">
        <v>232</v>
      </c>
      <c r="F1948" s="14">
        <v>3</v>
      </c>
      <c r="G1948" s="14">
        <v>1540</v>
      </c>
      <c r="H1948" s="14">
        <v>29.5</v>
      </c>
      <c r="I1948" s="14">
        <v>3257.1</v>
      </c>
      <c r="J1948" s="12" t="s">
        <v>104</v>
      </c>
      <c r="K1948" s="12" t="s">
        <v>111</v>
      </c>
      <c r="L1948" s="23" t="str">
        <f>VLOOKUP(D1948,Products!$A:$F,3,FALSE)</f>
        <v>Beauty</v>
      </c>
      <c r="M1948" s="23" t="str">
        <f>VLOOKUP(E1948,Sales_Reps!$A:$E,3,FALSE)</f>
        <v>North</v>
      </c>
      <c r="N1948" s="23" t="str">
        <f t="shared" si="90"/>
        <v>Feb-24</v>
      </c>
      <c r="O1948" s="23" t="str">
        <f t="shared" si="91"/>
        <v>Q1 2024</v>
      </c>
      <c r="P1948" s="23">
        <f>VLOOKUP(D1948,Products!$A:$F,4,FALSE)</f>
        <v>647</v>
      </c>
      <c r="Q1948" s="35">
        <f t="shared" si="92"/>
        <v>0.57987012987012987</v>
      </c>
    </row>
    <row r="1949" spans="1:17">
      <c r="A1949" s="12" t="s">
        <v>2465</v>
      </c>
      <c r="B1949" s="13">
        <v>45551</v>
      </c>
      <c r="C1949" s="12" t="s">
        <v>796</v>
      </c>
      <c r="D1949" s="12" t="s">
        <v>148</v>
      </c>
      <c r="E1949" s="12" t="s">
        <v>138</v>
      </c>
      <c r="F1949" s="14">
        <v>10</v>
      </c>
      <c r="G1949" s="14">
        <v>2270</v>
      </c>
      <c r="H1949" s="14">
        <v>5.5</v>
      </c>
      <c r="I1949" s="14">
        <v>21451.5</v>
      </c>
      <c r="J1949" s="12" t="s">
        <v>157</v>
      </c>
      <c r="K1949" s="12" t="s">
        <v>134</v>
      </c>
      <c r="L1949" s="23" t="str">
        <f>VLOOKUP(D1949,Products!$A:$F,3,FALSE)</f>
        <v>Grocery</v>
      </c>
      <c r="M1949" s="23" t="str">
        <f>VLOOKUP(E1949,Sales_Reps!$A:$E,3,FALSE)</f>
        <v>East</v>
      </c>
      <c r="N1949" s="23" t="str">
        <f t="shared" si="90"/>
        <v>Sep-24</v>
      </c>
      <c r="O1949" s="23" t="str">
        <f t="shared" si="91"/>
        <v>Q3 2024</v>
      </c>
      <c r="P1949" s="23">
        <f>VLOOKUP(D1949,Products!$A:$F,4,FALSE)</f>
        <v>1203</v>
      </c>
      <c r="Q1949" s="35">
        <f t="shared" si="92"/>
        <v>0.47004405286343615</v>
      </c>
    </row>
    <row r="1950" spans="1:17">
      <c r="A1950" s="12" t="s">
        <v>2466</v>
      </c>
      <c r="B1950" s="13">
        <v>45350</v>
      </c>
      <c r="C1950" s="12" t="s">
        <v>873</v>
      </c>
      <c r="D1950" s="12" t="s">
        <v>152</v>
      </c>
      <c r="E1950" s="12" t="s">
        <v>124</v>
      </c>
      <c r="F1950" s="14">
        <v>3</v>
      </c>
      <c r="G1950" s="14">
        <v>2640</v>
      </c>
      <c r="H1950" s="14">
        <v>28.2</v>
      </c>
      <c r="I1950" s="14">
        <v>5686.56</v>
      </c>
      <c r="J1950" s="12" t="s">
        <v>161</v>
      </c>
      <c r="K1950" s="12" t="s">
        <v>105</v>
      </c>
      <c r="L1950" s="23" t="str">
        <f>VLOOKUP(D1950,Products!$A:$F,3,FALSE)</f>
        <v>Electronics</v>
      </c>
      <c r="M1950" s="23" t="str">
        <f>VLOOKUP(E1950,Sales_Reps!$A:$E,3,FALSE)</f>
        <v>North</v>
      </c>
      <c r="N1950" s="23" t="str">
        <f t="shared" si="90"/>
        <v>Feb-24</v>
      </c>
      <c r="O1950" s="23" t="str">
        <f t="shared" si="91"/>
        <v>Q1 2024</v>
      </c>
      <c r="P1950" s="23">
        <f>VLOOKUP(D1950,Products!$A:$F,4,FALSE)</f>
        <v>1149</v>
      </c>
      <c r="Q1950" s="35">
        <f t="shared" si="92"/>
        <v>0.56477272727272732</v>
      </c>
    </row>
    <row r="1951" spans="1:17">
      <c r="A1951" s="12" t="s">
        <v>2467</v>
      </c>
      <c r="B1951" s="13">
        <v>45507</v>
      </c>
      <c r="C1951" s="12" t="s">
        <v>1267</v>
      </c>
      <c r="D1951" s="12" t="s">
        <v>152</v>
      </c>
      <c r="E1951" s="12" t="s">
        <v>205</v>
      </c>
      <c r="F1951" s="14">
        <v>10</v>
      </c>
      <c r="G1951" s="14">
        <v>2640</v>
      </c>
      <c r="H1951" s="14">
        <v>25.9</v>
      </c>
      <c r="I1951" s="14">
        <v>19562.400000000001</v>
      </c>
      <c r="J1951" s="12" t="s">
        <v>104</v>
      </c>
      <c r="K1951" s="12" t="s">
        <v>105</v>
      </c>
      <c r="L1951" s="23" t="str">
        <f>VLOOKUP(D1951,Products!$A:$F,3,FALSE)</f>
        <v>Electronics</v>
      </c>
      <c r="M1951" s="23" t="str">
        <f>VLOOKUP(E1951,Sales_Reps!$A:$E,3,FALSE)</f>
        <v>South</v>
      </c>
      <c r="N1951" s="23" t="str">
        <f t="shared" si="90"/>
        <v>Aug-24</v>
      </c>
      <c r="O1951" s="23" t="str">
        <f t="shared" si="91"/>
        <v>Q3 2024</v>
      </c>
      <c r="P1951" s="23">
        <f>VLOOKUP(D1951,Products!$A:$F,4,FALSE)</f>
        <v>1149</v>
      </c>
      <c r="Q1951" s="35">
        <f t="shared" si="92"/>
        <v>0.56477272727272732</v>
      </c>
    </row>
    <row r="1952" spans="1:17">
      <c r="A1952" s="12" t="s">
        <v>2468</v>
      </c>
      <c r="B1952" s="13">
        <v>45538</v>
      </c>
      <c r="C1952" s="12" t="s">
        <v>722</v>
      </c>
      <c r="D1952" s="12" t="s">
        <v>137</v>
      </c>
      <c r="E1952" s="12" t="s">
        <v>187</v>
      </c>
      <c r="F1952" s="14">
        <v>2</v>
      </c>
      <c r="G1952" s="14">
        <v>1430</v>
      </c>
      <c r="H1952" s="14">
        <v>5</v>
      </c>
      <c r="I1952" s="14">
        <v>2717</v>
      </c>
      <c r="J1952" s="12" t="s">
        <v>157</v>
      </c>
      <c r="K1952" s="12" t="s">
        <v>116</v>
      </c>
      <c r="L1952" s="23" t="str">
        <f>VLOOKUP(D1952,Products!$A:$F,3,FALSE)</f>
        <v>Electronics</v>
      </c>
      <c r="M1952" s="23" t="str">
        <f>VLOOKUP(E1952,Sales_Reps!$A:$E,3,FALSE)</f>
        <v>West</v>
      </c>
      <c r="N1952" s="23" t="str">
        <f t="shared" si="90"/>
        <v>Sep-24</v>
      </c>
      <c r="O1952" s="23" t="str">
        <f t="shared" si="91"/>
        <v>Q3 2024</v>
      </c>
      <c r="P1952" s="23">
        <f>VLOOKUP(D1952,Products!$A:$F,4,FALSE)</f>
        <v>861</v>
      </c>
      <c r="Q1952" s="35">
        <f t="shared" si="92"/>
        <v>0.39790209790209791</v>
      </c>
    </row>
    <row r="1953" spans="1:17">
      <c r="A1953" s="12" t="s">
        <v>2469</v>
      </c>
      <c r="B1953" s="13">
        <v>45618</v>
      </c>
      <c r="C1953" s="12" t="s">
        <v>457</v>
      </c>
      <c r="D1953" s="12" t="s">
        <v>204</v>
      </c>
      <c r="E1953" s="12" t="s">
        <v>209</v>
      </c>
      <c r="F1953" s="14">
        <v>6</v>
      </c>
      <c r="G1953" s="14">
        <v>3570</v>
      </c>
      <c r="H1953" s="14">
        <v>28.5</v>
      </c>
      <c r="I1953" s="14">
        <v>15315.3</v>
      </c>
      <c r="J1953" s="12" t="s">
        <v>157</v>
      </c>
      <c r="K1953" s="12" t="s">
        <v>105</v>
      </c>
      <c r="L1953" s="23" t="str">
        <f>VLOOKUP(D1953,Products!$A:$F,3,FALSE)</f>
        <v>Electronics</v>
      </c>
      <c r="M1953" s="23" t="str">
        <f>VLOOKUP(E1953,Sales_Reps!$A:$E,3,FALSE)</f>
        <v>East</v>
      </c>
      <c r="N1953" s="23" t="str">
        <f t="shared" si="90"/>
        <v>Nov-24</v>
      </c>
      <c r="O1953" s="23" t="str">
        <f t="shared" si="91"/>
        <v>Q4 2024</v>
      </c>
      <c r="P1953" s="23">
        <f>VLOOKUP(D1953,Products!$A:$F,4,FALSE)</f>
        <v>1665</v>
      </c>
      <c r="Q1953" s="35">
        <f t="shared" si="92"/>
        <v>0.53361344537815125</v>
      </c>
    </row>
    <row r="1954" spans="1:17">
      <c r="A1954" s="12" t="s">
        <v>2470</v>
      </c>
      <c r="B1954" s="13">
        <v>45444</v>
      </c>
      <c r="C1954" s="12" t="s">
        <v>414</v>
      </c>
      <c r="D1954" s="12" t="s">
        <v>204</v>
      </c>
      <c r="E1954" s="12" t="s">
        <v>133</v>
      </c>
      <c r="F1954" s="14">
        <v>1</v>
      </c>
      <c r="G1954" s="14">
        <v>3570</v>
      </c>
      <c r="H1954" s="14">
        <v>7.7</v>
      </c>
      <c r="I1954" s="14">
        <v>3295.11</v>
      </c>
      <c r="J1954" s="12" t="s">
        <v>104</v>
      </c>
      <c r="K1954" s="12" t="s">
        <v>116</v>
      </c>
      <c r="L1954" s="23" t="str">
        <f>VLOOKUP(D1954,Products!$A:$F,3,FALSE)</f>
        <v>Electronics</v>
      </c>
      <c r="M1954" s="23" t="str">
        <f>VLOOKUP(E1954,Sales_Reps!$A:$E,3,FALSE)</f>
        <v>West</v>
      </c>
      <c r="N1954" s="23" t="str">
        <f t="shared" si="90"/>
        <v>Jun-24</v>
      </c>
      <c r="O1954" s="23" t="str">
        <f t="shared" si="91"/>
        <v>Q2 2024</v>
      </c>
      <c r="P1954" s="23">
        <f>VLOOKUP(D1954,Products!$A:$F,4,FALSE)</f>
        <v>1665</v>
      </c>
      <c r="Q1954" s="35">
        <f t="shared" si="92"/>
        <v>0.53361344537815125</v>
      </c>
    </row>
    <row r="1955" spans="1:17">
      <c r="A1955" s="12" t="s">
        <v>2471</v>
      </c>
      <c r="B1955" s="13">
        <v>45377</v>
      </c>
      <c r="C1955" s="12" t="s">
        <v>1311</v>
      </c>
      <c r="D1955" s="12" t="s">
        <v>265</v>
      </c>
      <c r="E1955" s="12" t="s">
        <v>187</v>
      </c>
      <c r="F1955" s="14">
        <v>9</v>
      </c>
      <c r="G1955" s="14">
        <v>3870</v>
      </c>
      <c r="H1955" s="14">
        <v>11.9</v>
      </c>
      <c r="I1955" s="14">
        <v>30685.23</v>
      </c>
      <c r="J1955" s="12" t="s">
        <v>157</v>
      </c>
      <c r="K1955" s="12" t="s">
        <v>111</v>
      </c>
      <c r="L1955" s="23" t="str">
        <f>VLOOKUP(D1955,Products!$A:$F,3,FALSE)</f>
        <v>Electronics</v>
      </c>
      <c r="M1955" s="23" t="str">
        <f>VLOOKUP(E1955,Sales_Reps!$A:$E,3,FALSE)</f>
        <v>West</v>
      </c>
      <c r="N1955" s="23" t="str">
        <f t="shared" si="90"/>
        <v>Mar-24</v>
      </c>
      <c r="O1955" s="23" t="str">
        <f t="shared" si="91"/>
        <v>Q1 2024</v>
      </c>
      <c r="P1955" s="23">
        <f>VLOOKUP(D1955,Products!$A:$F,4,FALSE)</f>
        <v>1559</v>
      </c>
      <c r="Q1955" s="35">
        <f t="shared" si="92"/>
        <v>0.59715762273901807</v>
      </c>
    </row>
    <row r="1956" spans="1:17">
      <c r="A1956" s="12" t="s">
        <v>2472</v>
      </c>
      <c r="B1956" s="13">
        <v>45515</v>
      </c>
      <c r="C1956" s="12" t="s">
        <v>867</v>
      </c>
      <c r="D1956" s="12" t="s">
        <v>532</v>
      </c>
      <c r="E1956" s="12" t="s">
        <v>115</v>
      </c>
      <c r="F1956" s="14">
        <v>5</v>
      </c>
      <c r="G1956" s="14">
        <v>6940</v>
      </c>
      <c r="H1956" s="14">
        <v>17.399999999999999</v>
      </c>
      <c r="I1956" s="14">
        <v>28662.2</v>
      </c>
      <c r="J1956" s="12" t="s">
        <v>104</v>
      </c>
      <c r="K1956" s="12" t="s">
        <v>111</v>
      </c>
      <c r="L1956" s="23" t="str">
        <f>VLOOKUP(D1956,Products!$A:$F,3,FALSE)</f>
        <v>Sports</v>
      </c>
      <c r="M1956" s="23" t="str">
        <f>VLOOKUP(E1956,Sales_Reps!$A:$E,3,FALSE)</f>
        <v>South</v>
      </c>
      <c r="N1956" s="23" t="str">
        <f t="shared" si="90"/>
        <v>Aug-24</v>
      </c>
      <c r="O1956" s="23" t="str">
        <f t="shared" si="91"/>
        <v>Q3 2024</v>
      </c>
      <c r="P1956" s="23">
        <f>VLOOKUP(D1956,Products!$A:$F,4,FALSE)</f>
        <v>2827</v>
      </c>
      <c r="Q1956" s="35">
        <f t="shared" si="92"/>
        <v>0.5926512968299712</v>
      </c>
    </row>
    <row r="1957" spans="1:17">
      <c r="A1957" s="12" t="s">
        <v>2473</v>
      </c>
      <c r="B1957" s="13">
        <v>45312</v>
      </c>
      <c r="C1957" s="12" t="s">
        <v>280</v>
      </c>
      <c r="D1957" s="12" t="s">
        <v>127</v>
      </c>
      <c r="E1957" s="12" t="s">
        <v>218</v>
      </c>
      <c r="F1957" s="14">
        <v>6</v>
      </c>
      <c r="G1957" s="14">
        <v>370</v>
      </c>
      <c r="H1957" s="14">
        <v>8.1</v>
      </c>
      <c r="I1957" s="14">
        <v>2040.18</v>
      </c>
      <c r="J1957" s="12" t="s">
        <v>157</v>
      </c>
      <c r="K1957" s="12" t="s">
        <v>150</v>
      </c>
      <c r="L1957" s="23" t="str">
        <f>VLOOKUP(D1957,Products!$A:$F,3,FALSE)</f>
        <v>Home</v>
      </c>
      <c r="M1957" s="23" t="str">
        <f>VLOOKUP(E1957,Sales_Reps!$A:$E,3,FALSE)</f>
        <v>West</v>
      </c>
      <c r="N1957" s="23" t="str">
        <f t="shared" si="90"/>
        <v>Jan-24</v>
      </c>
      <c r="O1957" s="23" t="str">
        <f t="shared" si="91"/>
        <v>Q1 2024</v>
      </c>
      <c r="P1957" s="23">
        <f>VLOOKUP(D1957,Products!$A:$F,4,FALSE)</f>
        <v>288</v>
      </c>
      <c r="Q1957" s="35">
        <f t="shared" si="92"/>
        <v>0.22162162162162163</v>
      </c>
    </row>
    <row r="1958" spans="1:17">
      <c r="A1958" s="12" t="s">
        <v>2474</v>
      </c>
      <c r="B1958" s="13">
        <v>45549</v>
      </c>
      <c r="C1958" s="12" t="s">
        <v>283</v>
      </c>
      <c r="D1958" s="12" t="s">
        <v>676</v>
      </c>
      <c r="E1958" s="12" t="s">
        <v>360</v>
      </c>
      <c r="F1958" s="14">
        <v>8</v>
      </c>
      <c r="G1958" s="14">
        <v>3560</v>
      </c>
      <c r="H1958" s="14">
        <v>23.3</v>
      </c>
      <c r="I1958" s="14">
        <v>21844.16</v>
      </c>
      <c r="J1958" s="12" t="s">
        <v>104</v>
      </c>
      <c r="K1958" s="12" t="s">
        <v>116</v>
      </c>
      <c r="L1958" s="23" t="str">
        <f>VLOOKUP(D1958,Products!$A:$F,3,FALSE)</f>
        <v>Apparel</v>
      </c>
      <c r="M1958" s="23" t="str">
        <f>VLOOKUP(E1958,Sales_Reps!$A:$E,3,FALSE)</f>
        <v>West</v>
      </c>
      <c r="N1958" s="23" t="str">
        <f t="shared" si="90"/>
        <v>Sep-24</v>
      </c>
      <c r="O1958" s="23" t="str">
        <f t="shared" si="91"/>
        <v>Q3 2024</v>
      </c>
      <c r="P1958" s="23">
        <f>VLOOKUP(D1958,Products!$A:$F,4,FALSE)</f>
        <v>2629</v>
      </c>
      <c r="Q1958" s="35">
        <f t="shared" si="92"/>
        <v>0.26151685393258428</v>
      </c>
    </row>
    <row r="1959" spans="1:17">
      <c r="A1959" s="12" t="s">
        <v>2475</v>
      </c>
      <c r="B1959" s="13">
        <v>45633</v>
      </c>
      <c r="C1959" s="12" t="s">
        <v>630</v>
      </c>
      <c r="D1959" s="12" t="s">
        <v>284</v>
      </c>
      <c r="E1959" s="12" t="s">
        <v>145</v>
      </c>
      <c r="F1959" s="14">
        <v>4</v>
      </c>
      <c r="G1959" s="14">
        <v>1220</v>
      </c>
      <c r="H1959" s="14">
        <v>2.7</v>
      </c>
      <c r="I1959" s="14">
        <v>4748.24</v>
      </c>
      <c r="J1959" s="12" t="s">
        <v>104</v>
      </c>
      <c r="K1959" s="12" t="s">
        <v>129</v>
      </c>
      <c r="L1959" s="23" t="str">
        <f>VLOOKUP(D1959,Products!$A:$F,3,FALSE)</f>
        <v>Electronics</v>
      </c>
      <c r="M1959" s="23" t="str">
        <f>VLOOKUP(E1959,Sales_Reps!$A:$E,3,FALSE)</f>
        <v>West</v>
      </c>
      <c r="N1959" s="23" t="str">
        <f t="shared" si="90"/>
        <v>Dec-24</v>
      </c>
      <c r="O1959" s="23" t="str">
        <f t="shared" si="91"/>
        <v>Q4 2024</v>
      </c>
      <c r="P1959" s="23">
        <f>VLOOKUP(D1959,Products!$A:$F,4,FALSE)</f>
        <v>517</v>
      </c>
      <c r="Q1959" s="35">
        <f t="shared" si="92"/>
        <v>0.57622950819672136</v>
      </c>
    </row>
    <row r="1960" spans="1:17">
      <c r="A1960" s="12" t="s">
        <v>2476</v>
      </c>
      <c r="B1960" s="13">
        <v>45598</v>
      </c>
      <c r="C1960" s="12" t="s">
        <v>734</v>
      </c>
      <c r="D1960" s="12" t="s">
        <v>281</v>
      </c>
      <c r="E1960" s="12" t="s">
        <v>209</v>
      </c>
      <c r="F1960" s="14">
        <v>10</v>
      </c>
      <c r="G1960" s="14">
        <v>4070</v>
      </c>
      <c r="H1960" s="14">
        <v>11.6</v>
      </c>
      <c r="I1960" s="14">
        <v>35978.800000000003</v>
      </c>
      <c r="J1960" s="12" t="s">
        <v>104</v>
      </c>
      <c r="K1960" s="12" t="s">
        <v>111</v>
      </c>
      <c r="L1960" s="23" t="str">
        <f>VLOOKUP(D1960,Products!$A:$F,3,FALSE)</f>
        <v>Grocery</v>
      </c>
      <c r="M1960" s="23" t="str">
        <f>VLOOKUP(E1960,Sales_Reps!$A:$E,3,FALSE)</f>
        <v>East</v>
      </c>
      <c r="N1960" s="23" t="str">
        <f t="shared" si="90"/>
        <v>Nov-24</v>
      </c>
      <c r="O1960" s="23" t="str">
        <f t="shared" si="91"/>
        <v>Q4 2024</v>
      </c>
      <c r="P1960" s="23">
        <f>VLOOKUP(D1960,Products!$A:$F,4,FALSE)</f>
        <v>2027</v>
      </c>
      <c r="Q1960" s="35">
        <f t="shared" si="92"/>
        <v>0.50196560196560192</v>
      </c>
    </row>
    <row r="1961" spans="1:17">
      <c r="A1961" s="12" t="s">
        <v>2477</v>
      </c>
      <c r="B1961" s="13">
        <v>45336</v>
      </c>
      <c r="C1961" s="12" t="s">
        <v>814</v>
      </c>
      <c r="D1961" s="12" t="s">
        <v>119</v>
      </c>
      <c r="E1961" s="12" t="s">
        <v>138</v>
      </c>
      <c r="F1961" s="14">
        <v>10</v>
      </c>
      <c r="G1961" s="14">
        <v>3660</v>
      </c>
      <c r="H1961" s="14">
        <v>28.8</v>
      </c>
      <c r="I1961" s="14">
        <v>26059.200000000001</v>
      </c>
      <c r="J1961" s="12" t="s">
        <v>104</v>
      </c>
      <c r="K1961" s="12" t="s">
        <v>116</v>
      </c>
      <c r="L1961" s="23" t="str">
        <f>VLOOKUP(D1961,Products!$A:$F,3,FALSE)</f>
        <v>Grocery</v>
      </c>
      <c r="M1961" s="23" t="str">
        <f>VLOOKUP(E1961,Sales_Reps!$A:$E,3,FALSE)</f>
        <v>East</v>
      </c>
      <c r="N1961" s="23" t="str">
        <f t="shared" si="90"/>
        <v>Feb-24</v>
      </c>
      <c r="O1961" s="23" t="str">
        <f t="shared" si="91"/>
        <v>Q1 2024</v>
      </c>
      <c r="P1961" s="23">
        <f>VLOOKUP(D1961,Products!$A:$F,4,FALSE)</f>
        <v>2214</v>
      </c>
      <c r="Q1961" s="35">
        <f t="shared" si="92"/>
        <v>0.39508196721311473</v>
      </c>
    </row>
    <row r="1962" spans="1:17">
      <c r="A1962" s="12" t="s">
        <v>2478</v>
      </c>
      <c r="B1962" s="13">
        <v>45449</v>
      </c>
      <c r="C1962" s="12" t="s">
        <v>632</v>
      </c>
      <c r="D1962" s="12" t="s">
        <v>460</v>
      </c>
      <c r="E1962" s="12" t="s">
        <v>320</v>
      </c>
      <c r="F1962" s="14">
        <v>5</v>
      </c>
      <c r="G1962" s="14">
        <v>5080</v>
      </c>
      <c r="H1962" s="14">
        <v>12.1</v>
      </c>
      <c r="I1962" s="14">
        <v>22326.6</v>
      </c>
      <c r="J1962" s="12" t="s">
        <v>104</v>
      </c>
      <c r="K1962" s="12" t="s">
        <v>129</v>
      </c>
      <c r="L1962" s="23" t="str">
        <f>VLOOKUP(D1962,Products!$A:$F,3,FALSE)</f>
        <v>Home</v>
      </c>
      <c r="M1962" s="23" t="str">
        <f>VLOOKUP(E1962,Sales_Reps!$A:$E,3,FALSE)</f>
        <v>East</v>
      </c>
      <c r="N1962" s="23" t="str">
        <f t="shared" si="90"/>
        <v>Jun-24</v>
      </c>
      <c r="O1962" s="23" t="str">
        <f t="shared" si="91"/>
        <v>Q2 2024</v>
      </c>
      <c r="P1962" s="23">
        <f>VLOOKUP(D1962,Products!$A:$F,4,FALSE)</f>
        <v>2459</v>
      </c>
      <c r="Q1962" s="35">
        <f t="shared" si="92"/>
        <v>0.51594488188976373</v>
      </c>
    </row>
    <row r="1963" spans="1:17">
      <c r="A1963" s="12" t="s">
        <v>2479</v>
      </c>
      <c r="B1963" s="13">
        <v>45338</v>
      </c>
      <c r="C1963" s="12" t="s">
        <v>814</v>
      </c>
      <c r="D1963" s="12" t="s">
        <v>287</v>
      </c>
      <c r="E1963" s="12" t="s">
        <v>269</v>
      </c>
      <c r="F1963" s="14">
        <v>10</v>
      </c>
      <c r="G1963" s="14">
        <v>4610</v>
      </c>
      <c r="H1963" s="14">
        <v>22.5</v>
      </c>
      <c r="I1963" s="14">
        <v>35727.5</v>
      </c>
      <c r="J1963" s="12" t="s">
        <v>104</v>
      </c>
      <c r="K1963" s="12" t="s">
        <v>116</v>
      </c>
      <c r="L1963" s="23" t="str">
        <f>VLOOKUP(D1963,Products!$A:$F,3,FALSE)</f>
        <v>Home</v>
      </c>
      <c r="M1963" s="23" t="str">
        <f>VLOOKUP(E1963,Sales_Reps!$A:$E,3,FALSE)</f>
        <v>South</v>
      </c>
      <c r="N1963" s="23" t="str">
        <f t="shared" si="90"/>
        <v>Feb-24</v>
      </c>
      <c r="O1963" s="23" t="str">
        <f t="shared" si="91"/>
        <v>Q1 2024</v>
      </c>
      <c r="P1963" s="23">
        <f>VLOOKUP(D1963,Products!$A:$F,4,FALSE)</f>
        <v>1850</v>
      </c>
      <c r="Q1963" s="35">
        <f t="shared" si="92"/>
        <v>0.59869848156182215</v>
      </c>
    </row>
    <row r="1964" spans="1:17">
      <c r="A1964" s="12" t="s">
        <v>2480</v>
      </c>
      <c r="B1964" s="13">
        <v>45317</v>
      </c>
      <c r="C1964" s="12" t="s">
        <v>796</v>
      </c>
      <c r="D1964" s="12" t="s">
        <v>296</v>
      </c>
      <c r="E1964" s="12" t="s">
        <v>103</v>
      </c>
      <c r="F1964" s="14">
        <v>3</v>
      </c>
      <c r="G1964" s="14">
        <v>2660</v>
      </c>
      <c r="H1964" s="14">
        <v>15</v>
      </c>
      <c r="I1964" s="14">
        <v>6783</v>
      </c>
      <c r="J1964" s="12" t="s">
        <v>104</v>
      </c>
      <c r="K1964" s="12" t="s">
        <v>134</v>
      </c>
      <c r="L1964" s="23" t="str">
        <f>VLOOKUP(D1964,Products!$A:$F,3,FALSE)</f>
        <v>Electronics</v>
      </c>
      <c r="M1964" s="23" t="str">
        <f>VLOOKUP(E1964,Sales_Reps!$A:$E,3,FALSE)</f>
        <v>North</v>
      </c>
      <c r="N1964" s="23" t="str">
        <f t="shared" si="90"/>
        <v>Jan-24</v>
      </c>
      <c r="O1964" s="23" t="str">
        <f t="shared" si="91"/>
        <v>Q1 2024</v>
      </c>
      <c r="P1964" s="23">
        <f>VLOOKUP(D1964,Products!$A:$F,4,FALSE)</f>
        <v>1259</v>
      </c>
      <c r="Q1964" s="35">
        <f t="shared" si="92"/>
        <v>0.52669172932330832</v>
      </c>
    </row>
    <row r="1965" spans="1:17">
      <c r="A1965" s="12" t="s">
        <v>2481</v>
      </c>
      <c r="B1965" s="13">
        <v>45384</v>
      </c>
      <c r="C1965" s="12" t="s">
        <v>612</v>
      </c>
      <c r="D1965" s="12" t="s">
        <v>123</v>
      </c>
      <c r="E1965" s="12" t="s">
        <v>120</v>
      </c>
      <c r="F1965" s="14">
        <v>5</v>
      </c>
      <c r="G1965" s="14">
        <v>3160</v>
      </c>
      <c r="H1965" s="14">
        <v>1.3</v>
      </c>
      <c r="I1965" s="14">
        <v>15594.6</v>
      </c>
      <c r="J1965" s="12" t="s">
        <v>104</v>
      </c>
      <c r="K1965" s="12" t="s">
        <v>116</v>
      </c>
      <c r="L1965" s="23" t="str">
        <f>VLOOKUP(D1965,Products!$A:$F,3,FALSE)</f>
        <v>Apparel</v>
      </c>
      <c r="M1965" s="23" t="str">
        <f>VLOOKUP(E1965,Sales_Reps!$A:$E,3,FALSE)</f>
        <v>North</v>
      </c>
      <c r="N1965" s="23" t="str">
        <f t="shared" si="90"/>
        <v>Apr-24</v>
      </c>
      <c r="O1965" s="23" t="str">
        <f t="shared" si="91"/>
        <v>Q2 2024</v>
      </c>
      <c r="P1965" s="23">
        <f>VLOOKUP(D1965,Products!$A:$F,4,FALSE)</f>
        <v>1886</v>
      </c>
      <c r="Q1965" s="35">
        <f t="shared" si="92"/>
        <v>0.4031645569620253</v>
      </c>
    </row>
    <row r="1966" spans="1:17">
      <c r="A1966" s="12" t="s">
        <v>2482</v>
      </c>
      <c r="B1966" s="13">
        <v>45325</v>
      </c>
      <c r="C1966" s="12" t="s">
        <v>701</v>
      </c>
      <c r="D1966" s="12" t="s">
        <v>127</v>
      </c>
      <c r="E1966" s="12" t="s">
        <v>156</v>
      </c>
      <c r="F1966" s="14">
        <v>10</v>
      </c>
      <c r="G1966" s="14">
        <v>370</v>
      </c>
      <c r="H1966" s="14">
        <v>29</v>
      </c>
      <c r="I1966" s="14">
        <v>2627</v>
      </c>
      <c r="J1966" s="12" t="s">
        <v>104</v>
      </c>
      <c r="K1966" s="12" t="s">
        <v>116</v>
      </c>
      <c r="L1966" s="23" t="str">
        <f>VLOOKUP(D1966,Products!$A:$F,3,FALSE)</f>
        <v>Home</v>
      </c>
      <c r="M1966" s="23" t="str">
        <f>VLOOKUP(E1966,Sales_Reps!$A:$E,3,FALSE)</f>
        <v>North</v>
      </c>
      <c r="N1966" s="23" t="str">
        <f t="shared" si="90"/>
        <v>Feb-24</v>
      </c>
      <c r="O1966" s="23" t="str">
        <f t="shared" si="91"/>
        <v>Q1 2024</v>
      </c>
      <c r="P1966" s="23">
        <f>VLOOKUP(D1966,Products!$A:$F,4,FALSE)</f>
        <v>288</v>
      </c>
      <c r="Q1966" s="35">
        <f t="shared" si="92"/>
        <v>0.22162162162162163</v>
      </c>
    </row>
    <row r="1967" spans="1:17">
      <c r="A1967" s="12" t="s">
        <v>2483</v>
      </c>
      <c r="B1967" s="13">
        <v>45358</v>
      </c>
      <c r="C1967" s="12" t="s">
        <v>1068</v>
      </c>
      <c r="D1967" s="12" t="s">
        <v>199</v>
      </c>
      <c r="E1967" s="12" t="s">
        <v>124</v>
      </c>
      <c r="F1967" s="14">
        <v>10</v>
      </c>
      <c r="G1967" s="14">
        <v>1010</v>
      </c>
      <c r="H1967" s="14">
        <v>14.1</v>
      </c>
      <c r="I1967" s="14">
        <v>8675.9</v>
      </c>
      <c r="J1967" s="12" t="s">
        <v>161</v>
      </c>
      <c r="K1967" s="12" t="s">
        <v>129</v>
      </c>
      <c r="L1967" s="23" t="str">
        <f>VLOOKUP(D1967,Products!$A:$F,3,FALSE)</f>
        <v>Sports</v>
      </c>
      <c r="M1967" s="23" t="str">
        <f>VLOOKUP(E1967,Sales_Reps!$A:$E,3,FALSE)</f>
        <v>North</v>
      </c>
      <c r="N1967" s="23" t="str">
        <f t="shared" si="90"/>
        <v>Mar-24</v>
      </c>
      <c r="O1967" s="23" t="str">
        <f t="shared" si="91"/>
        <v>Q1 2024</v>
      </c>
      <c r="P1967" s="23">
        <f>VLOOKUP(D1967,Products!$A:$F,4,FALSE)</f>
        <v>516</v>
      </c>
      <c r="Q1967" s="35">
        <f t="shared" si="92"/>
        <v>0.4891089108910891</v>
      </c>
    </row>
    <row r="1968" spans="1:17">
      <c r="A1968" s="12" t="s">
        <v>2484</v>
      </c>
      <c r="B1968" s="13">
        <v>45586</v>
      </c>
      <c r="C1968" s="12" t="s">
        <v>350</v>
      </c>
      <c r="D1968" s="12" t="s">
        <v>676</v>
      </c>
      <c r="E1968" s="12" t="s">
        <v>187</v>
      </c>
      <c r="F1968" s="14">
        <v>3</v>
      </c>
      <c r="G1968" s="14">
        <v>3560</v>
      </c>
      <c r="H1968" s="14">
        <v>23.6</v>
      </c>
      <c r="I1968" s="14">
        <v>8159.52</v>
      </c>
      <c r="J1968" s="12" t="s">
        <v>104</v>
      </c>
      <c r="K1968" s="12" t="s">
        <v>150</v>
      </c>
      <c r="L1968" s="23" t="str">
        <f>VLOOKUP(D1968,Products!$A:$F,3,FALSE)</f>
        <v>Apparel</v>
      </c>
      <c r="M1968" s="23" t="str">
        <f>VLOOKUP(E1968,Sales_Reps!$A:$E,3,FALSE)</f>
        <v>West</v>
      </c>
      <c r="N1968" s="23" t="str">
        <f t="shared" si="90"/>
        <v>Oct-24</v>
      </c>
      <c r="O1968" s="23" t="str">
        <f t="shared" si="91"/>
        <v>Q4 2024</v>
      </c>
      <c r="P1968" s="23">
        <f>VLOOKUP(D1968,Products!$A:$F,4,FALSE)</f>
        <v>2629</v>
      </c>
      <c r="Q1968" s="35">
        <f t="shared" si="92"/>
        <v>0.26151685393258428</v>
      </c>
    </row>
    <row r="1969" spans="1:17">
      <c r="A1969" s="12" t="s">
        <v>2485</v>
      </c>
      <c r="B1969" s="13">
        <v>45340</v>
      </c>
      <c r="C1969" s="12" t="s">
        <v>341</v>
      </c>
      <c r="D1969" s="12" t="s">
        <v>284</v>
      </c>
      <c r="E1969" s="12" t="s">
        <v>145</v>
      </c>
      <c r="F1969" s="14">
        <v>9</v>
      </c>
      <c r="G1969" s="14">
        <v>1220</v>
      </c>
      <c r="H1969" s="14">
        <v>16.600000000000001</v>
      </c>
      <c r="I1969" s="14">
        <v>9157.32</v>
      </c>
      <c r="J1969" s="12" t="s">
        <v>104</v>
      </c>
      <c r="K1969" s="12" t="s">
        <v>150</v>
      </c>
      <c r="L1969" s="23" t="str">
        <f>VLOOKUP(D1969,Products!$A:$F,3,FALSE)</f>
        <v>Electronics</v>
      </c>
      <c r="M1969" s="23" t="str">
        <f>VLOOKUP(E1969,Sales_Reps!$A:$E,3,FALSE)</f>
        <v>West</v>
      </c>
      <c r="N1969" s="23" t="str">
        <f t="shared" si="90"/>
        <v>Feb-24</v>
      </c>
      <c r="O1969" s="23" t="str">
        <f t="shared" si="91"/>
        <v>Q1 2024</v>
      </c>
      <c r="P1969" s="23">
        <f>VLOOKUP(D1969,Products!$A:$F,4,FALSE)</f>
        <v>517</v>
      </c>
      <c r="Q1969" s="35">
        <f t="shared" si="92"/>
        <v>0.57622950819672136</v>
      </c>
    </row>
    <row r="1970" spans="1:17">
      <c r="A1970" s="12" t="s">
        <v>2486</v>
      </c>
      <c r="B1970" s="13">
        <v>45343</v>
      </c>
      <c r="C1970" s="12" t="s">
        <v>1248</v>
      </c>
      <c r="D1970" s="12" t="s">
        <v>164</v>
      </c>
      <c r="E1970" s="12" t="s">
        <v>124</v>
      </c>
      <c r="F1970" s="14">
        <v>8</v>
      </c>
      <c r="G1970" s="14">
        <v>190</v>
      </c>
      <c r="H1970" s="14">
        <v>22.3</v>
      </c>
      <c r="I1970" s="14">
        <v>1181.04</v>
      </c>
      <c r="J1970" s="12" t="s">
        <v>104</v>
      </c>
      <c r="K1970" s="12" t="s">
        <v>105</v>
      </c>
      <c r="L1970" s="23" t="str">
        <f>VLOOKUP(D1970,Products!$A:$F,3,FALSE)</f>
        <v>Sports</v>
      </c>
      <c r="M1970" s="23" t="str">
        <f>VLOOKUP(E1970,Sales_Reps!$A:$E,3,FALSE)</f>
        <v>North</v>
      </c>
      <c r="N1970" s="23" t="str">
        <f t="shared" si="90"/>
        <v>Feb-24</v>
      </c>
      <c r="O1970" s="23" t="str">
        <f t="shared" si="91"/>
        <v>Q1 2024</v>
      </c>
      <c r="P1970" s="23">
        <f>VLOOKUP(D1970,Products!$A:$F,4,FALSE)</f>
        <v>147</v>
      </c>
      <c r="Q1970" s="35">
        <f t="shared" si="92"/>
        <v>0.22631578947368422</v>
      </c>
    </row>
    <row r="1971" spans="1:17">
      <c r="A1971" s="12" t="s">
        <v>2487</v>
      </c>
      <c r="B1971" s="13">
        <v>45468</v>
      </c>
      <c r="C1971" s="12" t="s">
        <v>422</v>
      </c>
      <c r="D1971" s="12" t="s">
        <v>199</v>
      </c>
      <c r="E1971" s="12" t="s">
        <v>314</v>
      </c>
      <c r="F1971" s="14">
        <v>2</v>
      </c>
      <c r="G1971" s="14">
        <v>1010</v>
      </c>
      <c r="H1971" s="14">
        <v>3.8</v>
      </c>
      <c r="I1971" s="14">
        <v>1943.24</v>
      </c>
      <c r="J1971" s="12" t="s">
        <v>104</v>
      </c>
      <c r="K1971" s="12" t="s">
        <v>111</v>
      </c>
      <c r="L1971" s="23" t="str">
        <f>VLOOKUP(D1971,Products!$A:$F,3,FALSE)</f>
        <v>Sports</v>
      </c>
      <c r="M1971" s="23" t="str">
        <f>VLOOKUP(E1971,Sales_Reps!$A:$E,3,FALSE)</f>
        <v>North</v>
      </c>
      <c r="N1971" s="23" t="str">
        <f t="shared" si="90"/>
        <v>Jun-24</v>
      </c>
      <c r="O1971" s="23" t="str">
        <f t="shared" si="91"/>
        <v>Q2 2024</v>
      </c>
      <c r="P1971" s="23">
        <f>VLOOKUP(D1971,Products!$A:$F,4,FALSE)</f>
        <v>516</v>
      </c>
      <c r="Q1971" s="35">
        <f t="shared" si="92"/>
        <v>0.4891089108910891</v>
      </c>
    </row>
    <row r="1972" spans="1:17">
      <c r="A1972" s="12" t="s">
        <v>2488</v>
      </c>
      <c r="B1972" s="13">
        <v>45439</v>
      </c>
      <c r="C1972" s="12" t="s">
        <v>891</v>
      </c>
      <c r="D1972" s="12" t="s">
        <v>155</v>
      </c>
      <c r="E1972" s="12" t="s">
        <v>221</v>
      </c>
      <c r="F1972" s="14">
        <v>4</v>
      </c>
      <c r="G1972" s="14">
        <v>2600</v>
      </c>
      <c r="H1972" s="14">
        <v>29.1</v>
      </c>
      <c r="I1972" s="14">
        <v>7373.6</v>
      </c>
      <c r="J1972" s="12" t="s">
        <v>104</v>
      </c>
      <c r="K1972" s="12" t="s">
        <v>129</v>
      </c>
      <c r="L1972" s="23" t="str">
        <f>VLOOKUP(D1972,Products!$A:$F,3,FALSE)</f>
        <v>Electronics</v>
      </c>
      <c r="M1972" s="23" t="str">
        <f>VLOOKUP(E1972,Sales_Reps!$A:$E,3,FALSE)</f>
        <v>South</v>
      </c>
      <c r="N1972" s="23" t="str">
        <f t="shared" si="90"/>
        <v>May-24</v>
      </c>
      <c r="O1972" s="23" t="str">
        <f t="shared" si="91"/>
        <v>Q2 2024</v>
      </c>
      <c r="P1972" s="23">
        <f>VLOOKUP(D1972,Products!$A:$F,4,FALSE)</f>
        <v>1052</v>
      </c>
      <c r="Q1972" s="35">
        <f t="shared" si="92"/>
        <v>0.5953846153846154</v>
      </c>
    </row>
    <row r="1973" spans="1:17">
      <c r="A1973" s="12" t="s">
        <v>2489</v>
      </c>
      <c r="B1973" s="13">
        <v>45517</v>
      </c>
      <c r="C1973" s="12" t="s">
        <v>701</v>
      </c>
      <c r="D1973" s="12" t="s">
        <v>469</v>
      </c>
      <c r="E1973" s="12" t="s">
        <v>246</v>
      </c>
      <c r="F1973" s="14">
        <v>7</v>
      </c>
      <c r="G1973" s="14">
        <v>3450</v>
      </c>
      <c r="H1973" s="14">
        <v>4</v>
      </c>
      <c r="I1973" s="14">
        <v>23184</v>
      </c>
      <c r="J1973" s="12" t="s">
        <v>104</v>
      </c>
      <c r="K1973" s="12" t="s">
        <v>116</v>
      </c>
      <c r="L1973" s="23" t="str">
        <f>VLOOKUP(D1973,Products!$A:$F,3,FALSE)</f>
        <v>Apparel</v>
      </c>
      <c r="M1973" s="23" t="str">
        <f>VLOOKUP(E1973,Sales_Reps!$A:$E,3,FALSE)</f>
        <v>West</v>
      </c>
      <c r="N1973" s="23" t="str">
        <f t="shared" si="90"/>
        <v>Aug-24</v>
      </c>
      <c r="O1973" s="23" t="str">
        <f t="shared" si="91"/>
        <v>Q3 2024</v>
      </c>
      <c r="P1973" s="23">
        <f>VLOOKUP(D1973,Products!$A:$F,4,FALSE)</f>
        <v>1748</v>
      </c>
      <c r="Q1973" s="35">
        <f t="shared" si="92"/>
        <v>0.49333333333333335</v>
      </c>
    </row>
    <row r="1974" spans="1:17">
      <c r="A1974" s="12" t="s">
        <v>2490</v>
      </c>
      <c r="B1974" s="13">
        <v>45311</v>
      </c>
      <c r="C1974" s="12" t="s">
        <v>261</v>
      </c>
      <c r="D1974" s="12" t="s">
        <v>372</v>
      </c>
      <c r="E1974" s="12" t="s">
        <v>138</v>
      </c>
      <c r="F1974" s="14">
        <v>6</v>
      </c>
      <c r="G1974" s="14">
        <v>2510</v>
      </c>
      <c r="H1974" s="14">
        <v>12.7</v>
      </c>
      <c r="I1974" s="14">
        <v>13147.38</v>
      </c>
      <c r="J1974" s="12" t="s">
        <v>104</v>
      </c>
      <c r="K1974" s="12" t="s">
        <v>111</v>
      </c>
      <c r="L1974" s="23" t="str">
        <f>VLOOKUP(D1974,Products!$A:$F,3,FALSE)</f>
        <v>Apparel</v>
      </c>
      <c r="M1974" s="23" t="str">
        <f>VLOOKUP(E1974,Sales_Reps!$A:$E,3,FALSE)</f>
        <v>East</v>
      </c>
      <c r="N1974" s="23" t="str">
        <f t="shared" si="90"/>
        <v>Jan-24</v>
      </c>
      <c r="O1974" s="23" t="str">
        <f t="shared" si="91"/>
        <v>Q1 2024</v>
      </c>
      <c r="P1974" s="23">
        <f>VLOOKUP(D1974,Products!$A:$F,4,FALSE)</f>
        <v>1075</v>
      </c>
      <c r="Q1974" s="35">
        <f t="shared" si="92"/>
        <v>0.57171314741035861</v>
      </c>
    </row>
    <row r="1975" spans="1:17">
      <c r="A1975" s="12" t="s">
        <v>2491</v>
      </c>
      <c r="B1975" s="13">
        <v>45560</v>
      </c>
      <c r="C1975" s="12" t="s">
        <v>126</v>
      </c>
      <c r="D1975" s="12" t="s">
        <v>164</v>
      </c>
      <c r="E1975" s="12" t="s">
        <v>360</v>
      </c>
      <c r="F1975" s="14">
        <v>6</v>
      </c>
      <c r="G1975" s="14">
        <v>190</v>
      </c>
      <c r="H1975" s="14">
        <v>20</v>
      </c>
      <c r="I1975" s="14">
        <v>912</v>
      </c>
      <c r="J1975" s="12" t="s">
        <v>157</v>
      </c>
      <c r="K1975" s="12" t="s">
        <v>129</v>
      </c>
      <c r="L1975" s="23" t="str">
        <f>VLOOKUP(D1975,Products!$A:$F,3,FALSE)</f>
        <v>Sports</v>
      </c>
      <c r="M1975" s="23" t="str">
        <f>VLOOKUP(E1975,Sales_Reps!$A:$E,3,FALSE)</f>
        <v>West</v>
      </c>
      <c r="N1975" s="23" t="str">
        <f t="shared" si="90"/>
        <v>Sep-24</v>
      </c>
      <c r="O1975" s="23" t="str">
        <f t="shared" si="91"/>
        <v>Q3 2024</v>
      </c>
      <c r="P1975" s="23">
        <f>VLOOKUP(D1975,Products!$A:$F,4,FALSE)</f>
        <v>147</v>
      </c>
      <c r="Q1975" s="35">
        <f t="shared" si="92"/>
        <v>0.22631578947368422</v>
      </c>
    </row>
    <row r="1976" spans="1:17">
      <c r="A1976" s="12" t="s">
        <v>2492</v>
      </c>
      <c r="B1976" s="13">
        <v>45529</v>
      </c>
      <c r="C1976" s="12" t="s">
        <v>1248</v>
      </c>
      <c r="D1976" s="12" t="s">
        <v>193</v>
      </c>
      <c r="E1976" s="12" t="s">
        <v>246</v>
      </c>
      <c r="F1976" s="14">
        <v>10</v>
      </c>
      <c r="G1976" s="14">
        <v>1650</v>
      </c>
      <c r="H1976" s="14">
        <v>21.5</v>
      </c>
      <c r="I1976" s="14">
        <v>12952.5</v>
      </c>
      <c r="J1976" s="12" t="s">
        <v>104</v>
      </c>
      <c r="K1976" s="12" t="s">
        <v>105</v>
      </c>
      <c r="L1976" s="23" t="str">
        <f>VLOOKUP(D1976,Products!$A:$F,3,FALSE)</f>
        <v>Beauty</v>
      </c>
      <c r="M1976" s="23" t="str">
        <f>VLOOKUP(E1976,Sales_Reps!$A:$E,3,FALSE)</f>
        <v>West</v>
      </c>
      <c r="N1976" s="23" t="str">
        <f t="shared" si="90"/>
        <v>Aug-24</v>
      </c>
      <c r="O1976" s="23" t="str">
        <f t="shared" si="91"/>
        <v>Q3 2024</v>
      </c>
      <c r="P1976" s="23">
        <f>VLOOKUP(D1976,Products!$A:$F,4,FALSE)</f>
        <v>1222</v>
      </c>
      <c r="Q1976" s="35">
        <f t="shared" si="92"/>
        <v>0.2593939393939394</v>
      </c>
    </row>
    <row r="1977" spans="1:17">
      <c r="A1977" s="12" t="s">
        <v>2493</v>
      </c>
      <c r="B1977" s="13">
        <v>45344</v>
      </c>
      <c r="C1977" s="12" t="s">
        <v>136</v>
      </c>
      <c r="D1977" s="12" t="s">
        <v>212</v>
      </c>
      <c r="E1977" s="12" t="s">
        <v>221</v>
      </c>
      <c r="F1977" s="14">
        <v>4</v>
      </c>
      <c r="G1977" s="14">
        <v>2860</v>
      </c>
      <c r="H1977" s="14">
        <v>15.2</v>
      </c>
      <c r="I1977" s="14">
        <v>9701.1200000000008</v>
      </c>
      <c r="J1977" s="12" t="s">
        <v>104</v>
      </c>
      <c r="K1977" s="12" t="s">
        <v>134</v>
      </c>
      <c r="L1977" s="23" t="str">
        <f>VLOOKUP(D1977,Products!$A:$F,3,FALSE)</f>
        <v>Sports</v>
      </c>
      <c r="M1977" s="23" t="str">
        <f>VLOOKUP(E1977,Sales_Reps!$A:$E,3,FALSE)</f>
        <v>South</v>
      </c>
      <c r="N1977" s="23" t="str">
        <f t="shared" si="90"/>
        <v>Feb-24</v>
      </c>
      <c r="O1977" s="23" t="str">
        <f t="shared" si="91"/>
        <v>Q1 2024</v>
      </c>
      <c r="P1977" s="23">
        <f>VLOOKUP(D1977,Products!$A:$F,4,FALSE)</f>
        <v>2028</v>
      </c>
      <c r="Q1977" s="35">
        <f t="shared" si="92"/>
        <v>0.29090909090909089</v>
      </c>
    </row>
    <row r="1978" spans="1:17">
      <c r="A1978" s="12" t="s">
        <v>2494</v>
      </c>
      <c r="B1978" s="13">
        <v>45589</v>
      </c>
      <c r="C1978" s="12" t="s">
        <v>962</v>
      </c>
      <c r="D1978" s="12" t="s">
        <v>114</v>
      </c>
      <c r="E1978" s="12" t="s">
        <v>145</v>
      </c>
      <c r="F1978" s="14">
        <v>3</v>
      </c>
      <c r="G1978" s="14">
        <v>470</v>
      </c>
      <c r="H1978" s="14">
        <v>14.2</v>
      </c>
      <c r="I1978" s="14">
        <v>1209.78</v>
      </c>
      <c r="J1978" s="12" t="s">
        <v>104</v>
      </c>
      <c r="K1978" s="12" t="s">
        <v>105</v>
      </c>
      <c r="L1978" s="23" t="str">
        <f>VLOOKUP(D1978,Products!$A:$F,3,FALSE)</f>
        <v>Sports</v>
      </c>
      <c r="M1978" s="23" t="str">
        <f>VLOOKUP(E1978,Sales_Reps!$A:$E,3,FALSE)</f>
        <v>West</v>
      </c>
      <c r="N1978" s="23" t="str">
        <f t="shared" si="90"/>
        <v>Oct-24</v>
      </c>
      <c r="O1978" s="23" t="str">
        <f t="shared" si="91"/>
        <v>Q4 2024</v>
      </c>
      <c r="P1978" s="23">
        <f>VLOOKUP(D1978,Products!$A:$F,4,FALSE)</f>
        <v>302</v>
      </c>
      <c r="Q1978" s="35">
        <f t="shared" si="92"/>
        <v>0.35744680851063831</v>
      </c>
    </row>
    <row r="1979" spans="1:17">
      <c r="A1979" s="12" t="s">
        <v>2495</v>
      </c>
      <c r="B1979" s="13">
        <v>45469</v>
      </c>
      <c r="C1979" s="12" t="s">
        <v>960</v>
      </c>
      <c r="D1979" s="12" t="s">
        <v>212</v>
      </c>
      <c r="E1979" s="12" t="s">
        <v>187</v>
      </c>
      <c r="F1979" s="14">
        <v>2</v>
      </c>
      <c r="G1979" s="14">
        <v>2860</v>
      </c>
      <c r="H1979" s="14">
        <v>17.899999999999999</v>
      </c>
      <c r="I1979" s="14">
        <v>4696.12</v>
      </c>
      <c r="J1979" s="12" t="s">
        <v>104</v>
      </c>
      <c r="K1979" s="12" t="s">
        <v>150</v>
      </c>
      <c r="L1979" s="23" t="str">
        <f>VLOOKUP(D1979,Products!$A:$F,3,FALSE)</f>
        <v>Sports</v>
      </c>
      <c r="M1979" s="23" t="str">
        <f>VLOOKUP(E1979,Sales_Reps!$A:$E,3,FALSE)</f>
        <v>West</v>
      </c>
      <c r="N1979" s="23" t="str">
        <f t="shared" si="90"/>
        <v>Jun-24</v>
      </c>
      <c r="O1979" s="23" t="str">
        <f t="shared" si="91"/>
        <v>Q2 2024</v>
      </c>
      <c r="P1979" s="23">
        <f>VLOOKUP(D1979,Products!$A:$F,4,FALSE)</f>
        <v>2028</v>
      </c>
      <c r="Q1979" s="35">
        <f t="shared" si="92"/>
        <v>0.29090909090909089</v>
      </c>
    </row>
    <row r="1980" spans="1:17">
      <c r="A1980" s="12" t="s">
        <v>2496</v>
      </c>
      <c r="B1980" s="13">
        <v>45407</v>
      </c>
      <c r="C1980" s="12" t="s">
        <v>1367</v>
      </c>
      <c r="D1980" s="12" t="s">
        <v>184</v>
      </c>
      <c r="E1980" s="12" t="s">
        <v>320</v>
      </c>
      <c r="F1980" s="14">
        <v>2</v>
      </c>
      <c r="G1980" s="14">
        <v>2480</v>
      </c>
      <c r="H1980" s="14">
        <v>11.5</v>
      </c>
      <c r="I1980" s="14">
        <v>4389.6000000000004</v>
      </c>
      <c r="J1980" s="12" t="s">
        <v>157</v>
      </c>
      <c r="K1980" s="12" t="s">
        <v>129</v>
      </c>
      <c r="L1980" s="23" t="str">
        <f>VLOOKUP(D1980,Products!$A:$F,3,FALSE)</f>
        <v>Apparel</v>
      </c>
      <c r="M1980" s="23" t="str">
        <f>VLOOKUP(E1980,Sales_Reps!$A:$E,3,FALSE)</f>
        <v>East</v>
      </c>
      <c r="N1980" s="23" t="str">
        <f t="shared" si="90"/>
        <v>Apr-24</v>
      </c>
      <c r="O1980" s="23" t="str">
        <f t="shared" si="91"/>
        <v>Q2 2024</v>
      </c>
      <c r="P1980" s="23">
        <f>VLOOKUP(D1980,Products!$A:$F,4,FALSE)</f>
        <v>1173</v>
      </c>
      <c r="Q1980" s="35">
        <f t="shared" si="92"/>
        <v>0.52701612903225803</v>
      </c>
    </row>
    <row r="1981" spans="1:17">
      <c r="A1981" s="12" t="s">
        <v>2497</v>
      </c>
      <c r="B1981" s="13">
        <v>45635</v>
      </c>
      <c r="C1981" s="12" t="s">
        <v>1023</v>
      </c>
      <c r="D1981" s="12" t="s">
        <v>312</v>
      </c>
      <c r="E1981" s="12" t="s">
        <v>120</v>
      </c>
      <c r="F1981" s="14">
        <v>10</v>
      </c>
      <c r="G1981" s="14">
        <v>2030</v>
      </c>
      <c r="H1981" s="14">
        <v>29.2</v>
      </c>
      <c r="I1981" s="14">
        <v>14372.4</v>
      </c>
      <c r="J1981" s="12" t="s">
        <v>104</v>
      </c>
      <c r="K1981" s="12" t="s">
        <v>134</v>
      </c>
      <c r="L1981" s="23" t="str">
        <f>VLOOKUP(D1981,Products!$A:$F,3,FALSE)</f>
        <v>Home</v>
      </c>
      <c r="M1981" s="23" t="str">
        <f>VLOOKUP(E1981,Sales_Reps!$A:$E,3,FALSE)</f>
        <v>North</v>
      </c>
      <c r="N1981" s="23" t="str">
        <f t="shared" si="90"/>
        <v>Dec-24</v>
      </c>
      <c r="O1981" s="23" t="str">
        <f t="shared" si="91"/>
        <v>Q4 2024</v>
      </c>
      <c r="P1981" s="23">
        <f>VLOOKUP(D1981,Products!$A:$F,4,FALSE)</f>
        <v>1143</v>
      </c>
      <c r="Q1981" s="35">
        <f t="shared" si="92"/>
        <v>0.43694581280788175</v>
      </c>
    </row>
    <row r="1982" spans="1:17">
      <c r="A1982" s="12" t="s">
        <v>2498</v>
      </c>
      <c r="B1982" s="13">
        <v>45489</v>
      </c>
      <c r="C1982" s="12" t="s">
        <v>211</v>
      </c>
      <c r="D1982" s="12" t="s">
        <v>174</v>
      </c>
      <c r="E1982" s="12" t="s">
        <v>342</v>
      </c>
      <c r="F1982" s="14">
        <v>6</v>
      </c>
      <c r="G1982" s="14">
        <v>3450</v>
      </c>
      <c r="H1982" s="14">
        <v>3.5</v>
      </c>
      <c r="I1982" s="14">
        <v>19975.5</v>
      </c>
      <c r="J1982" s="12" t="s">
        <v>161</v>
      </c>
      <c r="K1982" s="12" t="s">
        <v>105</v>
      </c>
      <c r="L1982" s="23" t="str">
        <f>VLOOKUP(D1982,Products!$A:$F,3,FALSE)</f>
        <v>Beauty</v>
      </c>
      <c r="M1982" s="23" t="str">
        <f>VLOOKUP(E1982,Sales_Reps!$A:$E,3,FALSE)</f>
        <v>South</v>
      </c>
      <c r="N1982" s="23" t="str">
        <f t="shared" si="90"/>
        <v>Jul-24</v>
      </c>
      <c r="O1982" s="23" t="str">
        <f t="shared" si="91"/>
        <v>Q3 2024</v>
      </c>
      <c r="P1982" s="23">
        <f>VLOOKUP(D1982,Products!$A:$F,4,FALSE)</f>
        <v>2420</v>
      </c>
      <c r="Q1982" s="35">
        <f t="shared" si="92"/>
        <v>0.29855072463768118</v>
      </c>
    </row>
    <row r="1983" spans="1:17">
      <c r="A1983" s="12" t="s">
        <v>2499</v>
      </c>
      <c r="B1983" s="13">
        <v>45356</v>
      </c>
      <c r="C1983" s="12" t="s">
        <v>619</v>
      </c>
      <c r="D1983" s="12" t="s">
        <v>137</v>
      </c>
      <c r="E1983" s="12" t="s">
        <v>290</v>
      </c>
      <c r="F1983" s="14">
        <v>10</v>
      </c>
      <c r="G1983" s="14">
        <v>1430</v>
      </c>
      <c r="H1983" s="14">
        <v>3.5</v>
      </c>
      <c r="I1983" s="14">
        <v>13799.5</v>
      </c>
      <c r="J1983" s="12" t="s">
        <v>104</v>
      </c>
      <c r="K1983" s="12" t="s">
        <v>111</v>
      </c>
      <c r="L1983" s="23" t="str">
        <f>VLOOKUP(D1983,Products!$A:$F,3,FALSE)</f>
        <v>Electronics</v>
      </c>
      <c r="M1983" s="23" t="str">
        <f>VLOOKUP(E1983,Sales_Reps!$A:$E,3,FALSE)</f>
        <v>South</v>
      </c>
      <c r="N1983" s="23" t="str">
        <f t="shared" si="90"/>
        <v>Mar-24</v>
      </c>
      <c r="O1983" s="23" t="str">
        <f t="shared" si="91"/>
        <v>Q1 2024</v>
      </c>
      <c r="P1983" s="23">
        <f>VLOOKUP(D1983,Products!$A:$F,4,FALSE)</f>
        <v>861</v>
      </c>
      <c r="Q1983" s="35">
        <f t="shared" si="92"/>
        <v>0.39790209790209791</v>
      </c>
    </row>
    <row r="1984" spans="1:17">
      <c r="A1984" s="12" t="s">
        <v>2500</v>
      </c>
      <c r="B1984" s="13">
        <v>45422</v>
      </c>
      <c r="C1984" s="12" t="s">
        <v>602</v>
      </c>
      <c r="D1984" s="12" t="s">
        <v>108</v>
      </c>
      <c r="E1984" s="12" t="s">
        <v>255</v>
      </c>
      <c r="F1984" s="14">
        <v>1</v>
      </c>
      <c r="G1984" s="14">
        <v>820</v>
      </c>
      <c r="H1984" s="14">
        <v>14.5</v>
      </c>
      <c r="I1984" s="14">
        <v>701.1</v>
      </c>
      <c r="J1984" s="12" t="s">
        <v>157</v>
      </c>
      <c r="K1984" s="12" t="s">
        <v>111</v>
      </c>
      <c r="L1984" s="23" t="str">
        <f>VLOOKUP(D1984,Products!$A:$F,3,FALSE)</f>
        <v>Apparel</v>
      </c>
      <c r="M1984" s="23" t="str">
        <f>VLOOKUP(E1984,Sales_Reps!$A:$E,3,FALSE)</f>
        <v>East</v>
      </c>
      <c r="N1984" s="23" t="str">
        <f t="shared" si="90"/>
        <v>May-24</v>
      </c>
      <c r="O1984" s="23" t="str">
        <f t="shared" si="91"/>
        <v>Q2 2024</v>
      </c>
      <c r="P1984" s="23">
        <f>VLOOKUP(D1984,Products!$A:$F,4,FALSE)</f>
        <v>391</v>
      </c>
      <c r="Q1984" s="35">
        <f t="shared" si="92"/>
        <v>0.52317073170731709</v>
      </c>
    </row>
    <row r="1985" spans="1:17">
      <c r="A1985" s="12" t="s">
        <v>2501</v>
      </c>
      <c r="B1985" s="13">
        <v>45333</v>
      </c>
      <c r="C1985" s="12" t="s">
        <v>1055</v>
      </c>
      <c r="D1985" s="12" t="s">
        <v>201</v>
      </c>
      <c r="E1985" s="12" t="s">
        <v>171</v>
      </c>
      <c r="F1985" s="14">
        <v>5</v>
      </c>
      <c r="G1985" s="14">
        <v>4880</v>
      </c>
      <c r="H1985" s="14">
        <v>1.8</v>
      </c>
      <c r="I1985" s="14">
        <v>23960.799999999999</v>
      </c>
      <c r="J1985" s="12" t="s">
        <v>104</v>
      </c>
      <c r="K1985" s="12" t="s">
        <v>134</v>
      </c>
      <c r="L1985" s="23" t="str">
        <f>VLOOKUP(D1985,Products!$A:$F,3,FALSE)</f>
        <v>Beauty</v>
      </c>
      <c r="M1985" s="23" t="str">
        <f>VLOOKUP(E1985,Sales_Reps!$A:$E,3,FALSE)</f>
        <v>East</v>
      </c>
      <c r="N1985" s="23" t="str">
        <f t="shared" si="90"/>
        <v>Feb-24</v>
      </c>
      <c r="O1985" s="23" t="str">
        <f t="shared" si="91"/>
        <v>Q1 2024</v>
      </c>
      <c r="P1985" s="23">
        <f>VLOOKUP(D1985,Products!$A:$F,4,FALSE)</f>
        <v>2768</v>
      </c>
      <c r="Q1985" s="35">
        <f t="shared" si="92"/>
        <v>0.43278688524590164</v>
      </c>
    </row>
    <row r="1986" spans="1:17">
      <c r="A1986" s="12" t="s">
        <v>2502</v>
      </c>
      <c r="B1986" s="13">
        <v>45385</v>
      </c>
      <c r="C1986" s="12" t="s">
        <v>126</v>
      </c>
      <c r="D1986" s="12" t="s">
        <v>196</v>
      </c>
      <c r="E1986" s="12" t="s">
        <v>363</v>
      </c>
      <c r="F1986" s="14">
        <v>8</v>
      </c>
      <c r="G1986" s="14">
        <v>3350</v>
      </c>
      <c r="H1986" s="14">
        <v>26.3</v>
      </c>
      <c r="I1986" s="14">
        <v>19751.599999999999</v>
      </c>
      <c r="J1986" s="12" t="s">
        <v>157</v>
      </c>
      <c r="K1986" s="12" t="s">
        <v>129</v>
      </c>
      <c r="L1986" s="23" t="str">
        <f>VLOOKUP(D1986,Products!$A:$F,3,FALSE)</f>
        <v>Beauty</v>
      </c>
      <c r="M1986" s="23" t="str">
        <f>VLOOKUP(E1986,Sales_Reps!$A:$E,3,FALSE)</f>
        <v>South</v>
      </c>
      <c r="N1986" s="23" t="str">
        <f t="shared" si="90"/>
        <v>Apr-24</v>
      </c>
      <c r="O1986" s="23" t="str">
        <f t="shared" si="91"/>
        <v>Q2 2024</v>
      </c>
      <c r="P1986" s="23">
        <f>VLOOKUP(D1986,Products!$A:$F,4,FALSE)</f>
        <v>1728</v>
      </c>
      <c r="Q1986" s="35">
        <f t="shared" si="92"/>
        <v>0.48417910447761192</v>
      </c>
    </row>
    <row r="1987" spans="1:17">
      <c r="A1987" s="12" t="s">
        <v>2503</v>
      </c>
      <c r="B1987" s="13">
        <v>45298</v>
      </c>
      <c r="C1987" s="12" t="s">
        <v>183</v>
      </c>
      <c r="D1987" s="12" t="s">
        <v>184</v>
      </c>
      <c r="E1987" s="12" t="s">
        <v>302</v>
      </c>
      <c r="F1987" s="14">
        <v>9</v>
      </c>
      <c r="G1987" s="14">
        <v>2480</v>
      </c>
      <c r="H1987" s="14">
        <v>24.3</v>
      </c>
      <c r="I1987" s="14">
        <v>16896.240000000002</v>
      </c>
      <c r="J1987" s="12" t="s">
        <v>104</v>
      </c>
      <c r="K1987" s="12" t="s">
        <v>150</v>
      </c>
      <c r="L1987" s="23" t="str">
        <f>VLOOKUP(D1987,Products!$A:$F,3,FALSE)</f>
        <v>Apparel</v>
      </c>
      <c r="M1987" s="23" t="str">
        <f>VLOOKUP(E1987,Sales_Reps!$A:$E,3,FALSE)</f>
        <v>East</v>
      </c>
      <c r="N1987" s="23" t="str">
        <f t="shared" ref="N1987:N2001" si="93">TEXT(B1987, "mmm-yy")</f>
        <v>Jan-24</v>
      </c>
      <c r="O1987" s="23" t="str">
        <f t="shared" ref="O1987:O2001" si="94">"Q" &amp; INT((MONTH(B1987)-1)/3)+1 &amp; " " &amp; YEAR(B1987)</f>
        <v>Q1 2024</v>
      </c>
      <c r="P1987" s="23">
        <f>VLOOKUP(D1987,Products!$A:$F,4,FALSE)</f>
        <v>1173</v>
      </c>
      <c r="Q1987" s="35">
        <f t="shared" ref="Q1987:Q2001" si="95">(G1987 - P1987) / G1987</f>
        <v>0.52701612903225803</v>
      </c>
    </row>
    <row r="1988" spans="1:17">
      <c r="A1988" s="12" t="s">
        <v>2504</v>
      </c>
      <c r="B1988" s="13">
        <v>45500</v>
      </c>
      <c r="C1988" s="12" t="s">
        <v>248</v>
      </c>
      <c r="D1988" s="12" t="s">
        <v>287</v>
      </c>
      <c r="E1988" s="12" t="s">
        <v>133</v>
      </c>
      <c r="F1988" s="14">
        <v>9</v>
      </c>
      <c r="G1988" s="14">
        <v>4610</v>
      </c>
      <c r="H1988" s="14">
        <v>10</v>
      </c>
      <c r="I1988" s="14">
        <v>37341</v>
      </c>
      <c r="J1988" s="12" t="s">
        <v>104</v>
      </c>
      <c r="K1988" s="12" t="s">
        <v>134</v>
      </c>
      <c r="L1988" s="23" t="str">
        <f>VLOOKUP(D1988,Products!$A:$F,3,FALSE)</f>
        <v>Home</v>
      </c>
      <c r="M1988" s="23" t="str">
        <f>VLOOKUP(E1988,Sales_Reps!$A:$E,3,FALSE)</f>
        <v>West</v>
      </c>
      <c r="N1988" s="23" t="str">
        <f t="shared" si="93"/>
        <v>Jul-24</v>
      </c>
      <c r="O1988" s="23" t="str">
        <f t="shared" si="94"/>
        <v>Q3 2024</v>
      </c>
      <c r="P1988" s="23">
        <f>VLOOKUP(D1988,Products!$A:$F,4,FALSE)</f>
        <v>1850</v>
      </c>
      <c r="Q1988" s="35">
        <f t="shared" si="95"/>
        <v>0.59869848156182215</v>
      </c>
    </row>
    <row r="1989" spans="1:17">
      <c r="A1989" s="12" t="s">
        <v>2505</v>
      </c>
      <c r="B1989" s="13">
        <v>45409</v>
      </c>
      <c r="C1989" s="12" t="s">
        <v>1068</v>
      </c>
      <c r="D1989" s="12" t="s">
        <v>251</v>
      </c>
      <c r="E1989" s="12" t="s">
        <v>156</v>
      </c>
      <c r="F1989" s="14">
        <v>1</v>
      </c>
      <c r="G1989" s="14">
        <v>3780</v>
      </c>
      <c r="H1989" s="14">
        <v>2.2000000000000002</v>
      </c>
      <c r="I1989" s="14">
        <v>3696.84</v>
      </c>
      <c r="J1989" s="12" t="s">
        <v>104</v>
      </c>
      <c r="K1989" s="12" t="s">
        <v>129</v>
      </c>
      <c r="L1989" s="23" t="str">
        <f>VLOOKUP(D1989,Products!$A:$F,3,FALSE)</f>
        <v>Grocery</v>
      </c>
      <c r="M1989" s="23" t="str">
        <f>VLOOKUP(E1989,Sales_Reps!$A:$E,3,FALSE)</f>
        <v>North</v>
      </c>
      <c r="N1989" s="23" t="str">
        <f t="shared" si="93"/>
        <v>Apr-24</v>
      </c>
      <c r="O1989" s="23" t="str">
        <f t="shared" si="94"/>
        <v>Q2 2024</v>
      </c>
      <c r="P1989" s="23">
        <f>VLOOKUP(D1989,Products!$A:$F,4,FALSE)</f>
        <v>2436</v>
      </c>
      <c r="Q1989" s="35">
        <f t="shared" si="95"/>
        <v>0.35555555555555557</v>
      </c>
    </row>
    <row r="1990" spans="1:17">
      <c r="A1990" s="12" t="s">
        <v>2506</v>
      </c>
      <c r="B1990" s="13">
        <v>45401</v>
      </c>
      <c r="C1990" s="12" t="s">
        <v>722</v>
      </c>
      <c r="D1990" s="12" t="s">
        <v>293</v>
      </c>
      <c r="E1990" s="12" t="s">
        <v>218</v>
      </c>
      <c r="F1990" s="14">
        <v>3</v>
      </c>
      <c r="G1990" s="14">
        <v>3020</v>
      </c>
      <c r="H1990" s="14">
        <v>21.4</v>
      </c>
      <c r="I1990" s="14">
        <v>7121.16</v>
      </c>
      <c r="J1990" s="12" t="s">
        <v>157</v>
      </c>
      <c r="K1990" s="12" t="s">
        <v>116</v>
      </c>
      <c r="L1990" s="23" t="str">
        <f>VLOOKUP(D1990,Products!$A:$F,3,FALSE)</f>
        <v>Beauty</v>
      </c>
      <c r="M1990" s="23" t="str">
        <f>VLOOKUP(E1990,Sales_Reps!$A:$E,3,FALSE)</f>
        <v>West</v>
      </c>
      <c r="N1990" s="23" t="str">
        <f t="shared" si="93"/>
        <v>Apr-24</v>
      </c>
      <c r="O1990" s="23" t="str">
        <f t="shared" si="94"/>
        <v>Q2 2024</v>
      </c>
      <c r="P1990" s="23">
        <f>VLOOKUP(D1990,Products!$A:$F,4,FALSE)</f>
        <v>1626</v>
      </c>
      <c r="Q1990" s="35">
        <f t="shared" si="95"/>
        <v>0.46158940397350995</v>
      </c>
    </row>
    <row r="1991" spans="1:17">
      <c r="A1991" s="12" t="s">
        <v>2507</v>
      </c>
      <c r="B1991" s="13">
        <v>45645</v>
      </c>
      <c r="C1991" s="12" t="s">
        <v>183</v>
      </c>
      <c r="D1991" s="12" t="s">
        <v>519</v>
      </c>
      <c r="E1991" s="12" t="s">
        <v>120</v>
      </c>
      <c r="F1991" s="14">
        <v>10</v>
      </c>
      <c r="G1991" s="14">
        <v>1090</v>
      </c>
      <c r="H1991" s="14">
        <v>29.2</v>
      </c>
      <c r="I1991" s="14">
        <v>7717.2</v>
      </c>
      <c r="J1991" s="12" t="s">
        <v>157</v>
      </c>
      <c r="K1991" s="12" t="s">
        <v>150</v>
      </c>
      <c r="L1991" s="23" t="str">
        <f>VLOOKUP(D1991,Products!$A:$F,3,FALSE)</f>
        <v>Home</v>
      </c>
      <c r="M1991" s="23" t="str">
        <f>VLOOKUP(E1991,Sales_Reps!$A:$E,3,FALSE)</f>
        <v>North</v>
      </c>
      <c r="N1991" s="23" t="str">
        <f t="shared" si="93"/>
        <v>Dec-24</v>
      </c>
      <c r="O1991" s="23" t="str">
        <f t="shared" si="94"/>
        <v>Q4 2024</v>
      </c>
      <c r="P1991" s="23">
        <f>VLOOKUP(D1991,Products!$A:$F,4,FALSE)</f>
        <v>464</v>
      </c>
      <c r="Q1991" s="35">
        <f t="shared" si="95"/>
        <v>0.57431192660550456</v>
      </c>
    </row>
    <row r="1992" spans="1:17">
      <c r="A1992" s="12" t="s">
        <v>2508</v>
      </c>
      <c r="B1992" s="13">
        <v>45616</v>
      </c>
      <c r="C1992" s="12" t="s">
        <v>1121</v>
      </c>
      <c r="D1992" s="12" t="s">
        <v>208</v>
      </c>
      <c r="E1992" s="12" t="s">
        <v>269</v>
      </c>
      <c r="F1992" s="14">
        <v>5</v>
      </c>
      <c r="G1992" s="14">
        <v>5100</v>
      </c>
      <c r="H1992" s="14">
        <v>28.4</v>
      </c>
      <c r="I1992" s="14">
        <v>18258</v>
      </c>
      <c r="J1992" s="12" t="s">
        <v>104</v>
      </c>
      <c r="K1992" s="12" t="s">
        <v>134</v>
      </c>
      <c r="L1992" s="23" t="str">
        <f>VLOOKUP(D1992,Products!$A:$F,3,FALSE)</f>
        <v>Beauty</v>
      </c>
      <c r="M1992" s="23" t="str">
        <f>VLOOKUP(E1992,Sales_Reps!$A:$E,3,FALSE)</f>
        <v>South</v>
      </c>
      <c r="N1992" s="23" t="str">
        <f t="shared" si="93"/>
        <v>Nov-24</v>
      </c>
      <c r="O1992" s="23" t="str">
        <f t="shared" si="94"/>
        <v>Q4 2024</v>
      </c>
      <c r="P1992" s="23">
        <f>VLOOKUP(D1992,Products!$A:$F,4,FALSE)</f>
        <v>2237</v>
      </c>
      <c r="Q1992" s="35">
        <f t="shared" si="95"/>
        <v>0.56137254901960787</v>
      </c>
    </row>
    <row r="1993" spans="1:17">
      <c r="A1993" s="12" t="s">
        <v>2509</v>
      </c>
      <c r="B1993" s="13">
        <v>45352</v>
      </c>
      <c r="C1993" s="12" t="s">
        <v>599</v>
      </c>
      <c r="D1993" s="12" t="s">
        <v>201</v>
      </c>
      <c r="E1993" s="12" t="s">
        <v>124</v>
      </c>
      <c r="F1993" s="14">
        <v>6</v>
      </c>
      <c r="G1993" s="14">
        <v>4880</v>
      </c>
      <c r="H1993" s="14">
        <v>16.8</v>
      </c>
      <c r="I1993" s="14">
        <v>24360.959999999999</v>
      </c>
      <c r="J1993" s="12" t="s">
        <v>104</v>
      </c>
      <c r="K1993" s="12" t="s">
        <v>111</v>
      </c>
      <c r="L1993" s="23" t="str">
        <f>VLOOKUP(D1993,Products!$A:$F,3,FALSE)</f>
        <v>Beauty</v>
      </c>
      <c r="M1993" s="23" t="str">
        <f>VLOOKUP(E1993,Sales_Reps!$A:$E,3,FALSE)</f>
        <v>North</v>
      </c>
      <c r="N1993" s="23" t="str">
        <f t="shared" si="93"/>
        <v>Mar-24</v>
      </c>
      <c r="O1993" s="23" t="str">
        <f t="shared" si="94"/>
        <v>Q1 2024</v>
      </c>
      <c r="P1993" s="23">
        <f>VLOOKUP(D1993,Products!$A:$F,4,FALSE)</f>
        <v>2768</v>
      </c>
      <c r="Q1993" s="35">
        <f t="shared" si="95"/>
        <v>0.43278688524590164</v>
      </c>
    </row>
    <row r="1994" spans="1:17">
      <c r="A1994" s="12" t="s">
        <v>2510</v>
      </c>
      <c r="B1994" s="13">
        <v>45451</v>
      </c>
      <c r="C1994" s="12" t="s">
        <v>714</v>
      </c>
      <c r="D1994" s="12" t="s">
        <v>381</v>
      </c>
      <c r="E1994" s="12" t="s">
        <v>360</v>
      </c>
      <c r="F1994" s="14">
        <v>1</v>
      </c>
      <c r="G1994" s="14">
        <v>5330</v>
      </c>
      <c r="H1994" s="14">
        <v>27.5</v>
      </c>
      <c r="I1994" s="14">
        <v>3864.25</v>
      </c>
      <c r="J1994" s="12" t="s">
        <v>104</v>
      </c>
      <c r="K1994" s="12" t="s">
        <v>150</v>
      </c>
      <c r="L1994" s="23" t="str">
        <f>VLOOKUP(D1994,Products!$A:$F,3,FALSE)</f>
        <v>Electronics</v>
      </c>
      <c r="M1994" s="23" t="str">
        <f>VLOOKUP(E1994,Sales_Reps!$A:$E,3,FALSE)</f>
        <v>West</v>
      </c>
      <c r="N1994" s="23" t="str">
        <f t="shared" si="93"/>
        <v>Jun-24</v>
      </c>
      <c r="O1994" s="23" t="str">
        <f t="shared" si="94"/>
        <v>Q2 2024</v>
      </c>
      <c r="P1994" s="23">
        <f>VLOOKUP(D1994,Products!$A:$F,4,FALSE)</f>
        <v>2405</v>
      </c>
      <c r="Q1994" s="35">
        <f t="shared" si="95"/>
        <v>0.54878048780487809</v>
      </c>
    </row>
    <row r="1995" spans="1:17">
      <c r="A1995" s="12" t="s">
        <v>2511</v>
      </c>
      <c r="B1995" s="13">
        <v>45477</v>
      </c>
      <c r="C1995" s="12" t="s">
        <v>159</v>
      </c>
      <c r="D1995" s="12" t="s">
        <v>312</v>
      </c>
      <c r="E1995" s="12" t="s">
        <v>246</v>
      </c>
      <c r="F1995" s="14">
        <v>7</v>
      </c>
      <c r="G1995" s="14">
        <v>2030</v>
      </c>
      <c r="H1995" s="14">
        <v>5.3</v>
      </c>
      <c r="I1995" s="14">
        <v>13456.87</v>
      </c>
      <c r="J1995" s="12" t="s">
        <v>157</v>
      </c>
      <c r="K1995" s="12" t="s">
        <v>105</v>
      </c>
      <c r="L1995" s="23" t="str">
        <f>VLOOKUP(D1995,Products!$A:$F,3,FALSE)</f>
        <v>Home</v>
      </c>
      <c r="M1995" s="23" t="str">
        <f>VLOOKUP(E1995,Sales_Reps!$A:$E,3,FALSE)</f>
        <v>West</v>
      </c>
      <c r="N1995" s="23" t="str">
        <f t="shared" si="93"/>
        <v>Jul-24</v>
      </c>
      <c r="O1995" s="23" t="str">
        <f t="shared" si="94"/>
        <v>Q3 2024</v>
      </c>
      <c r="P1995" s="23">
        <f>VLOOKUP(D1995,Products!$A:$F,4,FALSE)</f>
        <v>1143</v>
      </c>
      <c r="Q1995" s="35">
        <f t="shared" si="95"/>
        <v>0.43694581280788175</v>
      </c>
    </row>
    <row r="1996" spans="1:17">
      <c r="A1996" s="12" t="s">
        <v>2512</v>
      </c>
      <c r="B1996" s="13">
        <v>45360</v>
      </c>
      <c r="C1996" s="12" t="s">
        <v>140</v>
      </c>
      <c r="D1996" s="12" t="s">
        <v>196</v>
      </c>
      <c r="E1996" s="12" t="s">
        <v>133</v>
      </c>
      <c r="F1996" s="14">
        <v>7</v>
      </c>
      <c r="G1996" s="14">
        <v>3350</v>
      </c>
      <c r="H1996" s="14">
        <v>0.4</v>
      </c>
      <c r="I1996" s="14">
        <v>23356.2</v>
      </c>
      <c r="J1996" s="12" t="s">
        <v>104</v>
      </c>
      <c r="K1996" s="12" t="s">
        <v>134</v>
      </c>
      <c r="L1996" s="23" t="str">
        <f>VLOOKUP(D1996,Products!$A:$F,3,FALSE)</f>
        <v>Beauty</v>
      </c>
      <c r="M1996" s="23" t="str">
        <f>VLOOKUP(E1996,Sales_Reps!$A:$E,3,FALSE)</f>
        <v>West</v>
      </c>
      <c r="N1996" s="23" t="str">
        <f t="shared" si="93"/>
        <v>Mar-24</v>
      </c>
      <c r="O1996" s="23" t="str">
        <f t="shared" si="94"/>
        <v>Q1 2024</v>
      </c>
      <c r="P1996" s="23">
        <f>VLOOKUP(D1996,Products!$A:$F,4,FALSE)</f>
        <v>1728</v>
      </c>
      <c r="Q1996" s="35">
        <f t="shared" si="95"/>
        <v>0.48417910447761192</v>
      </c>
    </row>
    <row r="1997" spans="1:17">
      <c r="A1997" s="12" t="s">
        <v>2513</v>
      </c>
      <c r="B1997" s="13">
        <v>45292</v>
      </c>
      <c r="C1997" s="12" t="s">
        <v>180</v>
      </c>
      <c r="D1997" s="12" t="s">
        <v>243</v>
      </c>
      <c r="E1997" s="12" t="s">
        <v>205</v>
      </c>
      <c r="F1997" s="14">
        <v>6</v>
      </c>
      <c r="G1997" s="14">
        <v>3730</v>
      </c>
      <c r="H1997" s="14">
        <v>13.8</v>
      </c>
      <c r="I1997" s="14">
        <v>19291.560000000001</v>
      </c>
      <c r="J1997" s="12" t="s">
        <v>104</v>
      </c>
      <c r="K1997" s="12" t="s">
        <v>111</v>
      </c>
      <c r="L1997" s="23" t="str">
        <f>VLOOKUP(D1997,Products!$A:$F,3,FALSE)</f>
        <v>Home</v>
      </c>
      <c r="M1997" s="23" t="str">
        <f>VLOOKUP(E1997,Sales_Reps!$A:$E,3,FALSE)</f>
        <v>South</v>
      </c>
      <c r="N1997" s="23" t="str">
        <f t="shared" si="93"/>
        <v>Jan-24</v>
      </c>
      <c r="O1997" s="23" t="str">
        <f t="shared" si="94"/>
        <v>Q1 2024</v>
      </c>
      <c r="P1997" s="23">
        <f>VLOOKUP(D1997,Products!$A:$F,4,FALSE)</f>
        <v>2135</v>
      </c>
      <c r="Q1997" s="35">
        <f t="shared" si="95"/>
        <v>0.42761394101876676</v>
      </c>
    </row>
    <row r="1998" spans="1:17">
      <c r="A1998" s="12" t="s">
        <v>2514</v>
      </c>
      <c r="B1998" s="13">
        <v>45585</v>
      </c>
      <c r="C1998" s="12" t="s">
        <v>580</v>
      </c>
      <c r="D1998" s="12" t="s">
        <v>425</v>
      </c>
      <c r="E1998" s="12" t="s">
        <v>255</v>
      </c>
      <c r="F1998" s="14">
        <v>6</v>
      </c>
      <c r="G1998" s="14">
        <v>3970</v>
      </c>
      <c r="H1998" s="14">
        <v>5.8</v>
      </c>
      <c r="I1998" s="14">
        <v>22438.44</v>
      </c>
      <c r="J1998" s="12" t="s">
        <v>110</v>
      </c>
      <c r="K1998" s="12" t="s">
        <v>105</v>
      </c>
      <c r="L1998" s="23" t="str">
        <f>VLOOKUP(D1998,Products!$A:$F,3,FALSE)</f>
        <v>Electronics</v>
      </c>
      <c r="M1998" s="23" t="str">
        <f>VLOOKUP(E1998,Sales_Reps!$A:$E,3,FALSE)</f>
        <v>East</v>
      </c>
      <c r="N1998" s="23" t="str">
        <f t="shared" si="93"/>
        <v>Oct-24</v>
      </c>
      <c r="O1998" s="23" t="str">
        <f t="shared" si="94"/>
        <v>Q4 2024</v>
      </c>
      <c r="P1998" s="23">
        <f>VLOOKUP(D1998,Products!$A:$F,4,FALSE)</f>
        <v>2865</v>
      </c>
      <c r="Q1998" s="35">
        <f t="shared" si="95"/>
        <v>0.27833753148614609</v>
      </c>
    </row>
    <row r="1999" spans="1:17">
      <c r="A1999" s="12" t="s">
        <v>2515</v>
      </c>
      <c r="B1999" s="13">
        <v>45592</v>
      </c>
      <c r="C1999" s="12" t="s">
        <v>774</v>
      </c>
      <c r="D1999" s="12" t="s">
        <v>355</v>
      </c>
      <c r="E1999" s="12" t="s">
        <v>290</v>
      </c>
      <c r="F1999" s="14">
        <v>4</v>
      </c>
      <c r="G1999" s="14">
        <v>2210</v>
      </c>
      <c r="H1999" s="14">
        <v>18.2</v>
      </c>
      <c r="I1999" s="14">
        <v>7231.12</v>
      </c>
      <c r="J1999" s="12" t="s">
        <v>110</v>
      </c>
      <c r="K1999" s="12" t="s">
        <v>134</v>
      </c>
      <c r="L1999" s="23" t="str">
        <f>VLOOKUP(D1999,Products!$A:$F,3,FALSE)</f>
        <v>Grocery</v>
      </c>
      <c r="M1999" s="23" t="str">
        <f>VLOOKUP(E1999,Sales_Reps!$A:$E,3,FALSE)</f>
        <v>South</v>
      </c>
      <c r="N1999" s="23" t="str">
        <f t="shared" si="93"/>
        <v>Oct-24</v>
      </c>
      <c r="O1999" s="23" t="str">
        <f t="shared" si="94"/>
        <v>Q4 2024</v>
      </c>
      <c r="P1999" s="23">
        <f>VLOOKUP(D1999,Products!$A:$F,4,FALSE)</f>
        <v>1010</v>
      </c>
      <c r="Q1999" s="35">
        <f t="shared" si="95"/>
        <v>0.54298642533936647</v>
      </c>
    </row>
    <row r="2000" spans="1:17">
      <c r="A2000" s="12" t="s">
        <v>2516</v>
      </c>
      <c r="B2000" s="13">
        <v>45370</v>
      </c>
      <c r="C2000" s="12" t="s">
        <v>655</v>
      </c>
      <c r="D2000" s="12" t="s">
        <v>377</v>
      </c>
      <c r="E2000" s="12" t="s">
        <v>124</v>
      </c>
      <c r="F2000" s="14">
        <v>6</v>
      </c>
      <c r="G2000" s="14">
        <v>5410</v>
      </c>
      <c r="H2000" s="14">
        <v>15.5</v>
      </c>
      <c r="I2000" s="14">
        <v>27428.7</v>
      </c>
      <c r="J2000" s="12" t="s">
        <v>104</v>
      </c>
      <c r="K2000" s="12" t="s">
        <v>116</v>
      </c>
      <c r="L2000" s="23" t="str">
        <f>VLOOKUP(D2000,Products!$A:$F,3,FALSE)</f>
        <v>Sports</v>
      </c>
      <c r="M2000" s="23" t="str">
        <f>VLOOKUP(E2000,Sales_Reps!$A:$E,3,FALSE)</f>
        <v>North</v>
      </c>
      <c r="N2000" s="23" t="str">
        <f t="shared" si="93"/>
        <v>Mar-24</v>
      </c>
      <c r="O2000" s="23" t="str">
        <f t="shared" si="94"/>
        <v>Q1 2024</v>
      </c>
      <c r="P2000" s="23">
        <f>VLOOKUP(D2000,Products!$A:$F,4,FALSE)</f>
        <v>2265</v>
      </c>
      <c r="Q2000" s="35">
        <f t="shared" si="95"/>
        <v>0.58133086876155271</v>
      </c>
    </row>
    <row r="2001" spans="1:17">
      <c r="A2001" s="12" t="s">
        <v>2517</v>
      </c>
      <c r="B2001" s="13">
        <v>45325</v>
      </c>
      <c r="C2001" s="12" t="s">
        <v>652</v>
      </c>
      <c r="D2001" s="12" t="s">
        <v>460</v>
      </c>
      <c r="E2001" s="12" t="s">
        <v>171</v>
      </c>
      <c r="F2001" s="14">
        <v>6</v>
      </c>
      <c r="G2001" s="14">
        <v>5080</v>
      </c>
      <c r="H2001" s="14">
        <v>28.1</v>
      </c>
      <c r="I2001" s="14">
        <v>21915.119999999999</v>
      </c>
      <c r="J2001" s="12" t="s">
        <v>104</v>
      </c>
      <c r="K2001" s="12" t="s">
        <v>116</v>
      </c>
      <c r="L2001" s="23" t="str">
        <f>VLOOKUP(D2001,Products!$A:$F,3,FALSE)</f>
        <v>Home</v>
      </c>
      <c r="M2001" s="23" t="str">
        <f>VLOOKUP(E2001,Sales_Reps!$A:$E,3,FALSE)</f>
        <v>East</v>
      </c>
      <c r="N2001" s="23" t="str">
        <f t="shared" si="93"/>
        <v>Feb-24</v>
      </c>
      <c r="O2001" s="23" t="str">
        <f t="shared" si="94"/>
        <v>Q1 2024</v>
      </c>
      <c r="P2001" s="23">
        <f>VLOOKUP(D2001,Products!$A:$F,4,FALSE)</f>
        <v>2459</v>
      </c>
      <c r="Q2001" s="35">
        <f t="shared" si="95"/>
        <v>0.51594488188976373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>
      <c r="A1" s="4" t="s">
        <v>85</v>
      </c>
      <c r="B1" s="4" t="s">
        <v>2518</v>
      </c>
      <c r="C1" s="4" t="s">
        <v>2519</v>
      </c>
      <c r="D1" s="4" t="s">
        <v>2520</v>
      </c>
      <c r="E1" s="4" t="s">
        <v>2521</v>
      </c>
      <c r="F1" s="4" t="s">
        <v>2522</v>
      </c>
    </row>
    <row r="2" spans="1:6">
      <c r="A2" s="12" t="s">
        <v>755</v>
      </c>
      <c r="B2" s="12" t="s">
        <v>2523</v>
      </c>
      <c r="C2" s="14">
        <v>36</v>
      </c>
      <c r="D2" s="12" t="s">
        <v>105</v>
      </c>
      <c r="E2" s="12" t="s">
        <v>2524</v>
      </c>
      <c r="F2" s="13">
        <v>44819</v>
      </c>
    </row>
    <row r="3" spans="1:6">
      <c r="A3" s="12" t="s">
        <v>785</v>
      </c>
      <c r="B3" s="12" t="s">
        <v>2525</v>
      </c>
      <c r="C3" s="14">
        <v>42</v>
      </c>
      <c r="D3" s="12" t="s">
        <v>105</v>
      </c>
      <c r="E3" s="12" t="s">
        <v>2526</v>
      </c>
      <c r="F3" s="13">
        <v>44984</v>
      </c>
    </row>
    <row r="4" spans="1:6">
      <c r="A4" s="12" t="s">
        <v>724</v>
      </c>
      <c r="B4" s="12" t="s">
        <v>2527</v>
      </c>
      <c r="C4" s="14">
        <v>33</v>
      </c>
      <c r="D4" s="12" t="s">
        <v>129</v>
      </c>
      <c r="E4" s="12" t="s">
        <v>2524</v>
      </c>
      <c r="F4" s="13">
        <v>44059</v>
      </c>
    </row>
    <row r="5" spans="1:6">
      <c r="A5" s="12" t="s">
        <v>722</v>
      </c>
      <c r="B5" s="12" t="s">
        <v>2528</v>
      </c>
      <c r="C5" s="14">
        <v>53</v>
      </c>
      <c r="D5" s="12" t="s">
        <v>2529</v>
      </c>
      <c r="E5" s="12" t="s">
        <v>2524</v>
      </c>
      <c r="F5" s="13">
        <v>44054</v>
      </c>
    </row>
    <row r="6" spans="1:6">
      <c r="A6" s="12" t="s">
        <v>1003</v>
      </c>
      <c r="B6" s="12" t="s">
        <v>2530</v>
      </c>
      <c r="C6" s="14">
        <v>52</v>
      </c>
      <c r="D6" s="12" t="s">
        <v>111</v>
      </c>
      <c r="E6" s="12" t="s">
        <v>2526</v>
      </c>
      <c r="F6" s="13">
        <v>45037</v>
      </c>
    </row>
    <row r="7" spans="1:6">
      <c r="A7" s="12" t="s">
        <v>211</v>
      </c>
      <c r="B7" s="12" t="s">
        <v>2531</v>
      </c>
      <c r="C7" s="14">
        <v>44</v>
      </c>
      <c r="D7" s="12" t="s">
        <v>105</v>
      </c>
      <c r="E7" s="12" t="s">
        <v>2532</v>
      </c>
      <c r="F7" s="13">
        <v>44302</v>
      </c>
    </row>
    <row r="8" spans="1:6">
      <c r="A8" s="12" t="s">
        <v>887</v>
      </c>
      <c r="B8" s="12" t="s">
        <v>2533</v>
      </c>
      <c r="C8" s="14">
        <v>47</v>
      </c>
      <c r="D8" s="12" t="s">
        <v>134</v>
      </c>
      <c r="E8" s="12" t="s">
        <v>2524</v>
      </c>
      <c r="F8" s="13">
        <v>44498</v>
      </c>
    </row>
    <row r="9" spans="1:6">
      <c r="A9" s="12" t="s">
        <v>159</v>
      </c>
      <c r="B9" s="12" t="s">
        <v>2534</v>
      </c>
      <c r="C9" s="14">
        <v>39</v>
      </c>
      <c r="D9" s="12" t="s">
        <v>105</v>
      </c>
      <c r="E9" s="12" t="s">
        <v>2532</v>
      </c>
      <c r="F9" s="13">
        <v>45162</v>
      </c>
    </row>
    <row r="10" spans="1:6">
      <c r="A10" s="12" t="s">
        <v>482</v>
      </c>
      <c r="B10" s="12" t="s">
        <v>2535</v>
      </c>
      <c r="C10" s="14">
        <v>61</v>
      </c>
      <c r="D10" s="12" t="s">
        <v>129</v>
      </c>
      <c r="E10" s="12" t="s">
        <v>2524</v>
      </c>
      <c r="F10" s="13">
        <v>44343</v>
      </c>
    </row>
    <row r="11" spans="1:6">
      <c r="A11" s="12" t="s">
        <v>582</v>
      </c>
      <c r="B11" s="12" t="s">
        <v>2536</v>
      </c>
      <c r="C11" s="14">
        <v>61</v>
      </c>
      <c r="D11" s="12" t="s">
        <v>129</v>
      </c>
      <c r="E11" s="12" t="s">
        <v>2532</v>
      </c>
      <c r="F11" s="13">
        <v>44975</v>
      </c>
    </row>
    <row r="12" spans="1:6">
      <c r="A12" s="12" t="s">
        <v>679</v>
      </c>
      <c r="B12" s="12" t="s">
        <v>2537</v>
      </c>
      <c r="C12" s="14">
        <v>41</v>
      </c>
      <c r="D12" s="12" t="s">
        <v>111</v>
      </c>
      <c r="E12" s="12" t="s">
        <v>2526</v>
      </c>
      <c r="F12" s="13">
        <v>44821</v>
      </c>
    </row>
    <row r="13" spans="1:6">
      <c r="A13" s="12" t="s">
        <v>390</v>
      </c>
      <c r="B13" s="12" t="s">
        <v>2538</v>
      </c>
      <c r="C13" s="14">
        <v>43</v>
      </c>
      <c r="D13" s="12" t="s">
        <v>105</v>
      </c>
      <c r="E13" s="12" t="s">
        <v>2524</v>
      </c>
      <c r="F13" s="13">
        <v>44718</v>
      </c>
    </row>
    <row r="14" spans="1:6">
      <c r="A14" s="12" t="s">
        <v>227</v>
      </c>
      <c r="B14" s="12" t="s">
        <v>2539</v>
      </c>
      <c r="C14" s="14">
        <v>41</v>
      </c>
      <c r="D14" s="12" t="s">
        <v>116</v>
      </c>
      <c r="E14" s="12" t="s">
        <v>2524</v>
      </c>
      <c r="F14" s="13">
        <v>45018</v>
      </c>
    </row>
    <row r="15" spans="1:6">
      <c r="A15" s="12" t="s">
        <v>1681</v>
      </c>
      <c r="B15" s="12" t="s">
        <v>2540</v>
      </c>
      <c r="C15" s="14">
        <v>48</v>
      </c>
      <c r="D15" s="12" t="s">
        <v>134</v>
      </c>
      <c r="E15" s="12" t="s">
        <v>2524</v>
      </c>
      <c r="F15" s="13">
        <v>45225</v>
      </c>
    </row>
    <row r="16" spans="1:6">
      <c r="A16" s="12" t="s">
        <v>1546</v>
      </c>
      <c r="B16" s="12" t="s">
        <v>2541</v>
      </c>
      <c r="C16" s="14">
        <v>31</v>
      </c>
      <c r="D16" s="12" t="s">
        <v>111</v>
      </c>
      <c r="E16" s="12" t="s">
        <v>2524</v>
      </c>
      <c r="F16" s="13">
        <v>44654</v>
      </c>
    </row>
    <row r="17" spans="1:6">
      <c r="A17" s="12" t="s">
        <v>742</v>
      </c>
      <c r="B17" s="12" t="s">
        <v>2542</v>
      </c>
      <c r="C17" s="14">
        <v>26</v>
      </c>
      <c r="D17" s="12" t="s">
        <v>116</v>
      </c>
      <c r="E17" s="12" t="s">
        <v>2532</v>
      </c>
      <c r="F17" s="13">
        <v>45196</v>
      </c>
    </row>
    <row r="18" spans="1:6">
      <c r="A18" s="12" t="s">
        <v>885</v>
      </c>
      <c r="B18" s="12" t="s">
        <v>2543</v>
      </c>
      <c r="C18" s="14">
        <v>38</v>
      </c>
      <c r="D18" s="12" t="s">
        <v>116</v>
      </c>
      <c r="E18" s="12" t="s">
        <v>2532</v>
      </c>
      <c r="F18" s="13">
        <v>44752</v>
      </c>
    </row>
    <row r="19" spans="1:6">
      <c r="A19" s="12" t="s">
        <v>407</v>
      </c>
      <c r="B19" s="12" t="s">
        <v>2544</v>
      </c>
      <c r="C19" s="14">
        <v>54</v>
      </c>
      <c r="D19" s="12" t="s">
        <v>105</v>
      </c>
      <c r="E19" s="12" t="s">
        <v>2532</v>
      </c>
      <c r="F19" s="13">
        <v>43968</v>
      </c>
    </row>
    <row r="20" spans="1:6">
      <c r="A20" s="12" t="s">
        <v>812</v>
      </c>
      <c r="B20" s="12" t="s">
        <v>2545</v>
      </c>
      <c r="C20" s="14">
        <v>22</v>
      </c>
      <c r="D20" s="12" t="s">
        <v>111</v>
      </c>
      <c r="E20" s="12" t="s">
        <v>2524</v>
      </c>
      <c r="F20" s="13">
        <v>44375</v>
      </c>
    </row>
    <row r="21" spans="1:6">
      <c r="A21" s="12" t="s">
        <v>329</v>
      </c>
      <c r="B21" s="12" t="s">
        <v>2546</v>
      </c>
      <c r="C21" s="14">
        <v>46</v>
      </c>
      <c r="D21" s="12" t="s">
        <v>150</v>
      </c>
      <c r="E21" s="12" t="s">
        <v>2524</v>
      </c>
      <c r="F21" s="13">
        <v>43835</v>
      </c>
    </row>
    <row r="22" spans="1:6">
      <c r="A22" s="12" t="s">
        <v>1267</v>
      </c>
      <c r="B22" s="12" t="s">
        <v>2530</v>
      </c>
      <c r="C22" s="14">
        <v>44</v>
      </c>
      <c r="D22" s="12" t="s">
        <v>105</v>
      </c>
      <c r="E22" s="12" t="s">
        <v>2524</v>
      </c>
      <c r="F22" s="13">
        <v>44130</v>
      </c>
    </row>
    <row r="23" spans="1:6">
      <c r="A23" s="12" t="s">
        <v>1055</v>
      </c>
      <c r="B23" s="12" t="s">
        <v>2547</v>
      </c>
      <c r="C23" s="14">
        <v>55</v>
      </c>
      <c r="D23" s="12" t="s">
        <v>134</v>
      </c>
      <c r="E23" s="12" t="s">
        <v>2526</v>
      </c>
      <c r="F23" s="13">
        <v>44787</v>
      </c>
    </row>
    <row r="24" spans="1:6">
      <c r="A24" s="12" t="s">
        <v>1311</v>
      </c>
      <c r="B24" s="12" t="s">
        <v>2548</v>
      </c>
      <c r="C24" s="14">
        <v>43</v>
      </c>
      <c r="D24" s="12" t="s">
        <v>111</v>
      </c>
      <c r="E24" s="12" t="s">
        <v>2532</v>
      </c>
      <c r="F24" s="13">
        <v>44403</v>
      </c>
    </row>
    <row r="25" spans="1:6">
      <c r="A25" s="12" t="s">
        <v>442</v>
      </c>
      <c r="B25" s="12" t="s">
        <v>2549</v>
      </c>
      <c r="C25" s="14">
        <v>64</v>
      </c>
      <c r="D25" s="12" t="s">
        <v>2109</v>
      </c>
      <c r="E25" s="12" t="s">
        <v>2532</v>
      </c>
      <c r="F25" s="13">
        <v>44495</v>
      </c>
    </row>
    <row r="26" spans="1:6">
      <c r="A26" s="12" t="s">
        <v>402</v>
      </c>
      <c r="B26" s="12" t="s">
        <v>2550</v>
      </c>
      <c r="C26" s="14">
        <v>23</v>
      </c>
      <c r="D26" s="12" t="s">
        <v>134</v>
      </c>
      <c r="E26" s="12" t="s">
        <v>2524</v>
      </c>
      <c r="F26" s="13">
        <v>44536</v>
      </c>
    </row>
    <row r="27" spans="1:6">
      <c r="A27" s="12" t="s">
        <v>576</v>
      </c>
      <c r="B27" s="12" t="s">
        <v>2551</v>
      </c>
      <c r="C27" s="14">
        <v>62</v>
      </c>
      <c r="D27" s="12" t="s">
        <v>105</v>
      </c>
      <c r="E27" s="12" t="s">
        <v>2524</v>
      </c>
      <c r="F27" s="13">
        <v>43898</v>
      </c>
    </row>
    <row r="28" spans="1:6">
      <c r="A28" s="12" t="s">
        <v>499</v>
      </c>
      <c r="B28" s="12" t="s">
        <v>2552</v>
      </c>
      <c r="C28" s="14">
        <v>52</v>
      </c>
      <c r="D28" s="12" t="s">
        <v>150</v>
      </c>
      <c r="E28" s="12" t="s">
        <v>2526</v>
      </c>
      <c r="F28" s="13">
        <v>45201</v>
      </c>
    </row>
    <row r="29" spans="1:6">
      <c r="A29" s="12" t="s">
        <v>420</v>
      </c>
      <c r="B29" s="12" t="s">
        <v>2553</v>
      </c>
      <c r="C29" s="14">
        <v>59</v>
      </c>
      <c r="D29" s="12" t="s">
        <v>134</v>
      </c>
      <c r="E29" s="12" t="s">
        <v>2524</v>
      </c>
      <c r="F29" s="13">
        <v>44686</v>
      </c>
    </row>
    <row r="30" spans="1:6">
      <c r="A30" s="12" t="s">
        <v>1892</v>
      </c>
      <c r="B30" s="12" t="s">
        <v>2554</v>
      </c>
      <c r="C30" s="14">
        <v>54</v>
      </c>
      <c r="D30" s="12" t="s">
        <v>111</v>
      </c>
      <c r="E30" s="12" t="s">
        <v>2526</v>
      </c>
      <c r="F30" s="13">
        <v>44930</v>
      </c>
    </row>
    <row r="31" spans="1:6">
      <c r="A31" s="12" t="s">
        <v>774</v>
      </c>
      <c r="B31" s="12" t="s">
        <v>2555</v>
      </c>
      <c r="C31" s="14">
        <v>43</v>
      </c>
      <c r="D31" s="12" t="s">
        <v>134</v>
      </c>
      <c r="E31" s="12" t="s">
        <v>2526</v>
      </c>
      <c r="F31" s="13">
        <v>44151</v>
      </c>
    </row>
    <row r="32" spans="1:6">
      <c r="A32" s="12" t="s">
        <v>280</v>
      </c>
      <c r="B32" s="12" t="s">
        <v>2556</v>
      </c>
      <c r="C32" s="14">
        <v>53</v>
      </c>
      <c r="D32" s="12" t="s">
        <v>150</v>
      </c>
      <c r="E32" s="12" t="s">
        <v>2524</v>
      </c>
      <c r="F32" s="13">
        <v>44599</v>
      </c>
    </row>
    <row r="33" spans="1:6">
      <c r="A33" s="12" t="s">
        <v>341</v>
      </c>
      <c r="B33" s="12" t="s">
        <v>2557</v>
      </c>
      <c r="C33" s="14">
        <v>28</v>
      </c>
      <c r="D33" s="12" t="s">
        <v>150</v>
      </c>
      <c r="E33" s="12" t="s">
        <v>2524</v>
      </c>
      <c r="F33" s="13">
        <v>43908</v>
      </c>
    </row>
    <row r="34" spans="1:6">
      <c r="A34" s="12" t="s">
        <v>308</v>
      </c>
      <c r="B34" s="12" t="s">
        <v>2558</v>
      </c>
      <c r="C34" s="14">
        <v>35</v>
      </c>
      <c r="D34" s="12" t="s">
        <v>116</v>
      </c>
      <c r="E34" s="12" t="s">
        <v>2524</v>
      </c>
      <c r="F34" s="13">
        <v>44830</v>
      </c>
    </row>
    <row r="35" spans="1:6">
      <c r="A35" s="12" t="s">
        <v>985</v>
      </c>
      <c r="B35" s="12" t="s">
        <v>2559</v>
      </c>
      <c r="C35" s="14">
        <v>47</v>
      </c>
      <c r="D35" s="12" t="s">
        <v>116</v>
      </c>
      <c r="E35" s="12" t="s">
        <v>2524</v>
      </c>
      <c r="F35" s="13">
        <v>44182</v>
      </c>
    </row>
    <row r="36" spans="1:6">
      <c r="A36" s="12" t="s">
        <v>216</v>
      </c>
      <c r="B36" s="12" t="s">
        <v>2560</v>
      </c>
      <c r="C36" s="14">
        <v>53</v>
      </c>
      <c r="D36" s="12" t="s">
        <v>150</v>
      </c>
      <c r="E36" s="12" t="s">
        <v>2524</v>
      </c>
      <c r="F36" s="13">
        <v>44532</v>
      </c>
    </row>
    <row r="37" spans="1:6">
      <c r="A37" s="12" t="s">
        <v>690</v>
      </c>
      <c r="B37" s="12" t="s">
        <v>2561</v>
      </c>
      <c r="C37" s="14">
        <v>35</v>
      </c>
      <c r="D37" s="12" t="s">
        <v>129</v>
      </c>
      <c r="E37" s="12" t="s">
        <v>2524</v>
      </c>
      <c r="F37" s="13">
        <v>44617</v>
      </c>
    </row>
    <row r="38" spans="1:6">
      <c r="A38" s="12" t="s">
        <v>852</v>
      </c>
      <c r="B38" s="12" t="s">
        <v>2562</v>
      </c>
      <c r="C38" s="14">
        <v>52</v>
      </c>
      <c r="D38" s="12" t="s">
        <v>134</v>
      </c>
      <c r="E38" s="12" t="s">
        <v>2524</v>
      </c>
      <c r="F38" s="13">
        <v>44468</v>
      </c>
    </row>
    <row r="39" spans="1:6">
      <c r="A39" s="12" t="s">
        <v>891</v>
      </c>
      <c r="B39" s="12" t="s">
        <v>2563</v>
      </c>
      <c r="C39" s="14">
        <v>57</v>
      </c>
      <c r="D39" s="12" t="s">
        <v>129</v>
      </c>
      <c r="E39" s="12" t="s">
        <v>2524</v>
      </c>
      <c r="F39" s="13">
        <v>43843</v>
      </c>
    </row>
    <row r="40" spans="1:6">
      <c r="A40" s="12" t="s">
        <v>854</v>
      </c>
      <c r="B40" s="12" t="s">
        <v>2564</v>
      </c>
      <c r="C40" s="14">
        <v>37</v>
      </c>
      <c r="D40" s="12" t="s">
        <v>134</v>
      </c>
      <c r="E40" s="12" t="s">
        <v>2524</v>
      </c>
      <c r="F40" s="13">
        <v>43989</v>
      </c>
    </row>
    <row r="41" spans="1:6">
      <c r="A41" s="12" t="s">
        <v>301</v>
      </c>
      <c r="B41" s="12" t="s">
        <v>2565</v>
      </c>
      <c r="C41" s="14">
        <v>28</v>
      </c>
      <c r="D41" s="12" t="s">
        <v>111</v>
      </c>
      <c r="E41" s="12" t="s">
        <v>2524</v>
      </c>
      <c r="F41" s="13">
        <v>44625</v>
      </c>
    </row>
    <row r="42" spans="1:6">
      <c r="A42" s="12" t="s">
        <v>527</v>
      </c>
      <c r="B42" s="12" t="s">
        <v>2566</v>
      </c>
      <c r="C42" s="14">
        <v>26</v>
      </c>
      <c r="D42" s="12" t="s">
        <v>134</v>
      </c>
      <c r="E42" s="12" t="s">
        <v>2532</v>
      </c>
      <c r="F42" s="13">
        <v>43895</v>
      </c>
    </row>
    <row r="43" spans="1:6">
      <c r="A43" s="12" t="s">
        <v>357</v>
      </c>
      <c r="B43" s="12" t="s">
        <v>2567</v>
      </c>
      <c r="C43" s="14">
        <v>25</v>
      </c>
      <c r="D43" s="12" t="s">
        <v>105</v>
      </c>
      <c r="E43" s="12" t="s">
        <v>2524</v>
      </c>
      <c r="F43" s="13">
        <v>43843</v>
      </c>
    </row>
    <row r="44" spans="1:6">
      <c r="A44" s="12" t="s">
        <v>529</v>
      </c>
      <c r="B44" s="12" t="s">
        <v>2568</v>
      </c>
      <c r="C44" s="14">
        <v>61</v>
      </c>
      <c r="D44" s="12" t="s">
        <v>150</v>
      </c>
      <c r="E44" s="12" t="s">
        <v>2524</v>
      </c>
      <c r="F44" s="13">
        <v>44553</v>
      </c>
    </row>
    <row r="45" spans="1:6">
      <c r="A45" s="12" t="s">
        <v>758</v>
      </c>
      <c r="B45" s="12" t="s">
        <v>2569</v>
      </c>
      <c r="C45" s="14">
        <v>29</v>
      </c>
      <c r="D45" s="12" t="s">
        <v>150</v>
      </c>
      <c r="E45" s="12" t="s">
        <v>2532</v>
      </c>
      <c r="F45" s="13">
        <v>45084</v>
      </c>
    </row>
    <row r="46" spans="1:6">
      <c r="A46" s="12" t="s">
        <v>819</v>
      </c>
      <c r="B46" s="12" t="s">
        <v>2570</v>
      </c>
      <c r="C46" s="14">
        <v>39</v>
      </c>
      <c r="D46" s="12" t="s">
        <v>111</v>
      </c>
      <c r="E46" s="12" t="s">
        <v>2532</v>
      </c>
      <c r="F46" s="13">
        <v>45156</v>
      </c>
    </row>
    <row r="47" spans="1:6">
      <c r="A47" s="12" t="s">
        <v>1020</v>
      </c>
      <c r="B47" s="12" t="s">
        <v>2571</v>
      </c>
      <c r="C47" s="14">
        <v>45</v>
      </c>
      <c r="D47" s="12" t="s">
        <v>116</v>
      </c>
      <c r="E47" s="12" t="s">
        <v>2532</v>
      </c>
      <c r="F47" s="13">
        <v>45144</v>
      </c>
    </row>
    <row r="48" spans="1:6">
      <c r="A48" s="12" t="s">
        <v>535</v>
      </c>
      <c r="B48" s="12" t="s">
        <v>2572</v>
      </c>
      <c r="C48" s="14">
        <v>49</v>
      </c>
      <c r="D48" s="12" t="s">
        <v>105</v>
      </c>
      <c r="E48" s="12" t="s">
        <v>2524</v>
      </c>
      <c r="F48" s="13">
        <v>44066</v>
      </c>
    </row>
    <row r="49" spans="1:6">
      <c r="A49" s="12" t="s">
        <v>507</v>
      </c>
      <c r="B49" s="12" t="s">
        <v>2573</v>
      </c>
      <c r="C49" s="14">
        <v>59</v>
      </c>
      <c r="D49" s="12" t="s">
        <v>116</v>
      </c>
      <c r="E49" s="12" t="s">
        <v>2524</v>
      </c>
      <c r="F49" s="13">
        <v>44479</v>
      </c>
    </row>
    <row r="50" spans="1:6">
      <c r="A50" s="12" t="s">
        <v>1375</v>
      </c>
      <c r="B50" s="12" t="s">
        <v>2574</v>
      </c>
      <c r="C50" s="14">
        <v>42</v>
      </c>
      <c r="D50" s="12" t="s">
        <v>129</v>
      </c>
      <c r="E50" s="12" t="s">
        <v>2526</v>
      </c>
      <c r="F50" s="13">
        <v>45116</v>
      </c>
    </row>
    <row r="51" spans="1:6">
      <c r="A51" s="12" t="s">
        <v>572</v>
      </c>
      <c r="B51" s="12" t="s">
        <v>2575</v>
      </c>
      <c r="C51" s="14">
        <v>37</v>
      </c>
      <c r="D51" s="12" t="s">
        <v>129</v>
      </c>
      <c r="E51" s="12" t="s">
        <v>2524</v>
      </c>
      <c r="F51" s="13">
        <v>43967</v>
      </c>
    </row>
    <row r="52" spans="1:6">
      <c r="A52" s="12" t="s">
        <v>325</v>
      </c>
      <c r="B52" s="12" t="s">
        <v>2576</v>
      </c>
      <c r="C52" s="14">
        <v>54</v>
      </c>
      <c r="D52" s="12" t="s">
        <v>105</v>
      </c>
      <c r="E52" s="12" t="s">
        <v>2532</v>
      </c>
      <c r="F52" s="13">
        <v>44613</v>
      </c>
    </row>
    <row r="53" spans="1:6">
      <c r="A53" s="12" t="s">
        <v>163</v>
      </c>
      <c r="B53" s="12" t="s">
        <v>2577</v>
      </c>
      <c r="C53" s="14">
        <v>38</v>
      </c>
      <c r="D53" s="12" t="s">
        <v>105</v>
      </c>
      <c r="E53" s="12" t="s">
        <v>2524</v>
      </c>
      <c r="F53" s="13">
        <v>44209</v>
      </c>
    </row>
    <row r="54" spans="1:6">
      <c r="A54" s="12" t="s">
        <v>240</v>
      </c>
      <c r="B54" s="12" t="s">
        <v>2578</v>
      </c>
      <c r="C54" s="14">
        <v>53</v>
      </c>
      <c r="D54" s="12" t="s">
        <v>116</v>
      </c>
      <c r="E54" s="12" t="s">
        <v>2524</v>
      </c>
      <c r="F54" s="13">
        <v>44288</v>
      </c>
    </row>
    <row r="55" spans="1:6">
      <c r="A55" s="12" t="s">
        <v>889</v>
      </c>
      <c r="B55" s="12" t="s">
        <v>2579</v>
      </c>
      <c r="C55" s="14">
        <v>62</v>
      </c>
      <c r="D55" s="12" t="s">
        <v>129</v>
      </c>
      <c r="E55" s="12" t="s">
        <v>2526</v>
      </c>
      <c r="F55" s="13">
        <v>44482</v>
      </c>
    </row>
    <row r="56" spans="1:6">
      <c r="A56" s="12" t="s">
        <v>621</v>
      </c>
      <c r="B56" s="12" t="s">
        <v>2580</v>
      </c>
      <c r="C56" s="14">
        <v>34</v>
      </c>
      <c r="D56" s="12" t="s">
        <v>134</v>
      </c>
      <c r="E56" s="12" t="s">
        <v>2524</v>
      </c>
      <c r="F56" s="13">
        <v>44753</v>
      </c>
    </row>
    <row r="57" spans="1:6">
      <c r="A57" s="12" t="s">
        <v>170</v>
      </c>
      <c r="B57" s="12" t="s">
        <v>2523</v>
      </c>
      <c r="C57" s="14">
        <v>46</v>
      </c>
      <c r="D57" s="12" t="s">
        <v>134</v>
      </c>
      <c r="E57" s="12" t="s">
        <v>2532</v>
      </c>
      <c r="F57" s="13">
        <v>45202</v>
      </c>
    </row>
    <row r="58" spans="1:6">
      <c r="A58" s="12" t="s">
        <v>787</v>
      </c>
      <c r="B58" s="12" t="s">
        <v>2581</v>
      </c>
      <c r="C58" s="14">
        <v>35</v>
      </c>
      <c r="D58" s="12" t="s">
        <v>105</v>
      </c>
      <c r="E58" s="12" t="s">
        <v>2524</v>
      </c>
      <c r="F58" s="13">
        <v>43917</v>
      </c>
    </row>
    <row r="59" spans="1:6">
      <c r="A59" s="12" t="s">
        <v>1033</v>
      </c>
      <c r="B59" s="12" t="s">
        <v>2582</v>
      </c>
      <c r="C59" s="14">
        <v>49</v>
      </c>
      <c r="D59" s="12" t="s">
        <v>134</v>
      </c>
      <c r="E59" s="12" t="s">
        <v>2532</v>
      </c>
      <c r="F59" s="13">
        <v>44471</v>
      </c>
    </row>
    <row r="60" spans="1:6">
      <c r="A60" s="12" t="s">
        <v>504</v>
      </c>
      <c r="B60" s="12" t="s">
        <v>2583</v>
      </c>
      <c r="C60" s="14">
        <v>29</v>
      </c>
      <c r="D60" s="12" t="s">
        <v>105</v>
      </c>
      <c r="E60" s="12" t="s">
        <v>2526</v>
      </c>
      <c r="F60" s="13">
        <v>44796</v>
      </c>
    </row>
    <row r="61" spans="1:6">
      <c r="A61" s="12" t="s">
        <v>1189</v>
      </c>
      <c r="B61" s="12" t="s">
        <v>2584</v>
      </c>
      <c r="C61" s="14">
        <v>39</v>
      </c>
      <c r="D61" s="12" t="s">
        <v>105</v>
      </c>
      <c r="E61" s="12" t="s">
        <v>2524</v>
      </c>
      <c r="F61" s="13">
        <v>43897</v>
      </c>
    </row>
    <row r="62" spans="1:6">
      <c r="A62" s="12" t="s">
        <v>761</v>
      </c>
      <c r="B62" s="12" t="s">
        <v>2585</v>
      </c>
      <c r="C62" s="14">
        <v>64</v>
      </c>
      <c r="D62" s="12" t="s">
        <v>150</v>
      </c>
      <c r="E62" s="12" t="s">
        <v>2524</v>
      </c>
      <c r="F62" s="13">
        <v>43971</v>
      </c>
    </row>
    <row r="63" spans="1:6">
      <c r="A63" s="12" t="s">
        <v>752</v>
      </c>
      <c r="B63" s="12" t="s">
        <v>2586</v>
      </c>
      <c r="C63" s="14">
        <v>54</v>
      </c>
      <c r="D63" s="12" t="s">
        <v>105</v>
      </c>
      <c r="E63" s="12" t="s">
        <v>2524</v>
      </c>
      <c r="F63" s="13">
        <v>45016</v>
      </c>
    </row>
    <row r="64" spans="1:6">
      <c r="A64" s="12" t="s">
        <v>1089</v>
      </c>
      <c r="B64" s="12" t="s">
        <v>2587</v>
      </c>
      <c r="C64" s="14">
        <v>53</v>
      </c>
      <c r="D64" s="12" t="s">
        <v>129</v>
      </c>
      <c r="E64" s="12" t="s">
        <v>2532</v>
      </c>
      <c r="F64" s="13">
        <v>44008</v>
      </c>
    </row>
    <row r="65" spans="1:6">
      <c r="A65" s="12" t="s">
        <v>223</v>
      </c>
      <c r="B65" s="12" t="s">
        <v>2588</v>
      </c>
      <c r="C65" s="14">
        <v>40</v>
      </c>
      <c r="D65" s="12" t="s">
        <v>150</v>
      </c>
      <c r="E65" s="12" t="s">
        <v>2532</v>
      </c>
      <c r="F65" s="13">
        <v>45070</v>
      </c>
    </row>
    <row r="66" spans="1:6">
      <c r="A66" s="12" t="s">
        <v>1197</v>
      </c>
      <c r="B66" s="12" t="s">
        <v>2589</v>
      </c>
      <c r="C66" s="14">
        <v>49</v>
      </c>
      <c r="D66" s="12" t="s">
        <v>111</v>
      </c>
      <c r="E66" s="12" t="s">
        <v>2526</v>
      </c>
      <c r="F66" s="13">
        <v>44543</v>
      </c>
    </row>
    <row r="67" spans="1:6">
      <c r="A67" s="12" t="s">
        <v>731</v>
      </c>
      <c r="B67" s="12" t="s">
        <v>2590</v>
      </c>
      <c r="C67" s="14">
        <v>24</v>
      </c>
      <c r="D67" s="12" t="s">
        <v>116</v>
      </c>
      <c r="E67" s="12" t="s">
        <v>2524</v>
      </c>
      <c r="F67" s="13">
        <v>44851</v>
      </c>
    </row>
    <row r="68" spans="1:6">
      <c r="A68" s="12" t="s">
        <v>491</v>
      </c>
      <c r="B68" s="12" t="s">
        <v>2591</v>
      </c>
      <c r="C68" s="14">
        <v>59</v>
      </c>
      <c r="D68" s="12" t="s">
        <v>116</v>
      </c>
      <c r="E68" s="12" t="s">
        <v>2532</v>
      </c>
      <c r="F68" s="13">
        <v>44020</v>
      </c>
    </row>
    <row r="69" spans="1:6">
      <c r="A69" s="12" t="s">
        <v>550</v>
      </c>
      <c r="B69" s="12" t="s">
        <v>2592</v>
      </c>
      <c r="C69" s="14">
        <v>48</v>
      </c>
      <c r="D69" s="12" t="s">
        <v>116</v>
      </c>
      <c r="E69" s="12" t="s">
        <v>2532</v>
      </c>
      <c r="F69" s="13">
        <v>44553</v>
      </c>
    </row>
    <row r="70" spans="1:6">
      <c r="A70" s="12" t="s">
        <v>234</v>
      </c>
      <c r="B70" s="12" t="s">
        <v>2593</v>
      </c>
      <c r="C70" s="14">
        <v>51</v>
      </c>
      <c r="D70" s="12" t="s">
        <v>111</v>
      </c>
      <c r="E70" s="12" t="s">
        <v>2524</v>
      </c>
      <c r="F70" s="13">
        <v>43906</v>
      </c>
    </row>
    <row r="71" spans="1:6">
      <c r="A71" s="12" t="s">
        <v>388</v>
      </c>
      <c r="B71" s="12" t="s">
        <v>2594</v>
      </c>
      <c r="C71" s="14">
        <v>42</v>
      </c>
      <c r="D71" s="12" t="s">
        <v>129</v>
      </c>
      <c r="E71" s="12" t="s">
        <v>2524</v>
      </c>
      <c r="F71" s="13">
        <v>44568</v>
      </c>
    </row>
    <row r="72" spans="1:6">
      <c r="A72" s="12" t="s">
        <v>118</v>
      </c>
      <c r="B72" s="12" t="s">
        <v>2595</v>
      </c>
      <c r="C72" s="14">
        <v>46</v>
      </c>
      <c r="D72" s="12" t="s">
        <v>116</v>
      </c>
      <c r="E72" s="12" t="s">
        <v>2526</v>
      </c>
      <c r="F72" s="13">
        <v>44574</v>
      </c>
    </row>
    <row r="73" spans="1:6">
      <c r="A73" s="12" t="s">
        <v>895</v>
      </c>
      <c r="B73" s="12" t="s">
        <v>2596</v>
      </c>
      <c r="C73" s="14">
        <v>62</v>
      </c>
      <c r="D73" s="12" t="s">
        <v>129</v>
      </c>
      <c r="E73" s="12" t="s">
        <v>2526</v>
      </c>
      <c r="F73" s="13">
        <v>44301</v>
      </c>
    </row>
    <row r="74" spans="1:6">
      <c r="A74" s="12" t="s">
        <v>597</v>
      </c>
      <c r="B74" s="12" t="s">
        <v>2597</v>
      </c>
      <c r="C74" s="14">
        <v>40</v>
      </c>
      <c r="D74" s="12" t="s">
        <v>105</v>
      </c>
      <c r="E74" s="12" t="s">
        <v>2526</v>
      </c>
      <c r="F74" s="13">
        <v>45190</v>
      </c>
    </row>
    <row r="75" spans="1:6">
      <c r="A75" s="12" t="s">
        <v>796</v>
      </c>
      <c r="B75" s="12" t="s">
        <v>2598</v>
      </c>
      <c r="C75" s="14">
        <v>27</v>
      </c>
      <c r="D75" s="12" t="s">
        <v>134</v>
      </c>
      <c r="E75" s="12" t="s">
        <v>2524</v>
      </c>
      <c r="F75" s="13">
        <v>45100</v>
      </c>
    </row>
    <row r="76" spans="1:6">
      <c r="A76" s="12" t="s">
        <v>541</v>
      </c>
      <c r="B76" s="12" t="s">
        <v>2599</v>
      </c>
      <c r="C76" s="14">
        <v>55</v>
      </c>
      <c r="D76" s="12" t="s">
        <v>129</v>
      </c>
      <c r="E76" s="12" t="s">
        <v>2526</v>
      </c>
      <c r="F76" s="13">
        <v>43973</v>
      </c>
    </row>
    <row r="77" spans="1:6">
      <c r="A77" s="12" t="s">
        <v>1367</v>
      </c>
      <c r="B77" s="12" t="s">
        <v>2600</v>
      </c>
      <c r="C77" s="14">
        <v>38</v>
      </c>
      <c r="D77" s="12" t="s">
        <v>129</v>
      </c>
      <c r="E77" s="12" t="s">
        <v>2524</v>
      </c>
      <c r="F77" s="13">
        <v>43964</v>
      </c>
    </row>
    <row r="78" spans="1:6">
      <c r="A78" s="12" t="s">
        <v>554</v>
      </c>
      <c r="B78" s="12" t="s">
        <v>2601</v>
      </c>
      <c r="C78" s="14">
        <v>48</v>
      </c>
      <c r="D78" s="12" t="s">
        <v>150</v>
      </c>
      <c r="E78" s="12" t="s">
        <v>2532</v>
      </c>
      <c r="F78" s="13">
        <v>44443</v>
      </c>
    </row>
    <row r="79" spans="1:6">
      <c r="A79" s="12" t="s">
        <v>339</v>
      </c>
      <c r="B79" s="12" t="s">
        <v>2602</v>
      </c>
      <c r="C79" s="14">
        <v>31</v>
      </c>
      <c r="D79" s="12" t="s">
        <v>116</v>
      </c>
      <c r="E79" s="12" t="s">
        <v>2524</v>
      </c>
      <c r="F79" s="13">
        <v>45133</v>
      </c>
    </row>
    <row r="80" spans="1:6">
      <c r="A80" s="12" t="s">
        <v>568</v>
      </c>
      <c r="B80" s="12" t="s">
        <v>2603</v>
      </c>
      <c r="C80" s="14">
        <v>60</v>
      </c>
      <c r="D80" s="12" t="s">
        <v>129</v>
      </c>
      <c r="E80" s="12" t="s">
        <v>2526</v>
      </c>
      <c r="F80" s="13">
        <v>44271</v>
      </c>
    </row>
    <row r="81" spans="1:6">
      <c r="A81" s="12" t="s">
        <v>457</v>
      </c>
      <c r="B81" s="12" t="s">
        <v>2604</v>
      </c>
      <c r="C81" s="14">
        <v>30</v>
      </c>
      <c r="D81" s="12" t="s">
        <v>105</v>
      </c>
      <c r="E81" s="12" t="s">
        <v>2532</v>
      </c>
      <c r="F81" s="13">
        <v>43901</v>
      </c>
    </row>
    <row r="82" spans="1:6">
      <c r="A82" s="12" t="s">
        <v>383</v>
      </c>
      <c r="B82" s="12" t="s">
        <v>2605</v>
      </c>
      <c r="C82" s="14">
        <v>25</v>
      </c>
      <c r="D82" s="12" t="s">
        <v>129</v>
      </c>
      <c r="E82" s="12" t="s">
        <v>2524</v>
      </c>
      <c r="F82" s="13">
        <v>44331</v>
      </c>
    </row>
    <row r="83" spans="1:6">
      <c r="A83" s="12" t="s">
        <v>337</v>
      </c>
      <c r="B83" s="12" t="s">
        <v>2606</v>
      </c>
      <c r="C83" s="14">
        <v>36</v>
      </c>
      <c r="D83" s="12" t="s">
        <v>150</v>
      </c>
      <c r="E83" s="12" t="s">
        <v>2532</v>
      </c>
      <c r="F83" s="13">
        <v>44152</v>
      </c>
    </row>
    <row r="84" spans="1:6">
      <c r="A84" s="12" t="s">
        <v>1121</v>
      </c>
      <c r="B84" s="12" t="s">
        <v>2607</v>
      </c>
      <c r="C84" s="14">
        <v>31</v>
      </c>
      <c r="D84" s="12" t="s">
        <v>134</v>
      </c>
      <c r="E84" s="12" t="s">
        <v>2526</v>
      </c>
      <c r="F84" s="13">
        <v>44248</v>
      </c>
    </row>
    <row r="85" spans="1:6">
      <c r="A85" s="12" t="s">
        <v>345</v>
      </c>
      <c r="B85" s="12" t="s">
        <v>2608</v>
      </c>
      <c r="C85" s="14">
        <v>28</v>
      </c>
      <c r="D85" s="12" t="s">
        <v>111</v>
      </c>
      <c r="E85" s="12" t="s">
        <v>2524</v>
      </c>
      <c r="F85" s="13">
        <v>44116</v>
      </c>
    </row>
    <row r="86" spans="1:6">
      <c r="A86" s="12" t="s">
        <v>602</v>
      </c>
      <c r="B86" s="12" t="s">
        <v>2609</v>
      </c>
      <c r="C86" s="14">
        <v>26</v>
      </c>
      <c r="D86" s="12" t="s">
        <v>111</v>
      </c>
      <c r="E86" s="12" t="s">
        <v>2524</v>
      </c>
      <c r="F86" s="13">
        <v>45149</v>
      </c>
    </row>
    <row r="87" spans="1:6">
      <c r="A87" s="12" t="s">
        <v>207</v>
      </c>
      <c r="B87" s="12" t="s">
        <v>2610</v>
      </c>
      <c r="C87" s="14">
        <v>56</v>
      </c>
      <c r="D87" s="12" t="s">
        <v>150</v>
      </c>
      <c r="E87" s="12" t="s">
        <v>2526</v>
      </c>
      <c r="F87" s="13">
        <v>45039</v>
      </c>
    </row>
    <row r="88" spans="1:6">
      <c r="A88" s="12" t="s">
        <v>496</v>
      </c>
      <c r="B88" s="12" t="s">
        <v>2611</v>
      </c>
      <c r="C88" s="14">
        <v>49</v>
      </c>
      <c r="D88" s="12" t="s">
        <v>105</v>
      </c>
      <c r="E88" s="12" t="s">
        <v>2532</v>
      </c>
      <c r="F88" s="13">
        <v>44621</v>
      </c>
    </row>
    <row r="89" spans="1:6">
      <c r="A89" s="12" t="s">
        <v>271</v>
      </c>
      <c r="B89" s="12" t="s">
        <v>2612</v>
      </c>
      <c r="C89" s="14">
        <v>24</v>
      </c>
      <c r="D89" s="12" t="s">
        <v>111</v>
      </c>
      <c r="E89" s="12" t="s">
        <v>2524</v>
      </c>
      <c r="F89" s="13">
        <v>44693</v>
      </c>
    </row>
    <row r="90" spans="1:6">
      <c r="A90" s="12" t="s">
        <v>922</v>
      </c>
      <c r="B90" s="12" t="s">
        <v>2613</v>
      </c>
      <c r="C90" s="14">
        <v>43</v>
      </c>
      <c r="D90" s="12" t="s">
        <v>129</v>
      </c>
      <c r="E90" s="12" t="s">
        <v>2532</v>
      </c>
      <c r="F90" s="13">
        <v>44513</v>
      </c>
    </row>
    <row r="91" spans="1:6">
      <c r="A91" s="12" t="s">
        <v>616</v>
      </c>
      <c r="B91" s="12" t="s">
        <v>2614</v>
      </c>
      <c r="C91" s="14">
        <v>26</v>
      </c>
      <c r="D91" s="12" t="s">
        <v>134</v>
      </c>
      <c r="E91" s="12" t="s">
        <v>2526</v>
      </c>
      <c r="F91" s="13">
        <v>44137</v>
      </c>
    </row>
    <row r="92" spans="1:6">
      <c r="A92" s="12" t="s">
        <v>927</v>
      </c>
      <c r="B92" s="12" t="s">
        <v>2615</v>
      </c>
      <c r="C92" s="14">
        <v>55</v>
      </c>
      <c r="D92" s="12" t="s">
        <v>116</v>
      </c>
      <c r="E92" s="12" t="s">
        <v>2524</v>
      </c>
      <c r="F92" s="13">
        <v>45178</v>
      </c>
    </row>
    <row r="93" spans="1:6">
      <c r="A93" s="12" t="s">
        <v>411</v>
      </c>
      <c r="B93" s="12" t="s">
        <v>2616</v>
      </c>
      <c r="C93" s="14">
        <v>28</v>
      </c>
      <c r="D93" s="12" t="s">
        <v>134</v>
      </c>
      <c r="E93" s="12" t="s">
        <v>2532</v>
      </c>
      <c r="F93" s="13">
        <v>44731</v>
      </c>
    </row>
    <row r="94" spans="1:6">
      <c r="A94" s="12" t="s">
        <v>833</v>
      </c>
      <c r="B94" s="12" t="s">
        <v>2617</v>
      </c>
      <c r="C94" s="14">
        <v>36</v>
      </c>
      <c r="D94" s="12" t="s">
        <v>105</v>
      </c>
      <c r="E94" s="12" t="s">
        <v>2524</v>
      </c>
      <c r="F94" s="13">
        <v>44743</v>
      </c>
    </row>
    <row r="95" spans="1:6">
      <c r="A95" s="12" t="s">
        <v>333</v>
      </c>
      <c r="B95" s="12" t="s">
        <v>2618</v>
      </c>
      <c r="C95" s="14">
        <v>60</v>
      </c>
      <c r="D95" s="12" t="s">
        <v>105</v>
      </c>
      <c r="E95" s="12" t="s">
        <v>2532</v>
      </c>
      <c r="F95" s="13">
        <v>44915</v>
      </c>
    </row>
    <row r="96" spans="1:6">
      <c r="A96" s="12" t="s">
        <v>245</v>
      </c>
      <c r="B96" s="12" t="s">
        <v>2619</v>
      </c>
      <c r="C96" s="14">
        <v>54</v>
      </c>
      <c r="D96" s="12" t="s">
        <v>129</v>
      </c>
      <c r="E96" s="12" t="s">
        <v>2532</v>
      </c>
      <c r="F96" s="13">
        <v>44622</v>
      </c>
    </row>
    <row r="97" spans="1:6">
      <c r="A97" s="12" t="s">
        <v>399</v>
      </c>
      <c r="B97" s="12" t="s">
        <v>2620</v>
      </c>
      <c r="C97" s="14">
        <v>27</v>
      </c>
      <c r="D97" s="12" t="s">
        <v>116</v>
      </c>
      <c r="E97" s="12" t="s">
        <v>2526</v>
      </c>
      <c r="F97" s="13">
        <v>44445</v>
      </c>
    </row>
    <row r="98" spans="1:6">
      <c r="A98" s="12" t="s">
        <v>574</v>
      </c>
      <c r="B98" s="12" t="s">
        <v>2621</v>
      </c>
      <c r="C98" s="14">
        <v>65</v>
      </c>
      <c r="D98" s="12" t="s">
        <v>129</v>
      </c>
      <c r="E98" s="12" t="s">
        <v>2524</v>
      </c>
      <c r="F98" s="13">
        <v>43899</v>
      </c>
    </row>
    <row r="99" spans="1:6">
      <c r="A99" s="12" t="s">
        <v>113</v>
      </c>
      <c r="B99" s="12" t="s">
        <v>2622</v>
      </c>
      <c r="C99" s="14">
        <v>52</v>
      </c>
      <c r="D99" s="12" t="s">
        <v>116</v>
      </c>
      <c r="E99" s="12" t="s">
        <v>2524</v>
      </c>
      <c r="F99" s="13">
        <v>44406</v>
      </c>
    </row>
    <row r="100" spans="1:6">
      <c r="A100" s="12" t="s">
        <v>1741</v>
      </c>
      <c r="B100" s="12" t="s">
        <v>2623</v>
      </c>
      <c r="C100" s="14">
        <v>54</v>
      </c>
      <c r="D100" s="12" t="s">
        <v>134</v>
      </c>
      <c r="E100" s="12" t="s">
        <v>2532</v>
      </c>
      <c r="F100" s="13">
        <v>44938</v>
      </c>
    </row>
    <row r="101" spans="1:6">
      <c r="A101" s="12" t="s">
        <v>1592</v>
      </c>
      <c r="B101" s="12" t="s">
        <v>2624</v>
      </c>
      <c r="C101" s="14">
        <v>60</v>
      </c>
      <c r="D101" s="12" t="s">
        <v>150</v>
      </c>
      <c r="E101" s="12" t="s">
        <v>2526</v>
      </c>
      <c r="F101" s="13">
        <v>45072</v>
      </c>
    </row>
    <row r="102" spans="1:6">
      <c r="A102" s="12" t="s">
        <v>192</v>
      </c>
      <c r="B102" s="12" t="s">
        <v>2625</v>
      </c>
      <c r="C102" s="14">
        <v>40</v>
      </c>
      <c r="D102" s="12" t="s">
        <v>150</v>
      </c>
      <c r="E102" s="12" t="s">
        <v>2532</v>
      </c>
      <c r="F102" s="13">
        <v>44021</v>
      </c>
    </row>
    <row r="103" spans="1:6">
      <c r="A103" s="12" t="s">
        <v>386</v>
      </c>
      <c r="B103" s="12" t="s">
        <v>2626</v>
      </c>
      <c r="C103" s="14">
        <v>62</v>
      </c>
      <c r="D103" s="12" t="s">
        <v>111</v>
      </c>
      <c r="E103" s="12" t="s">
        <v>2532</v>
      </c>
      <c r="F103" s="13">
        <v>45092</v>
      </c>
    </row>
    <row r="104" spans="1:6">
      <c r="A104" s="12" t="s">
        <v>960</v>
      </c>
      <c r="B104" s="12" t="s">
        <v>2627</v>
      </c>
      <c r="C104" s="14">
        <v>54</v>
      </c>
      <c r="D104" s="12" t="s">
        <v>150</v>
      </c>
      <c r="E104" s="12" t="s">
        <v>2526</v>
      </c>
      <c r="F104" s="13">
        <v>45080</v>
      </c>
    </row>
    <row r="105" spans="1:6">
      <c r="A105" s="12" t="s">
        <v>471</v>
      </c>
      <c r="B105" s="12" t="s">
        <v>2628</v>
      </c>
      <c r="C105" s="14">
        <v>43</v>
      </c>
      <c r="D105" s="12" t="s">
        <v>150</v>
      </c>
      <c r="E105" s="12" t="s">
        <v>2526</v>
      </c>
      <c r="F105" s="13">
        <v>44018</v>
      </c>
    </row>
    <row r="106" spans="1:6">
      <c r="A106" s="12" t="s">
        <v>1325</v>
      </c>
      <c r="B106" s="12" t="s">
        <v>2629</v>
      </c>
      <c r="C106" s="14">
        <v>51</v>
      </c>
      <c r="D106" s="12" t="s">
        <v>111</v>
      </c>
      <c r="E106" s="12" t="s">
        <v>2532</v>
      </c>
      <c r="F106" s="13">
        <v>44060</v>
      </c>
    </row>
    <row r="107" spans="1:6">
      <c r="A107" s="12" t="s">
        <v>430</v>
      </c>
      <c r="B107" s="12" t="s">
        <v>2630</v>
      </c>
      <c r="C107" s="14">
        <v>22</v>
      </c>
      <c r="D107" s="12" t="s">
        <v>105</v>
      </c>
      <c r="E107" s="12" t="s">
        <v>2524</v>
      </c>
      <c r="F107" s="13">
        <v>45192</v>
      </c>
    </row>
    <row r="108" spans="1:6">
      <c r="A108" s="12" t="s">
        <v>189</v>
      </c>
      <c r="B108" s="12" t="s">
        <v>2631</v>
      </c>
      <c r="C108" s="14">
        <v>50</v>
      </c>
      <c r="D108" s="12" t="s">
        <v>105</v>
      </c>
      <c r="E108" s="12" t="s">
        <v>2524</v>
      </c>
      <c r="F108" s="13">
        <v>44007</v>
      </c>
    </row>
    <row r="109" spans="1:6">
      <c r="A109" s="12" t="s">
        <v>348</v>
      </c>
      <c r="B109" s="12" t="s">
        <v>2632</v>
      </c>
      <c r="C109" s="14">
        <v>59</v>
      </c>
      <c r="D109" s="12" t="s">
        <v>134</v>
      </c>
      <c r="E109" s="12" t="s">
        <v>2526</v>
      </c>
      <c r="F109" s="13">
        <v>44382</v>
      </c>
    </row>
    <row r="110" spans="1:6">
      <c r="A110" s="12" t="s">
        <v>1248</v>
      </c>
      <c r="B110" s="12" t="s">
        <v>2633</v>
      </c>
      <c r="C110" s="14">
        <v>42</v>
      </c>
      <c r="D110" s="12" t="s">
        <v>105</v>
      </c>
      <c r="E110" s="12" t="s">
        <v>2524</v>
      </c>
      <c r="F110" s="13">
        <v>44698</v>
      </c>
    </row>
    <row r="111" spans="1:6">
      <c r="A111" s="12" t="s">
        <v>641</v>
      </c>
      <c r="B111" s="12" t="s">
        <v>2554</v>
      </c>
      <c r="C111" s="14">
        <v>31</v>
      </c>
      <c r="D111" s="12" t="s">
        <v>105</v>
      </c>
      <c r="E111" s="12" t="s">
        <v>2526</v>
      </c>
      <c r="F111" s="13">
        <v>44346</v>
      </c>
    </row>
    <row r="112" spans="1:6">
      <c r="A112" s="12" t="s">
        <v>439</v>
      </c>
      <c r="B112" s="12" t="s">
        <v>2634</v>
      </c>
      <c r="C112" s="14">
        <v>64</v>
      </c>
      <c r="D112" s="12" t="s">
        <v>111</v>
      </c>
      <c r="E112" s="12" t="s">
        <v>2532</v>
      </c>
      <c r="F112" s="13">
        <v>44309</v>
      </c>
    </row>
    <row r="113" spans="1:6">
      <c r="A113" s="12" t="s">
        <v>253</v>
      </c>
      <c r="B113" s="12" t="s">
        <v>2635</v>
      </c>
      <c r="C113" s="14">
        <v>64</v>
      </c>
      <c r="D113" s="12" t="s">
        <v>150</v>
      </c>
      <c r="E113" s="12" t="s">
        <v>2524</v>
      </c>
      <c r="F113" s="13">
        <v>44015</v>
      </c>
    </row>
    <row r="114" spans="1:6">
      <c r="A114" s="12" t="s">
        <v>414</v>
      </c>
      <c r="B114" s="12" t="s">
        <v>2636</v>
      </c>
      <c r="C114" s="14">
        <v>30</v>
      </c>
      <c r="D114" s="12" t="s">
        <v>116</v>
      </c>
      <c r="E114" s="12" t="s">
        <v>2524</v>
      </c>
      <c r="F114" s="13">
        <v>44490</v>
      </c>
    </row>
    <row r="115" spans="1:6">
      <c r="A115" s="12" t="s">
        <v>433</v>
      </c>
      <c r="B115" s="12" t="s">
        <v>2637</v>
      </c>
      <c r="C115" s="14">
        <v>42</v>
      </c>
      <c r="D115" s="12" t="s">
        <v>134</v>
      </c>
      <c r="E115" s="12" t="s">
        <v>2526</v>
      </c>
      <c r="F115" s="13">
        <v>44907</v>
      </c>
    </row>
    <row r="116" spans="1:6">
      <c r="A116" s="12" t="s">
        <v>634</v>
      </c>
      <c r="B116" s="12" t="s">
        <v>2560</v>
      </c>
      <c r="C116" s="14">
        <v>65</v>
      </c>
      <c r="D116" s="12" t="s">
        <v>129</v>
      </c>
      <c r="E116" s="12" t="s">
        <v>2532</v>
      </c>
      <c r="F116" s="13">
        <v>44381</v>
      </c>
    </row>
    <row r="117" spans="1:6">
      <c r="A117" s="12" t="s">
        <v>1640</v>
      </c>
      <c r="B117" s="12" t="s">
        <v>2638</v>
      </c>
      <c r="C117" s="14">
        <v>53</v>
      </c>
      <c r="D117" s="12" t="s">
        <v>2639</v>
      </c>
      <c r="E117" s="12" t="s">
        <v>2524</v>
      </c>
      <c r="F117" s="13">
        <v>44050</v>
      </c>
    </row>
    <row r="118" spans="1:6">
      <c r="A118" s="12" t="s">
        <v>468</v>
      </c>
      <c r="B118" s="12" t="s">
        <v>2640</v>
      </c>
      <c r="C118" s="14">
        <v>34</v>
      </c>
      <c r="D118" s="12" t="s">
        <v>116</v>
      </c>
      <c r="E118" s="12" t="s">
        <v>2532</v>
      </c>
      <c r="F118" s="13">
        <v>44581</v>
      </c>
    </row>
    <row r="119" spans="1:6">
      <c r="A119" s="12" t="s">
        <v>225</v>
      </c>
      <c r="B119" s="12" t="s">
        <v>2641</v>
      </c>
      <c r="C119" s="14">
        <v>26</v>
      </c>
      <c r="D119" s="12" t="s">
        <v>150</v>
      </c>
      <c r="E119" s="12" t="s">
        <v>2524</v>
      </c>
      <c r="F119" s="13">
        <v>44916</v>
      </c>
    </row>
    <row r="120" spans="1:6">
      <c r="A120" s="12" t="s">
        <v>486</v>
      </c>
      <c r="B120" s="12" t="s">
        <v>2642</v>
      </c>
      <c r="C120" s="14">
        <v>43</v>
      </c>
      <c r="D120" s="12" t="s">
        <v>134</v>
      </c>
      <c r="E120" s="12" t="s">
        <v>2532</v>
      </c>
      <c r="F120" s="13">
        <v>44360</v>
      </c>
    </row>
    <row r="121" spans="1:6">
      <c r="A121" s="12" t="s">
        <v>1251</v>
      </c>
      <c r="B121" s="12" t="s">
        <v>2643</v>
      </c>
      <c r="C121" s="14">
        <v>29</v>
      </c>
      <c r="D121" s="12" t="s">
        <v>129</v>
      </c>
      <c r="E121" s="12" t="s">
        <v>2524</v>
      </c>
      <c r="F121" s="13">
        <v>44871</v>
      </c>
    </row>
    <row r="122" spans="1:6">
      <c r="A122" s="12" t="s">
        <v>539</v>
      </c>
      <c r="B122" s="12" t="s">
        <v>2644</v>
      </c>
      <c r="C122" s="14">
        <v>55</v>
      </c>
      <c r="D122" s="12" t="s">
        <v>116</v>
      </c>
      <c r="E122" s="12" t="s">
        <v>2532</v>
      </c>
      <c r="F122" s="13">
        <v>45119</v>
      </c>
    </row>
    <row r="123" spans="1:6">
      <c r="A123" s="12" t="s">
        <v>1234</v>
      </c>
      <c r="B123" s="12" t="s">
        <v>2645</v>
      </c>
      <c r="C123" s="14">
        <v>44</v>
      </c>
      <c r="D123" s="12" t="s">
        <v>129</v>
      </c>
      <c r="E123" s="12" t="s">
        <v>2524</v>
      </c>
      <c r="F123" s="13">
        <v>44686</v>
      </c>
    </row>
    <row r="124" spans="1:6">
      <c r="A124" s="12" t="s">
        <v>903</v>
      </c>
      <c r="B124" s="12" t="s">
        <v>2646</v>
      </c>
      <c r="C124" s="14">
        <v>44</v>
      </c>
      <c r="D124" s="12" t="s">
        <v>111</v>
      </c>
      <c r="E124" s="12" t="s">
        <v>2526</v>
      </c>
      <c r="F124" s="13">
        <v>44589</v>
      </c>
    </row>
    <row r="125" spans="1:6">
      <c r="A125" s="12" t="s">
        <v>510</v>
      </c>
      <c r="B125" s="12" t="s">
        <v>2647</v>
      </c>
      <c r="C125" s="14">
        <v>57</v>
      </c>
      <c r="D125" s="12" t="s">
        <v>105</v>
      </c>
      <c r="E125" s="12" t="s">
        <v>2524</v>
      </c>
      <c r="F125" s="13">
        <v>44818</v>
      </c>
    </row>
    <row r="126" spans="1:6">
      <c r="A126" s="12" t="s">
        <v>547</v>
      </c>
      <c r="B126" s="12" t="s">
        <v>2648</v>
      </c>
      <c r="C126" s="14">
        <v>45</v>
      </c>
      <c r="D126" s="12" t="s">
        <v>116</v>
      </c>
      <c r="E126" s="12" t="s">
        <v>2524</v>
      </c>
      <c r="F126" s="13">
        <v>44263</v>
      </c>
    </row>
    <row r="127" spans="1:6">
      <c r="A127" s="12" t="s">
        <v>919</v>
      </c>
      <c r="B127" s="12" t="s">
        <v>2649</v>
      </c>
      <c r="C127" s="14">
        <v>37</v>
      </c>
      <c r="D127" s="12" t="s">
        <v>129</v>
      </c>
      <c r="E127" s="12" t="s">
        <v>2524</v>
      </c>
      <c r="F127" s="13">
        <v>44561</v>
      </c>
    </row>
    <row r="128" spans="1:6">
      <c r="A128" s="12" t="s">
        <v>1000</v>
      </c>
      <c r="B128" s="12" t="s">
        <v>2555</v>
      </c>
      <c r="C128" s="14">
        <v>36</v>
      </c>
      <c r="D128" s="12" t="s">
        <v>134</v>
      </c>
      <c r="E128" s="12" t="s">
        <v>2532</v>
      </c>
      <c r="F128" s="13">
        <v>45036</v>
      </c>
    </row>
    <row r="129" spans="1:6">
      <c r="A129" s="12" t="s">
        <v>969</v>
      </c>
      <c r="B129" s="12" t="s">
        <v>2650</v>
      </c>
      <c r="C129" s="14">
        <v>35</v>
      </c>
      <c r="D129" s="12" t="s">
        <v>150</v>
      </c>
      <c r="E129" s="12" t="s">
        <v>2524</v>
      </c>
      <c r="F129" s="13">
        <v>44602</v>
      </c>
    </row>
    <row r="130" spans="1:6">
      <c r="A130" s="12" t="s">
        <v>316</v>
      </c>
      <c r="B130" s="12" t="s">
        <v>2651</v>
      </c>
      <c r="C130" s="14">
        <v>29</v>
      </c>
      <c r="D130" s="12" t="s">
        <v>2652</v>
      </c>
      <c r="E130" s="12" t="s">
        <v>2524</v>
      </c>
      <c r="F130" s="13">
        <v>44930</v>
      </c>
    </row>
    <row r="131" spans="1:6">
      <c r="A131" s="12" t="s">
        <v>858</v>
      </c>
      <c r="B131" s="12" t="s">
        <v>2653</v>
      </c>
      <c r="C131" s="14">
        <v>41</v>
      </c>
      <c r="D131" s="12" t="s">
        <v>134</v>
      </c>
      <c r="E131" s="12" t="s">
        <v>2526</v>
      </c>
      <c r="F131" s="13">
        <v>44897</v>
      </c>
    </row>
    <row r="132" spans="1:6">
      <c r="A132" s="12" t="s">
        <v>376</v>
      </c>
      <c r="B132" s="12" t="s">
        <v>2654</v>
      </c>
      <c r="C132" s="14">
        <v>28</v>
      </c>
      <c r="D132" s="12" t="s">
        <v>2529</v>
      </c>
      <c r="E132" s="12" t="s">
        <v>2532</v>
      </c>
      <c r="F132" s="13">
        <v>44158</v>
      </c>
    </row>
    <row r="133" spans="1:6">
      <c r="A133" s="12" t="s">
        <v>701</v>
      </c>
      <c r="B133" s="12" t="s">
        <v>2655</v>
      </c>
      <c r="C133" s="14">
        <v>41</v>
      </c>
      <c r="D133" s="12" t="s">
        <v>116</v>
      </c>
      <c r="E133" s="12" t="s">
        <v>2524</v>
      </c>
      <c r="F133" s="13">
        <v>44754</v>
      </c>
    </row>
    <row r="134" spans="1:6">
      <c r="A134" s="12" t="s">
        <v>359</v>
      </c>
      <c r="B134" s="12" t="s">
        <v>2656</v>
      </c>
      <c r="C134" s="14">
        <v>26</v>
      </c>
      <c r="D134" s="12" t="s">
        <v>111</v>
      </c>
      <c r="E134" s="12" t="s">
        <v>2524</v>
      </c>
      <c r="F134" s="13">
        <v>43837</v>
      </c>
    </row>
    <row r="135" spans="1:6">
      <c r="A135" s="12" t="s">
        <v>643</v>
      </c>
      <c r="B135" s="12" t="s">
        <v>2657</v>
      </c>
      <c r="C135" s="14">
        <v>40</v>
      </c>
      <c r="D135" s="12" t="s">
        <v>116</v>
      </c>
      <c r="E135" s="12" t="s">
        <v>2524</v>
      </c>
      <c r="F135" s="13">
        <v>45111</v>
      </c>
    </row>
    <row r="136" spans="1:6">
      <c r="A136" s="12" t="s">
        <v>580</v>
      </c>
      <c r="B136" s="12" t="s">
        <v>2658</v>
      </c>
      <c r="C136" s="14">
        <v>24</v>
      </c>
      <c r="D136" s="12" t="s">
        <v>105</v>
      </c>
      <c r="E136" s="12" t="s">
        <v>2532</v>
      </c>
      <c r="F136" s="13">
        <v>44673</v>
      </c>
    </row>
    <row r="137" spans="1:6">
      <c r="A137" s="12" t="s">
        <v>867</v>
      </c>
      <c r="B137" s="12" t="s">
        <v>2659</v>
      </c>
      <c r="C137" s="14">
        <v>26</v>
      </c>
      <c r="D137" s="12" t="s">
        <v>111</v>
      </c>
      <c r="E137" s="12" t="s">
        <v>2532</v>
      </c>
      <c r="F137" s="13">
        <v>44122</v>
      </c>
    </row>
    <row r="138" spans="1:6">
      <c r="A138" s="12" t="s">
        <v>464</v>
      </c>
      <c r="B138" s="12" t="s">
        <v>2618</v>
      </c>
      <c r="C138" s="14">
        <v>41</v>
      </c>
      <c r="D138" s="12" t="s">
        <v>129</v>
      </c>
      <c r="E138" s="12" t="s">
        <v>2524</v>
      </c>
      <c r="F138" s="13">
        <v>44946</v>
      </c>
    </row>
    <row r="139" spans="1:6">
      <c r="A139" s="12" t="s">
        <v>734</v>
      </c>
      <c r="B139" s="12" t="s">
        <v>2660</v>
      </c>
      <c r="C139" s="14">
        <v>24</v>
      </c>
      <c r="D139" s="12" t="s">
        <v>111</v>
      </c>
      <c r="E139" s="12" t="s">
        <v>2524</v>
      </c>
      <c r="F139" s="13">
        <v>43955</v>
      </c>
    </row>
    <row r="140" spans="1:6">
      <c r="A140" s="12" t="s">
        <v>350</v>
      </c>
      <c r="B140" s="12" t="s">
        <v>2661</v>
      </c>
      <c r="C140" s="14">
        <v>65</v>
      </c>
      <c r="D140" s="12" t="s">
        <v>150</v>
      </c>
      <c r="E140" s="12" t="s">
        <v>2532</v>
      </c>
      <c r="F140" s="13">
        <v>43997</v>
      </c>
    </row>
    <row r="141" spans="1:6">
      <c r="A141" s="12" t="s">
        <v>2070</v>
      </c>
      <c r="B141" s="12" t="s">
        <v>2662</v>
      </c>
      <c r="C141" s="14">
        <v>39</v>
      </c>
      <c r="D141" s="12" t="s">
        <v>150</v>
      </c>
      <c r="E141" s="12" t="s">
        <v>2532</v>
      </c>
      <c r="F141" s="13">
        <v>43854</v>
      </c>
    </row>
    <row r="142" spans="1:6">
      <c r="A142" s="12" t="s">
        <v>645</v>
      </c>
      <c r="B142" s="12" t="s">
        <v>2663</v>
      </c>
      <c r="C142" s="14">
        <v>22</v>
      </c>
      <c r="D142" s="12" t="s">
        <v>150</v>
      </c>
      <c r="E142" s="12" t="s">
        <v>2526</v>
      </c>
      <c r="F142" s="13">
        <v>45069</v>
      </c>
    </row>
    <row r="143" spans="1:6">
      <c r="A143" s="12" t="s">
        <v>195</v>
      </c>
      <c r="B143" s="12" t="s">
        <v>2606</v>
      </c>
      <c r="C143" s="14">
        <v>55</v>
      </c>
      <c r="D143" s="12" t="s">
        <v>2664</v>
      </c>
      <c r="E143" s="12" t="s">
        <v>2526</v>
      </c>
      <c r="F143" s="13">
        <v>44597</v>
      </c>
    </row>
    <row r="144" spans="1:6">
      <c r="A144" s="12" t="s">
        <v>203</v>
      </c>
      <c r="B144" s="12" t="s">
        <v>2665</v>
      </c>
      <c r="C144" s="14">
        <v>52</v>
      </c>
      <c r="D144" s="12" t="s">
        <v>111</v>
      </c>
      <c r="E144" s="12" t="s">
        <v>2532</v>
      </c>
      <c r="F144" s="13">
        <v>44194</v>
      </c>
    </row>
    <row r="145" spans="1:6">
      <c r="A145" s="12" t="s">
        <v>1082</v>
      </c>
      <c r="B145" s="12" t="s">
        <v>2666</v>
      </c>
      <c r="C145" s="14">
        <v>49</v>
      </c>
      <c r="D145" s="12" t="s">
        <v>111</v>
      </c>
      <c r="E145" s="12" t="s">
        <v>2524</v>
      </c>
      <c r="F145" s="13">
        <v>44931</v>
      </c>
    </row>
    <row r="146" spans="1:6">
      <c r="A146" s="12" t="s">
        <v>393</v>
      </c>
      <c r="B146" s="12" t="s">
        <v>2667</v>
      </c>
      <c r="C146" s="14">
        <v>44</v>
      </c>
      <c r="D146" s="12" t="s">
        <v>134</v>
      </c>
      <c r="E146" s="12" t="s">
        <v>2532</v>
      </c>
      <c r="F146" s="13">
        <v>44009</v>
      </c>
    </row>
    <row r="147" spans="1:6">
      <c r="A147" s="12" t="s">
        <v>435</v>
      </c>
      <c r="B147" s="12" t="s">
        <v>2668</v>
      </c>
      <c r="C147" s="14">
        <v>22</v>
      </c>
      <c r="D147" s="12" t="s">
        <v>150</v>
      </c>
      <c r="E147" s="12" t="s">
        <v>2524</v>
      </c>
      <c r="F147" s="13">
        <v>44681</v>
      </c>
    </row>
    <row r="148" spans="1:6">
      <c r="A148" s="12" t="s">
        <v>143</v>
      </c>
      <c r="B148" s="12" t="s">
        <v>2669</v>
      </c>
      <c r="C148" s="14">
        <v>56</v>
      </c>
      <c r="D148" s="12" t="s">
        <v>105</v>
      </c>
      <c r="E148" s="12" t="s">
        <v>2524</v>
      </c>
      <c r="F148" s="13">
        <v>44644</v>
      </c>
    </row>
    <row r="149" spans="1:6">
      <c r="A149" s="12" t="s">
        <v>840</v>
      </c>
      <c r="B149" s="12" t="s">
        <v>2670</v>
      </c>
      <c r="C149" s="14">
        <v>32</v>
      </c>
      <c r="D149" s="12" t="s">
        <v>111</v>
      </c>
      <c r="E149" s="12" t="s">
        <v>2524</v>
      </c>
      <c r="F149" s="13">
        <v>44014</v>
      </c>
    </row>
    <row r="150" spans="1:6">
      <c r="A150" s="12" t="s">
        <v>405</v>
      </c>
      <c r="B150" s="12" t="s">
        <v>2671</v>
      </c>
      <c r="C150" s="14">
        <v>44</v>
      </c>
      <c r="D150" s="12" t="s">
        <v>1838</v>
      </c>
      <c r="E150" s="12" t="s">
        <v>2524</v>
      </c>
      <c r="F150" s="13">
        <v>44390</v>
      </c>
    </row>
    <row r="151" spans="1:6">
      <c r="A151" s="12" t="s">
        <v>424</v>
      </c>
      <c r="B151" s="12" t="s">
        <v>2661</v>
      </c>
      <c r="C151" s="14">
        <v>53</v>
      </c>
      <c r="D151" s="12" t="s">
        <v>105</v>
      </c>
      <c r="E151" s="12" t="s">
        <v>2532</v>
      </c>
      <c r="F151" s="13">
        <v>45208</v>
      </c>
    </row>
    <row r="152" spans="1:6">
      <c r="A152" s="12" t="s">
        <v>632</v>
      </c>
      <c r="B152" s="12" t="s">
        <v>2672</v>
      </c>
      <c r="C152" s="14">
        <v>53</v>
      </c>
      <c r="D152" s="12" t="s">
        <v>129</v>
      </c>
      <c r="E152" s="12" t="s">
        <v>2524</v>
      </c>
      <c r="F152" s="13">
        <v>43999</v>
      </c>
    </row>
    <row r="153" spans="1:6">
      <c r="A153" s="12" t="s">
        <v>248</v>
      </c>
      <c r="B153" s="12" t="s">
        <v>2673</v>
      </c>
      <c r="C153" s="14">
        <v>64</v>
      </c>
      <c r="D153" s="12" t="s">
        <v>134</v>
      </c>
      <c r="E153" s="12" t="s">
        <v>2532</v>
      </c>
      <c r="F153" s="13">
        <v>44209</v>
      </c>
    </row>
    <row r="154" spans="1:6">
      <c r="A154" s="12" t="s">
        <v>703</v>
      </c>
      <c r="B154" s="12" t="s">
        <v>2674</v>
      </c>
      <c r="C154" s="14">
        <v>35</v>
      </c>
      <c r="D154" s="12" t="s">
        <v>129</v>
      </c>
      <c r="E154" s="12" t="s">
        <v>2524</v>
      </c>
      <c r="F154" s="13">
        <v>44787</v>
      </c>
    </row>
    <row r="155" spans="1:6">
      <c r="A155" s="12" t="s">
        <v>824</v>
      </c>
      <c r="B155" s="12" t="s">
        <v>2675</v>
      </c>
      <c r="C155" s="14">
        <v>36</v>
      </c>
      <c r="D155" s="12" t="s">
        <v>105</v>
      </c>
      <c r="E155" s="12" t="s">
        <v>2524</v>
      </c>
      <c r="F155" s="13">
        <v>44370</v>
      </c>
    </row>
    <row r="156" spans="1:6">
      <c r="A156" s="12" t="s">
        <v>625</v>
      </c>
      <c r="B156" s="12" t="s">
        <v>2676</v>
      </c>
      <c r="C156" s="14">
        <v>40</v>
      </c>
      <c r="D156" s="12" t="s">
        <v>105</v>
      </c>
      <c r="E156" s="12" t="s">
        <v>2526</v>
      </c>
      <c r="F156" s="13">
        <v>44693</v>
      </c>
    </row>
    <row r="157" spans="1:6">
      <c r="A157" s="12" t="s">
        <v>1053</v>
      </c>
      <c r="B157" s="12" t="s">
        <v>2677</v>
      </c>
      <c r="C157" s="14">
        <v>33</v>
      </c>
      <c r="D157" s="12" t="s">
        <v>129</v>
      </c>
      <c r="E157" s="12" t="s">
        <v>2524</v>
      </c>
      <c r="F157" s="13">
        <v>45229</v>
      </c>
    </row>
    <row r="158" spans="1:6">
      <c r="A158" s="12" t="s">
        <v>720</v>
      </c>
      <c r="B158" s="12" t="s">
        <v>2678</v>
      </c>
      <c r="C158" s="14">
        <v>52</v>
      </c>
      <c r="D158" s="12" t="s">
        <v>105</v>
      </c>
      <c r="E158" s="12" t="s">
        <v>2526</v>
      </c>
      <c r="F158" s="13">
        <v>44896</v>
      </c>
    </row>
    <row r="159" spans="1:6">
      <c r="A159" s="12" t="s">
        <v>1113</v>
      </c>
      <c r="B159" s="12" t="s">
        <v>2679</v>
      </c>
      <c r="C159" s="14">
        <v>42</v>
      </c>
      <c r="D159" s="12" t="s">
        <v>105</v>
      </c>
      <c r="E159" s="12" t="s">
        <v>2526</v>
      </c>
      <c r="F159" s="13">
        <v>44617</v>
      </c>
    </row>
    <row r="160" spans="1:6">
      <c r="A160" s="12" t="s">
        <v>183</v>
      </c>
      <c r="B160" s="12" t="s">
        <v>2680</v>
      </c>
      <c r="C160" s="14">
        <v>32</v>
      </c>
      <c r="D160" s="12" t="s">
        <v>2652</v>
      </c>
      <c r="E160" s="12" t="s">
        <v>2524</v>
      </c>
      <c r="F160" s="13">
        <v>44432</v>
      </c>
    </row>
    <row r="161" spans="1:6">
      <c r="A161" s="12" t="s">
        <v>672</v>
      </c>
      <c r="B161" s="12" t="s">
        <v>2681</v>
      </c>
      <c r="C161" s="14">
        <v>27</v>
      </c>
      <c r="D161" s="12" t="s">
        <v>150</v>
      </c>
      <c r="E161" s="12" t="s">
        <v>2524</v>
      </c>
      <c r="F161" s="13">
        <v>44481</v>
      </c>
    </row>
    <row r="162" spans="1:6">
      <c r="A162" s="12" t="s">
        <v>306</v>
      </c>
      <c r="B162" s="12" t="s">
        <v>2682</v>
      </c>
      <c r="C162" s="14">
        <v>38</v>
      </c>
      <c r="D162" s="12" t="s">
        <v>111</v>
      </c>
      <c r="E162" s="12" t="s">
        <v>2524</v>
      </c>
      <c r="F162" s="13">
        <v>43880</v>
      </c>
    </row>
    <row r="163" spans="1:6">
      <c r="A163" s="12" t="s">
        <v>537</v>
      </c>
      <c r="B163" s="12" t="s">
        <v>2683</v>
      </c>
      <c r="C163" s="14">
        <v>35</v>
      </c>
      <c r="D163" s="12" t="s">
        <v>129</v>
      </c>
      <c r="E163" s="12" t="s">
        <v>2526</v>
      </c>
      <c r="F163" s="13">
        <v>44741</v>
      </c>
    </row>
    <row r="164" spans="1:6">
      <c r="A164" s="12" t="s">
        <v>502</v>
      </c>
      <c r="B164" s="12" t="s">
        <v>2550</v>
      </c>
      <c r="C164" s="14">
        <v>49</v>
      </c>
      <c r="D164" s="12" t="s">
        <v>105</v>
      </c>
      <c r="E164" s="12" t="s">
        <v>2524</v>
      </c>
      <c r="F164" s="13">
        <v>44971</v>
      </c>
    </row>
    <row r="165" spans="1:6">
      <c r="A165" s="12" t="s">
        <v>370</v>
      </c>
      <c r="B165" s="12" t="s">
        <v>2535</v>
      </c>
      <c r="C165" s="14">
        <v>60</v>
      </c>
      <c r="D165" s="12" t="s">
        <v>111</v>
      </c>
      <c r="E165" s="12" t="s">
        <v>2524</v>
      </c>
      <c r="F165" s="13">
        <v>44739</v>
      </c>
    </row>
    <row r="166" spans="1:6">
      <c r="A166" s="12" t="s">
        <v>474</v>
      </c>
      <c r="B166" s="12" t="s">
        <v>2569</v>
      </c>
      <c r="C166" s="14">
        <v>29</v>
      </c>
      <c r="D166" s="12" t="s">
        <v>105</v>
      </c>
      <c r="E166" s="12" t="s">
        <v>2524</v>
      </c>
      <c r="F166" s="13">
        <v>44046</v>
      </c>
    </row>
    <row r="167" spans="1:6">
      <c r="A167" s="12" t="s">
        <v>686</v>
      </c>
      <c r="B167" s="12" t="s">
        <v>2684</v>
      </c>
      <c r="C167" s="14">
        <v>31</v>
      </c>
      <c r="D167" s="12" t="s">
        <v>150</v>
      </c>
      <c r="E167" s="12" t="s">
        <v>2524</v>
      </c>
      <c r="F167" s="13">
        <v>44331</v>
      </c>
    </row>
    <row r="168" spans="1:6">
      <c r="A168" s="12" t="s">
        <v>655</v>
      </c>
      <c r="B168" s="12" t="s">
        <v>2685</v>
      </c>
      <c r="C168" s="14">
        <v>43</v>
      </c>
      <c r="D168" s="12" t="s">
        <v>116</v>
      </c>
      <c r="E168" s="12" t="s">
        <v>2524</v>
      </c>
      <c r="F168" s="13">
        <v>44891</v>
      </c>
    </row>
    <row r="169" spans="1:6">
      <c r="A169" s="12" t="s">
        <v>298</v>
      </c>
      <c r="B169" s="12" t="s">
        <v>2686</v>
      </c>
      <c r="C169" s="14">
        <v>25</v>
      </c>
      <c r="D169" s="12" t="s">
        <v>105</v>
      </c>
      <c r="E169" s="12" t="s">
        <v>2524</v>
      </c>
      <c r="F169" s="13">
        <v>44406</v>
      </c>
    </row>
    <row r="170" spans="1:6">
      <c r="A170" s="12" t="s">
        <v>627</v>
      </c>
      <c r="B170" s="12" t="s">
        <v>2687</v>
      </c>
      <c r="C170" s="14">
        <v>42</v>
      </c>
      <c r="D170" s="12" t="s">
        <v>134</v>
      </c>
      <c r="E170" s="12" t="s">
        <v>2532</v>
      </c>
      <c r="F170" s="13">
        <v>45072</v>
      </c>
    </row>
    <row r="171" spans="1:6">
      <c r="A171" s="12" t="s">
        <v>367</v>
      </c>
      <c r="B171" s="12" t="s">
        <v>2688</v>
      </c>
      <c r="C171" s="14">
        <v>22</v>
      </c>
      <c r="D171" s="12" t="s">
        <v>129</v>
      </c>
      <c r="E171" s="12" t="s">
        <v>2532</v>
      </c>
      <c r="F171" s="13">
        <v>45110</v>
      </c>
    </row>
    <row r="172" spans="1:6">
      <c r="A172" s="12" t="s">
        <v>606</v>
      </c>
      <c r="B172" s="12" t="s">
        <v>2689</v>
      </c>
      <c r="C172" s="14">
        <v>30</v>
      </c>
      <c r="D172" s="12" t="s">
        <v>111</v>
      </c>
      <c r="E172" s="12" t="s">
        <v>2526</v>
      </c>
      <c r="F172" s="13">
        <v>44540</v>
      </c>
    </row>
    <row r="173" spans="1:6">
      <c r="A173" s="12" t="s">
        <v>459</v>
      </c>
      <c r="B173" s="12" t="s">
        <v>2690</v>
      </c>
      <c r="C173" s="14">
        <v>65</v>
      </c>
      <c r="D173" s="12" t="s">
        <v>105</v>
      </c>
      <c r="E173" s="12" t="s">
        <v>2524</v>
      </c>
      <c r="F173" s="13">
        <v>44918</v>
      </c>
    </row>
    <row r="174" spans="1:6">
      <c r="A174" s="12" t="s">
        <v>570</v>
      </c>
      <c r="B174" s="12" t="s">
        <v>2691</v>
      </c>
      <c r="C174" s="14">
        <v>65</v>
      </c>
      <c r="D174" s="12" t="s">
        <v>129</v>
      </c>
      <c r="E174" s="12" t="s">
        <v>2524</v>
      </c>
      <c r="F174" s="13">
        <v>44342</v>
      </c>
    </row>
    <row r="175" spans="1:6">
      <c r="A175" s="12" t="s">
        <v>962</v>
      </c>
      <c r="B175" s="12" t="s">
        <v>2692</v>
      </c>
      <c r="C175" s="14">
        <v>54</v>
      </c>
      <c r="D175" s="12" t="s">
        <v>105</v>
      </c>
      <c r="E175" s="12" t="s">
        <v>2524</v>
      </c>
      <c r="F175" s="13">
        <v>44609</v>
      </c>
    </row>
    <row r="176" spans="1:6">
      <c r="A176" s="12" t="s">
        <v>283</v>
      </c>
      <c r="B176" s="12" t="s">
        <v>2693</v>
      </c>
      <c r="C176" s="14">
        <v>55</v>
      </c>
      <c r="D176" s="12" t="s">
        <v>116</v>
      </c>
      <c r="E176" s="12" t="s">
        <v>2526</v>
      </c>
      <c r="F176" s="13">
        <v>44423</v>
      </c>
    </row>
    <row r="177" spans="1:6">
      <c r="A177" s="12" t="s">
        <v>267</v>
      </c>
      <c r="B177" s="12" t="s">
        <v>2694</v>
      </c>
      <c r="C177" s="14">
        <v>34</v>
      </c>
      <c r="D177" s="12" t="s">
        <v>134</v>
      </c>
      <c r="E177" s="12" t="s">
        <v>2532</v>
      </c>
      <c r="F177" s="13">
        <v>44091</v>
      </c>
    </row>
    <row r="178" spans="1:6">
      <c r="A178" s="12" t="s">
        <v>229</v>
      </c>
      <c r="B178" s="12" t="s">
        <v>2621</v>
      </c>
      <c r="C178" s="14">
        <v>36</v>
      </c>
      <c r="D178" s="12" t="s">
        <v>129</v>
      </c>
      <c r="E178" s="12" t="s">
        <v>2532</v>
      </c>
      <c r="F178" s="13">
        <v>44589</v>
      </c>
    </row>
    <row r="179" spans="1:6">
      <c r="A179" s="12" t="s">
        <v>561</v>
      </c>
      <c r="B179" s="12" t="s">
        <v>2695</v>
      </c>
      <c r="C179" s="14">
        <v>25</v>
      </c>
      <c r="D179" s="12" t="s">
        <v>150</v>
      </c>
      <c r="E179" s="12" t="s">
        <v>2524</v>
      </c>
      <c r="F179" s="13">
        <v>45164</v>
      </c>
    </row>
    <row r="180" spans="1:6">
      <c r="A180" s="12" t="s">
        <v>1079</v>
      </c>
      <c r="B180" s="12" t="s">
        <v>2696</v>
      </c>
      <c r="C180" s="14">
        <v>54</v>
      </c>
      <c r="D180" s="12" t="s">
        <v>129</v>
      </c>
      <c r="E180" s="12" t="s">
        <v>2532</v>
      </c>
      <c r="F180" s="13">
        <v>44959</v>
      </c>
    </row>
    <row r="181" spans="1:6">
      <c r="A181" s="12" t="s">
        <v>122</v>
      </c>
      <c r="B181" s="12" t="s">
        <v>2697</v>
      </c>
      <c r="C181" s="14">
        <v>36</v>
      </c>
      <c r="D181" s="12" t="s">
        <v>111</v>
      </c>
      <c r="E181" s="12" t="s">
        <v>2524</v>
      </c>
      <c r="F181" s="13">
        <v>45172</v>
      </c>
    </row>
    <row r="182" spans="1:6">
      <c r="A182" s="12" t="s">
        <v>374</v>
      </c>
      <c r="B182" s="12" t="s">
        <v>2698</v>
      </c>
      <c r="C182" s="14">
        <v>38</v>
      </c>
      <c r="D182" s="12" t="s">
        <v>116</v>
      </c>
      <c r="E182" s="12" t="s">
        <v>2532</v>
      </c>
      <c r="F182" s="13">
        <v>44245</v>
      </c>
    </row>
    <row r="183" spans="1:6">
      <c r="A183" s="12" t="s">
        <v>177</v>
      </c>
      <c r="B183" s="12" t="s">
        <v>2699</v>
      </c>
      <c r="C183" s="14">
        <v>54</v>
      </c>
      <c r="D183" s="12" t="s">
        <v>129</v>
      </c>
      <c r="E183" s="12" t="s">
        <v>2524</v>
      </c>
      <c r="F183" s="13">
        <v>43942</v>
      </c>
    </row>
    <row r="184" spans="1:6">
      <c r="A184" s="12" t="s">
        <v>660</v>
      </c>
      <c r="B184" s="12" t="s">
        <v>2700</v>
      </c>
      <c r="C184" s="14">
        <v>27</v>
      </c>
      <c r="D184" s="12" t="s">
        <v>129</v>
      </c>
      <c r="E184" s="12" t="s">
        <v>2532</v>
      </c>
      <c r="F184" s="13">
        <v>43936</v>
      </c>
    </row>
    <row r="185" spans="1:6">
      <c r="A185" s="12" t="s">
        <v>167</v>
      </c>
      <c r="B185" s="12" t="s">
        <v>2701</v>
      </c>
      <c r="C185" s="14">
        <v>63</v>
      </c>
      <c r="D185" s="12" t="s">
        <v>105</v>
      </c>
      <c r="E185" s="12" t="s">
        <v>2524</v>
      </c>
      <c r="F185" s="13">
        <v>44642</v>
      </c>
    </row>
    <row r="186" spans="1:6">
      <c r="A186" s="12" t="s">
        <v>578</v>
      </c>
      <c r="B186" s="12" t="s">
        <v>2702</v>
      </c>
      <c r="C186" s="14">
        <v>43</v>
      </c>
      <c r="D186" s="12" t="s">
        <v>150</v>
      </c>
      <c r="E186" s="12" t="s">
        <v>2532</v>
      </c>
      <c r="F186" s="13">
        <v>44140</v>
      </c>
    </row>
    <row r="187" spans="1:6">
      <c r="A187" s="12" t="s">
        <v>231</v>
      </c>
      <c r="B187" s="12" t="s">
        <v>2691</v>
      </c>
      <c r="C187" s="14">
        <v>42</v>
      </c>
      <c r="D187" s="12" t="s">
        <v>134</v>
      </c>
      <c r="E187" s="12" t="s">
        <v>2524</v>
      </c>
      <c r="F187" s="13">
        <v>45162</v>
      </c>
    </row>
    <row r="188" spans="1:6">
      <c r="A188" s="12" t="s">
        <v>418</v>
      </c>
      <c r="B188" s="12" t="s">
        <v>2703</v>
      </c>
      <c r="C188" s="14">
        <v>51</v>
      </c>
      <c r="D188" s="12" t="s">
        <v>111</v>
      </c>
      <c r="E188" s="12" t="s">
        <v>2532</v>
      </c>
      <c r="F188" s="13">
        <v>43918</v>
      </c>
    </row>
    <row r="189" spans="1:6">
      <c r="A189" s="12" t="s">
        <v>1278</v>
      </c>
      <c r="B189" s="12" t="s">
        <v>2704</v>
      </c>
      <c r="C189" s="14">
        <v>54</v>
      </c>
      <c r="D189" s="12" t="s">
        <v>134</v>
      </c>
      <c r="E189" s="12" t="s">
        <v>2524</v>
      </c>
      <c r="F189" s="13">
        <v>44476</v>
      </c>
    </row>
    <row r="190" spans="1:6">
      <c r="A190" s="12" t="s">
        <v>318</v>
      </c>
      <c r="B190" s="12" t="s">
        <v>2705</v>
      </c>
      <c r="C190" s="14">
        <v>41</v>
      </c>
      <c r="D190" s="12" t="s">
        <v>111</v>
      </c>
      <c r="E190" s="12" t="s">
        <v>2524</v>
      </c>
      <c r="F190" s="13">
        <v>44392</v>
      </c>
    </row>
    <row r="191" spans="1:6">
      <c r="A191" s="12" t="s">
        <v>845</v>
      </c>
      <c r="B191" s="12" t="s">
        <v>2706</v>
      </c>
      <c r="C191" s="14">
        <v>52</v>
      </c>
      <c r="D191" s="12" t="s">
        <v>150</v>
      </c>
      <c r="E191" s="12" t="s">
        <v>2524</v>
      </c>
      <c r="F191" s="13">
        <v>44668</v>
      </c>
    </row>
    <row r="192" spans="1:6">
      <c r="A192" s="12" t="s">
        <v>311</v>
      </c>
      <c r="B192" s="12" t="s">
        <v>2707</v>
      </c>
      <c r="C192" s="14">
        <v>43</v>
      </c>
      <c r="D192" s="12" t="s">
        <v>150</v>
      </c>
      <c r="E192" s="12" t="s">
        <v>2532</v>
      </c>
      <c r="F192" s="13">
        <v>44080</v>
      </c>
    </row>
    <row r="193" spans="1:6">
      <c r="A193" s="12" t="s">
        <v>446</v>
      </c>
      <c r="B193" s="12" t="s">
        <v>2708</v>
      </c>
      <c r="C193" s="14">
        <v>55</v>
      </c>
      <c r="D193" s="12" t="s">
        <v>134</v>
      </c>
      <c r="E193" s="12" t="s">
        <v>2524</v>
      </c>
      <c r="F193" s="13">
        <v>44663</v>
      </c>
    </row>
    <row r="194" spans="1:6">
      <c r="A194" s="12" t="s">
        <v>327</v>
      </c>
      <c r="B194" s="12" t="s">
        <v>2709</v>
      </c>
      <c r="C194" s="14">
        <v>42</v>
      </c>
      <c r="D194" s="12" t="s">
        <v>134</v>
      </c>
      <c r="E194" s="12" t="s">
        <v>2524</v>
      </c>
      <c r="F194" s="13">
        <v>43886</v>
      </c>
    </row>
    <row r="195" spans="1:6">
      <c r="A195" s="12" t="s">
        <v>275</v>
      </c>
      <c r="B195" s="12" t="s">
        <v>2560</v>
      </c>
      <c r="C195" s="14">
        <v>55</v>
      </c>
      <c r="D195" s="12" t="s">
        <v>116</v>
      </c>
      <c r="E195" s="12" t="s">
        <v>2532</v>
      </c>
      <c r="F195" s="13">
        <v>43869</v>
      </c>
    </row>
    <row r="196" spans="1:6">
      <c r="A196" s="12" t="s">
        <v>938</v>
      </c>
      <c r="B196" s="12" t="s">
        <v>2710</v>
      </c>
      <c r="C196" s="14">
        <v>28</v>
      </c>
      <c r="D196" s="12" t="s">
        <v>134</v>
      </c>
      <c r="E196" s="12" t="s">
        <v>2524</v>
      </c>
      <c r="F196" s="13">
        <v>44056</v>
      </c>
    </row>
    <row r="197" spans="1:6">
      <c r="A197" s="12" t="s">
        <v>697</v>
      </c>
      <c r="B197" s="12" t="s">
        <v>2711</v>
      </c>
      <c r="C197" s="14">
        <v>26</v>
      </c>
      <c r="D197" s="12" t="s">
        <v>111</v>
      </c>
      <c r="E197" s="12" t="s">
        <v>2524</v>
      </c>
      <c r="F197" s="13">
        <v>44738</v>
      </c>
    </row>
    <row r="198" spans="1:6">
      <c r="A198" s="12" t="s">
        <v>480</v>
      </c>
      <c r="B198" s="12" t="s">
        <v>2712</v>
      </c>
      <c r="C198" s="14">
        <v>55</v>
      </c>
      <c r="D198" s="12" t="s">
        <v>134</v>
      </c>
      <c r="E198" s="12" t="s">
        <v>2524</v>
      </c>
      <c r="F198" s="13">
        <v>44715</v>
      </c>
    </row>
    <row r="199" spans="1:6">
      <c r="A199" s="12" t="s">
        <v>638</v>
      </c>
      <c r="B199" s="12" t="s">
        <v>2713</v>
      </c>
      <c r="C199" s="14">
        <v>22</v>
      </c>
      <c r="D199" s="12" t="s">
        <v>111</v>
      </c>
      <c r="E199" s="12" t="s">
        <v>2526</v>
      </c>
      <c r="F199" s="13">
        <v>44907</v>
      </c>
    </row>
    <row r="200" spans="1:6">
      <c r="A200" s="12" t="s">
        <v>983</v>
      </c>
      <c r="B200" s="12" t="s">
        <v>2714</v>
      </c>
      <c r="C200" s="14">
        <v>31</v>
      </c>
      <c r="D200" s="12" t="s">
        <v>150</v>
      </c>
      <c r="E200" s="12" t="s">
        <v>2532</v>
      </c>
      <c r="F200" s="13">
        <v>44821</v>
      </c>
    </row>
    <row r="201" spans="1:6">
      <c r="A201" s="12" t="s">
        <v>322</v>
      </c>
      <c r="B201" s="12" t="s">
        <v>2658</v>
      </c>
      <c r="C201" s="14">
        <v>46</v>
      </c>
      <c r="D201" s="12" t="s">
        <v>2652</v>
      </c>
      <c r="E201" s="12" t="s">
        <v>2526</v>
      </c>
      <c r="F201" s="13">
        <v>44396</v>
      </c>
    </row>
    <row r="202" spans="1:6">
      <c r="A202" s="12" t="s">
        <v>925</v>
      </c>
      <c r="B202" s="12" t="s">
        <v>2715</v>
      </c>
      <c r="C202" s="14">
        <v>31</v>
      </c>
      <c r="D202" s="12" t="s">
        <v>150</v>
      </c>
      <c r="E202" s="12" t="s">
        <v>2524</v>
      </c>
      <c r="F202" s="13">
        <v>44629</v>
      </c>
    </row>
    <row r="203" spans="1:6">
      <c r="A203" s="12" t="s">
        <v>107</v>
      </c>
      <c r="B203" s="12" t="s">
        <v>2716</v>
      </c>
      <c r="C203" s="14">
        <v>39</v>
      </c>
      <c r="D203" s="12" t="s">
        <v>111</v>
      </c>
      <c r="E203" s="12" t="s">
        <v>2524</v>
      </c>
      <c r="F203" s="13">
        <v>44149</v>
      </c>
    </row>
    <row r="204" spans="1:6">
      <c r="A204" s="12" t="s">
        <v>289</v>
      </c>
      <c r="B204" s="12" t="s">
        <v>2717</v>
      </c>
      <c r="C204" s="14">
        <v>55</v>
      </c>
      <c r="D204" s="12" t="s">
        <v>111</v>
      </c>
      <c r="E204" s="12" t="s">
        <v>2532</v>
      </c>
      <c r="F204" s="13">
        <v>44912</v>
      </c>
    </row>
    <row r="205" spans="1:6">
      <c r="A205" s="12" t="s">
        <v>147</v>
      </c>
      <c r="B205" s="12" t="s">
        <v>2718</v>
      </c>
      <c r="C205" s="14">
        <v>60</v>
      </c>
      <c r="D205" s="12" t="s">
        <v>150</v>
      </c>
      <c r="E205" s="12" t="s">
        <v>2524</v>
      </c>
      <c r="F205" s="13">
        <v>44738</v>
      </c>
    </row>
    <row r="206" spans="1:6">
      <c r="A206" s="12" t="s">
        <v>994</v>
      </c>
      <c r="B206" s="12" t="s">
        <v>2564</v>
      </c>
      <c r="C206" s="14">
        <v>29</v>
      </c>
      <c r="D206" s="12" t="s">
        <v>105</v>
      </c>
      <c r="E206" s="12" t="s">
        <v>2526</v>
      </c>
      <c r="F206" s="13">
        <v>45075</v>
      </c>
    </row>
    <row r="207" spans="1:6">
      <c r="A207" s="12" t="s">
        <v>987</v>
      </c>
      <c r="B207" s="12" t="s">
        <v>2601</v>
      </c>
      <c r="C207" s="14">
        <v>40</v>
      </c>
      <c r="D207" s="12" t="s">
        <v>129</v>
      </c>
      <c r="E207" s="12" t="s">
        <v>2524</v>
      </c>
      <c r="F207" s="13">
        <v>45127</v>
      </c>
    </row>
    <row r="208" spans="1:6">
      <c r="A208" s="12" t="s">
        <v>1907</v>
      </c>
      <c r="B208" s="12" t="s">
        <v>2719</v>
      </c>
      <c r="C208" s="14">
        <v>34</v>
      </c>
      <c r="D208" s="12" t="s">
        <v>150</v>
      </c>
      <c r="E208" s="12" t="s">
        <v>2532</v>
      </c>
      <c r="F208" s="13">
        <v>43954</v>
      </c>
    </row>
    <row r="209" spans="1:6">
      <c r="A209" s="12" t="s">
        <v>353</v>
      </c>
      <c r="B209" s="12" t="s">
        <v>2720</v>
      </c>
      <c r="C209" s="14">
        <v>49</v>
      </c>
      <c r="D209" s="12" t="s">
        <v>129</v>
      </c>
      <c r="E209" s="12" t="s">
        <v>2524</v>
      </c>
      <c r="F209" s="13">
        <v>45082</v>
      </c>
    </row>
    <row r="210" spans="1:6">
      <c r="A210" s="12" t="s">
        <v>802</v>
      </c>
      <c r="B210" s="12" t="s">
        <v>2721</v>
      </c>
      <c r="C210" s="14">
        <v>31</v>
      </c>
      <c r="D210" s="12" t="s">
        <v>105</v>
      </c>
      <c r="E210" s="12" t="s">
        <v>2524</v>
      </c>
      <c r="F210" s="13">
        <v>44258</v>
      </c>
    </row>
    <row r="211" spans="1:6">
      <c r="A211" s="12" t="s">
        <v>444</v>
      </c>
      <c r="B211" s="12" t="s">
        <v>2722</v>
      </c>
      <c r="C211" s="14">
        <v>48</v>
      </c>
      <c r="D211" s="12" t="s">
        <v>105</v>
      </c>
      <c r="E211" s="12" t="s">
        <v>2526</v>
      </c>
      <c r="F211" s="13">
        <v>44968</v>
      </c>
    </row>
    <row r="212" spans="1:6">
      <c r="A212" s="12" t="s">
        <v>1208</v>
      </c>
      <c r="B212" s="12" t="s">
        <v>2723</v>
      </c>
      <c r="C212" s="14">
        <v>36</v>
      </c>
      <c r="D212" s="12" t="s">
        <v>134</v>
      </c>
      <c r="E212" s="12" t="s">
        <v>2524</v>
      </c>
      <c r="F212" s="13">
        <v>44251</v>
      </c>
    </row>
    <row r="213" spans="1:6">
      <c r="A213" s="12" t="s">
        <v>717</v>
      </c>
      <c r="B213" s="12" t="s">
        <v>2724</v>
      </c>
      <c r="C213" s="14">
        <v>46</v>
      </c>
      <c r="D213" s="12" t="s">
        <v>111</v>
      </c>
      <c r="E213" s="12" t="s">
        <v>2532</v>
      </c>
      <c r="F213" s="13">
        <v>44594</v>
      </c>
    </row>
    <row r="214" spans="1:6">
      <c r="A214" s="12" t="s">
        <v>1072</v>
      </c>
      <c r="B214" s="12" t="s">
        <v>2560</v>
      </c>
      <c r="C214" s="14">
        <v>37</v>
      </c>
      <c r="D214" s="12" t="s">
        <v>129</v>
      </c>
      <c r="E214" s="12" t="s">
        <v>2524</v>
      </c>
      <c r="F214" s="13">
        <v>44431</v>
      </c>
    </row>
    <row r="215" spans="1:6">
      <c r="A215" s="12" t="s">
        <v>899</v>
      </c>
      <c r="B215" s="12" t="s">
        <v>2725</v>
      </c>
      <c r="C215" s="14">
        <v>22</v>
      </c>
      <c r="D215" s="12" t="s">
        <v>129</v>
      </c>
      <c r="E215" s="12" t="s">
        <v>2524</v>
      </c>
      <c r="F215" s="13">
        <v>44453</v>
      </c>
    </row>
    <row r="216" spans="1:6">
      <c r="A216" s="12" t="s">
        <v>779</v>
      </c>
      <c r="B216" s="12" t="s">
        <v>2726</v>
      </c>
      <c r="C216" s="14">
        <v>52</v>
      </c>
      <c r="D216" s="12" t="s">
        <v>150</v>
      </c>
      <c r="E216" s="12" t="s">
        <v>2524</v>
      </c>
      <c r="F216" s="13">
        <v>45105</v>
      </c>
    </row>
    <row r="217" spans="1:6">
      <c r="A217" s="12" t="s">
        <v>409</v>
      </c>
      <c r="B217" s="12" t="s">
        <v>2727</v>
      </c>
      <c r="C217" s="14">
        <v>50</v>
      </c>
      <c r="D217" s="12" t="s">
        <v>129</v>
      </c>
      <c r="E217" s="12" t="s">
        <v>2524</v>
      </c>
      <c r="F217" s="13">
        <v>44204</v>
      </c>
    </row>
    <row r="218" spans="1:6">
      <c r="A218" s="12" t="s">
        <v>873</v>
      </c>
      <c r="B218" s="12" t="s">
        <v>2728</v>
      </c>
      <c r="C218" s="14">
        <v>59</v>
      </c>
      <c r="D218" s="12" t="s">
        <v>105</v>
      </c>
      <c r="E218" s="12" t="s">
        <v>2532</v>
      </c>
      <c r="F218" s="13">
        <v>44877</v>
      </c>
    </row>
    <row r="219" spans="1:6">
      <c r="A219" s="12" t="s">
        <v>614</v>
      </c>
      <c r="B219" s="12" t="s">
        <v>2729</v>
      </c>
      <c r="C219" s="14">
        <v>39</v>
      </c>
      <c r="D219" s="12" t="s">
        <v>129</v>
      </c>
      <c r="E219" s="12" t="s">
        <v>2524</v>
      </c>
      <c r="F219" s="13">
        <v>44849</v>
      </c>
    </row>
    <row r="220" spans="1:6">
      <c r="A220" s="12" t="s">
        <v>362</v>
      </c>
      <c r="B220" s="12" t="s">
        <v>2730</v>
      </c>
      <c r="C220" s="14">
        <v>38</v>
      </c>
      <c r="D220" s="12" t="s">
        <v>111</v>
      </c>
      <c r="E220" s="12" t="s">
        <v>2526</v>
      </c>
      <c r="F220" s="13">
        <v>44321</v>
      </c>
    </row>
    <row r="221" spans="1:6">
      <c r="A221" s="12" t="s">
        <v>1378</v>
      </c>
      <c r="B221" s="12" t="s">
        <v>2731</v>
      </c>
      <c r="C221" s="14">
        <v>34</v>
      </c>
      <c r="D221" s="12" t="s">
        <v>111</v>
      </c>
      <c r="E221" s="12" t="s">
        <v>2524</v>
      </c>
      <c r="F221" s="13">
        <v>43978</v>
      </c>
    </row>
    <row r="222" spans="1:6">
      <c r="A222" s="12" t="s">
        <v>798</v>
      </c>
      <c r="B222" s="12" t="s">
        <v>2732</v>
      </c>
      <c r="C222" s="14">
        <v>29</v>
      </c>
      <c r="D222" s="12" t="s">
        <v>116</v>
      </c>
      <c r="E222" s="12" t="s">
        <v>2532</v>
      </c>
      <c r="F222" s="13">
        <v>44061</v>
      </c>
    </row>
    <row r="223" spans="1:6">
      <c r="A223" s="12" t="s">
        <v>242</v>
      </c>
      <c r="B223" s="12" t="s">
        <v>2733</v>
      </c>
      <c r="C223" s="14">
        <v>37</v>
      </c>
      <c r="D223" s="12" t="s">
        <v>111</v>
      </c>
      <c r="E223" s="12" t="s">
        <v>2524</v>
      </c>
      <c r="F223" s="13">
        <v>43877</v>
      </c>
    </row>
    <row r="224" spans="1:6">
      <c r="A224" s="12" t="s">
        <v>912</v>
      </c>
      <c r="B224" s="12" t="s">
        <v>2734</v>
      </c>
      <c r="C224" s="14">
        <v>46</v>
      </c>
      <c r="D224" s="12" t="s">
        <v>134</v>
      </c>
      <c r="E224" s="12" t="s">
        <v>2524</v>
      </c>
      <c r="F224" s="13">
        <v>44743</v>
      </c>
    </row>
    <row r="225" spans="1:6">
      <c r="A225" s="12" t="s">
        <v>422</v>
      </c>
      <c r="B225" s="12" t="s">
        <v>2735</v>
      </c>
      <c r="C225" s="14">
        <v>24</v>
      </c>
      <c r="D225" s="12" t="s">
        <v>111</v>
      </c>
      <c r="E225" s="12" t="s">
        <v>2526</v>
      </c>
      <c r="F225" s="13">
        <v>44558</v>
      </c>
    </row>
    <row r="226" spans="1:6">
      <c r="A226" s="12" t="s">
        <v>781</v>
      </c>
      <c r="B226" s="12" t="s">
        <v>2588</v>
      </c>
      <c r="C226" s="14">
        <v>26</v>
      </c>
      <c r="D226" s="12" t="s">
        <v>111</v>
      </c>
      <c r="E226" s="12" t="s">
        <v>2532</v>
      </c>
      <c r="F226" s="13">
        <v>44213</v>
      </c>
    </row>
    <row r="227" spans="1:6">
      <c r="A227" s="12" t="s">
        <v>261</v>
      </c>
      <c r="B227" s="12" t="s">
        <v>2736</v>
      </c>
      <c r="C227" s="14">
        <v>52</v>
      </c>
      <c r="D227" s="12" t="s">
        <v>111</v>
      </c>
      <c r="E227" s="12" t="s">
        <v>2526</v>
      </c>
      <c r="F227" s="13">
        <v>44650</v>
      </c>
    </row>
    <row r="228" spans="1:6">
      <c r="A228" s="12" t="s">
        <v>1023</v>
      </c>
      <c r="B228" s="12" t="s">
        <v>2620</v>
      </c>
      <c r="C228" s="14">
        <v>44</v>
      </c>
      <c r="D228" s="12" t="s">
        <v>134</v>
      </c>
      <c r="E228" s="12" t="s">
        <v>2532</v>
      </c>
      <c r="F228" s="13">
        <v>44121</v>
      </c>
    </row>
    <row r="229" spans="1:6">
      <c r="A229" s="12" t="s">
        <v>477</v>
      </c>
      <c r="B229" s="12" t="s">
        <v>2737</v>
      </c>
      <c r="C229" s="14">
        <v>37</v>
      </c>
      <c r="D229" s="12" t="s">
        <v>105</v>
      </c>
      <c r="E229" s="12" t="s">
        <v>2526</v>
      </c>
      <c r="F229" s="13">
        <v>43952</v>
      </c>
    </row>
    <row r="230" spans="1:6">
      <c r="A230" s="12" t="s">
        <v>1210</v>
      </c>
      <c r="B230" s="12" t="s">
        <v>2738</v>
      </c>
      <c r="C230" s="14">
        <v>25</v>
      </c>
      <c r="D230" s="12" t="s">
        <v>150</v>
      </c>
      <c r="E230" s="12" t="s">
        <v>2532</v>
      </c>
      <c r="F230" s="13">
        <v>44453</v>
      </c>
    </row>
    <row r="231" spans="1:6">
      <c r="A231" s="12" t="s">
        <v>331</v>
      </c>
      <c r="B231" s="12" t="s">
        <v>2739</v>
      </c>
      <c r="C231" s="14">
        <v>33</v>
      </c>
      <c r="D231" s="12" t="s">
        <v>105</v>
      </c>
      <c r="E231" s="12" t="s">
        <v>2526</v>
      </c>
      <c r="F231" s="13">
        <v>43963</v>
      </c>
    </row>
    <row r="232" spans="1:6">
      <c r="A232" s="12" t="s">
        <v>619</v>
      </c>
      <c r="B232" s="12" t="s">
        <v>2740</v>
      </c>
      <c r="C232" s="14">
        <v>61</v>
      </c>
      <c r="D232" s="12" t="s">
        <v>111</v>
      </c>
      <c r="E232" s="12" t="s">
        <v>2524</v>
      </c>
      <c r="F232" s="13">
        <v>45030</v>
      </c>
    </row>
    <row r="233" spans="1:6">
      <c r="A233" s="12" t="s">
        <v>556</v>
      </c>
      <c r="B233" s="12" t="s">
        <v>2741</v>
      </c>
      <c r="C233" s="14">
        <v>38</v>
      </c>
      <c r="D233" s="12" t="s">
        <v>150</v>
      </c>
      <c r="E233" s="12" t="s">
        <v>2524</v>
      </c>
      <c r="F233" s="13">
        <v>44364</v>
      </c>
    </row>
    <row r="234" spans="1:6">
      <c r="A234" s="12" t="s">
        <v>976</v>
      </c>
      <c r="B234" s="12" t="s">
        <v>2706</v>
      </c>
      <c r="C234" s="14">
        <v>65</v>
      </c>
      <c r="D234" s="12" t="s">
        <v>129</v>
      </c>
      <c r="E234" s="12" t="s">
        <v>2532</v>
      </c>
      <c r="F234" s="13">
        <v>43850</v>
      </c>
    </row>
    <row r="235" spans="1:6">
      <c r="A235" s="12" t="s">
        <v>264</v>
      </c>
      <c r="B235" s="12" t="s">
        <v>2742</v>
      </c>
      <c r="C235" s="14">
        <v>34</v>
      </c>
      <c r="D235" s="12" t="s">
        <v>134</v>
      </c>
      <c r="E235" s="12" t="s">
        <v>2524</v>
      </c>
      <c r="F235" s="13">
        <v>44175</v>
      </c>
    </row>
    <row r="236" spans="1:6">
      <c r="A236" s="12" t="s">
        <v>980</v>
      </c>
      <c r="B236" s="12" t="s">
        <v>2626</v>
      </c>
      <c r="C236" s="14">
        <v>31</v>
      </c>
      <c r="D236" s="12" t="s">
        <v>111</v>
      </c>
      <c r="E236" s="12" t="s">
        <v>2524</v>
      </c>
      <c r="F236" s="13">
        <v>43903</v>
      </c>
    </row>
    <row r="237" spans="1:6">
      <c r="A237" s="12" t="s">
        <v>900</v>
      </c>
      <c r="B237" s="12" t="s">
        <v>2743</v>
      </c>
      <c r="C237" s="14">
        <v>28</v>
      </c>
      <c r="D237" s="12" t="s">
        <v>150</v>
      </c>
      <c r="E237" s="12" t="s">
        <v>2532</v>
      </c>
      <c r="F237" s="13">
        <v>43949</v>
      </c>
    </row>
    <row r="238" spans="1:6">
      <c r="A238" s="12" t="s">
        <v>973</v>
      </c>
      <c r="B238" s="12" t="s">
        <v>2744</v>
      </c>
      <c r="C238" s="14">
        <v>49</v>
      </c>
      <c r="D238" s="12" t="s">
        <v>129</v>
      </c>
      <c r="E238" s="12" t="s">
        <v>2524</v>
      </c>
      <c r="F238" s="13">
        <v>44068</v>
      </c>
    </row>
    <row r="239" spans="1:6">
      <c r="A239" s="12" t="s">
        <v>652</v>
      </c>
      <c r="B239" s="12" t="s">
        <v>2580</v>
      </c>
      <c r="C239" s="14">
        <v>49</v>
      </c>
      <c r="D239" s="12" t="s">
        <v>116</v>
      </c>
      <c r="E239" s="12" t="s">
        <v>2524</v>
      </c>
      <c r="F239" s="13">
        <v>44377</v>
      </c>
    </row>
    <row r="240" spans="1:6">
      <c r="A240" s="12" t="s">
        <v>428</v>
      </c>
      <c r="B240" s="12" t="s">
        <v>2745</v>
      </c>
      <c r="C240" s="14">
        <v>61</v>
      </c>
      <c r="D240" s="12" t="s">
        <v>129</v>
      </c>
      <c r="E240" s="12" t="s">
        <v>2524</v>
      </c>
      <c r="F240" s="13">
        <v>43981</v>
      </c>
    </row>
    <row r="241" spans="1:6">
      <c r="A241" s="12" t="s">
        <v>489</v>
      </c>
      <c r="B241" s="12" t="s">
        <v>2746</v>
      </c>
      <c r="C241" s="14">
        <v>35</v>
      </c>
      <c r="D241" s="12" t="s">
        <v>111</v>
      </c>
      <c r="E241" s="12" t="s">
        <v>2526</v>
      </c>
      <c r="F241" s="13">
        <v>44337</v>
      </c>
    </row>
    <row r="242" spans="1:6">
      <c r="A242" s="12" t="s">
        <v>214</v>
      </c>
      <c r="B242" s="12" t="s">
        <v>2747</v>
      </c>
      <c r="C242" s="14">
        <v>47</v>
      </c>
      <c r="D242" s="12" t="s">
        <v>105</v>
      </c>
      <c r="E242" s="12" t="s">
        <v>2526</v>
      </c>
      <c r="F242" s="13">
        <v>44195</v>
      </c>
    </row>
    <row r="243" spans="1:6">
      <c r="A243" s="12" t="s">
        <v>599</v>
      </c>
      <c r="B243" s="12" t="s">
        <v>2646</v>
      </c>
      <c r="C243" s="14">
        <v>59</v>
      </c>
      <c r="D243" s="12" t="s">
        <v>111</v>
      </c>
      <c r="E243" s="12" t="s">
        <v>2532</v>
      </c>
      <c r="F243" s="13">
        <v>44474</v>
      </c>
    </row>
    <row r="244" spans="1:6">
      <c r="A244" s="12" t="s">
        <v>101</v>
      </c>
      <c r="B244" s="12" t="s">
        <v>2687</v>
      </c>
      <c r="C244" s="14">
        <v>44</v>
      </c>
      <c r="D244" s="12" t="s">
        <v>105</v>
      </c>
      <c r="E244" s="12" t="s">
        <v>2532</v>
      </c>
      <c r="F244" s="13">
        <v>43861</v>
      </c>
    </row>
    <row r="245" spans="1:6">
      <c r="A245" s="12" t="s">
        <v>1007</v>
      </c>
      <c r="B245" s="12" t="s">
        <v>2748</v>
      </c>
      <c r="C245" s="14">
        <v>61</v>
      </c>
      <c r="D245" s="12" t="s">
        <v>134</v>
      </c>
      <c r="E245" s="12" t="s">
        <v>2524</v>
      </c>
      <c r="F245" s="13">
        <v>44483</v>
      </c>
    </row>
    <row r="246" spans="1:6">
      <c r="A246" s="12" t="s">
        <v>714</v>
      </c>
      <c r="B246" s="12" t="s">
        <v>2749</v>
      </c>
      <c r="C246" s="14">
        <v>65</v>
      </c>
      <c r="D246" s="12" t="s">
        <v>150</v>
      </c>
      <c r="E246" s="12" t="s">
        <v>2524</v>
      </c>
      <c r="F246" s="13">
        <v>44851</v>
      </c>
    </row>
    <row r="247" spans="1:6">
      <c r="A247" s="12" t="s">
        <v>563</v>
      </c>
      <c r="B247" s="12" t="s">
        <v>2750</v>
      </c>
      <c r="C247" s="14">
        <v>29</v>
      </c>
      <c r="D247" s="12" t="s">
        <v>116</v>
      </c>
      <c r="E247" s="12" t="s">
        <v>2532</v>
      </c>
      <c r="F247" s="13">
        <v>44477</v>
      </c>
    </row>
    <row r="248" spans="1:6">
      <c r="A248" s="12" t="s">
        <v>693</v>
      </c>
      <c r="B248" s="12" t="s">
        <v>2751</v>
      </c>
      <c r="C248" s="14">
        <v>35</v>
      </c>
      <c r="D248" s="12" t="s">
        <v>105</v>
      </c>
      <c r="E248" s="12" t="s">
        <v>2532</v>
      </c>
      <c r="F248" s="13">
        <v>43966</v>
      </c>
    </row>
    <row r="249" spans="1:6">
      <c r="A249" s="12" t="s">
        <v>335</v>
      </c>
      <c r="B249" s="12" t="s">
        <v>2752</v>
      </c>
      <c r="C249" s="14">
        <v>57</v>
      </c>
      <c r="D249" s="12" t="s">
        <v>111</v>
      </c>
      <c r="E249" s="12" t="s">
        <v>2532</v>
      </c>
      <c r="F249" s="13">
        <v>44557</v>
      </c>
    </row>
    <row r="250" spans="1:6">
      <c r="A250" s="12" t="s">
        <v>630</v>
      </c>
      <c r="B250" s="12" t="s">
        <v>2753</v>
      </c>
      <c r="C250" s="14">
        <v>44</v>
      </c>
      <c r="D250" s="12" t="s">
        <v>129</v>
      </c>
      <c r="E250" s="12" t="s">
        <v>2524</v>
      </c>
      <c r="F250" s="13">
        <v>43866</v>
      </c>
    </row>
    <row r="251" spans="1:6">
      <c r="A251" s="12" t="s">
        <v>198</v>
      </c>
      <c r="B251" s="12" t="s">
        <v>2754</v>
      </c>
      <c r="C251" s="14">
        <v>31</v>
      </c>
      <c r="D251" s="12" t="s">
        <v>116</v>
      </c>
      <c r="E251" s="12" t="s">
        <v>2524</v>
      </c>
      <c r="F251" s="13">
        <v>44575</v>
      </c>
    </row>
    <row r="252" spans="1:6">
      <c r="A252" s="12" t="s">
        <v>545</v>
      </c>
      <c r="B252" s="12" t="s">
        <v>2755</v>
      </c>
      <c r="C252" s="14">
        <v>44</v>
      </c>
      <c r="D252" s="12" t="s">
        <v>129</v>
      </c>
      <c r="E252" s="12" t="s">
        <v>2524</v>
      </c>
      <c r="F252" s="13">
        <v>45121</v>
      </c>
    </row>
    <row r="253" spans="1:6">
      <c r="A253" s="12" t="s">
        <v>1017</v>
      </c>
      <c r="B253" s="12" t="s">
        <v>2756</v>
      </c>
      <c r="C253" s="14">
        <v>27</v>
      </c>
      <c r="D253" s="12" t="s">
        <v>134</v>
      </c>
      <c r="E253" s="12" t="s">
        <v>2524</v>
      </c>
      <c r="F253" s="13">
        <v>45004</v>
      </c>
    </row>
    <row r="254" spans="1:6">
      <c r="A254" s="12" t="s">
        <v>416</v>
      </c>
      <c r="B254" s="12" t="s">
        <v>2757</v>
      </c>
      <c r="C254" s="14">
        <v>53</v>
      </c>
      <c r="D254" s="12" t="s">
        <v>116</v>
      </c>
      <c r="E254" s="12" t="s">
        <v>2532</v>
      </c>
      <c r="F254" s="13">
        <v>43892</v>
      </c>
    </row>
    <row r="255" spans="1:6">
      <c r="A255" s="12" t="s">
        <v>917</v>
      </c>
      <c r="B255" s="12" t="s">
        <v>2758</v>
      </c>
      <c r="C255" s="14">
        <v>35</v>
      </c>
      <c r="D255" s="12" t="s">
        <v>134</v>
      </c>
      <c r="E255" s="12" t="s">
        <v>2524</v>
      </c>
      <c r="F255" s="13">
        <v>44000</v>
      </c>
    </row>
    <row r="256" spans="1:6">
      <c r="A256" s="12" t="s">
        <v>379</v>
      </c>
      <c r="B256" s="12" t="s">
        <v>2545</v>
      </c>
      <c r="C256" s="14">
        <v>51</v>
      </c>
      <c r="D256" s="12" t="s">
        <v>111</v>
      </c>
      <c r="E256" s="12" t="s">
        <v>2526</v>
      </c>
      <c r="F256" s="13">
        <v>44458</v>
      </c>
    </row>
    <row r="257" spans="1:6">
      <c r="A257" s="12" t="s">
        <v>706</v>
      </c>
      <c r="B257" s="12" t="s">
        <v>2759</v>
      </c>
      <c r="C257" s="14">
        <v>28</v>
      </c>
      <c r="D257" s="12" t="s">
        <v>150</v>
      </c>
      <c r="E257" s="12" t="s">
        <v>2524</v>
      </c>
      <c r="F257" s="13">
        <v>44694</v>
      </c>
    </row>
    <row r="258" spans="1:6">
      <c r="A258" s="12" t="s">
        <v>1138</v>
      </c>
      <c r="B258" s="12" t="s">
        <v>2760</v>
      </c>
      <c r="C258" s="14">
        <v>46</v>
      </c>
      <c r="D258" s="12" t="s">
        <v>129</v>
      </c>
      <c r="E258" s="12" t="s">
        <v>2526</v>
      </c>
      <c r="F258" s="13">
        <v>43849</v>
      </c>
    </row>
    <row r="259" spans="1:6">
      <c r="A259" s="12" t="s">
        <v>292</v>
      </c>
      <c r="B259" s="12" t="s">
        <v>2761</v>
      </c>
      <c r="C259" s="14">
        <v>44</v>
      </c>
      <c r="D259" s="12" t="s">
        <v>105</v>
      </c>
      <c r="E259" s="12" t="s">
        <v>2524</v>
      </c>
      <c r="F259" s="13">
        <v>43874</v>
      </c>
    </row>
    <row r="260" spans="1:6">
      <c r="A260" s="12" t="s">
        <v>186</v>
      </c>
      <c r="B260" s="12" t="s">
        <v>2762</v>
      </c>
      <c r="C260" s="14">
        <v>34</v>
      </c>
      <c r="D260" s="12" t="s">
        <v>129</v>
      </c>
      <c r="E260" s="12" t="s">
        <v>2524</v>
      </c>
      <c r="F260" s="13">
        <v>44086</v>
      </c>
    </row>
    <row r="261" spans="1:6">
      <c r="A261" s="12" t="s">
        <v>140</v>
      </c>
      <c r="B261" s="12" t="s">
        <v>2763</v>
      </c>
      <c r="C261" s="14">
        <v>42</v>
      </c>
      <c r="D261" s="12" t="s">
        <v>134</v>
      </c>
      <c r="E261" s="12" t="s">
        <v>2524</v>
      </c>
      <c r="F261" s="13">
        <v>44866</v>
      </c>
    </row>
    <row r="262" spans="1:6">
      <c r="A262" s="12" t="s">
        <v>278</v>
      </c>
      <c r="B262" s="12" t="s">
        <v>2764</v>
      </c>
      <c r="C262" s="14">
        <v>54</v>
      </c>
      <c r="D262" s="12" t="s">
        <v>116</v>
      </c>
      <c r="E262" s="12" t="s">
        <v>2524</v>
      </c>
      <c r="F262" s="13">
        <v>43845</v>
      </c>
    </row>
    <row r="263" spans="1:6">
      <c r="A263" s="12" t="s">
        <v>623</v>
      </c>
      <c r="B263" s="12" t="s">
        <v>2765</v>
      </c>
      <c r="C263" s="14">
        <v>52</v>
      </c>
      <c r="D263" s="12" t="s">
        <v>129</v>
      </c>
      <c r="E263" s="12" t="s">
        <v>2524</v>
      </c>
      <c r="F263" s="13">
        <v>44636</v>
      </c>
    </row>
    <row r="264" spans="1:6">
      <c r="A264" s="12" t="s">
        <v>286</v>
      </c>
      <c r="B264" s="12" t="s">
        <v>2766</v>
      </c>
      <c r="C264" s="14">
        <v>40</v>
      </c>
      <c r="D264" s="12" t="s">
        <v>129</v>
      </c>
      <c r="E264" s="12" t="s">
        <v>2524</v>
      </c>
      <c r="F264" s="13">
        <v>44758</v>
      </c>
    </row>
    <row r="265" spans="1:6">
      <c r="A265" s="12" t="s">
        <v>524</v>
      </c>
      <c r="B265" s="12" t="s">
        <v>2767</v>
      </c>
      <c r="C265" s="14">
        <v>59</v>
      </c>
      <c r="D265" s="12" t="s">
        <v>105</v>
      </c>
      <c r="E265" s="12" t="s">
        <v>2524</v>
      </c>
      <c r="F265" s="13">
        <v>45042</v>
      </c>
    </row>
    <row r="266" spans="1:6">
      <c r="A266" s="12" t="s">
        <v>180</v>
      </c>
      <c r="B266" s="12" t="s">
        <v>2768</v>
      </c>
      <c r="C266" s="14">
        <v>49</v>
      </c>
      <c r="D266" s="12" t="s">
        <v>111</v>
      </c>
      <c r="E266" s="12" t="s">
        <v>2524</v>
      </c>
      <c r="F266" s="13">
        <v>44555</v>
      </c>
    </row>
    <row r="267" spans="1:6">
      <c r="A267" s="12" t="s">
        <v>965</v>
      </c>
      <c r="B267" s="12" t="s">
        <v>2769</v>
      </c>
      <c r="C267" s="14">
        <v>65</v>
      </c>
      <c r="D267" s="12" t="s">
        <v>105</v>
      </c>
      <c r="E267" s="12" t="s">
        <v>2524</v>
      </c>
      <c r="F267" s="13">
        <v>44469</v>
      </c>
    </row>
    <row r="268" spans="1:6">
      <c r="A268" s="12" t="s">
        <v>273</v>
      </c>
      <c r="B268" s="12" t="s">
        <v>2770</v>
      </c>
      <c r="C268" s="14">
        <v>27</v>
      </c>
      <c r="D268" s="12" t="s">
        <v>150</v>
      </c>
      <c r="E268" s="12" t="s">
        <v>2524</v>
      </c>
      <c r="F268" s="13">
        <v>44352</v>
      </c>
    </row>
    <row r="269" spans="1:6">
      <c r="A269" s="12" t="s">
        <v>1645</v>
      </c>
      <c r="B269" s="12" t="s">
        <v>2771</v>
      </c>
      <c r="C269" s="14">
        <v>35</v>
      </c>
      <c r="D269" s="12" t="s">
        <v>111</v>
      </c>
      <c r="E269" s="12" t="s">
        <v>2524</v>
      </c>
      <c r="F269" s="13">
        <v>44991</v>
      </c>
    </row>
    <row r="270" spans="1:6">
      <c r="A270" s="12" t="s">
        <v>737</v>
      </c>
      <c r="B270" s="12" t="s">
        <v>2772</v>
      </c>
      <c r="C270" s="14">
        <v>48</v>
      </c>
      <c r="D270" s="12" t="s">
        <v>105</v>
      </c>
      <c r="E270" s="12" t="s">
        <v>2524</v>
      </c>
      <c r="F270" s="13">
        <v>44429</v>
      </c>
    </row>
    <row r="271" spans="1:6">
      <c r="A271" s="12" t="s">
        <v>776</v>
      </c>
      <c r="B271" s="12" t="s">
        <v>2773</v>
      </c>
      <c r="C271" s="14">
        <v>29</v>
      </c>
      <c r="D271" s="12" t="s">
        <v>134</v>
      </c>
      <c r="E271" s="12" t="s">
        <v>2524</v>
      </c>
      <c r="F271" s="13">
        <v>44410</v>
      </c>
    </row>
    <row r="272" spans="1:6">
      <c r="A272" s="12" t="s">
        <v>584</v>
      </c>
      <c r="B272" s="12" t="s">
        <v>2618</v>
      </c>
      <c r="C272" s="14">
        <v>41</v>
      </c>
      <c r="D272" s="12" t="s">
        <v>134</v>
      </c>
      <c r="E272" s="12" t="s">
        <v>2526</v>
      </c>
      <c r="F272" s="13">
        <v>44441</v>
      </c>
    </row>
    <row r="273" spans="1:6">
      <c r="A273" s="12" t="s">
        <v>1044</v>
      </c>
      <c r="B273" s="12" t="s">
        <v>2774</v>
      </c>
      <c r="C273" s="14">
        <v>47</v>
      </c>
      <c r="D273" s="12" t="s">
        <v>129</v>
      </c>
      <c r="E273" s="12" t="s">
        <v>2532</v>
      </c>
      <c r="F273" s="13">
        <v>44634</v>
      </c>
    </row>
    <row r="274" spans="1:6">
      <c r="A274" s="12" t="s">
        <v>173</v>
      </c>
      <c r="B274" s="12" t="s">
        <v>2775</v>
      </c>
      <c r="C274" s="14">
        <v>32</v>
      </c>
      <c r="D274" s="12" t="s">
        <v>150</v>
      </c>
      <c r="E274" s="12" t="s">
        <v>2526</v>
      </c>
      <c r="F274" s="13">
        <v>44221</v>
      </c>
    </row>
    <row r="275" spans="1:6">
      <c r="A275" s="12" t="s">
        <v>521</v>
      </c>
      <c r="B275" s="12" t="s">
        <v>2776</v>
      </c>
      <c r="C275" s="14">
        <v>36</v>
      </c>
      <c r="D275" s="12" t="s">
        <v>134</v>
      </c>
      <c r="E275" s="12" t="s">
        <v>2526</v>
      </c>
      <c r="F275" s="13">
        <v>44381</v>
      </c>
    </row>
    <row r="276" spans="1:6">
      <c r="A276" s="12" t="s">
        <v>126</v>
      </c>
      <c r="B276" s="12" t="s">
        <v>2777</v>
      </c>
      <c r="C276" s="14">
        <v>36</v>
      </c>
      <c r="D276" s="12" t="s">
        <v>129</v>
      </c>
      <c r="E276" s="12" t="s">
        <v>2524</v>
      </c>
      <c r="F276" s="13">
        <v>45106</v>
      </c>
    </row>
    <row r="277" spans="1:6">
      <c r="A277" s="12" t="s">
        <v>1516</v>
      </c>
      <c r="B277" s="12" t="s">
        <v>2572</v>
      </c>
      <c r="C277" s="14">
        <v>26</v>
      </c>
      <c r="D277" s="12" t="s">
        <v>111</v>
      </c>
      <c r="E277" s="12" t="s">
        <v>2524</v>
      </c>
      <c r="F277" s="13">
        <v>44272</v>
      </c>
    </row>
    <row r="278" spans="1:6">
      <c r="A278" s="12" t="s">
        <v>558</v>
      </c>
      <c r="B278" s="12" t="s">
        <v>2589</v>
      </c>
      <c r="C278" s="14">
        <v>34</v>
      </c>
      <c r="D278" s="12" t="s">
        <v>111</v>
      </c>
      <c r="E278" s="12" t="s">
        <v>2526</v>
      </c>
      <c r="F278" s="13">
        <v>44958</v>
      </c>
    </row>
    <row r="279" spans="1:6">
      <c r="A279" s="12" t="s">
        <v>1064</v>
      </c>
      <c r="B279" s="12" t="s">
        <v>2778</v>
      </c>
      <c r="C279" s="14">
        <v>41</v>
      </c>
      <c r="D279" s="12" t="s">
        <v>150</v>
      </c>
      <c r="E279" s="12" t="s">
        <v>2524</v>
      </c>
      <c r="F279" s="13">
        <v>43973</v>
      </c>
    </row>
    <row r="280" spans="1:6">
      <c r="A280" s="12" t="s">
        <v>746</v>
      </c>
      <c r="B280" s="12" t="s">
        <v>2759</v>
      </c>
      <c r="C280" s="14">
        <v>56</v>
      </c>
      <c r="D280" s="12" t="s">
        <v>129</v>
      </c>
      <c r="E280" s="12" t="s">
        <v>2524</v>
      </c>
      <c r="F280" s="13">
        <v>44517</v>
      </c>
    </row>
    <row r="281" spans="1:6">
      <c r="A281" s="12" t="s">
        <v>154</v>
      </c>
      <c r="B281" s="12" t="s">
        <v>2779</v>
      </c>
      <c r="C281" s="14">
        <v>27</v>
      </c>
      <c r="D281" s="12" t="s">
        <v>116</v>
      </c>
      <c r="E281" s="12" t="s">
        <v>2532</v>
      </c>
      <c r="F281" s="13">
        <v>45059</v>
      </c>
    </row>
    <row r="282" spans="1:6">
      <c r="A282" s="12" t="s">
        <v>136</v>
      </c>
      <c r="B282" s="12" t="s">
        <v>2544</v>
      </c>
      <c r="C282" s="14">
        <v>57</v>
      </c>
      <c r="D282" s="12" t="s">
        <v>134</v>
      </c>
      <c r="E282" s="12" t="s">
        <v>2526</v>
      </c>
      <c r="F282" s="13">
        <v>44029</v>
      </c>
    </row>
    <row r="283" spans="1:6">
      <c r="A283" s="12" t="s">
        <v>295</v>
      </c>
      <c r="B283" s="12" t="s">
        <v>2780</v>
      </c>
      <c r="C283" s="14">
        <v>29</v>
      </c>
      <c r="D283" s="12" t="s">
        <v>150</v>
      </c>
      <c r="E283" s="12" t="s">
        <v>2526</v>
      </c>
      <c r="F283" s="13">
        <v>44631</v>
      </c>
    </row>
    <row r="284" spans="1:6">
      <c r="A284" s="12" t="s">
        <v>236</v>
      </c>
      <c r="B284" s="12" t="s">
        <v>2781</v>
      </c>
      <c r="C284" s="14">
        <v>50</v>
      </c>
      <c r="D284" s="12" t="s">
        <v>2529</v>
      </c>
      <c r="E284" s="12" t="s">
        <v>2532</v>
      </c>
      <c r="F284" s="13">
        <v>44869</v>
      </c>
    </row>
    <row r="285" spans="1:6">
      <c r="A285" s="12" t="s">
        <v>518</v>
      </c>
      <c r="B285" s="12" t="s">
        <v>2782</v>
      </c>
      <c r="C285" s="14">
        <v>65</v>
      </c>
      <c r="D285" s="12" t="s">
        <v>150</v>
      </c>
      <c r="E285" s="12" t="s">
        <v>2532</v>
      </c>
      <c r="F285" s="13">
        <v>44047</v>
      </c>
    </row>
    <row r="286" spans="1:6">
      <c r="A286" s="12" t="s">
        <v>609</v>
      </c>
      <c r="B286" s="12" t="s">
        <v>2783</v>
      </c>
      <c r="C286" s="14">
        <v>22</v>
      </c>
      <c r="D286" s="12" t="s">
        <v>150</v>
      </c>
      <c r="E286" s="12" t="s">
        <v>2524</v>
      </c>
      <c r="F286" s="13">
        <v>44593</v>
      </c>
    </row>
    <row r="287" spans="1:6">
      <c r="A287" s="12" t="s">
        <v>1833</v>
      </c>
      <c r="B287" s="12" t="s">
        <v>2784</v>
      </c>
      <c r="C287" s="14">
        <v>62</v>
      </c>
      <c r="D287" s="12" t="s">
        <v>116</v>
      </c>
      <c r="E287" s="12" t="s">
        <v>2524</v>
      </c>
      <c r="F287" s="13">
        <v>44489</v>
      </c>
    </row>
    <row r="288" spans="1:6">
      <c r="A288" s="12" t="s">
        <v>395</v>
      </c>
      <c r="B288" s="12" t="s">
        <v>2785</v>
      </c>
      <c r="C288" s="14">
        <v>53</v>
      </c>
      <c r="D288" s="12" t="s">
        <v>111</v>
      </c>
      <c r="E288" s="12" t="s">
        <v>2532</v>
      </c>
      <c r="F288" s="13">
        <v>44738</v>
      </c>
    </row>
    <row r="289" spans="1:6">
      <c r="A289" s="12" t="s">
        <v>1551</v>
      </c>
      <c r="B289" s="12" t="s">
        <v>2786</v>
      </c>
      <c r="C289" s="14">
        <v>25</v>
      </c>
      <c r="D289" s="12" t="s">
        <v>150</v>
      </c>
      <c r="E289" s="12" t="s">
        <v>2526</v>
      </c>
      <c r="F289" s="13">
        <v>44450</v>
      </c>
    </row>
    <row r="290" spans="1:6">
      <c r="A290" s="12" t="s">
        <v>1068</v>
      </c>
      <c r="B290" s="12" t="s">
        <v>2787</v>
      </c>
      <c r="C290" s="14">
        <v>54</v>
      </c>
      <c r="D290" s="12" t="s">
        <v>129</v>
      </c>
      <c r="E290" s="12" t="s">
        <v>2524</v>
      </c>
      <c r="F290" s="13">
        <v>44720</v>
      </c>
    </row>
    <row r="291" spans="1:6">
      <c r="A291" s="12" t="s">
        <v>814</v>
      </c>
      <c r="B291" s="12" t="s">
        <v>2788</v>
      </c>
      <c r="C291" s="14">
        <v>63</v>
      </c>
      <c r="D291" s="12" t="s">
        <v>116</v>
      </c>
      <c r="E291" s="12" t="s">
        <v>2524</v>
      </c>
      <c r="F291" s="13">
        <v>44330</v>
      </c>
    </row>
    <row r="292" spans="1:6">
      <c r="A292" s="12" t="s">
        <v>250</v>
      </c>
      <c r="B292" s="12" t="s">
        <v>2789</v>
      </c>
      <c r="C292" s="14">
        <v>29</v>
      </c>
      <c r="D292" s="12" t="s">
        <v>105</v>
      </c>
      <c r="E292" s="12" t="s">
        <v>2532</v>
      </c>
      <c r="F292" s="13">
        <v>43950</v>
      </c>
    </row>
    <row r="293" spans="1:6">
      <c r="A293" s="12" t="s">
        <v>769</v>
      </c>
      <c r="B293" s="12" t="s">
        <v>2617</v>
      </c>
      <c r="C293" s="14">
        <v>32</v>
      </c>
      <c r="D293" s="12" t="s">
        <v>134</v>
      </c>
      <c r="E293" s="12" t="s">
        <v>2524</v>
      </c>
      <c r="F293" s="13">
        <v>43968</v>
      </c>
    </row>
    <row r="294" spans="1:6">
      <c r="A294" s="12" t="s">
        <v>131</v>
      </c>
      <c r="B294" s="12" t="s">
        <v>2790</v>
      </c>
      <c r="C294" s="14">
        <v>27</v>
      </c>
      <c r="D294" s="12" t="s">
        <v>134</v>
      </c>
      <c r="E294" s="12" t="s">
        <v>2524</v>
      </c>
      <c r="F294" s="13">
        <v>44335</v>
      </c>
    </row>
    <row r="295" spans="1:6">
      <c r="A295" s="12" t="s">
        <v>451</v>
      </c>
      <c r="B295" s="12" t="s">
        <v>2550</v>
      </c>
      <c r="C295" s="14">
        <v>31</v>
      </c>
      <c r="D295" s="12" t="s">
        <v>116</v>
      </c>
      <c r="E295" s="12" t="s">
        <v>2526</v>
      </c>
      <c r="F295" s="13">
        <v>43885</v>
      </c>
    </row>
    <row r="296" spans="1:6">
      <c r="A296" s="12" t="s">
        <v>612</v>
      </c>
      <c r="B296" s="12" t="s">
        <v>2791</v>
      </c>
      <c r="C296" s="14">
        <v>48</v>
      </c>
      <c r="D296" s="12" t="s">
        <v>116</v>
      </c>
      <c r="E296" s="12" t="s">
        <v>2532</v>
      </c>
      <c r="F296" s="13">
        <v>43863</v>
      </c>
    </row>
    <row r="297" spans="1:6">
      <c r="A297" s="12" t="s">
        <v>587</v>
      </c>
      <c r="B297" s="12" t="s">
        <v>2792</v>
      </c>
      <c r="C297" s="14">
        <v>47</v>
      </c>
      <c r="D297" s="12" t="s">
        <v>116</v>
      </c>
      <c r="E297" s="12" t="s">
        <v>2526</v>
      </c>
      <c r="F297" s="13">
        <v>44784</v>
      </c>
    </row>
    <row r="298" spans="1:6">
      <c r="A298" s="12" t="s">
        <v>668</v>
      </c>
      <c r="B298" s="12" t="s">
        <v>2793</v>
      </c>
      <c r="C298" s="14">
        <v>50</v>
      </c>
      <c r="D298" s="12" t="s">
        <v>150</v>
      </c>
      <c r="E298" s="12" t="s">
        <v>2524</v>
      </c>
      <c r="F298" s="13">
        <v>44027</v>
      </c>
    </row>
    <row r="299" spans="1:6">
      <c r="A299" s="12" t="s">
        <v>437</v>
      </c>
      <c r="B299" s="12" t="s">
        <v>2794</v>
      </c>
      <c r="C299" s="14">
        <v>44</v>
      </c>
      <c r="D299" s="12" t="s">
        <v>116</v>
      </c>
      <c r="E299" s="12" t="s">
        <v>2524</v>
      </c>
      <c r="F299" s="13">
        <v>43840</v>
      </c>
    </row>
    <row r="300" spans="1:6">
      <c r="A300" s="12" t="s">
        <v>729</v>
      </c>
      <c r="B300" s="12" t="s">
        <v>2707</v>
      </c>
      <c r="C300" s="14">
        <v>51</v>
      </c>
      <c r="D300" s="12" t="s">
        <v>129</v>
      </c>
      <c r="E300" s="12" t="s">
        <v>2526</v>
      </c>
      <c r="F300" s="13">
        <v>44675</v>
      </c>
    </row>
    <row r="301" spans="1:6">
      <c r="A301" s="12" t="s">
        <v>1314</v>
      </c>
      <c r="B301" s="12" t="s">
        <v>2795</v>
      </c>
      <c r="C301" s="14">
        <v>38</v>
      </c>
      <c r="D301" s="12" t="s">
        <v>129</v>
      </c>
      <c r="E301" s="12" t="s">
        <v>2524</v>
      </c>
      <c r="F301" s="13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>
      <c r="A1" s="4" t="s">
        <v>86</v>
      </c>
      <c r="B1" s="4" t="s">
        <v>2796</v>
      </c>
      <c r="C1" s="4" t="s">
        <v>94</v>
      </c>
      <c r="D1" s="4" t="s">
        <v>98</v>
      </c>
      <c r="E1" s="4" t="s">
        <v>89</v>
      </c>
      <c r="F1" s="4" t="s">
        <v>2797</v>
      </c>
    </row>
    <row r="2" spans="1:6">
      <c r="A2" s="12" t="s">
        <v>381</v>
      </c>
      <c r="B2" s="12" t="s">
        <v>2798</v>
      </c>
      <c r="C2" s="12" t="s">
        <v>2799</v>
      </c>
      <c r="D2" s="14">
        <v>2405</v>
      </c>
      <c r="E2" s="14">
        <v>5330</v>
      </c>
      <c r="F2" s="12" t="b">
        <v>1</v>
      </c>
    </row>
    <row r="3" spans="1:6">
      <c r="A3" s="12" t="s">
        <v>155</v>
      </c>
      <c r="B3" s="12" t="s">
        <v>2800</v>
      </c>
      <c r="C3" s="12" t="s">
        <v>2799</v>
      </c>
      <c r="D3" s="14">
        <v>1052</v>
      </c>
      <c r="E3" s="14">
        <v>2600</v>
      </c>
      <c r="F3" s="12" t="b">
        <v>1</v>
      </c>
    </row>
    <row r="4" spans="1:6">
      <c r="A4" s="12" t="s">
        <v>204</v>
      </c>
      <c r="B4" s="12" t="s">
        <v>2801</v>
      </c>
      <c r="C4" s="12" t="s">
        <v>2799</v>
      </c>
      <c r="D4" s="14">
        <v>1665</v>
      </c>
      <c r="E4" s="14">
        <v>3570</v>
      </c>
      <c r="F4" s="12" t="b">
        <v>1</v>
      </c>
    </row>
    <row r="5" spans="1:6">
      <c r="A5" s="12" t="s">
        <v>265</v>
      </c>
      <c r="B5" s="12" t="s">
        <v>2802</v>
      </c>
      <c r="C5" s="12" t="s">
        <v>2799</v>
      </c>
      <c r="D5" s="14">
        <v>1559</v>
      </c>
      <c r="E5" s="14">
        <v>3870</v>
      </c>
      <c r="F5" s="12" t="b">
        <v>1</v>
      </c>
    </row>
    <row r="6" spans="1:6">
      <c r="A6" s="12" t="s">
        <v>299</v>
      </c>
      <c r="B6" s="12" t="s">
        <v>2803</v>
      </c>
      <c r="C6" s="12" t="s">
        <v>2799</v>
      </c>
      <c r="D6" s="14">
        <v>128</v>
      </c>
      <c r="E6" s="14">
        <v>300</v>
      </c>
      <c r="F6" s="12" t="b">
        <v>1</v>
      </c>
    </row>
    <row r="7" spans="1:6">
      <c r="A7" s="12" t="s">
        <v>425</v>
      </c>
      <c r="B7" s="12" t="s">
        <v>2804</v>
      </c>
      <c r="C7" s="12" t="s">
        <v>2799</v>
      </c>
      <c r="D7" s="14">
        <v>2865</v>
      </c>
      <c r="E7" s="14">
        <v>3970</v>
      </c>
      <c r="F7" s="12" t="b">
        <v>1</v>
      </c>
    </row>
    <row r="8" spans="1:6">
      <c r="A8" s="12" t="s">
        <v>137</v>
      </c>
      <c r="B8" s="12" t="s">
        <v>2805</v>
      </c>
      <c r="C8" s="12" t="s">
        <v>2799</v>
      </c>
      <c r="D8" s="14">
        <v>861</v>
      </c>
      <c r="E8" s="14">
        <v>1430</v>
      </c>
      <c r="F8" s="12" t="b">
        <v>1</v>
      </c>
    </row>
    <row r="9" spans="1:6">
      <c r="A9" s="12" t="s">
        <v>296</v>
      </c>
      <c r="B9" s="12" t="s">
        <v>2806</v>
      </c>
      <c r="C9" s="12" t="s">
        <v>2799</v>
      </c>
      <c r="D9" s="14">
        <v>1259</v>
      </c>
      <c r="E9" s="14">
        <v>2660</v>
      </c>
      <c r="F9" s="12" t="b">
        <v>0</v>
      </c>
    </row>
    <row r="10" spans="1:6">
      <c r="A10" s="12" t="s">
        <v>284</v>
      </c>
      <c r="B10" s="12" t="s">
        <v>2807</v>
      </c>
      <c r="C10" s="12" t="s">
        <v>2799</v>
      </c>
      <c r="D10" s="14">
        <v>517</v>
      </c>
      <c r="E10" s="14">
        <v>1220</v>
      </c>
      <c r="F10" s="12" t="b">
        <v>1</v>
      </c>
    </row>
    <row r="11" spans="1:6">
      <c r="A11" s="12" t="s">
        <v>152</v>
      </c>
      <c r="B11" s="12" t="s">
        <v>2808</v>
      </c>
      <c r="C11" s="12" t="s">
        <v>2799</v>
      </c>
      <c r="D11" s="14">
        <v>1149</v>
      </c>
      <c r="E11" s="14">
        <v>2640</v>
      </c>
      <c r="F11" s="12" t="b">
        <v>1</v>
      </c>
    </row>
    <row r="12" spans="1:6">
      <c r="A12" s="12" t="s">
        <v>469</v>
      </c>
      <c r="B12" s="12" t="s">
        <v>2809</v>
      </c>
      <c r="C12" s="12" t="s">
        <v>2810</v>
      </c>
      <c r="D12" s="14">
        <v>1748</v>
      </c>
      <c r="E12" s="14">
        <v>3450</v>
      </c>
      <c r="F12" s="12" t="b">
        <v>1</v>
      </c>
    </row>
    <row r="13" spans="1:6">
      <c r="A13" s="12" t="s">
        <v>123</v>
      </c>
      <c r="B13" s="12" t="s">
        <v>2811</v>
      </c>
      <c r="C13" s="12" t="s">
        <v>2810</v>
      </c>
      <c r="D13" s="14">
        <v>1886</v>
      </c>
      <c r="E13" s="14">
        <v>3160</v>
      </c>
      <c r="F13" s="12" t="b">
        <v>1</v>
      </c>
    </row>
    <row r="14" spans="1:6">
      <c r="A14" s="12" t="s">
        <v>254</v>
      </c>
      <c r="B14" s="12" t="s">
        <v>2812</v>
      </c>
      <c r="C14" s="12" t="s">
        <v>2810</v>
      </c>
      <c r="D14" s="14">
        <v>2611</v>
      </c>
      <c r="E14" s="14">
        <v>3640</v>
      </c>
      <c r="F14" s="12" t="b">
        <v>1</v>
      </c>
    </row>
    <row r="15" spans="1:6">
      <c r="A15" s="12" t="s">
        <v>102</v>
      </c>
      <c r="B15" s="12" t="s">
        <v>2813</v>
      </c>
      <c r="C15" s="12" t="s">
        <v>2810</v>
      </c>
      <c r="D15" s="14">
        <v>2509</v>
      </c>
      <c r="E15" s="14">
        <v>3620</v>
      </c>
      <c r="F15" s="12" t="b">
        <v>1</v>
      </c>
    </row>
    <row r="16" spans="1:6">
      <c r="A16" s="12" t="s">
        <v>190</v>
      </c>
      <c r="B16" s="12" t="s">
        <v>2814</v>
      </c>
      <c r="C16" s="12" t="s">
        <v>2810</v>
      </c>
      <c r="D16" s="14">
        <v>1962</v>
      </c>
      <c r="E16" s="14">
        <v>2720</v>
      </c>
      <c r="F16" s="12" t="b">
        <v>1</v>
      </c>
    </row>
    <row r="17" spans="1:6">
      <c r="A17" s="12" t="s">
        <v>309</v>
      </c>
      <c r="B17" s="12" t="s">
        <v>2815</v>
      </c>
      <c r="C17" s="12" t="s">
        <v>2810</v>
      </c>
      <c r="D17" s="14">
        <v>396</v>
      </c>
      <c r="E17" s="14">
        <v>620</v>
      </c>
      <c r="F17" s="12" t="b">
        <v>1</v>
      </c>
    </row>
    <row r="18" spans="1:6">
      <c r="A18" s="12" t="s">
        <v>372</v>
      </c>
      <c r="B18" s="12" t="s">
        <v>2816</v>
      </c>
      <c r="C18" s="12" t="s">
        <v>2810</v>
      </c>
      <c r="D18" s="14">
        <v>1075</v>
      </c>
      <c r="E18" s="14">
        <v>2510</v>
      </c>
      <c r="F18" s="12" t="b">
        <v>0</v>
      </c>
    </row>
    <row r="19" spans="1:6">
      <c r="A19" s="12" t="s">
        <v>676</v>
      </c>
      <c r="B19" s="12" t="s">
        <v>2817</v>
      </c>
      <c r="C19" s="12" t="s">
        <v>2810</v>
      </c>
      <c r="D19" s="14">
        <v>2629</v>
      </c>
      <c r="E19" s="14">
        <v>3560</v>
      </c>
      <c r="F19" s="12" t="b">
        <v>1</v>
      </c>
    </row>
    <row r="20" spans="1:6">
      <c r="A20" s="12" t="s">
        <v>184</v>
      </c>
      <c r="B20" s="12" t="s">
        <v>2818</v>
      </c>
      <c r="C20" s="12" t="s">
        <v>2810</v>
      </c>
      <c r="D20" s="14">
        <v>1173</v>
      </c>
      <c r="E20" s="14">
        <v>2480</v>
      </c>
      <c r="F20" s="12" t="b">
        <v>1</v>
      </c>
    </row>
    <row r="21" spans="1:6">
      <c r="A21" s="12" t="s">
        <v>108</v>
      </c>
      <c r="B21" s="12" t="s">
        <v>2819</v>
      </c>
      <c r="C21" s="12" t="s">
        <v>2810</v>
      </c>
      <c r="D21" s="14">
        <v>391</v>
      </c>
      <c r="E21" s="14">
        <v>820</v>
      </c>
      <c r="F21" s="12" t="b">
        <v>1</v>
      </c>
    </row>
    <row r="22" spans="1:6">
      <c r="A22" s="12" t="s">
        <v>217</v>
      </c>
      <c r="B22" s="12" t="s">
        <v>2820</v>
      </c>
      <c r="C22" s="12" t="s">
        <v>2821</v>
      </c>
      <c r="D22" s="14">
        <v>1435</v>
      </c>
      <c r="E22" s="14">
        <v>2760</v>
      </c>
      <c r="F22" s="12" t="b">
        <v>1</v>
      </c>
    </row>
    <row r="23" spans="1:6">
      <c r="A23" s="12" t="s">
        <v>262</v>
      </c>
      <c r="B23" s="12" t="s">
        <v>2822</v>
      </c>
      <c r="C23" s="12" t="s">
        <v>2821</v>
      </c>
      <c r="D23" s="14">
        <v>1412</v>
      </c>
      <c r="E23" s="14">
        <v>2270</v>
      </c>
      <c r="F23" s="12" t="b">
        <v>1</v>
      </c>
    </row>
    <row r="24" spans="1:6">
      <c r="A24" s="12" t="s">
        <v>384</v>
      </c>
      <c r="B24" s="12" t="s">
        <v>2823</v>
      </c>
      <c r="C24" s="12" t="s">
        <v>2821</v>
      </c>
      <c r="D24" s="14">
        <v>1182</v>
      </c>
      <c r="E24" s="14">
        <v>2380</v>
      </c>
      <c r="F24" s="12" t="b">
        <v>1</v>
      </c>
    </row>
    <row r="25" spans="1:6">
      <c r="A25" s="12" t="s">
        <v>148</v>
      </c>
      <c r="B25" s="12" t="s">
        <v>2824</v>
      </c>
      <c r="C25" s="12" t="s">
        <v>2821</v>
      </c>
      <c r="D25" s="14">
        <v>1203</v>
      </c>
      <c r="E25" s="14">
        <v>2270</v>
      </c>
      <c r="F25" s="12" t="b">
        <v>1</v>
      </c>
    </row>
    <row r="26" spans="1:6">
      <c r="A26" s="12" t="s">
        <v>368</v>
      </c>
      <c r="B26" s="12" t="s">
        <v>2825</v>
      </c>
      <c r="C26" s="12" t="s">
        <v>2821</v>
      </c>
      <c r="D26" s="14">
        <v>2911</v>
      </c>
      <c r="E26" s="14">
        <v>4060</v>
      </c>
      <c r="F26" s="12" t="b">
        <v>1</v>
      </c>
    </row>
    <row r="27" spans="1:6">
      <c r="A27" s="12" t="s">
        <v>281</v>
      </c>
      <c r="B27" s="12" t="s">
        <v>2826</v>
      </c>
      <c r="C27" s="12" t="s">
        <v>2821</v>
      </c>
      <c r="D27" s="14">
        <v>2027</v>
      </c>
      <c r="E27" s="14">
        <v>4070</v>
      </c>
      <c r="F27" s="12" t="b">
        <v>1</v>
      </c>
    </row>
    <row r="28" spans="1:6">
      <c r="A28" s="12" t="s">
        <v>251</v>
      </c>
      <c r="B28" s="12" t="s">
        <v>2827</v>
      </c>
      <c r="C28" s="12" t="s">
        <v>2821</v>
      </c>
      <c r="D28" s="14">
        <v>2436</v>
      </c>
      <c r="E28" s="14">
        <v>3780</v>
      </c>
      <c r="F28" s="12" t="b">
        <v>1</v>
      </c>
    </row>
    <row r="29" spans="1:6">
      <c r="A29" s="12" t="s">
        <v>119</v>
      </c>
      <c r="B29" s="12" t="s">
        <v>2828</v>
      </c>
      <c r="C29" s="12" t="s">
        <v>2821</v>
      </c>
      <c r="D29" s="14">
        <v>2214</v>
      </c>
      <c r="E29" s="14">
        <v>3660</v>
      </c>
      <c r="F29" s="12" t="b">
        <v>0</v>
      </c>
    </row>
    <row r="30" spans="1:6">
      <c r="A30" s="12" t="s">
        <v>355</v>
      </c>
      <c r="B30" s="12" t="s">
        <v>2829</v>
      </c>
      <c r="C30" s="12" t="s">
        <v>2821</v>
      </c>
      <c r="D30" s="14">
        <v>1010</v>
      </c>
      <c r="E30" s="14">
        <v>2210</v>
      </c>
      <c r="F30" s="12" t="b">
        <v>1</v>
      </c>
    </row>
    <row r="31" spans="1:6">
      <c r="A31" s="12" t="s">
        <v>144</v>
      </c>
      <c r="B31" s="12" t="s">
        <v>2830</v>
      </c>
      <c r="C31" s="12" t="s">
        <v>2821</v>
      </c>
      <c r="D31" s="14">
        <v>434</v>
      </c>
      <c r="E31" s="14">
        <v>970</v>
      </c>
      <c r="F31" s="12" t="b">
        <v>1</v>
      </c>
    </row>
    <row r="32" spans="1:6">
      <c r="A32" s="12" t="s">
        <v>243</v>
      </c>
      <c r="B32" s="12" t="s">
        <v>2831</v>
      </c>
      <c r="C32" s="12" t="s">
        <v>2832</v>
      </c>
      <c r="D32" s="14">
        <v>2135</v>
      </c>
      <c r="E32" s="14">
        <v>3730</v>
      </c>
      <c r="F32" s="12" t="b">
        <v>1</v>
      </c>
    </row>
    <row r="33" spans="1:6">
      <c r="A33" s="12" t="s">
        <v>127</v>
      </c>
      <c r="B33" s="12" t="s">
        <v>2833</v>
      </c>
      <c r="C33" s="12" t="s">
        <v>2832</v>
      </c>
      <c r="D33" s="14">
        <v>288</v>
      </c>
      <c r="E33" s="14">
        <v>370</v>
      </c>
      <c r="F33" s="12" t="b">
        <v>1</v>
      </c>
    </row>
    <row r="34" spans="1:6">
      <c r="A34" s="12" t="s">
        <v>312</v>
      </c>
      <c r="B34" s="12" t="s">
        <v>2834</v>
      </c>
      <c r="C34" s="12" t="s">
        <v>2832</v>
      </c>
      <c r="D34" s="14">
        <v>1143</v>
      </c>
      <c r="E34" s="14">
        <v>2030</v>
      </c>
      <c r="F34" s="12" t="b">
        <v>1</v>
      </c>
    </row>
    <row r="35" spans="1:6">
      <c r="A35" s="12" t="s">
        <v>460</v>
      </c>
      <c r="B35" s="12" t="s">
        <v>2835</v>
      </c>
      <c r="C35" s="12" t="s">
        <v>2832</v>
      </c>
      <c r="D35" s="14">
        <v>2459</v>
      </c>
      <c r="E35" s="14">
        <v>5080</v>
      </c>
      <c r="F35" s="12" t="b">
        <v>1</v>
      </c>
    </row>
    <row r="36" spans="1:6">
      <c r="A36" s="12" t="s">
        <v>519</v>
      </c>
      <c r="B36" s="12" t="s">
        <v>2836</v>
      </c>
      <c r="C36" s="12" t="s">
        <v>2832</v>
      </c>
      <c r="D36" s="14">
        <v>464</v>
      </c>
      <c r="E36" s="14">
        <v>1090</v>
      </c>
      <c r="F36" s="12" t="b">
        <v>1</v>
      </c>
    </row>
    <row r="37" spans="1:6">
      <c r="A37" s="12" t="s">
        <v>160</v>
      </c>
      <c r="B37" s="12" t="s">
        <v>2837</v>
      </c>
      <c r="C37" s="12" t="s">
        <v>2832</v>
      </c>
      <c r="D37" s="14">
        <v>1556</v>
      </c>
      <c r="E37" s="14">
        <v>3250</v>
      </c>
      <c r="F37" s="12" t="b">
        <v>1</v>
      </c>
    </row>
    <row r="38" spans="1:6">
      <c r="A38" s="12" t="s">
        <v>220</v>
      </c>
      <c r="B38" s="12" t="s">
        <v>2838</v>
      </c>
      <c r="C38" s="12" t="s">
        <v>2832</v>
      </c>
      <c r="D38" s="14">
        <v>329</v>
      </c>
      <c r="E38" s="14">
        <v>660</v>
      </c>
      <c r="F38" s="12" t="b">
        <v>1</v>
      </c>
    </row>
    <row r="39" spans="1:6">
      <c r="A39" s="12" t="s">
        <v>141</v>
      </c>
      <c r="B39" s="12" t="s">
        <v>2839</v>
      </c>
      <c r="C39" s="12" t="s">
        <v>2832</v>
      </c>
      <c r="D39" s="14">
        <v>2549</v>
      </c>
      <c r="E39" s="14">
        <v>5490</v>
      </c>
      <c r="F39" s="12" t="b">
        <v>1</v>
      </c>
    </row>
    <row r="40" spans="1:6">
      <c r="A40" s="12" t="s">
        <v>287</v>
      </c>
      <c r="B40" s="12" t="s">
        <v>2840</v>
      </c>
      <c r="C40" s="12" t="s">
        <v>2832</v>
      </c>
      <c r="D40" s="14">
        <v>1850</v>
      </c>
      <c r="E40" s="14">
        <v>4610</v>
      </c>
      <c r="F40" s="12" t="b">
        <v>1</v>
      </c>
    </row>
    <row r="41" spans="1:6">
      <c r="A41" s="12" t="s">
        <v>181</v>
      </c>
      <c r="B41" s="12" t="s">
        <v>2841</v>
      </c>
      <c r="C41" s="12" t="s">
        <v>2832</v>
      </c>
      <c r="D41" s="14">
        <v>519</v>
      </c>
      <c r="E41" s="14">
        <v>1080</v>
      </c>
      <c r="F41" s="12" t="b">
        <v>1</v>
      </c>
    </row>
    <row r="42" spans="1:6">
      <c r="A42" s="12" t="s">
        <v>276</v>
      </c>
      <c r="B42" s="12" t="s">
        <v>2842</v>
      </c>
      <c r="C42" s="12" t="s">
        <v>2843</v>
      </c>
      <c r="D42" s="14">
        <v>647</v>
      </c>
      <c r="E42" s="14">
        <v>1540</v>
      </c>
      <c r="F42" s="12" t="b">
        <v>0</v>
      </c>
    </row>
    <row r="43" spans="1:6">
      <c r="A43" s="12" t="s">
        <v>403</v>
      </c>
      <c r="B43" s="12" t="s">
        <v>2844</v>
      </c>
      <c r="C43" s="12" t="s">
        <v>2843</v>
      </c>
      <c r="D43" s="14">
        <v>1219</v>
      </c>
      <c r="E43" s="14">
        <v>2290</v>
      </c>
      <c r="F43" s="12" t="b">
        <v>1</v>
      </c>
    </row>
    <row r="44" spans="1:6">
      <c r="A44" s="12" t="s">
        <v>196</v>
      </c>
      <c r="B44" s="12" t="s">
        <v>2845</v>
      </c>
      <c r="C44" s="12" t="s">
        <v>2843</v>
      </c>
      <c r="D44" s="14">
        <v>1728</v>
      </c>
      <c r="E44" s="14">
        <v>3350</v>
      </c>
      <c r="F44" s="12" t="b">
        <v>1</v>
      </c>
    </row>
    <row r="45" spans="1:6">
      <c r="A45" s="12" t="s">
        <v>193</v>
      </c>
      <c r="B45" s="12" t="s">
        <v>2846</v>
      </c>
      <c r="C45" s="12" t="s">
        <v>2843</v>
      </c>
      <c r="D45" s="14">
        <v>1222</v>
      </c>
      <c r="E45" s="14">
        <v>1650</v>
      </c>
      <c r="F45" s="12" t="b">
        <v>1</v>
      </c>
    </row>
    <row r="46" spans="1:6">
      <c r="A46" s="12" t="s">
        <v>293</v>
      </c>
      <c r="B46" s="12" t="s">
        <v>2847</v>
      </c>
      <c r="C46" s="12" t="s">
        <v>2843</v>
      </c>
      <c r="D46" s="14">
        <v>1626</v>
      </c>
      <c r="E46" s="14">
        <v>3020</v>
      </c>
      <c r="F46" s="12" t="b">
        <v>1</v>
      </c>
    </row>
    <row r="47" spans="1:6">
      <c r="A47" s="12" t="s">
        <v>201</v>
      </c>
      <c r="B47" s="12" t="s">
        <v>2848</v>
      </c>
      <c r="C47" s="12" t="s">
        <v>2843</v>
      </c>
      <c r="D47" s="14">
        <v>2768</v>
      </c>
      <c r="E47" s="14">
        <v>4880</v>
      </c>
      <c r="F47" s="12" t="b">
        <v>1</v>
      </c>
    </row>
    <row r="48" spans="1:6">
      <c r="A48" s="12" t="s">
        <v>174</v>
      </c>
      <c r="B48" s="12" t="s">
        <v>2849</v>
      </c>
      <c r="C48" s="12" t="s">
        <v>2843</v>
      </c>
      <c r="D48" s="14">
        <v>2420</v>
      </c>
      <c r="E48" s="14">
        <v>3450</v>
      </c>
      <c r="F48" s="12" t="b">
        <v>1</v>
      </c>
    </row>
    <row r="49" spans="1:6">
      <c r="A49" s="12" t="s">
        <v>208</v>
      </c>
      <c r="B49" s="12" t="s">
        <v>2850</v>
      </c>
      <c r="C49" s="12" t="s">
        <v>2843</v>
      </c>
      <c r="D49" s="14">
        <v>2237</v>
      </c>
      <c r="E49" s="14">
        <v>5100</v>
      </c>
      <c r="F49" s="12" t="b">
        <v>1</v>
      </c>
    </row>
    <row r="50" spans="1:6">
      <c r="A50" s="12" t="s">
        <v>397</v>
      </c>
      <c r="B50" s="12" t="s">
        <v>2851</v>
      </c>
      <c r="C50" s="12" t="s">
        <v>2843</v>
      </c>
      <c r="D50" s="14">
        <v>675</v>
      </c>
      <c r="E50" s="14">
        <v>960</v>
      </c>
      <c r="F50" s="12" t="b">
        <v>1</v>
      </c>
    </row>
    <row r="51" spans="1:6">
      <c r="A51" s="12" t="s">
        <v>258</v>
      </c>
      <c r="B51" s="12" t="s">
        <v>2852</v>
      </c>
      <c r="C51" s="12" t="s">
        <v>2843</v>
      </c>
      <c r="D51" s="14">
        <v>2617</v>
      </c>
      <c r="E51" s="14">
        <v>6080</v>
      </c>
      <c r="F51" s="12" t="b">
        <v>1</v>
      </c>
    </row>
    <row r="52" spans="1:6">
      <c r="A52" s="12" t="s">
        <v>178</v>
      </c>
      <c r="B52" s="12" t="s">
        <v>2853</v>
      </c>
      <c r="C52" s="12" t="s">
        <v>2854</v>
      </c>
      <c r="D52" s="14">
        <v>2467</v>
      </c>
      <c r="E52" s="14">
        <v>3450</v>
      </c>
      <c r="F52" s="12" t="b">
        <v>1</v>
      </c>
    </row>
    <row r="53" spans="1:6">
      <c r="A53" s="12" t="s">
        <v>377</v>
      </c>
      <c r="B53" s="12" t="s">
        <v>2855</v>
      </c>
      <c r="C53" s="12" t="s">
        <v>2854</v>
      </c>
      <c r="D53" s="14">
        <v>2265</v>
      </c>
      <c r="E53" s="14">
        <v>5410</v>
      </c>
      <c r="F53" s="12" t="b">
        <v>1</v>
      </c>
    </row>
    <row r="54" spans="1:6">
      <c r="A54" s="12" t="s">
        <v>114</v>
      </c>
      <c r="B54" s="12" t="s">
        <v>2856</v>
      </c>
      <c r="C54" s="12" t="s">
        <v>2854</v>
      </c>
      <c r="D54" s="14">
        <v>302</v>
      </c>
      <c r="E54" s="14">
        <v>470</v>
      </c>
      <c r="F54" s="12" t="b">
        <v>0</v>
      </c>
    </row>
    <row r="55" spans="1:6">
      <c r="A55" s="12" t="s">
        <v>199</v>
      </c>
      <c r="B55" s="12" t="s">
        <v>2857</v>
      </c>
      <c r="C55" s="12" t="s">
        <v>2854</v>
      </c>
      <c r="D55" s="14">
        <v>516</v>
      </c>
      <c r="E55" s="14">
        <v>1010</v>
      </c>
      <c r="F55" s="12" t="b">
        <v>1</v>
      </c>
    </row>
    <row r="56" spans="1:6">
      <c r="A56" s="12" t="s">
        <v>212</v>
      </c>
      <c r="B56" s="12" t="s">
        <v>2858</v>
      </c>
      <c r="C56" s="12" t="s">
        <v>2854</v>
      </c>
      <c r="D56" s="14">
        <v>2028</v>
      </c>
      <c r="E56" s="14">
        <v>2860</v>
      </c>
      <c r="F56" s="12" t="b">
        <v>1</v>
      </c>
    </row>
    <row r="57" spans="1:6">
      <c r="A57" s="12" t="s">
        <v>532</v>
      </c>
      <c r="B57" s="12" t="s">
        <v>2859</v>
      </c>
      <c r="C57" s="12" t="s">
        <v>2854</v>
      </c>
      <c r="D57" s="14">
        <v>2827</v>
      </c>
      <c r="E57" s="14">
        <v>6940</v>
      </c>
      <c r="F57" s="12" t="b">
        <v>1</v>
      </c>
    </row>
    <row r="58" spans="1:6">
      <c r="A58" s="12" t="s">
        <v>132</v>
      </c>
      <c r="B58" s="12" t="s">
        <v>2860</v>
      </c>
      <c r="C58" s="12" t="s">
        <v>2854</v>
      </c>
      <c r="D58" s="14">
        <v>705</v>
      </c>
      <c r="E58" s="14">
        <v>960</v>
      </c>
      <c r="F58" s="12" t="b">
        <v>1</v>
      </c>
    </row>
    <row r="59" spans="1:6">
      <c r="A59" s="12" t="s">
        <v>168</v>
      </c>
      <c r="B59" s="12" t="s">
        <v>2861</v>
      </c>
      <c r="C59" s="12" t="s">
        <v>2854</v>
      </c>
      <c r="D59" s="14">
        <v>974</v>
      </c>
      <c r="E59" s="14">
        <v>2400</v>
      </c>
      <c r="F59" s="12" t="b">
        <v>1</v>
      </c>
    </row>
    <row r="60" spans="1:6">
      <c r="A60" s="12" t="s">
        <v>478</v>
      </c>
      <c r="B60" s="12" t="s">
        <v>2862</v>
      </c>
      <c r="C60" s="12" t="s">
        <v>2854</v>
      </c>
      <c r="D60" s="14">
        <v>1860</v>
      </c>
      <c r="E60" s="14">
        <v>3780</v>
      </c>
      <c r="F60" s="12" t="b">
        <v>1</v>
      </c>
    </row>
    <row r="61" spans="1:6">
      <c r="A61" s="12" t="s">
        <v>164</v>
      </c>
      <c r="B61" s="12" t="s">
        <v>2863</v>
      </c>
      <c r="C61" s="12" t="s">
        <v>2854</v>
      </c>
      <c r="D61" s="14">
        <v>147</v>
      </c>
      <c r="E61" s="14">
        <v>190</v>
      </c>
      <c r="F61" s="12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F31"/>
  <sheetViews>
    <sheetView workbookViewId="0">
      <pane ySplit="1" topLeftCell="A2" activePane="bottomLeft" state="frozen"/>
      <selection pane="bottomLeft" activeCell="H6" sqref="H6"/>
    </sheetView>
  </sheetViews>
  <sheetFormatPr defaultRowHeight="14.45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6">
      <c r="A1" s="4" t="s">
        <v>2864</v>
      </c>
      <c r="B1" s="4" t="s">
        <v>2865</v>
      </c>
      <c r="C1" s="4" t="s">
        <v>2866</v>
      </c>
      <c r="D1" s="4" t="s">
        <v>2867</v>
      </c>
      <c r="E1" s="4" t="s">
        <v>2868</v>
      </c>
      <c r="F1" s="23"/>
    </row>
    <row r="2" spans="1:6">
      <c r="A2" s="12" t="s">
        <v>232</v>
      </c>
      <c r="B2" s="12" t="s">
        <v>2869</v>
      </c>
      <c r="C2" s="12" t="s">
        <v>2870</v>
      </c>
      <c r="D2" s="13">
        <v>44207</v>
      </c>
      <c r="E2" s="12"/>
      <c r="F2" s="23"/>
    </row>
    <row r="3" spans="1:6">
      <c r="A3" s="12" t="s">
        <v>314</v>
      </c>
      <c r="B3" s="12" t="s">
        <v>2871</v>
      </c>
      <c r="C3" s="12" t="s">
        <v>2870</v>
      </c>
      <c r="D3" s="13">
        <v>44028</v>
      </c>
      <c r="E3" s="12"/>
      <c r="F3" s="23"/>
    </row>
    <row r="4" spans="1:6">
      <c r="A4" s="12" t="s">
        <v>165</v>
      </c>
      <c r="B4" s="12" t="s">
        <v>2872</v>
      </c>
      <c r="C4" s="12" t="s">
        <v>2870</v>
      </c>
      <c r="D4" s="13">
        <v>43651</v>
      </c>
      <c r="E4" s="12"/>
      <c r="F4" s="23"/>
    </row>
    <row r="5" spans="1:6">
      <c r="A5" s="12" t="s">
        <v>156</v>
      </c>
      <c r="B5" s="12" t="s">
        <v>2873</v>
      </c>
      <c r="C5" s="12" t="s">
        <v>2870</v>
      </c>
      <c r="D5" s="13">
        <v>44907</v>
      </c>
      <c r="E5" s="12"/>
      <c r="F5" s="23"/>
    </row>
    <row r="6" spans="1:6">
      <c r="A6" s="12" t="s">
        <v>109</v>
      </c>
      <c r="B6" s="12" t="s">
        <v>2874</v>
      </c>
      <c r="C6" s="12" t="s">
        <v>2870</v>
      </c>
      <c r="D6" s="13">
        <v>43588</v>
      </c>
      <c r="E6" s="12" t="s">
        <v>232</v>
      </c>
      <c r="F6" s="23"/>
    </row>
    <row r="7" spans="1:6">
      <c r="A7" s="12" t="s">
        <v>120</v>
      </c>
      <c r="B7" s="12" t="s">
        <v>2790</v>
      </c>
      <c r="C7" s="12" t="s">
        <v>2870</v>
      </c>
      <c r="D7" s="13">
        <v>44131</v>
      </c>
      <c r="E7" s="12" t="s">
        <v>232</v>
      </c>
      <c r="F7" s="23"/>
    </row>
    <row r="8" spans="1:6">
      <c r="A8" s="12" t="s">
        <v>103</v>
      </c>
      <c r="B8" s="12" t="s">
        <v>2875</v>
      </c>
      <c r="C8" s="12" t="s">
        <v>2870</v>
      </c>
      <c r="D8" s="13">
        <v>43493</v>
      </c>
      <c r="E8" s="12" t="s">
        <v>232</v>
      </c>
      <c r="F8" s="23"/>
    </row>
    <row r="9" spans="1:6">
      <c r="A9" s="12" t="s">
        <v>124</v>
      </c>
      <c r="B9" s="12" t="s">
        <v>2779</v>
      </c>
      <c r="C9" s="12" t="s">
        <v>2870</v>
      </c>
      <c r="D9" s="13">
        <v>44693</v>
      </c>
      <c r="E9" s="12" t="s">
        <v>232</v>
      </c>
      <c r="F9" s="23"/>
    </row>
    <row r="10" spans="1:6">
      <c r="A10" s="12" t="s">
        <v>221</v>
      </c>
      <c r="B10" s="12" t="s">
        <v>2876</v>
      </c>
      <c r="C10" s="12" t="s">
        <v>2877</v>
      </c>
      <c r="D10" s="13">
        <v>44804</v>
      </c>
      <c r="E10" s="12" t="s">
        <v>314</v>
      </c>
      <c r="F10" s="23"/>
    </row>
    <row r="11" spans="1:6">
      <c r="A11" s="12" t="s">
        <v>149</v>
      </c>
      <c r="B11" s="12" t="s">
        <v>2878</v>
      </c>
      <c r="C11" s="12" t="s">
        <v>2877</v>
      </c>
      <c r="D11" s="13">
        <v>43904</v>
      </c>
      <c r="E11" s="12" t="s">
        <v>314</v>
      </c>
      <c r="F11" s="23"/>
    </row>
    <row r="12" spans="1:6">
      <c r="A12" s="12" t="s">
        <v>290</v>
      </c>
      <c r="B12" s="12" t="s">
        <v>2879</v>
      </c>
      <c r="C12" s="12" t="s">
        <v>2877</v>
      </c>
      <c r="D12" s="13">
        <v>44622</v>
      </c>
      <c r="E12" s="12" t="s">
        <v>314</v>
      </c>
      <c r="F12" s="23"/>
    </row>
    <row r="13" spans="1:6">
      <c r="A13" s="12" t="s">
        <v>342</v>
      </c>
      <c r="B13" s="12" t="s">
        <v>2880</v>
      </c>
      <c r="C13" s="12" t="s">
        <v>2877</v>
      </c>
      <c r="D13" s="13">
        <v>44890</v>
      </c>
      <c r="E13" s="12" t="s">
        <v>314</v>
      </c>
      <c r="F13" s="23"/>
    </row>
    <row r="14" spans="1:6">
      <c r="A14" s="12" t="s">
        <v>269</v>
      </c>
      <c r="B14" s="12" t="s">
        <v>2881</v>
      </c>
      <c r="C14" s="12" t="s">
        <v>2877</v>
      </c>
      <c r="D14" s="13">
        <v>45215</v>
      </c>
      <c r="E14" s="12" t="s">
        <v>314</v>
      </c>
      <c r="F14" s="23"/>
    </row>
    <row r="15" spans="1:6">
      <c r="A15" s="12" t="s">
        <v>115</v>
      </c>
      <c r="B15" s="12" t="s">
        <v>2882</v>
      </c>
      <c r="C15" s="12" t="s">
        <v>2877</v>
      </c>
      <c r="D15" s="13">
        <v>44469</v>
      </c>
      <c r="E15" s="12" t="s">
        <v>314</v>
      </c>
      <c r="F15" s="23"/>
    </row>
    <row r="16" spans="1:6">
      <c r="A16" s="12" t="s">
        <v>205</v>
      </c>
      <c r="B16" s="12" t="s">
        <v>2883</v>
      </c>
      <c r="C16" s="12" t="s">
        <v>2877</v>
      </c>
      <c r="D16" s="13">
        <v>45231</v>
      </c>
      <c r="E16" s="12" t="s">
        <v>314</v>
      </c>
      <c r="F16" s="23"/>
    </row>
    <row r="17" spans="1:6">
      <c r="A17" s="12" t="s">
        <v>363</v>
      </c>
      <c r="B17" s="12" t="s">
        <v>2884</v>
      </c>
      <c r="C17" s="12" t="s">
        <v>2877</v>
      </c>
      <c r="D17" s="13">
        <v>43614</v>
      </c>
      <c r="E17" s="12" t="s">
        <v>314</v>
      </c>
      <c r="F17" s="23"/>
    </row>
    <row r="18" spans="1:6">
      <c r="A18" s="12" t="s">
        <v>255</v>
      </c>
      <c r="B18" s="12" t="s">
        <v>2885</v>
      </c>
      <c r="C18" s="12" t="s">
        <v>2886</v>
      </c>
      <c r="D18" s="13">
        <v>43685</v>
      </c>
      <c r="E18" s="12" t="s">
        <v>165</v>
      </c>
      <c r="F18" s="23"/>
    </row>
    <row r="19" spans="1:6">
      <c r="A19" s="12" t="s">
        <v>320</v>
      </c>
      <c r="B19" s="12" t="s">
        <v>2887</v>
      </c>
      <c r="C19" s="12" t="s">
        <v>2886</v>
      </c>
      <c r="D19" s="13">
        <v>43428</v>
      </c>
      <c r="E19" s="12" t="s">
        <v>165</v>
      </c>
      <c r="F19" s="23"/>
    </row>
    <row r="20" spans="1:6">
      <c r="A20" s="12" t="s">
        <v>138</v>
      </c>
      <c r="B20" s="12" t="s">
        <v>2888</v>
      </c>
      <c r="C20" s="12" t="s">
        <v>2886</v>
      </c>
      <c r="D20" s="13">
        <v>43576</v>
      </c>
      <c r="E20" s="12" t="s">
        <v>165</v>
      </c>
      <c r="F20" s="23"/>
    </row>
    <row r="21" spans="1:6">
      <c r="A21" s="12" t="s">
        <v>209</v>
      </c>
      <c r="B21" s="12" t="s">
        <v>2889</v>
      </c>
      <c r="C21" s="12" t="s">
        <v>2886</v>
      </c>
      <c r="D21" s="13">
        <v>43254</v>
      </c>
      <c r="E21" s="12" t="s">
        <v>165</v>
      </c>
      <c r="F21" s="23"/>
    </row>
    <row r="22" spans="1:6">
      <c r="A22" s="12" t="s">
        <v>175</v>
      </c>
      <c r="B22" s="12" t="s">
        <v>2890</v>
      </c>
      <c r="C22" s="12" t="s">
        <v>2886</v>
      </c>
      <c r="D22" s="13">
        <v>43260</v>
      </c>
      <c r="E22" s="12" t="s">
        <v>165</v>
      </c>
      <c r="F22" s="23"/>
    </row>
    <row r="23" spans="1:6">
      <c r="A23" s="12" t="s">
        <v>302</v>
      </c>
      <c r="B23" s="12" t="s">
        <v>2891</v>
      </c>
      <c r="C23" s="12" t="s">
        <v>2886</v>
      </c>
      <c r="D23" s="13">
        <v>43146</v>
      </c>
      <c r="E23" s="12" t="s">
        <v>165</v>
      </c>
      <c r="F23" s="23"/>
    </row>
    <row r="24" spans="1:6">
      <c r="A24" s="12" t="s">
        <v>171</v>
      </c>
      <c r="B24" s="12" t="s">
        <v>2892</v>
      </c>
      <c r="C24" s="12" t="s">
        <v>2886</v>
      </c>
      <c r="D24" s="13">
        <v>44777</v>
      </c>
      <c r="E24" s="12" t="s">
        <v>165</v>
      </c>
      <c r="F24" s="23"/>
    </row>
    <row r="25" spans="1:6">
      <c r="A25" s="12" t="s">
        <v>133</v>
      </c>
      <c r="B25" s="12" t="s">
        <v>2893</v>
      </c>
      <c r="C25" s="12" t="s">
        <v>2894</v>
      </c>
      <c r="D25" s="13">
        <v>43371</v>
      </c>
      <c r="E25" s="12" t="s">
        <v>156</v>
      </c>
      <c r="F25" s="23"/>
    </row>
    <row r="26" spans="1:6">
      <c r="A26" s="12" t="s">
        <v>128</v>
      </c>
      <c r="B26" s="12" t="s">
        <v>2895</v>
      </c>
      <c r="C26" s="12" t="s">
        <v>2894</v>
      </c>
      <c r="D26" s="13">
        <v>43781</v>
      </c>
      <c r="E26" s="12" t="s">
        <v>156</v>
      </c>
      <c r="F26" s="23"/>
    </row>
    <row r="27" spans="1:6">
      <c r="A27" s="12" t="s">
        <v>218</v>
      </c>
      <c r="B27" s="12" t="s">
        <v>2896</v>
      </c>
      <c r="C27" s="12" t="s">
        <v>2894</v>
      </c>
      <c r="D27" s="13">
        <v>43570</v>
      </c>
      <c r="E27" s="12" t="s">
        <v>156</v>
      </c>
      <c r="F27" s="23"/>
    </row>
    <row r="28" spans="1:6">
      <c r="A28" s="12" t="s">
        <v>360</v>
      </c>
      <c r="B28" s="12" t="s">
        <v>2897</v>
      </c>
      <c r="C28" s="12" t="s">
        <v>2894</v>
      </c>
      <c r="D28" s="13">
        <v>45199</v>
      </c>
      <c r="E28" s="12" t="s">
        <v>156</v>
      </c>
      <c r="F28" s="23"/>
    </row>
    <row r="29" spans="1:6">
      <c r="A29" s="12" t="s">
        <v>145</v>
      </c>
      <c r="B29" s="12" t="s">
        <v>2898</v>
      </c>
      <c r="C29" s="12" t="s">
        <v>2894</v>
      </c>
      <c r="D29" s="13">
        <v>44898</v>
      </c>
      <c r="E29" s="12" t="s">
        <v>156</v>
      </c>
      <c r="F29" s="23"/>
    </row>
    <row r="30" spans="1:6">
      <c r="A30" s="12" t="s">
        <v>246</v>
      </c>
      <c r="B30" s="12" t="s">
        <v>2899</v>
      </c>
      <c r="C30" s="12" t="s">
        <v>2894</v>
      </c>
      <c r="D30" s="13">
        <v>45191</v>
      </c>
      <c r="E30" s="12" t="s">
        <v>156</v>
      </c>
      <c r="F30" s="23"/>
    </row>
    <row r="31" spans="1:6">
      <c r="A31" s="12" t="s">
        <v>187</v>
      </c>
      <c r="B31" s="12" t="s">
        <v>2900</v>
      </c>
      <c r="C31" s="12" t="s">
        <v>2894</v>
      </c>
      <c r="D31" s="13">
        <v>44506</v>
      </c>
      <c r="E31" s="12" t="s">
        <v>156</v>
      </c>
      <c r="F31" s="23"/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3" width="8" customWidth="1"/>
  </cols>
  <sheetData>
    <row r="1" spans="1:13">
      <c r="A1" s="4" t="s">
        <v>2864</v>
      </c>
      <c r="B1" s="4" t="s">
        <v>2901</v>
      </c>
      <c r="C1" s="4" t="s">
        <v>2902</v>
      </c>
      <c r="D1" s="4" t="s">
        <v>2903</v>
      </c>
      <c r="E1" s="4" t="s">
        <v>2904</v>
      </c>
      <c r="F1" s="4" t="s">
        <v>2905</v>
      </c>
      <c r="G1" s="4" t="s">
        <v>2906</v>
      </c>
      <c r="H1" s="4" t="s">
        <v>2907</v>
      </c>
      <c r="I1" s="4" t="s">
        <v>2908</v>
      </c>
      <c r="J1" s="4" t="s">
        <v>2909</v>
      </c>
      <c r="K1" s="4" t="s">
        <v>2910</v>
      </c>
      <c r="L1" s="4" t="s">
        <v>2911</v>
      </c>
      <c r="M1" s="4" t="s">
        <v>2912</v>
      </c>
    </row>
    <row r="2" spans="1:13">
      <c r="A2" s="12" t="s">
        <v>232</v>
      </c>
      <c r="B2" s="14">
        <v>231324</v>
      </c>
      <c r="C2" s="14">
        <v>171682</v>
      </c>
      <c r="D2" s="14">
        <v>234376</v>
      </c>
      <c r="E2" s="14">
        <v>326967</v>
      </c>
      <c r="F2" s="14">
        <v>350588</v>
      </c>
      <c r="G2" s="14">
        <v>385324</v>
      </c>
      <c r="H2" s="14">
        <v>307980</v>
      </c>
      <c r="I2" s="14">
        <v>327947</v>
      </c>
      <c r="J2" s="14">
        <v>181016</v>
      </c>
      <c r="K2" s="14">
        <v>374039</v>
      </c>
      <c r="L2" s="14">
        <v>212805</v>
      </c>
      <c r="M2" s="14">
        <v>405999</v>
      </c>
    </row>
    <row r="3" spans="1:13">
      <c r="A3" s="12" t="s">
        <v>314</v>
      </c>
      <c r="B3" s="14">
        <v>438126</v>
      </c>
      <c r="C3" s="14">
        <v>346266</v>
      </c>
      <c r="D3" s="14">
        <v>329993</v>
      </c>
      <c r="E3" s="14">
        <v>370744</v>
      </c>
      <c r="F3" s="14">
        <v>294660</v>
      </c>
      <c r="G3" s="14">
        <v>341556</v>
      </c>
      <c r="H3" s="14">
        <v>151934</v>
      </c>
      <c r="I3" s="14">
        <v>223794</v>
      </c>
      <c r="J3" s="14">
        <v>438641</v>
      </c>
      <c r="K3" s="14">
        <v>344308</v>
      </c>
      <c r="L3" s="14">
        <v>296172</v>
      </c>
      <c r="M3" s="14">
        <v>304288</v>
      </c>
    </row>
    <row r="4" spans="1:13">
      <c r="A4" s="12" t="s">
        <v>165</v>
      </c>
      <c r="B4" s="14">
        <v>358703</v>
      </c>
      <c r="C4" s="14">
        <v>320519</v>
      </c>
      <c r="D4" s="14">
        <v>327321</v>
      </c>
      <c r="E4" s="14">
        <v>298753</v>
      </c>
      <c r="F4" s="14">
        <v>254636</v>
      </c>
      <c r="G4" s="14">
        <v>351929</v>
      </c>
      <c r="H4" s="14">
        <v>264723</v>
      </c>
      <c r="I4" s="14">
        <v>216459</v>
      </c>
      <c r="J4" s="14">
        <v>391945</v>
      </c>
      <c r="K4" s="14">
        <v>362426</v>
      </c>
      <c r="L4" s="14">
        <v>289199</v>
      </c>
      <c r="M4" s="14">
        <v>301863</v>
      </c>
    </row>
    <row r="5" spans="1:13">
      <c r="A5" s="12" t="s">
        <v>156</v>
      </c>
      <c r="B5" s="14">
        <v>389594</v>
      </c>
      <c r="C5" s="14">
        <v>376422</v>
      </c>
      <c r="D5" s="14">
        <v>324156</v>
      </c>
      <c r="E5" s="14">
        <v>420255</v>
      </c>
      <c r="F5" s="14">
        <v>409107</v>
      </c>
      <c r="G5" s="14">
        <v>269954</v>
      </c>
      <c r="H5" s="14">
        <v>179097</v>
      </c>
      <c r="I5" s="14">
        <v>370568</v>
      </c>
      <c r="J5" s="14">
        <v>387395</v>
      </c>
      <c r="K5" s="14">
        <v>243454</v>
      </c>
      <c r="L5" s="14">
        <v>232530</v>
      </c>
      <c r="M5" s="14">
        <v>201999</v>
      </c>
    </row>
    <row r="6" spans="1:13">
      <c r="A6" s="12" t="s">
        <v>109</v>
      </c>
      <c r="B6" s="14">
        <v>436862</v>
      </c>
      <c r="C6" s="14">
        <v>391158</v>
      </c>
      <c r="D6" s="14">
        <v>340224</v>
      </c>
      <c r="E6" s="14">
        <v>170548</v>
      </c>
      <c r="F6" s="14">
        <v>229390</v>
      </c>
      <c r="G6" s="14">
        <v>349525</v>
      </c>
      <c r="H6" s="14">
        <v>154683</v>
      </c>
      <c r="I6" s="14">
        <v>320848</v>
      </c>
      <c r="J6" s="14">
        <v>354452</v>
      </c>
      <c r="K6" s="14">
        <v>377180</v>
      </c>
      <c r="L6" s="14">
        <v>342347</v>
      </c>
      <c r="M6" s="14">
        <v>183362</v>
      </c>
    </row>
    <row r="7" spans="1:13">
      <c r="A7" s="12" t="s">
        <v>120</v>
      </c>
      <c r="B7" s="14">
        <v>348734</v>
      </c>
      <c r="C7" s="14">
        <v>358191</v>
      </c>
      <c r="D7" s="14">
        <v>250385</v>
      </c>
      <c r="E7" s="14">
        <v>219657</v>
      </c>
      <c r="F7" s="14">
        <v>249365</v>
      </c>
      <c r="G7" s="14">
        <v>435704</v>
      </c>
      <c r="H7" s="14">
        <v>260892</v>
      </c>
      <c r="I7" s="14">
        <v>250741</v>
      </c>
      <c r="J7" s="14">
        <v>358402</v>
      </c>
      <c r="K7" s="14">
        <v>379858</v>
      </c>
      <c r="L7" s="14">
        <v>213280</v>
      </c>
      <c r="M7" s="14">
        <v>224634</v>
      </c>
    </row>
    <row r="8" spans="1:13">
      <c r="A8" s="12" t="s">
        <v>103</v>
      </c>
      <c r="B8" s="14">
        <v>280057</v>
      </c>
      <c r="C8" s="14">
        <v>330342</v>
      </c>
      <c r="D8" s="14">
        <v>336856</v>
      </c>
      <c r="E8" s="14">
        <v>227425</v>
      </c>
      <c r="F8" s="14">
        <v>233647</v>
      </c>
      <c r="G8" s="14">
        <v>307088</v>
      </c>
      <c r="H8" s="14">
        <v>370724</v>
      </c>
      <c r="I8" s="14">
        <v>440008</v>
      </c>
      <c r="J8" s="14">
        <v>406347</v>
      </c>
      <c r="K8" s="14">
        <v>217357</v>
      </c>
      <c r="L8" s="14">
        <v>299289</v>
      </c>
      <c r="M8" s="14">
        <v>214568</v>
      </c>
    </row>
    <row r="9" spans="1:13">
      <c r="A9" s="12" t="s">
        <v>124</v>
      </c>
      <c r="B9" s="14">
        <v>252886</v>
      </c>
      <c r="C9" s="14">
        <v>206057</v>
      </c>
      <c r="D9" s="14">
        <v>318209</v>
      </c>
      <c r="E9" s="14">
        <v>411230</v>
      </c>
      <c r="F9" s="14">
        <v>448660</v>
      </c>
      <c r="G9" s="14">
        <v>171135</v>
      </c>
      <c r="H9" s="14">
        <v>305339</v>
      </c>
      <c r="I9" s="14">
        <v>432264</v>
      </c>
      <c r="J9" s="14">
        <v>294273</v>
      </c>
      <c r="K9" s="14">
        <v>371409</v>
      </c>
      <c r="L9" s="14">
        <v>284207</v>
      </c>
      <c r="M9" s="14">
        <v>437068</v>
      </c>
    </row>
    <row r="10" spans="1:13">
      <c r="A10" s="12" t="s">
        <v>221</v>
      </c>
      <c r="B10" s="14">
        <v>268752</v>
      </c>
      <c r="C10" s="14">
        <v>393256</v>
      </c>
      <c r="D10" s="14">
        <v>310649</v>
      </c>
      <c r="E10" s="14">
        <v>246237</v>
      </c>
      <c r="F10" s="14">
        <v>271287</v>
      </c>
      <c r="G10" s="14">
        <v>314545</v>
      </c>
      <c r="H10" s="14">
        <v>406506</v>
      </c>
      <c r="I10" s="14">
        <v>334930</v>
      </c>
      <c r="J10" s="14">
        <v>348625</v>
      </c>
      <c r="K10" s="14">
        <v>408928</v>
      </c>
      <c r="L10" s="14">
        <v>243749</v>
      </c>
      <c r="M10" s="14">
        <v>418409</v>
      </c>
    </row>
    <row r="11" spans="1:13">
      <c r="A11" s="12" t="s">
        <v>149</v>
      </c>
      <c r="B11" s="14">
        <v>384734</v>
      </c>
      <c r="C11" s="14">
        <v>156698</v>
      </c>
      <c r="D11" s="14">
        <v>283679</v>
      </c>
      <c r="E11" s="14">
        <v>276085</v>
      </c>
      <c r="F11" s="14">
        <v>409270</v>
      </c>
      <c r="G11" s="14">
        <v>285230</v>
      </c>
      <c r="H11" s="14">
        <v>304233</v>
      </c>
      <c r="I11" s="14">
        <v>178221</v>
      </c>
      <c r="J11" s="14">
        <v>284216</v>
      </c>
      <c r="K11" s="14">
        <v>287373</v>
      </c>
      <c r="L11" s="14">
        <v>229082</v>
      </c>
      <c r="M11" s="14">
        <v>298969</v>
      </c>
    </row>
    <row r="12" spans="1:13">
      <c r="A12" s="12" t="s">
        <v>290</v>
      </c>
      <c r="B12" s="14">
        <v>186029</v>
      </c>
      <c r="C12" s="14">
        <v>151419</v>
      </c>
      <c r="D12" s="14">
        <v>253251</v>
      </c>
      <c r="E12" s="14">
        <v>379757</v>
      </c>
      <c r="F12" s="14">
        <v>204209</v>
      </c>
      <c r="G12" s="14">
        <v>179396</v>
      </c>
      <c r="H12" s="14">
        <v>378008</v>
      </c>
      <c r="I12" s="14">
        <v>182649</v>
      </c>
      <c r="J12" s="14">
        <v>267772</v>
      </c>
      <c r="K12" s="14">
        <v>350352</v>
      </c>
      <c r="L12" s="14">
        <v>358042</v>
      </c>
      <c r="M12" s="14">
        <v>359960</v>
      </c>
    </row>
    <row r="13" spans="1:13">
      <c r="A13" s="12" t="s">
        <v>342</v>
      </c>
      <c r="B13" s="14">
        <v>352158</v>
      </c>
      <c r="C13" s="14">
        <v>251181</v>
      </c>
      <c r="D13" s="14">
        <v>321255</v>
      </c>
      <c r="E13" s="14">
        <v>300863</v>
      </c>
      <c r="F13" s="14">
        <v>241731</v>
      </c>
      <c r="G13" s="14">
        <v>393275</v>
      </c>
      <c r="H13" s="14">
        <v>313561</v>
      </c>
      <c r="I13" s="14">
        <v>283604</v>
      </c>
      <c r="J13" s="14">
        <v>429065</v>
      </c>
      <c r="K13" s="14">
        <v>194420</v>
      </c>
      <c r="L13" s="14">
        <v>254168</v>
      </c>
      <c r="M13" s="14">
        <v>389283</v>
      </c>
    </row>
    <row r="14" spans="1:13">
      <c r="A14" s="12" t="s">
        <v>269</v>
      </c>
      <c r="B14" s="14">
        <v>350003</v>
      </c>
      <c r="C14" s="14">
        <v>384951</v>
      </c>
      <c r="D14" s="14">
        <v>424777</v>
      </c>
      <c r="E14" s="14">
        <v>323282</v>
      </c>
      <c r="F14" s="14">
        <v>427290</v>
      </c>
      <c r="G14" s="14">
        <v>363819</v>
      </c>
      <c r="H14" s="14">
        <v>279496</v>
      </c>
      <c r="I14" s="14">
        <v>190932</v>
      </c>
      <c r="J14" s="14">
        <v>347420</v>
      </c>
      <c r="K14" s="14">
        <v>160215</v>
      </c>
      <c r="L14" s="14">
        <v>388600</v>
      </c>
      <c r="M14" s="14">
        <v>437901</v>
      </c>
    </row>
    <row r="15" spans="1:13">
      <c r="A15" s="12" t="s">
        <v>115</v>
      </c>
      <c r="B15" s="14">
        <v>307327</v>
      </c>
      <c r="C15" s="14">
        <v>377256</v>
      </c>
      <c r="D15" s="14">
        <v>236349</v>
      </c>
      <c r="E15" s="14">
        <v>321223</v>
      </c>
      <c r="F15" s="14">
        <v>268119</v>
      </c>
      <c r="G15" s="14">
        <v>294020</v>
      </c>
      <c r="H15" s="14">
        <v>312180</v>
      </c>
      <c r="I15" s="14">
        <v>390845</v>
      </c>
      <c r="J15" s="14">
        <v>432317</v>
      </c>
      <c r="K15" s="14">
        <v>277613</v>
      </c>
      <c r="L15" s="14">
        <v>373411</v>
      </c>
      <c r="M15" s="14">
        <v>214349</v>
      </c>
    </row>
    <row r="16" spans="1:13">
      <c r="A16" s="12" t="s">
        <v>205</v>
      </c>
      <c r="B16" s="14">
        <v>414207</v>
      </c>
      <c r="C16" s="14">
        <v>376391</v>
      </c>
      <c r="D16" s="14">
        <v>192739</v>
      </c>
      <c r="E16" s="14">
        <v>165892</v>
      </c>
      <c r="F16" s="14">
        <v>187659</v>
      </c>
      <c r="G16" s="14">
        <v>283837</v>
      </c>
      <c r="H16" s="14">
        <v>434871</v>
      </c>
      <c r="I16" s="14">
        <v>369518</v>
      </c>
      <c r="J16" s="14">
        <v>171986</v>
      </c>
      <c r="K16" s="14">
        <v>328460</v>
      </c>
      <c r="L16" s="14">
        <v>418857</v>
      </c>
      <c r="M16" s="14">
        <v>159947</v>
      </c>
    </row>
    <row r="17" spans="1:13">
      <c r="A17" s="12" t="s">
        <v>363</v>
      </c>
      <c r="B17" s="14">
        <v>335614</v>
      </c>
      <c r="C17" s="14">
        <v>325577</v>
      </c>
      <c r="D17" s="14">
        <v>217575</v>
      </c>
      <c r="E17" s="14">
        <v>427851</v>
      </c>
      <c r="F17" s="14">
        <v>438020</v>
      </c>
      <c r="G17" s="14">
        <v>276675</v>
      </c>
      <c r="H17" s="14">
        <v>331096</v>
      </c>
      <c r="I17" s="14">
        <v>282103</v>
      </c>
      <c r="J17" s="14">
        <v>321062</v>
      </c>
      <c r="K17" s="14">
        <v>235137</v>
      </c>
      <c r="L17" s="14">
        <v>279755</v>
      </c>
      <c r="M17" s="14">
        <v>230523</v>
      </c>
    </row>
    <row r="18" spans="1:13">
      <c r="A18" s="12" t="s">
        <v>255</v>
      </c>
      <c r="B18" s="14">
        <v>369725</v>
      </c>
      <c r="C18" s="14">
        <v>181516</v>
      </c>
      <c r="D18" s="14">
        <v>233993</v>
      </c>
      <c r="E18" s="14">
        <v>194261</v>
      </c>
      <c r="F18" s="14">
        <v>233332</v>
      </c>
      <c r="G18" s="14">
        <v>359011</v>
      </c>
      <c r="H18" s="14">
        <v>219264</v>
      </c>
      <c r="I18" s="14">
        <v>391688</v>
      </c>
      <c r="J18" s="14">
        <v>191502</v>
      </c>
      <c r="K18" s="14">
        <v>216536</v>
      </c>
      <c r="L18" s="14">
        <v>205649</v>
      </c>
      <c r="M18" s="14">
        <v>285932</v>
      </c>
    </row>
    <row r="19" spans="1:13">
      <c r="A19" s="12" t="s">
        <v>320</v>
      </c>
      <c r="B19" s="14">
        <v>257718</v>
      </c>
      <c r="C19" s="14">
        <v>413773</v>
      </c>
      <c r="D19" s="14">
        <v>202301</v>
      </c>
      <c r="E19" s="14">
        <v>257477</v>
      </c>
      <c r="F19" s="14">
        <v>372470</v>
      </c>
      <c r="G19" s="14">
        <v>371047</v>
      </c>
      <c r="H19" s="14">
        <v>169457</v>
      </c>
      <c r="I19" s="14">
        <v>202077</v>
      </c>
      <c r="J19" s="14">
        <v>406637</v>
      </c>
      <c r="K19" s="14">
        <v>255393</v>
      </c>
      <c r="L19" s="14">
        <v>158049</v>
      </c>
      <c r="M19" s="14">
        <v>317073</v>
      </c>
    </row>
    <row r="20" spans="1:13">
      <c r="A20" s="12" t="s">
        <v>138</v>
      </c>
      <c r="B20" s="14">
        <v>277098</v>
      </c>
      <c r="C20" s="14">
        <v>284984</v>
      </c>
      <c r="D20" s="14">
        <v>164922</v>
      </c>
      <c r="E20" s="14">
        <v>181579</v>
      </c>
      <c r="F20" s="14">
        <v>260717</v>
      </c>
      <c r="G20" s="14">
        <v>414136</v>
      </c>
      <c r="H20" s="14">
        <v>305447</v>
      </c>
      <c r="I20" s="14">
        <v>283691</v>
      </c>
      <c r="J20" s="14">
        <v>359591</v>
      </c>
      <c r="K20" s="14">
        <v>415531</v>
      </c>
      <c r="L20" s="14">
        <v>383485</v>
      </c>
      <c r="M20" s="14">
        <v>154976</v>
      </c>
    </row>
    <row r="21" spans="1:13">
      <c r="A21" s="12" t="s">
        <v>209</v>
      </c>
      <c r="B21" s="14">
        <v>212521</v>
      </c>
      <c r="C21" s="14">
        <v>245361</v>
      </c>
      <c r="D21" s="14">
        <v>402338</v>
      </c>
      <c r="E21" s="14">
        <v>153034</v>
      </c>
      <c r="F21" s="14">
        <v>274863</v>
      </c>
      <c r="G21" s="14">
        <v>238363</v>
      </c>
      <c r="H21" s="14">
        <v>231270</v>
      </c>
      <c r="I21" s="14">
        <v>245700</v>
      </c>
      <c r="J21" s="14">
        <v>368067</v>
      </c>
      <c r="K21" s="14">
        <v>297022</v>
      </c>
      <c r="L21" s="14">
        <v>413149</v>
      </c>
      <c r="M21" s="14">
        <v>156857</v>
      </c>
    </row>
    <row r="22" spans="1:13">
      <c r="A22" s="12" t="s">
        <v>175</v>
      </c>
      <c r="B22" s="14">
        <v>162799</v>
      </c>
      <c r="C22" s="14">
        <v>304758</v>
      </c>
      <c r="D22" s="14">
        <v>405377</v>
      </c>
      <c r="E22" s="14">
        <v>179658</v>
      </c>
      <c r="F22" s="14">
        <v>404994</v>
      </c>
      <c r="G22" s="14">
        <v>193255</v>
      </c>
      <c r="H22" s="14">
        <v>355444</v>
      </c>
      <c r="I22" s="14">
        <v>246543</v>
      </c>
      <c r="J22" s="14">
        <v>329852</v>
      </c>
      <c r="K22" s="14">
        <v>224665</v>
      </c>
      <c r="L22" s="14">
        <v>361938</v>
      </c>
      <c r="M22" s="14">
        <v>165860</v>
      </c>
    </row>
    <row r="23" spans="1:13">
      <c r="A23" s="12" t="s">
        <v>302</v>
      </c>
      <c r="B23" s="14">
        <v>356537</v>
      </c>
      <c r="C23" s="14">
        <v>448297</v>
      </c>
      <c r="D23" s="14">
        <v>156014</v>
      </c>
      <c r="E23" s="14">
        <v>157667</v>
      </c>
      <c r="F23" s="14">
        <v>172713</v>
      </c>
      <c r="G23" s="14">
        <v>196305</v>
      </c>
      <c r="H23" s="14">
        <v>442484</v>
      </c>
      <c r="I23" s="14">
        <v>293581</v>
      </c>
      <c r="J23" s="14">
        <v>280862</v>
      </c>
      <c r="K23" s="14">
        <v>340676</v>
      </c>
      <c r="L23" s="14">
        <v>343411</v>
      </c>
      <c r="M23" s="14">
        <v>437921</v>
      </c>
    </row>
    <row r="24" spans="1:13">
      <c r="A24" s="12" t="s">
        <v>171</v>
      </c>
      <c r="B24" s="14">
        <v>218099</v>
      </c>
      <c r="C24" s="14">
        <v>412956</v>
      </c>
      <c r="D24" s="14">
        <v>438770</v>
      </c>
      <c r="E24" s="14">
        <v>172679</v>
      </c>
      <c r="F24" s="14">
        <v>343868</v>
      </c>
      <c r="G24" s="14">
        <v>390384</v>
      </c>
      <c r="H24" s="14">
        <v>400933</v>
      </c>
      <c r="I24" s="14">
        <v>211614</v>
      </c>
      <c r="J24" s="14">
        <v>201857</v>
      </c>
      <c r="K24" s="14">
        <v>430835</v>
      </c>
      <c r="L24" s="14">
        <v>193076</v>
      </c>
      <c r="M24" s="14">
        <v>372598</v>
      </c>
    </row>
    <row r="25" spans="1:13">
      <c r="A25" s="12" t="s">
        <v>133</v>
      </c>
      <c r="B25" s="14">
        <v>168635</v>
      </c>
      <c r="C25" s="14">
        <v>214511</v>
      </c>
      <c r="D25" s="14">
        <v>169022</v>
      </c>
      <c r="E25" s="14">
        <v>247159</v>
      </c>
      <c r="F25" s="14">
        <v>304981</v>
      </c>
      <c r="G25" s="14">
        <v>387353</v>
      </c>
      <c r="H25" s="14">
        <v>167057</v>
      </c>
      <c r="I25" s="14">
        <v>403051</v>
      </c>
      <c r="J25" s="14">
        <v>184207</v>
      </c>
      <c r="K25" s="14">
        <v>350145</v>
      </c>
      <c r="L25" s="14">
        <v>376579</v>
      </c>
      <c r="M25" s="14">
        <v>364718</v>
      </c>
    </row>
    <row r="26" spans="1:13">
      <c r="A26" s="12" t="s">
        <v>128</v>
      </c>
      <c r="B26" s="14">
        <v>241742</v>
      </c>
      <c r="C26" s="14">
        <v>376544</v>
      </c>
      <c r="D26" s="14">
        <v>289689</v>
      </c>
      <c r="E26" s="14">
        <v>291365</v>
      </c>
      <c r="F26" s="14">
        <v>151669</v>
      </c>
      <c r="G26" s="14">
        <v>237046</v>
      </c>
      <c r="H26" s="14">
        <v>215592</v>
      </c>
      <c r="I26" s="14">
        <v>256462</v>
      </c>
      <c r="J26" s="14">
        <v>219765</v>
      </c>
      <c r="K26" s="14">
        <v>305885</v>
      </c>
      <c r="L26" s="14">
        <v>170489</v>
      </c>
      <c r="M26" s="14">
        <v>328169</v>
      </c>
    </row>
    <row r="27" spans="1:13">
      <c r="A27" s="12" t="s">
        <v>218</v>
      </c>
      <c r="B27" s="14">
        <v>206632</v>
      </c>
      <c r="C27" s="14">
        <v>418219</v>
      </c>
      <c r="D27" s="14">
        <v>218871</v>
      </c>
      <c r="E27" s="14">
        <v>424496</v>
      </c>
      <c r="F27" s="14">
        <v>269328</v>
      </c>
      <c r="G27" s="14">
        <v>261309</v>
      </c>
      <c r="H27" s="14">
        <v>244265</v>
      </c>
      <c r="I27" s="14">
        <v>228393</v>
      </c>
      <c r="J27" s="14">
        <v>410956</v>
      </c>
      <c r="K27" s="14">
        <v>314259</v>
      </c>
      <c r="L27" s="14">
        <v>297459</v>
      </c>
      <c r="M27" s="14">
        <v>251313</v>
      </c>
    </row>
    <row r="28" spans="1:13">
      <c r="A28" s="12" t="s">
        <v>360</v>
      </c>
      <c r="B28" s="14">
        <v>239781</v>
      </c>
      <c r="C28" s="14">
        <v>430605</v>
      </c>
      <c r="D28" s="14">
        <v>190908</v>
      </c>
      <c r="E28" s="14">
        <v>229129</v>
      </c>
      <c r="F28" s="14">
        <v>196262</v>
      </c>
      <c r="G28" s="14">
        <v>377844</v>
      </c>
      <c r="H28" s="14">
        <v>293147</v>
      </c>
      <c r="I28" s="14">
        <v>370985</v>
      </c>
      <c r="J28" s="14">
        <v>420128</v>
      </c>
      <c r="K28" s="14">
        <v>433140</v>
      </c>
      <c r="L28" s="14">
        <v>408093</v>
      </c>
      <c r="M28" s="14">
        <v>255969</v>
      </c>
    </row>
    <row r="29" spans="1:13">
      <c r="A29" s="12" t="s">
        <v>145</v>
      </c>
      <c r="B29" s="14">
        <v>426872</v>
      </c>
      <c r="C29" s="14">
        <v>171719</v>
      </c>
      <c r="D29" s="14">
        <v>169701</v>
      </c>
      <c r="E29" s="14">
        <v>347987</v>
      </c>
      <c r="F29" s="14">
        <v>216195</v>
      </c>
      <c r="G29" s="14">
        <v>412271</v>
      </c>
      <c r="H29" s="14">
        <v>416393</v>
      </c>
      <c r="I29" s="14">
        <v>353569</v>
      </c>
      <c r="J29" s="14">
        <v>323287</v>
      </c>
      <c r="K29" s="14">
        <v>301789</v>
      </c>
      <c r="L29" s="14">
        <v>208839</v>
      </c>
      <c r="M29" s="14">
        <v>369454</v>
      </c>
    </row>
    <row r="30" spans="1:13">
      <c r="A30" s="12" t="s">
        <v>246</v>
      </c>
      <c r="B30" s="14">
        <v>233369</v>
      </c>
      <c r="C30" s="14">
        <v>371909</v>
      </c>
      <c r="D30" s="14">
        <v>355248</v>
      </c>
      <c r="E30" s="14">
        <v>156409</v>
      </c>
      <c r="F30" s="14">
        <v>308725</v>
      </c>
      <c r="G30" s="14">
        <v>192883</v>
      </c>
      <c r="H30" s="14">
        <v>180902</v>
      </c>
      <c r="I30" s="14">
        <v>168654</v>
      </c>
      <c r="J30" s="14">
        <v>256191</v>
      </c>
      <c r="K30" s="14">
        <v>320737</v>
      </c>
      <c r="L30" s="14">
        <v>430108</v>
      </c>
      <c r="M30" s="14">
        <v>307413</v>
      </c>
    </row>
    <row r="31" spans="1:13">
      <c r="A31" s="12" t="s">
        <v>187</v>
      </c>
      <c r="B31" s="14">
        <v>151584</v>
      </c>
      <c r="C31" s="14">
        <v>221679</v>
      </c>
      <c r="D31" s="14">
        <v>385157</v>
      </c>
      <c r="E31" s="14">
        <v>290386</v>
      </c>
      <c r="F31" s="14">
        <v>236041</v>
      </c>
      <c r="G31" s="14">
        <v>407985</v>
      </c>
      <c r="H31" s="14">
        <v>184446</v>
      </c>
      <c r="I31" s="14">
        <v>342894</v>
      </c>
      <c r="J31" s="14">
        <v>180344</v>
      </c>
      <c r="K31" s="14">
        <v>292917</v>
      </c>
      <c r="L31" s="14">
        <v>314858</v>
      </c>
      <c r="M31" s="14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8" activePane="bottomLeft" state="frozen"/>
      <selection pane="bottomLeft" activeCell="D12" sqref="D12"/>
    </sheetView>
  </sheetViews>
  <sheetFormatPr defaultRowHeight="15" customHeight="1"/>
  <cols>
    <col min="1" max="1" width="6" customWidth="1"/>
    <col min="2" max="2" width="60" customWidth="1"/>
    <col min="3" max="3" width="8" customWidth="1"/>
    <col min="4" max="4" width="20" customWidth="1"/>
    <col min="5" max="5" width="19.7109375" customWidth="1"/>
  </cols>
  <sheetData>
    <row r="1" spans="1:6" ht="30" customHeight="1">
      <c r="A1" s="40" t="s">
        <v>2913</v>
      </c>
      <c r="B1" s="39"/>
      <c r="C1" s="39"/>
      <c r="D1" s="39"/>
      <c r="E1" s="39"/>
      <c r="F1" s="23"/>
    </row>
    <row r="2" spans="1:6">
      <c r="A2" s="38" t="s">
        <v>2914</v>
      </c>
      <c r="B2" s="39"/>
      <c r="C2" s="39"/>
      <c r="D2" s="39"/>
      <c r="E2" s="39"/>
      <c r="F2" s="23"/>
    </row>
    <row r="3" spans="1:6">
      <c r="A3" s="25"/>
      <c r="B3" s="25"/>
      <c r="C3" s="25"/>
      <c r="D3" s="25"/>
      <c r="E3" s="25"/>
      <c r="F3" s="23"/>
    </row>
    <row r="4" spans="1:6" ht="24" customHeight="1">
      <c r="A4" s="26" t="s">
        <v>2915</v>
      </c>
      <c r="B4" s="26" t="s">
        <v>2916</v>
      </c>
      <c r="C4" s="26" t="s">
        <v>21</v>
      </c>
      <c r="D4" s="26" t="s">
        <v>2917</v>
      </c>
      <c r="E4" s="26" t="s">
        <v>2918</v>
      </c>
      <c r="F4" s="23"/>
    </row>
    <row r="5" spans="1:6" ht="42" customHeight="1">
      <c r="A5" s="27" t="s">
        <v>2919</v>
      </c>
      <c r="B5" s="28" t="s">
        <v>2920</v>
      </c>
      <c r="C5" s="29">
        <v>3</v>
      </c>
      <c r="D5" s="30" t="str">
        <f>VLOOKUP("ORD-00234",Orders!$A:$K,3,FALSE)</f>
        <v>CUST-0173</v>
      </c>
      <c r="E5" s="31" t="s">
        <v>2921</v>
      </c>
      <c r="F5" s="23"/>
    </row>
    <row r="6" spans="1:6" ht="42" customHeight="1">
      <c r="A6" s="27" t="s">
        <v>2922</v>
      </c>
      <c r="B6" s="28" t="s">
        <v>2923</v>
      </c>
      <c r="C6" s="29">
        <v>3</v>
      </c>
      <c r="D6" s="30" t="str">
        <f>VLOOKUP(VLOOKUP("ORD-00456",Orders!$A:$K,4,FALSE),Products!$A:$F,2,FALSE)</f>
        <v>Dumbbells 5kg</v>
      </c>
      <c r="E6" s="31" t="s">
        <v>2924</v>
      </c>
      <c r="F6" s="23"/>
    </row>
    <row r="7" spans="1:6" ht="42" customHeight="1">
      <c r="A7" s="27" t="s">
        <v>2925</v>
      </c>
      <c r="B7" s="28" t="s">
        <v>2926</v>
      </c>
      <c r="C7" s="29">
        <v>3</v>
      </c>
      <c r="D7" s="30" t="str">
        <f>VLOOKUP(VLOOKUP("ORD-00987",Orders!$A:$K,5,FALSE),Sales_Reps!$A:$E,2,FALSE)</f>
        <v>Nisha Menon</v>
      </c>
      <c r="E7" s="31" t="s">
        <v>2924</v>
      </c>
      <c r="F7" s="23"/>
    </row>
    <row r="8" spans="1:6" ht="42" customHeight="1">
      <c r="A8" s="27" t="s">
        <v>2927</v>
      </c>
      <c r="B8" s="28" t="s">
        <v>2928</v>
      </c>
      <c r="C8" s="29">
        <v>4</v>
      </c>
      <c r="D8" s="30">
        <f>INDEX(Targets!B2:M100, MATCH("R012", Targets!A2:A100, 0), MATCH("Mar-24", Targets!B1:M1, 0))</f>
        <v>321255</v>
      </c>
      <c r="E8" s="31" t="s">
        <v>2929</v>
      </c>
      <c r="F8" s="23"/>
    </row>
    <row r="9" spans="1:6" ht="42" customHeight="1">
      <c r="A9" s="27" t="s">
        <v>2930</v>
      </c>
      <c r="B9" s="28" t="s">
        <v>2931</v>
      </c>
      <c r="C9" s="29">
        <v>4</v>
      </c>
      <c r="D9" s="30" t="str">
        <f>VLOOKUP(VLOOKUP("ORD-01500",Orders!$A:$K,4,FALSE),Products!$A:$F,3,FALSE)</f>
        <v>Electronics</v>
      </c>
      <c r="E9" s="31" t="s">
        <v>2924</v>
      </c>
      <c r="F9" s="23"/>
    </row>
    <row r="10" spans="1:6" ht="42" customHeight="1">
      <c r="A10" s="27" t="s">
        <v>2932</v>
      </c>
      <c r="B10" s="28" t="s">
        <v>2933</v>
      </c>
      <c r="C10" s="29">
        <v>3</v>
      </c>
      <c r="D10" s="30" t="str">
        <f>VLOOKUP(VLOOKUP("ORD-00789",Orders!$A$2:$H$2001,8,FALSE),$B$17:$C$20,2,TRUE)</f>
        <v>Bronze</v>
      </c>
      <c r="E10" s="31" t="s">
        <v>2924</v>
      </c>
      <c r="F10" s="23"/>
    </row>
    <row r="11" spans="1:6" ht="42" customHeight="1">
      <c r="A11" s="27" t="s">
        <v>2934</v>
      </c>
      <c r="B11" s="28" t="s">
        <v>2935</v>
      </c>
      <c r="C11" s="29">
        <v>3</v>
      </c>
      <c r="D11" s="30" t="str">
        <f>VLOOKUP(VLOOKUP("ORD-01234",Orders!$A:$K,5,FALSE),Sales_Reps!$A:$E,2,FALSE)&amp;" ("&amp;VLOOKUP(VLOOKUP("ORD-01234",Orders!$A:$K,5,FALSE),Sales_Reps!$A:$E,3,FALSE)&amp;")"</f>
        <v>Sanjay Kapoor (South)</v>
      </c>
      <c r="E11" s="31" t="s">
        <v>2924</v>
      </c>
      <c r="F11" s="23"/>
    </row>
    <row r="12" spans="1:6" ht="42" customHeight="1">
      <c r="A12" s="27" t="s">
        <v>2936</v>
      </c>
      <c r="B12" s="28" t="s">
        <v>2937</v>
      </c>
      <c r="C12" s="29">
        <v>2</v>
      </c>
      <c r="D12" s="30" t="str">
        <f>VLOOKUP(VLOOKUP("R017",Sales_Reps!$A:$E,5,FALSE),Sales_Reps!$A:$E,2,FALSE)</f>
        <v>Amit Singh</v>
      </c>
      <c r="E12" s="31" t="s">
        <v>2924</v>
      </c>
      <c r="F12" s="23"/>
    </row>
    <row r="15" spans="1:6">
      <c r="A15" s="23"/>
      <c r="B15" s="20" t="s">
        <v>2938</v>
      </c>
      <c r="C15" s="23"/>
      <c r="D15" s="23"/>
      <c r="E15" s="23"/>
      <c r="F15" s="23"/>
    </row>
    <row r="17" spans="2:6">
      <c r="B17" s="21" t="s">
        <v>2939</v>
      </c>
      <c r="C17" s="21" t="s">
        <v>2940</v>
      </c>
      <c r="D17" s="23"/>
      <c r="E17" s="23"/>
      <c r="F17" s="23"/>
    </row>
    <row r="18" spans="2:6">
      <c r="B18" s="22">
        <v>0</v>
      </c>
      <c r="C18" s="22" t="s">
        <v>2941</v>
      </c>
      <c r="D18" s="23"/>
      <c r="E18" s="23"/>
      <c r="F18" s="23"/>
    </row>
    <row r="19" spans="2:6">
      <c r="B19" s="22">
        <v>5</v>
      </c>
      <c r="C19" s="22" t="s">
        <v>2942</v>
      </c>
      <c r="D19" s="23"/>
      <c r="E19" s="23"/>
      <c r="F19" s="23"/>
    </row>
    <row r="20" spans="2:6">
      <c r="B20" s="22">
        <v>15</v>
      </c>
      <c r="C20" s="22" t="s">
        <v>2943</v>
      </c>
      <c r="D20" s="23"/>
      <c r="E20" s="23"/>
      <c r="F20" s="23"/>
    </row>
    <row r="21" spans="2:6">
      <c r="B21" s="22">
        <v>25</v>
      </c>
      <c r="C21" s="22" t="s">
        <v>2944</v>
      </c>
      <c r="D21" s="23"/>
      <c r="E21" s="23"/>
      <c r="F21" s="23"/>
    </row>
  </sheetData>
  <mergeCells count="2">
    <mergeCell ref="A2:E2"/>
    <mergeCell ref="A1:E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7" activePane="bottomLeft" state="frozen"/>
      <selection pane="bottomLeft" activeCell="D10" sqref="D10"/>
    </sheetView>
  </sheetViews>
  <sheetFormatPr defaultRowHeight="15" customHeight="1"/>
  <cols>
    <col min="1" max="1" width="6" customWidth="1"/>
    <col min="2" max="2" width="60" customWidth="1"/>
    <col min="3" max="3" width="8" customWidth="1"/>
    <col min="4" max="4" width="20" customWidth="1"/>
    <col min="5" max="5" width="15" customWidth="1"/>
  </cols>
  <sheetData>
    <row r="1" spans="1:6" ht="30" customHeight="1">
      <c r="A1" s="40" t="s">
        <v>2945</v>
      </c>
      <c r="B1" s="39"/>
      <c r="C1" s="39"/>
      <c r="D1" s="39"/>
      <c r="E1" s="39"/>
      <c r="F1" s="23"/>
    </row>
    <row r="2" spans="1:6">
      <c r="A2" s="38" t="s">
        <v>2946</v>
      </c>
      <c r="B2" s="39"/>
      <c r="C2" s="39"/>
      <c r="D2" s="39"/>
      <c r="E2" s="39"/>
      <c r="F2" s="23"/>
    </row>
    <row r="3" spans="1:6">
      <c r="A3" s="25"/>
      <c r="B3" s="25"/>
      <c r="C3" s="25"/>
      <c r="D3" s="25"/>
      <c r="E3" s="25"/>
      <c r="F3" s="23"/>
    </row>
    <row r="4" spans="1:6" ht="24" customHeight="1">
      <c r="A4" s="26" t="s">
        <v>2915</v>
      </c>
      <c r="B4" s="26" t="s">
        <v>2916</v>
      </c>
      <c r="C4" s="26" t="s">
        <v>21</v>
      </c>
      <c r="D4" s="26" t="s">
        <v>2917</v>
      </c>
      <c r="E4" s="26" t="s">
        <v>2918</v>
      </c>
      <c r="F4" s="23"/>
    </row>
    <row r="5" spans="1:6" ht="42" customHeight="1">
      <c r="A5" s="27" t="s">
        <v>2947</v>
      </c>
      <c r="B5" s="28" t="s">
        <v>2948</v>
      </c>
      <c r="C5" s="29">
        <v>3</v>
      </c>
      <c r="D5" s="30" cm="1">
        <f t="array" ref="D5">SUMPRODUCT(--(COUNTIF(Orders!A2:A2001, _xlfn.UNIQUE(Orders!A2:A2001))&gt;1))</f>
        <v>20</v>
      </c>
      <c r="E5" s="31" t="s">
        <v>2929</v>
      </c>
      <c r="F5" s="23"/>
    </row>
    <row r="6" spans="1:6" ht="42" customHeight="1">
      <c r="A6" s="27" t="s">
        <v>2949</v>
      </c>
      <c r="B6" s="28" t="s">
        <v>2950</v>
      </c>
      <c r="C6" s="29">
        <v>3</v>
      </c>
      <c r="D6" s="30" cm="1">
        <f t="array" ref="D6">SUMPRODUCT(--(LEN(Customers!B2:B301)&lt;&gt;LEN(TRIM(Customers!B2:B301))))</f>
        <v>15</v>
      </c>
      <c r="E6" s="31" t="s">
        <v>2929</v>
      </c>
      <c r="F6" s="23"/>
    </row>
    <row r="7" spans="1:6" ht="42" customHeight="1">
      <c r="A7" s="27" t="s">
        <v>2951</v>
      </c>
      <c r="B7" s="28" t="s">
        <v>2952</v>
      </c>
      <c r="C7" s="29">
        <v>3</v>
      </c>
      <c r="D7" s="30" cm="1">
        <f t="array" ref="D7">COUNTA(_xlfn.UNIQUE(PROPER(TRIM(Customers!D2:D301))))</f>
        <v>6</v>
      </c>
      <c r="E7" s="31" t="s">
        <v>2929</v>
      </c>
      <c r="F7" s="23"/>
    </row>
    <row r="8" spans="1:6" ht="42" customHeight="1">
      <c r="A8" s="27" t="s">
        <v>2953</v>
      </c>
      <c r="B8" s="28" t="s">
        <v>2954</v>
      </c>
      <c r="C8" s="29">
        <v>4</v>
      </c>
      <c r="D8" s="30" cm="1">
        <f t="array" ref="D8">SUMPRODUCT(--ISNA(MATCH(Orders!C2:C2001, Customers!A2:A301, 0)))</f>
        <v>30</v>
      </c>
      <c r="E8" s="31" t="s">
        <v>2929</v>
      </c>
      <c r="F8" s="23"/>
    </row>
    <row r="9" spans="1:6" ht="42" customHeight="1">
      <c r="A9" s="27" t="s">
        <v>2955</v>
      </c>
      <c r="B9" s="28" t="s">
        <v>2956</v>
      </c>
      <c r="C9" s="29">
        <v>3</v>
      </c>
      <c r="D9" s="30" cm="1">
        <f t="array" ref="D9">SUMPRODUCT(--(_xlfn.XLOOKUP(Orders!D2:D2001, Products!A2:A61, Products!F2:F61)=FALSE))</f>
        <v>174</v>
      </c>
      <c r="E9" s="31" t="s">
        <v>2929</v>
      </c>
      <c r="F9" s="23"/>
    </row>
    <row r="10" spans="1:6" ht="42" customHeight="1">
      <c r="A10" s="27" t="s">
        <v>2957</v>
      </c>
      <c r="B10" s="28" t="s">
        <v>2958</v>
      </c>
      <c r="C10" s="29">
        <v>4</v>
      </c>
      <c r="D10" s="30">
        <f>COUNTIFS(Orders!J2:J2001, "Cancelled", Orders!H2:H2001, "&gt;20")</f>
        <v>58</v>
      </c>
      <c r="E10" s="31" t="s">
        <v>2929</v>
      </c>
      <c r="F10" s="23"/>
    </row>
  </sheetData>
  <mergeCells count="2">
    <mergeCell ref="A2:E2"/>
    <mergeCell ref="A1:E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6" activePane="bottomLeft" state="frozen"/>
      <selection pane="bottomLeft" activeCell="D10" sqref="D10"/>
    </sheetView>
  </sheetViews>
  <sheetFormatPr defaultRowHeight="15" customHeight="1"/>
  <cols>
    <col min="1" max="1" width="6" customWidth="1"/>
    <col min="2" max="2" width="60" customWidth="1"/>
    <col min="3" max="3" width="8" customWidth="1"/>
    <col min="4" max="4" width="20" customWidth="1"/>
    <col min="5" max="5" width="15" customWidth="1"/>
  </cols>
  <sheetData>
    <row r="1" spans="1:6" ht="30" customHeight="1">
      <c r="A1" s="44" t="s">
        <v>2959</v>
      </c>
      <c r="B1" s="42"/>
      <c r="C1" s="42"/>
      <c r="D1" s="42"/>
      <c r="E1" s="42"/>
      <c r="F1" s="23"/>
    </row>
    <row r="2" spans="1:6">
      <c r="A2" s="38" t="s">
        <v>2960</v>
      </c>
      <c r="B2" s="39"/>
      <c r="C2" s="39"/>
      <c r="D2" s="39"/>
      <c r="E2" s="39"/>
      <c r="F2" s="23"/>
    </row>
    <row r="3" spans="1:6">
      <c r="A3" s="25"/>
      <c r="B3" s="25"/>
      <c r="C3" s="25"/>
      <c r="D3" s="25"/>
      <c r="E3" s="25"/>
      <c r="F3" s="23"/>
    </row>
    <row r="4" spans="1:6" ht="24" customHeight="1">
      <c r="A4" s="26" t="s">
        <v>2915</v>
      </c>
      <c r="B4" s="26" t="s">
        <v>2916</v>
      </c>
      <c r="C4" s="26" t="s">
        <v>21</v>
      </c>
      <c r="D4" s="26" t="s">
        <v>2917</v>
      </c>
      <c r="E4" s="26" t="s">
        <v>2918</v>
      </c>
      <c r="F4" s="23"/>
    </row>
    <row r="5" spans="1:6" ht="42" customHeight="1">
      <c r="A5" s="27" t="s">
        <v>2961</v>
      </c>
      <c r="B5" s="28" t="s">
        <v>2962</v>
      </c>
      <c r="C5" s="29">
        <v>4</v>
      </c>
      <c r="D5" s="30">
        <f>SUMIFS(Orders!$I:$I,Orders!$B:$B,"&gt;="&amp;DATE(2024,7,1),Orders!$B:$B,"&lt;"&amp;DATE(2024,10,1),Orders!$K:$K,"Mumbai")</f>
        <v>1217239.0099999998</v>
      </c>
      <c r="E5" s="31" t="s">
        <v>2963</v>
      </c>
      <c r="F5" s="23"/>
    </row>
    <row r="6" spans="1:6" ht="42" customHeight="1">
      <c r="A6" s="27" t="s">
        <v>2964</v>
      </c>
      <c r="B6" s="28" t="s">
        <v>2965</v>
      </c>
      <c r="C6" s="29">
        <v>3</v>
      </c>
      <c r="D6" s="30">
        <f>COUNTIFS(Orders!$H:$H,"&gt;15",Orders!$J:$J,"Completed")</f>
        <v>723</v>
      </c>
      <c r="E6" s="31" t="s">
        <v>2929</v>
      </c>
      <c r="F6" s="23"/>
    </row>
    <row r="7" spans="1:6" ht="42" customHeight="1">
      <c r="A7" s="27" t="s">
        <v>2966</v>
      </c>
      <c r="B7" s="28" t="s">
        <v>2967</v>
      </c>
      <c r="C7" s="29">
        <v>5</v>
      </c>
      <c r="D7" s="30" cm="1">
        <f t="array" ref="D7">AVERAGE(_xlfn._xlws.FILTER(Orders!I2:I2001,(_xlfn.XLOOKUP(Orders!D2:D2001,Products!A2:A61,Products!C2:C61,"")="Electronics")*(_xlfn.XLOOKUP(Orders!C2:C2001,Customers!A2:A301,Customers!E2:E301,"")="Corporate")))</f>
        <v>13981.401558441557</v>
      </c>
      <c r="E7" s="31" t="s">
        <v>2963</v>
      </c>
      <c r="F7" s="23"/>
    </row>
    <row r="8" spans="1:6" ht="42" customHeight="1">
      <c r="A8" s="27" t="s">
        <v>2968</v>
      </c>
      <c r="B8" s="28" t="s">
        <v>2969</v>
      </c>
      <c r="C8" s="29">
        <v>4</v>
      </c>
      <c r="D8" s="30" cm="1">
        <f t="array" ref="D8">SUMPRODUCT(LARGE(SUMIF(Orders!E2:E2001, Sales_Reps!A2:A31, Orders!I2:I2001), {1,2,3}))</f>
        <v>3342678.55</v>
      </c>
      <c r="E8" s="31" t="s">
        <v>2963</v>
      </c>
      <c r="F8" s="23"/>
    </row>
    <row r="9" spans="1:6" ht="42" customHeight="1">
      <c r="A9" s="27" t="s">
        <v>2970</v>
      </c>
      <c r="B9" s="28" t="s">
        <v>2971</v>
      </c>
      <c r="C9" s="29">
        <v>5</v>
      </c>
      <c r="D9" s="30" t="str" cm="1">
        <f t="array" ref="D9">_xlfn.IFS(SUMIFS(Orders!I2:I2001, Orders!E2:E2001, "R015", Orders!B2:B2001, "&gt;=2024-11-01", Orders!B2:B2001, "&lt;=2024-11-30") / VLOOKUP("R015", Targets!A:M, 12, FALSE) &lt; 0.8, "Below", SUMIFS(Orders!I2:I2001, Orders!E2:E2001, "R015", Orders!B2:B2001, "&gt;=2024-11-01", Orders!B2:B2001, "&lt;=2024-11-30") / VLOOKUP("R015", Targets!A:M, 12, FALSE) &lt;= 1.2, "On Track", TRUE, "Exceeds")</f>
        <v>Below</v>
      </c>
      <c r="E9" s="31" t="s">
        <v>2924</v>
      </c>
      <c r="F9" s="23"/>
    </row>
    <row r="10" spans="1:6" ht="42" customHeight="1">
      <c r="A10" s="27" t="s">
        <v>2972</v>
      </c>
      <c r="B10" s="28" t="s">
        <v>2973</v>
      </c>
      <c r="C10" s="29">
        <v>4</v>
      </c>
      <c r="D10" s="30" cm="1">
        <f t="array" ref="D10">SUM(_xlfn._xlws.FILTER(Orders!I2:I2001,(_xlfn.XLOOKUP(Orders!C2:C2001,Customers!A2:A301,Customers!E2:E301,"")="Corporate")*(_xlfn.XLOOKUP(Orders!C2:C2001,Customers!A2:A301,Customers!C2:C301,"")&gt;=30)*(_xlfn.XLOOKUP(Orders!C2:C2001,Customers!A2:A301,Customers!C2:C301,"")&lt;=40)))</f>
        <v>982568.40000000014</v>
      </c>
      <c r="E10" s="31" t="s">
        <v>2963</v>
      </c>
      <c r="F10" s="23"/>
    </row>
  </sheetData>
  <mergeCells count="2">
    <mergeCell ref="A2:E2"/>
    <mergeCell ref="A1:E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NN421"/>
  <sheetViews>
    <sheetView workbookViewId="0">
      <pane ySplit="4" topLeftCell="A5" activePane="bottomLeft" state="frozen"/>
      <selection pane="bottomLeft" activeCell="D9" sqref="D9"/>
    </sheetView>
  </sheetViews>
  <sheetFormatPr defaultRowHeight="15" customHeight="1"/>
  <cols>
    <col min="1" max="1" width="6" customWidth="1"/>
    <col min="2" max="2" width="60" customWidth="1"/>
    <col min="3" max="3" width="8" customWidth="1"/>
    <col min="4" max="4" width="20" customWidth="1"/>
    <col min="5" max="5" width="18" customWidth="1"/>
    <col min="6" max="6" width="20.140625" bestFit="1" customWidth="1"/>
    <col min="7" max="7" width="7.85546875" bestFit="1" customWidth="1"/>
    <col min="8" max="8" width="10.7109375" bestFit="1" customWidth="1"/>
    <col min="9" max="9" width="12.28515625" bestFit="1" customWidth="1"/>
    <col min="10" max="10" width="24" bestFit="1" customWidth="1"/>
    <col min="11" max="12" width="7.85546875" bestFit="1" customWidth="1"/>
    <col min="13" max="13" width="11.7109375" bestFit="1" customWidth="1"/>
    <col min="14" max="19" width="10.42578125" bestFit="1" customWidth="1"/>
    <col min="20" max="20" width="11.42578125" bestFit="1" customWidth="1"/>
    <col min="21" max="22" width="10.42578125" bestFit="1" customWidth="1"/>
    <col min="23" max="23" width="11.42578125" bestFit="1" customWidth="1"/>
    <col min="24" max="26" width="10.42578125" bestFit="1" customWidth="1"/>
    <col min="27" max="27" width="11.42578125" bestFit="1" customWidth="1"/>
    <col min="28" max="35" width="10.42578125" bestFit="1" customWidth="1"/>
    <col min="36" max="36" width="7.42578125" bestFit="1" customWidth="1"/>
    <col min="37" max="37" width="11.7109375" bestFit="1" customWidth="1"/>
    <col min="38" max="38" width="9.140625" bestFit="1" customWidth="1"/>
    <col min="39" max="39" width="10.140625" bestFit="1" customWidth="1"/>
    <col min="40" max="41" width="9.140625" bestFit="1" customWidth="1"/>
    <col min="42" max="42" width="8.140625" bestFit="1" customWidth="1"/>
    <col min="43" max="44" width="9.140625" bestFit="1" customWidth="1"/>
    <col min="45" max="48" width="10.140625" bestFit="1" customWidth="1"/>
    <col min="49" max="49" width="9.140625" bestFit="1" customWidth="1"/>
    <col min="50" max="52" width="10.140625" bestFit="1" customWidth="1"/>
    <col min="53" max="53" width="9.140625" bestFit="1" customWidth="1"/>
    <col min="54" max="55" width="8.140625" bestFit="1" customWidth="1"/>
    <col min="56" max="56" width="10.140625" bestFit="1" customWidth="1"/>
    <col min="57" max="63" width="9.140625" bestFit="1" customWidth="1"/>
    <col min="64" max="65" width="10.140625" bestFit="1" customWidth="1"/>
    <col min="66" max="66" width="9.140625" bestFit="1" customWidth="1"/>
    <col min="67" max="67" width="12.42578125" bestFit="1" customWidth="1"/>
    <col min="69" max="71" width="9.140625" bestFit="1" customWidth="1"/>
    <col min="72" max="72" width="8.140625" bestFit="1" customWidth="1"/>
    <col min="73" max="74" width="9.140625" bestFit="1" customWidth="1"/>
    <col min="75" max="75" width="10.140625" bestFit="1" customWidth="1"/>
    <col min="76" max="77" width="9.140625" bestFit="1" customWidth="1"/>
    <col min="78" max="78" width="10.140625" bestFit="1" customWidth="1"/>
    <col min="79" max="79" width="9.140625" bestFit="1" customWidth="1"/>
    <col min="80" max="80" width="10.140625" bestFit="1" customWidth="1"/>
    <col min="81" max="81" width="9.140625" bestFit="1" customWidth="1"/>
    <col min="82" max="83" width="8.140625" bestFit="1" customWidth="1"/>
    <col min="84" max="84" width="9.140625" bestFit="1" customWidth="1"/>
    <col min="85" max="85" width="10.140625" bestFit="1" customWidth="1"/>
    <col min="86" max="87" width="9.140625" bestFit="1" customWidth="1"/>
    <col min="88" max="90" width="10.140625" bestFit="1" customWidth="1"/>
    <col min="91" max="92" width="9.140625" bestFit="1" customWidth="1"/>
    <col min="93" max="93" width="10.140625" bestFit="1" customWidth="1"/>
    <col min="94" max="96" width="9.140625" bestFit="1" customWidth="1"/>
    <col min="97" max="97" width="12.28515625" bestFit="1" customWidth="1"/>
    <col min="98" max="99" width="10.140625" bestFit="1" customWidth="1"/>
    <col min="100" max="100" width="6.5703125" bestFit="1" customWidth="1"/>
    <col min="101" max="101" width="9.140625" bestFit="1" customWidth="1"/>
    <col min="102" max="102" width="9.28515625" bestFit="1" customWidth="1"/>
    <col min="103" max="103" width="9.140625" bestFit="1" customWidth="1"/>
    <col min="104" max="104" width="10.140625" bestFit="1" customWidth="1"/>
    <col min="105" max="105" width="8.140625" bestFit="1" customWidth="1"/>
    <col min="106" max="107" width="9.140625" bestFit="1" customWidth="1"/>
    <col min="108" max="110" width="10.140625" bestFit="1" customWidth="1"/>
    <col min="111" max="111" width="9.28515625" bestFit="1" customWidth="1"/>
    <col min="112" max="114" width="9.140625" bestFit="1" customWidth="1"/>
    <col min="115" max="115" width="10.140625" bestFit="1" customWidth="1"/>
    <col min="116" max="117" width="9.140625" bestFit="1" customWidth="1"/>
    <col min="118" max="118" width="10.140625" bestFit="1" customWidth="1"/>
    <col min="119" max="119" width="9.140625" bestFit="1" customWidth="1"/>
    <col min="120" max="120" width="10.140625" bestFit="1" customWidth="1"/>
    <col min="121" max="122" width="9.28515625" bestFit="1" customWidth="1"/>
    <col min="123" max="123" width="9.140625" bestFit="1" customWidth="1"/>
    <col min="124" max="125" width="9.28515625" bestFit="1" customWidth="1"/>
    <col min="126" max="126" width="10.140625" bestFit="1" customWidth="1"/>
    <col min="127" max="127" width="9.140625" bestFit="1" customWidth="1"/>
    <col min="128" max="128" width="12.140625" bestFit="1" customWidth="1"/>
    <col min="129" max="130" width="9.140625" bestFit="1" customWidth="1"/>
    <col min="131" max="131" width="8.140625" bestFit="1" customWidth="1"/>
    <col min="132" max="136" width="9.28515625" bestFit="1" customWidth="1"/>
    <col min="137" max="137" width="10.140625" bestFit="1" customWidth="1"/>
    <col min="138" max="138" width="9.28515625" bestFit="1" customWidth="1"/>
    <col min="139" max="139" width="9.140625" bestFit="1" customWidth="1"/>
    <col min="140" max="142" width="9.28515625" bestFit="1" customWidth="1"/>
    <col min="143" max="143" width="10.140625" bestFit="1" customWidth="1"/>
    <col min="144" max="144" width="9.140625" bestFit="1" customWidth="1"/>
    <col min="145" max="148" width="9.28515625" bestFit="1" customWidth="1"/>
    <col min="149" max="149" width="8.140625" bestFit="1" customWidth="1"/>
    <col min="150" max="150" width="10.140625" bestFit="1" customWidth="1"/>
    <col min="151" max="158" width="9.28515625" bestFit="1" customWidth="1"/>
    <col min="159" max="159" width="11.85546875" bestFit="1" customWidth="1"/>
    <col min="160" max="160" width="8.140625" bestFit="1" customWidth="1"/>
    <col min="161" max="161" width="9.140625" bestFit="1" customWidth="1"/>
    <col min="162" max="162" width="10.140625" bestFit="1" customWidth="1"/>
    <col min="163" max="163" width="8.140625" bestFit="1" customWidth="1"/>
    <col min="164" max="175" width="9.140625" bestFit="1" customWidth="1"/>
    <col min="176" max="176" width="7.140625" bestFit="1" customWidth="1"/>
    <col min="177" max="180" width="9.140625" bestFit="1" customWidth="1"/>
    <col min="181" max="181" width="10.140625" bestFit="1" customWidth="1"/>
    <col min="182" max="183" width="9.140625" bestFit="1" customWidth="1"/>
    <col min="184" max="184" width="10.140625" bestFit="1" customWidth="1"/>
    <col min="185" max="189" width="9.140625" bestFit="1" customWidth="1"/>
    <col min="190" max="190" width="11.42578125" bestFit="1" customWidth="1"/>
    <col min="191" max="194" width="9.140625" bestFit="1" customWidth="1"/>
    <col min="195" max="195" width="10.140625" bestFit="1" customWidth="1"/>
    <col min="196" max="203" width="9.140625" bestFit="1" customWidth="1"/>
    <col min="204" max="205" width="8.140625" bestFit="1" customWidth="1"/>
    <col min="206" max="207" width="9.140625" bestFit="1" customWidth="1"/>
    <col min="208" max="209" width="10.140625" bestFit="1" customWidth="1"/>
    <col min="210" max="212" width="9.140625" bestFit="1" customWidth="1"/>
    <col min="213" max="213" width="10.140625" bestFit="1" customWidth="1"/>
    <col min="214" max="220" width="9.140625" bestFit="1" customWidth="1"/>
    <col min="221" max="221" width="12" bestFit="1" customWidth="1"/>
    <col min="222" max="222" width="9.5703125" bestFit="1" customWidth="1"/>
    <col min="223" max="223" width="9.140625" bestFit="1" customWidth="1"/>
    <col min="224" max="224" width="10.140625" bestFit="1" customWidth="1"/>
    <col min="225" max="226" width="9.140625" bestFit="1" customWidth="1"/>
    <col min="227" max="229" width="10.140625" bestFit="1" customWidth="1"/>
    <col min="230" max="235" width="9.140625" bestFit="1" customWidth="1"/>
    <col min="236" max="237" width="10.140625" bestFit="1" customWidth="1"/>
    <col min="238" max="240" width="9.140625" bestFit="1" customWidth="1"/>
    <col min="241" max="241" width="10.140625" bestFit="1" customWidth="1"/>
    <col min="242" max="244" width="9.140625" bestFit="1" customWidth="1"/>
    <col min="245" max="245" width="10.140625" bestFit="1" customWidth="1"/>
    <col min="246" max="249" width="9.140625" bestFit="1" customWidth="1"/>
    <col min="250" max="250" width="10.140625" bestFit="1" customWidth="1"/>
    <col min="251" max="251" width="12.7109375" bestFit="1" customWidth="1"/>
    <col min="252" max="252" width="9.7109375" bestFit="1" customWidth="1"/>
    <col min="253" max="253" width="9.140625" bestFit="1" customWidth="1"/>
    <col min="254" max="254" width="10.140625" bestFit="1" customWidth="1"/>
    <col min="255" max="259" width="9.140625" bestFit="1" customWidth="1"/>
    <col min="260" max="260" width="10.140625" bestFit="1" customWidth="1"/>
    <col min="261" max="265" width="9.140625" bestFit="1" customWidth="1"/>
    <col min="266" max="266" width="10.140625" bestFit="1" customWidth="1"/>
    <col min="267" max="267" width="9.140625" bestFit="1" customWidth="1"/>
    <col min="268" max="269" width="10.140625" bestFit="1" customWidth="1"/>
    <col min="270" max="270" width="9.140625" bestFit="1" customWidth="1"/>
    <col min="271" max="271" width="10.140625" bestFit="1" customWidth="1"/>
    <col min="272" max="272" width="9.140625" bestFit="1" customWidth="1"/>
    <col min="273" max="273" width="8.140625" bestFit="1" customWidth="1"/>
    <col min="274" max="274" width="9.140625" bestFit="1" customWidth="1"/>
    <col min="275" max="275" width="10.140625" bestFit="1" customWidth="1"/>
    <col min="276" max="279" width="9.140625" bestFit="1" customWidth="1"/>
    <col min="280" max="280" width="10.140625" bestFit="1" customWidth="1"/>
    <col min="281" max="281" width="9.140625" bestFit="1" customWidth="1"/>
    <col min="282" max="282" width="13" bestFit="1" customWidth="1"/>
    <col min="283" max="283" width="9.42578125" bestFit="1" customWidth="1"/>
    <col min="284" max="285" width="10.140625" bestFit="1" customWidth="1"/>
    <col min="286" max="291" width="9.140625" bestFit="1" customWidth="1"/>
    <col min="292" max="292" width="10.140625" bestFit="1" customWidth="1"/>
    <col min="293" max="294" width="9.140625" bestFit="1" customWidth="1"/>
    <col min="295" max="295" width="10.140625" bestFit="1" customWidth="1"/>
    <col min="296" max="306" width="9.140625" bestFit="1" customWidth="1"/>
    <col min="307" max="307" width="10.140625" bestFit="1" customWidth="1"/>
    <col min="308" max="308" width="9.140625" bestFit="1" customWidth="1"/>
    <col min="309" max="309" width="10.140625" bestFit="1" customWidth="1"/>
    <col min="310" max="311" width="9.140625" bestFit="1" customWidth="1"/>
    <col min="312" max="312" width="10.140625" bestFit="1" customWidth="1"/>
    <col min="313" max="313" width="12.5703125" bestFit="1" customWidth="1"/>
    <col min="314" max="314" width="8.85546875" bestFit="1" customWidth="1"/>
    <col min="315" max="321" width="9.140625" bestFit="1" customWidth="1"/>
    <col min="322" max="322" width="10.140625" bestFit="1" customWidth="1"/>
    <col min="323" max="327" width="9.140625" bestFit="1" customWidth="1"/>
    <col min="328" max="328" width="10.140625" bestFit="1" customWidth="1"/>
    <col min="329" max="330" width="9.140625" bestFit="1" customWidth="1"/>
    <col min="331" max="332" width="10.140625" bestFit="1" customWidth="1"/>
    <col min="333" max="335" width="9.140625" bestFit="1" customWidth="1"/>
    <col min="336" max="336" width="8.140625" bestFit="1" customWidth="1"/>
    <col min="337" max="337" width="9.140625" bestFit="1" customWidth="1"/>
    <col min="338" max="338" width="8.140625" bestFit="1" customWidth="1"/>
    <col min="339" max="339" width="9.140625" bestFit="1" customWidth="1"/>
    <col min="340" max="341" width="10.140625" bestFit="1" customWidth="1"/>
    <col min="342" max="343" width="9.140625" bestFit="1" customWidth="1"/>
    <col min="344" max="344" width="12.140625" bestFit="1" customWidth="1"/>
    <col min="345" max="353" width="9.140625" bestFit="1" customWidth="1"/>
    <col min="354" max="354" width="10.140625" bestFit="1" customWidth="1"/>
    <col min="355" max="355" width="9.140625" bestFit="1" customWidth="1"/>
    <col min="356" max="356" width="10.140625" bestFit="1" customWidth="1"/>
    <col min="357" max="364" width="9.140625" bestFit="1" customWidth="1"/>
    <col min="365" max="365" width="10.140625" bestFit="1" customWidth="1"/>
    <col min="366" max="368" width="9.140625" bestFit="1" customWidth="1"/>
    <col min="369" max="369" width="10.140625" bestFit="1" customWidth="1"/>
    <col min="370" max="374" width="9.140625" bestFit="1" customWidth="1"/>
    <col min="375" max="375" width="12.28515625" bestFit="1" customWidth="1"/>
    <col min="376" max="376" width="9.28515625" bestFit="1" customWidth="1"/>
    <col min="377" max="377" width="12.42578125" bestFit="1" customWidth="1"/>
    <col min="378" max="378" width="11.7109375" bestFit="1" customWidth="1"/>
  </cols>
  <sheetData>
    <row r="1" spans="1:14" ht="30" customHeight="1">
      <c r="A1" s="44" t="s">
        <v>2974</v>
      </c>
      <c r="B1" s="42"/>
      <c r="C1" s="42"/>
      <c r="D1" s="42"/>
      <c r="E1" s="42"/>
      <c r="F1" s="23"/>
      <c r="G1" s="23"/>
      <c r="H1" s="23"/>
      <c r="I1" s="23"/>
      <c r="J1" s="23"/>
      <c r="K1" s="23"/>
      <c r="L1" s="23"/>
      <c r="M1" s="23"/>
      <c r="N1" s="23"/>
    </row>
    <row r="2" spans="1:14">
      <c r="A2" s="45" t="s">
        <v>2975</v>
      </c>
      <c r="B2" s="42"/>
      <c r="C2" s="42"/>
      <c r="D2" s="42"/>
      <c r="E2" s="42"/>
      <c r="F2" s="23"/>
      <c r="G2" s="23"/>
      <c r="H2" s="23"/>
      <c r="I2" s="23"/>
      <c r="J2" s="23"/>
      <c r="K2" s="23"/>
      <c r="L2" s="23"/>
      <c r="M2" s="23"/>
      <c r="N2" s="23"/>
    </row>
    <row r="4" spans="1:14" ht="24" customHeight="1">
      <c r="A4" s="4" t="s">
        <v>2915</v>
      </c>
      <c r="B4" s="4" t="s">
        <v>2916</v>
      </c>
      <c r="C4" s="4" t="s">
        <v>21</v>
      </c>
      <c r="D4" s="4" t="s">
        <v>2917</v>
      </c>
      <c r="E4" s="4" t="s">
        <v>2918</v>
      </c>
      <c r="F4" s="23"/>
      <c r="G4" s="23"/>
      <c r="H4" s="23"/>
      <c r="I4" s="23"/>
      <c r="J4" s="23"/>
      <c r="K4" s="23"/>
      <c r="L4" s="23"/>
      <c r="M4" s="23"/>
      <c r="N4" s="23"/>
    </row>
    <row r="5" spans="1:14" ht="42" customHeight="1">
      <c r="A5" s="15" t="s">
        <v>2976</v>
      </c>
      <c r="B5" s="16" t="s">
        <v>2977</v>
      </c>
      <c r="C5" s="17">
        <v>4</v>
      </c>
      <c r="D5" s="18">
        <f>SUMIFS(Orders!$I:$I,Orders!$M:$M,"South",Orders!$L:$L,"Electronics")</f>
        <v>1314107.3899999999</v>
      </c>
      <c r="E5" s="19" t="s">
        <v>2963</v>
      </c>
      <c r="F5" s="23"/>
      <c r="G5" s="23"/>
      <c r="H5" s="23"/>
      <c r="I5" s="23"/>
      <c r="J5" s="23"/>
      <c r="K5" s="23"/>
      <c r="L5" s="23"/>
      <c r="M5" s="23"/>
      <c r="N5" s="23"/>
    </row>
    <row r="6" spans="1:14" ht="42" customHeight="1">
      <c r="A6" s="15" t="s">
        <v>2978</v>
      </c>
      <c r="B6" s="16" t="s">
        <v>2979</v>
      </c>
      <c r="C6" s="17">
        <v>4</v>
      </c>
      <c r="D6" s="18">
        <f>MAX(F26:AJ37)</f>
        <v>216421.52000000002</v>
      </c>
      <c r="E6" s="19" t="s">
        <v>2963</v>
      </c>
      <c r="F6" s="23"/>
      <c r="G6" s="23"/>
      <c r="H6" s="23"/>
      <c r="I6" s="23"/>
      <c r="J6" s="23"/>
      <c r="K6" s="23"/>
      <c r="L6" s="23"/>
      <c r="M6" s="23"/>
      <c r="N6" s="23"/>
    </row>
    <row r="7" spans="1:14" ht="42" customHeight="1">
      <c r="A7" s="15" t="s">
        <v>2980</v>
      </c>
      <c r="B7" s="16" t="s">
        <v>2981</v>
      </c>
      <c r="C7" s="17">
        <v>4</v>
      </c>
      <c r="D7" s="32">
        <f>SUMIFS(Orders!$I:$I,Orders!$M:$M,"North",Orders!$L:$L,"Apparel")/SUMIFS(Orders!$I:$I,Orders!$M:$M,"North")</f>
        <v>0.14023150471988341</v>
      </c>
      <c r="E7" s="19" t="s">
        <v>2982</v>
      </c>
      <c r="F7" s="23"/>
      <c r="G7" s="23"/>
      <c r="H7" s="23"/>
      <c r="I7" s="23"/>
      <c r="J7" s="23"/>
      <c r="K7" s="23"/>
      <c r="L7" s="23"/>
      <c r="M7" s="23"/>
      <c r="N7" s="23"/>
    </row>
    <row r="8" spans="1:14" ht="42" customHeight="1">
      <c r="A8" s="15" t="s">
        <v>2983</v>
      </c>
      <c r="B8" s="16" t="s">
        <v>2984</v>
      </c>
      <c r="C8" s="17">
        <v>4</v>
      </c>
      <c r="D8" s="18">
        <f>SUMIFS(Orders!$I:$I,Orders!$B:$B,"&gt;="&amp;DATE(2024,10,1),Orders!$B:$B,"&lt;"&amp;DATE(2025,1,1))</f>
        <v>6459442.9800000004</v>
      </c>
      <c r="E8" s="19" t="s">
        <v>2963</v>
      </c>
      <c r="F8" s="23"/>
      <c r="G8" s="23"/>
      <c r="H8" s="23"/>
      <c r="I8" s="23"/>
      <c r="J8" s="23"/>
      <c r="K8" s="23"/>
      <c r="L8" s="23"/>
      <c r="M8" s="23"/>
      <c r="N8" s="23"/>
    </row>
    <row r="9" spans="1:14" ht="42" customHeight="1">
      <c r="A9" s="15" t="s">
        <v>2985</v>
      </c>
      <c r="B9" s="16" t="s">
        <v>2986</v>
      </c>
      <c r="C9" s="17">
        <v>4</v>
      </c>
      <c r="D9" s="32">
        <v>0.44900000000000001</v>
      </c>
      <c r="E9" s="19" t="s">
        <v>2982</v>
      </c>
      <c r="F9" s="23"/>
      <c r="G9" s="23"/>
      <c r="H9" s="23"/>
      <c r="I9" s="23"/>
      <c r="J9" s="23"/>
      <c r="K9" s="23"/>
      <c r="L9" s="23"/>
      <c r="M9" s="23"/>
      <c r="N9" s="23"/>
    </row>
    <row r="10" spans="1:14" ht="1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 ht="1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1:14" ht="1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1:14" ht="15" customHeight="1">
      <c r="A13" s="23"/>
      <c r="B13" s="23"/>
      <c r="C13" s="23"/>
      <c r="D13" s="23"/>
      <c r="E13" s="33" t="s">
        <v>2987</v>
      </c>
      <c r="F13" s="33" t="s">
        <v>94</v>
      </c>
      <c r="G13" s="23"/>
      <c r="H13" s="23"/>
      <c r="I13" s="23"/>
      <c r="J13" s="23"/>
      <c r="K13" s="23"/>
      <c r="L13" s="23"/>
      <c r="M13" s="23"/>
      <c r="N13" s="23"/>
    </row>
    <row r="14" spans="1:14" ht="15" customHeight="1">
      <c r="A14" s="23"/>
      <c r="B14" s="23"/>
      <c r="C14" s="23"/>
      <c r="D14" s="23"/>
      <c r="E14" s="33" t="s">
        <v>95</v>
      </c>
      <c r="F14" s="23" t="s">
        <v>2810</v>
      </c>
      <c r="G14" s="23" t="s">
        <v>2843</v>
      </c>
      <c r="H14" s="23" t="s">
        <v>2799</v>
      </c>
      <c r="I14" s="23" t="s">
        <v>2821</v>
      </c>
      <c r="J14" s="23" t="s">
        <v>2832</v>
      </c>
      <c r="K14" s="23" t="s">
        <v>2854</v>
      </c>
      <c r="L14" s="23" t="s">
        <v>2988</v>
      </c>
      <c r="M14" s="23" t="s">
        <v>2989</v>
      </c>
      <c r="N14" s="23"/>
    </row>
    <row r="15" spans="1:14" ht="15" customHeight="1">
      <c r="A15" s="23"/>
      <c r="B15" s="23"/>
      <c r="C15" s="23"/>
      <c r="D15" s="23"/>
      <c r="E15" s="23" t="s">
        <v>2886</v>
      </c>
      <c r="F15" s="34">
        <v>860762.22999999975</v>
      </c>
      <c r="G15" s="34">
        <v>1271152.7899999996</v>
      </c>
      <c r="H15" s="34">
        <v>1214881.92</v>
      </c>
      <c r="I15" s="34">
        <v>1168089.9100000004</v>
      </c>
      <c r="J15" s="34">
        <v>1124233.5400000003</v>
      </c>
      <c r="K15" s="34">
        <v>945710.07999999996</v>
      </c>
      <c r="L15" s="34"/>
      <c r="M15" s="34">
        <v>6584830.4699999997</v>
      </c>
      <c r="N15" s="23"/>
    </row>
    <row r="16" spans="1:14" ht="15" customHeight="1">
      <c r="A16" s="23"/>
      <c r="B16" s="23"/>
      <c r="C16" s="23"/>
      <c r="D16" s="23"/>
      <c r="E16" s="23" t="s">
        <v>2870</v>
      </c>
      <c r="F16" s="34">
        <v>979380.9700000002</v>
      </c>
      <c r="G16" s="34">
        <v>1556120.1900000002</v>
      </c>
      <c r="H16" s="34">
        <v>1450710.7499999998</v>
      </c>
      <c r="I16" s="34">
        <v>1118963.8499999994</v>
      </c>
      <c r="J16" s="34">
        <v>867033.27</v>
      </c>
      <c r="K16" s="34">
        <v>1011820.4999999998</v>
      </c>
      <c r="L16" s="34"/>
      <c r="M16" s="34">
        <v>6984029.5299999993</v>
      </c>
      <c r="N16" s="23"/>
    </row>
    <row r="17" spans="5:378" ht="15" customHeight="1">
      <c r="E17" s="23" t="s">
        <v>2877</v>
      </c>
      <c r="F17" s="34">
        <v>962768.31</v>
      </c>
      <c r="G17" s="34">
        <v>1590646.0500000005</v>
      </c>
      <c r="H17" s="34">
        <v>1314107.3899999999</v>
      </c>
      <c r="I17" s="34">
        <v>1041400.7999999998</v>
      </c>
      <c r="J17" s="34">
        <v>1140277.8000000005</v>
      </c>
      <c r="K17" s="34">
        <v>1095843.4599999997</v>
      </c>
      <c r="L17" s="34"/>
      <c r="M17" s="34">
        <v>7145043.8100000005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</row>
    <row r="18" spans="5:378" ht="15" customHeight="1">
      <c r="E18" s="23" t="s">
        <v>2894</v>
      </c>
      <c r="F18" s="34">
        <v>868240.03</v>
      </c>
      <c r="G18" s="34">
        <v>1188460.02</v>
      </c>
      <c r="H18" s="34">
        <v>993053.05000000016</v>
      </c>
      <c r="I18" s="34">
        <v>997265.82000000018</v>
      </c>
      <c r="J18" s="34">
        <v>955407.57999999984</v>
      </c>
      <c r="K18" s="34">
        <v>856617.8899999999</v>
      </c>
      <c r="L18" s="34"/>
      <c r="M18" s="34">
        <v>5859044.3899999997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/>
      <c r="NH18" s="23"/>
      <c r="NI18" s="23"/>
      <c r="NJ18" s="23"/>
      <c r="NK18" s="23"/>
      <c r="NL18" s="23"/>
      <c r="NM18" s="23"/>
      <c r="NN18" s="23"/>
    </row>
    <row r="19" spans="5:378" ht="15" customHeight="1">
      <c r="E19" s="23" t="s">
        <v>2988</v>
      </c>
      <c r="F19" s="34"/>
      <c r="G19" s="34"/>
      <c r="H19" s="34"/>
      <c r="I19" s="34"/>
      <c r="J19" s="34"/>
      <c r="K19" s="34"/>
      <c r="L19" s="34"/>
      <c r="M19" s="34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</row>
    <row r="20" spans="5:378" ht="15" customHeight="1">
      <c r="E20" s="23" t="s">
        <v>2989</v>
      </c>
      <c r="F20" s="34">
        <v>3671151.54</v>
      </c>
      <c r="G20" s="34">
        <v>5606379.0500000007</v>
      </c>
      <c r="H20" s="34">
        <v>4972753.1099999994</v>
      </c>
      <c r="I20" s="34">
        <v>4325720.38</v>
      </c>
      <c r="J20" s="34">
        <v>4086952.1900000004</v>
      </c>
      <c r="K20" s="34">
        <v>3909991.9299999988</v>
      </c>
      <c r="L20" s="34"/>
      <c r="M20" s="34">
        <v>26572948.200000003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3"/>
      <c r="NI20" s="23"/>
      <c r="NJ20" s="23"/>
      <c r="NK20" s="23"/>
      <c r="NL20" s="23"/>
      <c r="NM20" s="23"/>
      <c r="NN20" s="23"/>
    </row>
    <row r="21" spans="5:378" ht="15" customHeight="1"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23"/>
      <c r="MY21" s="23"/>
      <c r="MZ21" s="23"/>
      <c r="NA21" s="23"/>
      <c r="NB21" s="23"/>
      <c r="NC21" s="23"/>
      <c r="ND21" s="23"/>
      <c r="NE21" s="23"/>
      <c r="NF21" s="23"/>
      <c r="NG21" s="23"/>
      <c r="NH21" s="23"/>
      <c r="NI21" s="23"/>
      <c r="NJ21" s="23"/>
      <c r="NK21" s="23"/>
      <c r="NL21" s="23"/>
      <c r="NM21" s="23"/>
      <c r="NN21" s="23"/>
    </row>
    <row r="22" spans="5:378" ht="15" customHeight="1"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23"/>
      <c r="MK22" s="23"/>
      <c r="ML22" s="23"/>
      <c r="MM22" s="23"/>
      <c r="MN22" s="23"/>
      <c r="MO22" s="23"/>
      <c r="MP22" s="23"/>
      <c r="MQ22" s="23"/>
      <c r="MR22" s="23"/>
      <c r="MS22" s="23"/>
      <c r="MT22" s="23"/>
      <c r="MU22" s="23"/>
      <c r="MV22" s="23"/>
      <c r="MW22" s="23"/>
      <c r="MX22" s="23"/>
      <c r="MY22" s="23"/>
      <c r="MZ22" s="23"/>
      <c r="NA22" s="23"/>
      <c r="NB22" s="23"/>
      <c r="NC22" s="23"/>
      <c r="ND22" s="23"/>
      <c r="NE22" s="23"/>
      <c r="NF22" s="23"/>
      <c r="NG22" s="23"/>
      <c r="NH22" s="23"/>
      <c r="NI22" s="23"/>
      <c r="NJ22" s="23"/>
      <c r="NK22" s="23"/>
      <c r="NL22" s="23"/>
      <c r="NM22" s="23"/>
      <c r="NN22" s="23"/>
    </row>
    <row r="23" spans="5:378" ht="15" customHeight="1"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23"/>
      <c r="MK23" s="23"/>
      <c r="ML23" s="23"/>
      <c r="MM23" s="23"/>
      <c r="MN23" s="23"/>
      <c r="MO23" s="23"/>
      <c r="MP23" s="23"/>
      <c r="MQ23" s="23"/>
      <c r="MR23" s="23"/>
      <c r="MS23" s="23"/>
      <c r="MT23" s="23"/>
      <c r="MU23" s="23"/>
      <c r="MV23" s="23"/>
      <c r="MW23" s="23"/>
      <c r="MX23" s="23"/>
      <c r="MY23" s="23"/>
      <c r="MZ23" s="23"/>
      <c r="NA23" s="23"/>
      <c r="NB23" s="23"/>
      <c r="NC23" s="23"/>
      <c r="ND23" s="23"/>
      <c r="NE23" s="23"/>
      <c r="NF23" s="23"/>
      <c r="NG23" s="23"/>
      <c r="NH23" s="23"/>
      <c r="NI23" s="23"/>
      <c r="NJ23" s="23"/>
      <c r="NK23" s="23"/>
      <c r="NL23" s="23"/>
      <c r="NM23" s="23"/>
      <c r="NN23" s="23"/>
    </row>
    <row r="24" spans="5:378" ht="15" customHeight="1">
      <c r="E24" s="33" t="s">
        <v>2987</v>
      </c>
      <c r="F24" s="33" t="s">
        <v>87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23"/>
      <c r="MK24" s="23"/>
      <c r="ML24" s="23"/>
      <c r="MM24" s="23"/>
      <c r="MN24" s="23"/>
      <c r="MO24" s="23"/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23"/>
      <c r="NM24" s="23"/>
      <c r="NN24" s="23"/>
    </row>
    <row r="25" spans="5:378" ht="15" customHeight="1">
      <c r="E25" s="33" t="s">
        <v>96</v>
      </c>
      <c r="F25" s="23" t="s">
        <v>232</v>
      </c>
      <c r="G25" s="23" t="s">
        <v>314</v>
      </c>
      <c r="H25" s="23" t="s">
        <v>165</v>
      </c>
      <c r="I25" s="23" t="s">
        <v>156</v>
      </c>
      <c r="J25" s="23" t="s">
        <v>109</v>
      </c>
      <c r="K25" s="23" t="s">
        <v>120</v>
      </c>
      <c r="L25" s="23" t="s">
        <v>103</v>
      </c>
      <c r="M25" s="23" t="s">
        <v>124</v>
      </c>
      <c r="N25" s="23" t="s">
        <v>221</v>
      </c>
      <c r="O25" s="23" t="s">
        <v>149</v>
      </c>
      <c r="P25" s="23" t="s">
        <v>290</v>
      </c>
      <c r="Q25" s="23" t="s">
        <v>342</v>
      </c>
      <c r="R25" s="23" t="s">
        <v>269</v>
      </c>
      <c r="S25" s="23" t="s">
        <v>115</v>
      </c>
      <c r="T25" s="23" t="s">
        <v>205</v>
      </c>
      <c r="U25" s="23" t="s">
        <v>363</v>
      </c>
      <c r="V25" s="23" t="s">
        <v>255</v>
      </c>
      <c r="W25" s="23" t="s">
        <v>320</v>
      </c>
      <c r="X25" s="23" t="s">
        <v>138</v>
      </c>
      <c r="Y25" s="23" t="s">
        <v>209</v>
      </c>
      <c r="Z25" s="23" t="s">
        <v>175</v>
      </c>
      <c r="AA25" s="23" t="s">
        <v>302</v>
      </c>
      <c r="AB25" s="23" t="s">
        <v>171</v>
      </c>
      <c r="AC25" s="23" t="s">
        <v>133</v>
      </c>
      <c r="AD25" s="23" t="s">
        <v>128</v>
      </c>
      <c r="AE25" s="23" t="s">
        <v>218</v>
      </c>
      <c r="AF25" s="23" t="s">
        <v>360</v>
      </c>
      <c r="AG25" s="23" t="s">
        <v>145</v>
      </c>
      <c r="AH25" s="23" t="s">
        <v>246</v>
      </c>
      <c r="AI25" s="23" t="s">
        <v>187</v>
      </c>
      <c r="AJ25" s="23" t="s">
        <v>2988</v>
      </c>
      <c r="AK25" s="23" t="s">
        <v>2989</v>
      </c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  <c r="JJ25" s="23"/>
      <c r="JK25" s="23"/>
      <c r="JL25" s="23"/>
      <c r="JM25" s="23"/>
      <c r="JN25" s="23"/>
      <c r="JO25" s="23"/>
      <c r="JP25" s="23"/>
      <c r="JQ25" s="23"/>
      <c r="JR25" s="23"/>
      <c r="JS25" s="23"/>
      <c r="JT25" s="23"/>
      <c r="JU25" s="23"/>
      <c r="JV25" s="23"/>
      <c r="JW25" s="23"/>
      <c r="JX25" s="23"/>
      <c r="JY25" s="23"/>
      <c r="JZ25" s="23"/>
      <c r="KA25" s="23"/>
      <c r="KB25" s="23"/>
      <c r="KC25" s="23"/>
      <c r="KD25" s="23"/>
      <c r="KE25" s="23"/>
      <c r="KF25" s="23"/>
      <c r="KG25" s="23"/>
      <c r="KH25" s="23"/>
      <c r="KI25" s="23"/>
      <c r="KJ25" s="23"/>
      <c r="KK25" s="23"/>
      <c r="KL25" s="23"/>
      <c r="KM25" s="23"/>
      <c r="KN25" s="23"/>
      <c r="KO25" s="23"/>
      <c r="KP25" s="23"/>
      <c r="KQ25" s="23"/>
      <c r="KR25" s="23"/>
      <c r="KS25" s="23"/>
      <c r="KT25" s="23"/>
      <c r="KU25" s="23"/>
      <c r="KV25" s="23"/>
      <c r="KW25" s="23"/>
      <c r="KX25" s="23"/>
      <c r="KY25" s="23"/>
      <c r="KZ25" s="23"/>
      <c r="LA25" s="23"/>
      <c r="LB25" s="23"/>
      <c r="LC25" s="23"/>
      <c r="LD25" s="23"/>
      <c r="LE25" s="23"/>
      <c r="LF25" s="23"/>
      <c r="LG25" s="23"/>
      <c r="LH25" s="23"/>
      <c r="LI25" s="23"/>
      <c r="LJ25" s="23"/>
      <c r="LK25" s="23"/>
      <c r="LL25" s="23"/>
      <c r="LM25" s="23"/>
      <c r="LN25" s="23"/>
      <c r="LO25" s="23"/>
      <c r="LP25" s="23"/>
      <c r="LQ25" s="23"/>
      <c r="LR25" s="23"/>
      <c r="LS25" s="23"/>
      <c r="LT25" s="23"/>
      <c r="LU25" s="23"/>
      <c r="LV25" s="23"/>
      <c r="LW25" s="23"/>
      <c r="LX25" s="23"/>
      <c r="LY25" s="23"/>
      <c r="LZ25" s="23"/>
      <c r="MA25" s="23"/>
      <c r="MB25" s="23"/>
      <c r="MC25" s="23"/>
      <c r="MD25" s="23"/>
      <c r="ME25" s="23"/>
      <c r="MF25" s="23"/>
      <c r="MG25" s="23"/>
      <c r="MH25" s="23"/>
      <c r="MI25" s="23"/>
      <c r="MJ25" s="23"/>
      <c r="MK25" s="23"/>
      <c r="ML25" s="23"/>
      <c r="MM25" s="23"/>
      <c r="MN25" s="23"/>
      <c r="MO25" s="23"/>
      <c r="MP25" s="23"/>
      <c r="MQ25" s="23"/>
      <c r="MR25" s="23"/>
      <c r="MS25" s="23"/>
      <c r="MT25" s="23"/>
      <c r="MU25" s="23"/>
      <c r="MV25" s="23"/>
      <c r="MW25" s="23"/>
      <c r="MX25" s="23"/>
      <c r="MY25" s="23"/>
      <c r="MZ25" s="23"/>
      <c r="NA25" s="23"/>
      <c r="NB25" s="23"/>
      <c r="NC25" s="23"/>
      <c r="ND25" s="23"/>
      <c r="NE25" s="23"/>
      <c r="NF25" s="23"/>
      <c r="NG25" s="23"/>
      <c r="NH25" s="23"/>
      <c r="NI25" s="23"/>
      <c r="NJ25" s="23"/>
      <c r="NK25" s="23"/>
      <c r="NL25" s="23"/>
      <c r="NM25" s="23"/>
      <c r="NN25" s="23"/>
    </row>
    <row r="26" spans="5:378" ht="15" customHeight="1">
      <c r="E26" s="23" t="s">
        <v>2904</v>
      </c>
      <c r="F26" s="34">
        <v>33643.480000000003</v>
      </c>
      <c r="G26" s="34">
        <v>46286.92</v>
      </c>
      <c r="H26" s="34">
        <v>96349.859999999986</v>
      </c>
      <c r="I26" s="34">
        <v>23036.539999999997</v>
      </c>
      <c r="J26" s="34">
        <v>46025.56</v>
      </c>
      <c r="K26" s="34">
        <v>170939.91000000003</v>
      </c>
      <c r="L26" s="34">
        <v>48536.18</v>
      </c>
      <c r="M26" s="34">
        <v>12044.560000000001</v>
      </c>
      <c r="N26" s="34">
        <v>74565.159999999989</v>
      </c>
      <c r="O26" s="34">
        <v>41398.06</v>
      </c>
      <c r="P26" s="34">
        <v>30549.1</v>
      </c>
      <c r="Q26" s="34">
        <v>24950.800000000003</v>
      </c>
      <c r="R26" s="34">
        <v>41420.609999999993</v>
      </c>
      <c r="S26" s="34">
        <v>101517.16999999998</v>
      </c>
      <c r="T26" s="34">
        <v>107626.6</v>
      </c>
      <c r="U26" s="34">
        <v>75094.84</v>
      </c>
      <c r="V26" s="34">
        <v>32212.65</v>
      </c>
      <c r="W26" s="34">
        <v>210613.93000000002</v>
      </c>
      <c r="X26" s="34">
        <v>112510.04000000001</v>
      </c>
      <c r="Y26" s="34">
        <v>49921.2</v>
      </c>
      <c r="Z26" s="34">
        <v>71054.8</v>
      </c>
      <c r="AA26" s="34">
        <v>93303.01999999999</v>
      </c>
      <c r="AB26" s="34">
        <v>216421.52000000002</v>
      </c>
      <c r="AC26" s="34">
        <v>56736.5</v>
      </c>
      <c r="AD26" s="34">
        <v>49945.919999999991</v>
      </c>
      <c r="AE26" s="34">
        <v>131132.87999999998</v>
      </c>
      <c r="AF26" s="34">
        <v>78106.28</v>
      </c>
      <c r="AG26" s="34">
        <v>45577.729999999996</v>
      </c>
      <c r="AH26" s="34">
        <v>124581.45</v>
      </c>
      <c r="AI26" s="34">
        <v>36350.86</v>
      </c>
      <c r="AJ26" s="34"/>
      <c r="AK26" s="34">
        <v>2282454.13</v>
      </c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  <c r="KH26" s="23"/>
      <c r="KI26" s="23"/>
      <c r="KJ26" s="23"/>
      <c r="KK26" s="23"/>
      <c r="KL26" s="23"/>
      <c r="KM26" s="23"/>
      <c r="KN26" s="23"/>
      <c r="KO26" s="23"/>
      <c r="KP26" s="23"/>
      <c r="KQ26" s="23"/>
      <c r="KR26" s="23"/>
      <c r="KS26" s="23"/>
      <c r="KT26" s="23"/>
      <c r="KU26" s="23"/>
      <c r="KV26" s="23"/>
      <c r="KW26" s="23"/>
      <c r="KX26" s="23"/>
      <c r="KY26" s="23"/>
      <c r="KZ26" s="23"/>
      <c r="LA26" s="23"/>
      <c r="LB26" s="23"/>
      <c r="LC26" s="23"/>
      <c r="LD26" s="23"/>
      <c r="LE26" s="23"/>
      <c r="LF26" s="23"/>
      <c r="LG26" s="23"/>
      <c r="LH26" s="23"/>
      <c r="LI26" s="23"/>
      <c r="LJ26" s="23"/>
      <c r="LK26" s="23"/>
      <c r="LL26" s="23"/>
      <c r="LM26" s="23"/>
      <c r="LN26" s="23"/>
      <c r="LO26" s="23"/>
      <c r="LP26" s="23"/>
      <c r="LQ26" s="23"/>
      <c r="LR26" s="23"/>
      <c r="LS26" s="23"/>
      <c r="LT26" s="23"/>
      <c r="LU26" s="23"/>
      <c r="LV26" s="23"/>
      <c r="LW26" s="23"/>
      <c r="LX26" s="23"/>
      <c r="LY26" s="23"/>
      <c r="LZ26" s="23"/>
      <c r="MA26" s="23"/>
      <c r="MB26" s="23"/>
      <c r="MC26" s="23"/>
      <c r="MD26" s="23"/>
      <c r="ME26" s="23"/>
      <c r="MF26" s="23"/>
      <c r="MG26" s="23"/>
      <c r="MH26" s="23"/>
      <c r="MI26" s="23"/>
      <c r="MJ26" s="23"/>
      <c r="MK26" s="23"/>
      <c r="ML26" s="23"/>
      <c r="MM26" s="23"/>
      <c r="MN26" s="23"/>
      <c r="MO26" s="23"/>
      <c r="MP26" s="23"/>
      <c r="MQ26" s="23"/>
      <c r="MR26" s="23"/>
      <c r="MS26" s="23"/>
      <c r="MT26" s="23"/>
      <c r="MU26" s="23"/>
      <c r="MV26" s="23"/>
      <c r="MW26" s="23"/>
      <c r="MX26" s="23"/>
      <c r="MY26" s="23"/>
      <c r="MZ26" s="23"/>
      <c r="NA26" s="23"/>
      <c r="NB26" s="23"/>
      <c r="NC26" s="23"/>
      <c r="ND26" s="23"/>
      <c r="NE26" s="23"/>
      <c r="NF26" s="23"/>
      <c r="NG26" s="23"/>
      <c r="NH26" s="23"/>
      <c r="NI26" s="23"/>
      <c r="NJ26" s="23"/>
      <c r="NK26" s="23"/>
      <c r="NL26" s="23"/>
      <c r="NM26" s="23"/>
      <c r="NN26" s="23"/>
    </row>
    <row r="27" spans="5:378" ht="15" customHeight="1">
      <c r="E27" s="23" t="s">
        <v>2908</v>
      </c>
      <c r="F27" s="34">
        <v>92676.920000000013</v>
      </c>
      <c r="G27" s="34">
        <v>134500.5</v>
      </c>
      <c r="H27" s="34">
        <v>114656.26999999999</v>
      </c>
      <c r="I27" s="34">
        <v>55975.340000000004</v>
      </c>
      <c r="J27" s="34">
        <v>15060.279999999999</v>
      </c>
      <c r="K27" s="34">
        <v>61857.899999999994</v>
      </c>
      <c r="L27" s="34">
        <v>70196.800000000003</v>
      </c>
      <c r="M27" s="34">
        <v>61043.439999999995</v>
      </c>
      <c r="N27" s="34">
        <v>116575.84999999999</v>
      </c>
      <c r="O27" s="34">
        <v>111335.79000000001</v>
      </c>
      <c r="P27" s="34">
        <v>129473.95999999999</v>
      </c>
      <c r="Q27" s="34">
        <v>115185.59</v>
      </c>
      <c r="R27" s="34">
        <v>70557.86</v>
      </c>
      <c r="S27" s="34">
        <v>113977.93999999999</v>
      </c>
      <c r="T27" s="34">
        <v>114985.86000000002</v>
      </c>
      <c r="U27" s="34">
        <v>119357.27</v>
      </c>
      <c r="V27" s="34">
        <v>88015.95</v>
      </c>
      <c r="W27" s="34">
        <v>26814.3</v>
      </c>
      <c r="X27" s="34">
        <v>20666.8</v>
      </c>
      <c r="Y27" s="34">
        <v>107718.33</v>
      </c>
      <c r="Z27" s="34">
        <v>44212.2</v>
      </c>
      <c r="AA27" s="34">
        <v>81133.64</v>
      </c>
      <c r="AB27" s="34">
        <v>50585.599999999999</v>
      </c>
      <c r="AC27" s="34">
        <v>66015.240000000005</v>
      </c>
      <c r="AD27" s="34">
        <v>61143.740000000005</v>
      </c>
      <c r="AE27" s="34">
        <v>89359.819999999992</v>
      </c>
      <c r="AF27" s="34">
        <v>18606.830000000002</v>
      </c>
      <c r="AG27" s="34">
        <v>168231.25</v>
      </c>
      <c r="AH27" s="34">
        <v>134005.79</v>
      </c>
      <c r="AI27" s="34">
        <v>74000.900000000009</v>
      </c>
      <c r="AJ27" s="34"/>
      <c r="AK27" s="34">
        <v>2527927.9600000004</v>
      </c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23"/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23"/>
      <c r="LR27" s="23"/>
      <c r="LS27" s="23"/>
      <c r="LT27" s="23"/>
      <c r="LU27" s="23"/>
      <c r="LV27" s="23"/>
      <c r="LW27" s="23"/>
      <c r="LX27" s="23"/>
      <c r="LY27" s="23"/>
      <c r="LZ27" s="23"/>
      <c r="MA27" s="23"/>
      <c r="MB27" s="23"/>
      <c r="MC27" s="23"/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23"/>
      <c r="MP27" s="23"/>
      <c r="MQ27" s="23"/>
      <c r="MR27" s="23"/>
      <c r="MS27" s="23"/>
      <c r="MT27" s="23"/>
      <c r="MU27" s="23"/>
      <c r="MV27" s="23"/>
      <c r="MW27" s="23"/>
      <c r="MX27" s="23"/>
      <c r="MY27" s="23"/>
      <c r="MZ27" s="23"/>
      <c r="NA27" s="23"/>
      <c r="NB27" s="23"/>
      <c r="NC27" s="23"/>
      <c r="ND27" s="23"/>
      <c r="NE27" s="23"/>
      <c r="NF27" s="23"/>
      <c r="NG27" s="23"/>
      <c r="NH27" s="23"/>
      <c r="NI27" s="23"/>
      <c r="NJ27" s="23"/>
      <c r="NK27" s="23"/>
      <c r="NL27" s="23"/>
      <c r="NM27" s="23"/>
      <c r="NN27" s="23"/>
    </row>
    <row r="28" spans="5:378" ht="15" customHeight="1">
      <c r="E28" s="23" t="s">
        <v>2912</v>
      </c>
      <c r="F28" s="34">
        <v>79450.51999999999</v>
      </c>
      <c r="G28" s="34">
        <v>47673.25</v>
      </c>
      <c r="H28" s="34">
        <v>12325.539999999999</v>
      </c>
      <c r="I28" s="34">
        <v>59066.319999999992</v>
      </c>
      <c r="J28" s="34">
        <v>68580.799999999988</v>
      </c>
      <c r="K28" s="34">
        <v>121741.5</v>
      </c>
      <c r="L28" s="34">
        <v>57922.929999999993</v>
      </c>
      <c r="M28" s="34">
        <v>172732.12000000002</v>
      </c>
      <c r="N28" s="34">
        <v>46691.02</v>
      </c>
      <c r="O28" s="34">
        <v>70844.790000000008</v>
      </c>
      <c r="P28" s="34"/>
      <c r="Q28" s="34">
        <v>125492.57</v>
      </c>
      <c r="R28" s="34">
        <v>63120.660000000011</v>
      </c>
      <c r="S28" s="34">
        <v>105996.29000000001</v>
      </c>
      <c r="T28" s="34">
        <v>73235.58</v>
      </c>
      <c r="U28" s="34">
        <v>2821.88</v>
      </c>
      <c r="V28" s="34">
        <v>71637.3</v>
      </c>
      <c r="W28" s="34">
        <v>45259.32</v>
      </c>
      <c r="X28" s="34">
        <v>118258.66</v>
      </c>
      <c r="Y28" s="34">
        <v>24872.76</v>
      </c>
      <c r="Z28" s="34">
        <v>40227.240000000005</v>
      </c>
      <c r="AA28" s="34">
        <v>119758.46</v>
      </c>
      <c r="AB28" s="34">
        <v>102626.04</v>
      </c>
      <c r="AC28" s="34">
        <v>104737.79</v>
      </c>
      <c r="AD28" s="34">
        <v>59696.52</v>
      </c>
      <c r="AE28" s="34">
        <v>60332.900000000009</v>
      </c>
      <c r="AF28" s="34">
        <v>104514.17000000001</v>
      </c>
      <c r="AG28" s="34">
        <v>51024.5</v>
      </c>
      <c r="AH28" s="34">
        <v>125575.3</v>
      </c>
      <c r="AI28" s="34">
        <v>47706.74</v>
      </c>
      <c r="AJ28" s="34"/>
      <c r="AK28" s="34">
        <v>2183923.4700000002</v>
      </c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  <c r="KW28" s="23"/>
      <c r="KX28" s="23"/>
      <c r="KY28" s="23"/>
      <c r="KZ28" s="23"/>
      <c r="LA28" s="23"/>
      <c r="LB28" s="23"/>
      <c r="LC28" s="23"/>
      <c r="LD28" s="23"/>
      <c r="LE28" s="23"/>
      <c r="LF28" s="23"/>
      <c r="LG28" s="23"/>
      <c r="LH28" s="23"/>
      <c r="LI28" s="23"/>
      <c r="LJ28" s="23"/>
      <c r="LK28" s="23"/>
      <c r="LL28" s="23"/>
      <c r="LM28" s="23"/>
      <c r="LN28" s="23"/>
      <c r="LO28" s="23"/>
      <c r="LP28" s="23"/>
      <c r="LQ28" s="23"/>
      <c r="LR28" s="23"/>
      <c r="LS28" s="23"/>
      <c r="LT28" s="23"/>
      <c r="LU28" s="23"/>
      <c r="LV28" s="23"/>
      <c r="LW28" s="23"/>
      <c r="LX28" s="23"/>
      <c r="LY28" s="23"/>
      <c r="LZ28" s="23"/>
      <c r="MA28" s="23"/>
      <c r="MB28" s="23"/>
      <c r="MC28" s="23"/>
      <c r="MD28" s="23"/>
      <c r="ME28" s="23"/>
      <c r="MF28" s="23"/>
      <c r="MG28" s="23"/>
      <c r="MH28" s="23"/>
      <c r="MI28" s="23"/>
      <c r="MJ28" s="23"/>
      <c r="MK28" s="23"/>
      <c r="ML28" s="23"/>
      <c r="MM28" s="23"/>
      <c r="MN28" s="23"/>
      <c r="MO28" s="23"/>
      <c r="MP28" s="23"/>
      <c r="MQ28" s="23"/>
      <c r="MR28" s="23"/>
      <c r="MS28" s="23"/>
      <c r="MT28" s="23"/>
      <c r="MU28" s="23"/>
      <c r="MV28" s="23"/>
      <c r="MW28" s="23"/>
      <c r="MX28" s="23"/>
      <c r="MY28" s="23"/>
      <c r="MZ28" s="23"/>
      <c r="NA28" s="23"/>
      <c r="NB28" s="23"/>
      <c r="NC28" s="23"/>
      <c r="ND28" s="23"/>
      <c r="NE28" s="23"/>
      <c r="NF28" s="23"/>
      <c r="NG28" s="23"/>
      <c r="NH28" s="23"/>
      <c r="NI28" s="23"/>
      <c r="NJ28" s="23"/>
      <c r="NK28" s="23"/>
      <c r="NL28" s="23"/>
      <c r="NM28" s="23"/>
      <c r="NN28" s="23"/>
    </row>
    <row r="29" spans="5:378" ht="15" customHeight="1">
      <c r="E29" s="23" t="s">
        <v>2902</v>
      </c>
      <c r="F29" s="34">
        <v>127005.17000000001</v>
      </c>
      <c r="G29" s="34">
        <v>125187.78</v>
      </c>
      <c r="H29" s="34">
        <v>32452</v>
      </c>
      <c r="I29" s="34">
        <v>58818.559999999998</v>
      </c>
      <c r="J29" s="34">
        <v>57914.81</v>
      </c>
      <c r="K29" s="34">
        <v>34581.99</v>
      </c>
      <c r="L29" s="34">
        <v>130276.04</v>
      </c>
      <c r="M29" s="34">
        <v>23463.300000000003</v>
      </c>
      <c r="N29" s="34">
        <v>25935.550000000003</v>
      </c>
      <c r="O29" s="34">
        <v>74555.64</v>
      </c>
      <c r="P29" s="34">
        <v>112894.06000000001</v>
      </c>
      <c r="Q29" s="34">
        <v>110195.45999999999</v>
      </c>
      <c r="R29" s="34">
        <v>139218.07999999999</v>
      </c>
      <c r="S29" s="34">
        <v>79488</v>
      </c>
      <c r="T29" s="34">
        <v>89654.68</v>
      </c>
      <c r="U29" s="34">
        <v>90583.239999999991</v>
      </c>
      <c r="V29" s="34">
        <v>27297.839999999997</v>
      </c>
      <c r="W29" s="34">
        <v>121362.43999999999</v>
      </c>
      <c r="X29" s="34">
        <v>97513.340000000011</v>
      </c>
      <c r="Y29" s="34">
        <v>13855.82</v>
      </c>
      <c r="Z29" s="34">
        <v>104662.05</v>
      </c>
      <c r="AA29" s="34">
        <v>46819.11</v>
      </c>
      <c r="AB29" s="34">
        <v>120382.87</v>
      </c>
      <c r="AC29" s="34">
        <v>97833.739999999991</v>
      </c>
      <c r="AD29" s="34">
        <v>43978.47</v>
      </c>
      <c r="AE29" s="34">
        <v>18592.259999999998</v>
      </c>
      <c r="AF29" s="34">
        <v>80384.530000000013</v>
      </c>
      <c r="AG29" s="34">
        <v>63178.48</v>
      </c>
      <c r="AH29" s="34">
        <v>142134.07</v>
      </c>
      <c r="AI29" s="34">
        <v>17274.29</v>
      </c>
      <c r="AJ29" s="34"/>
      <c r="AK29" s="34">
        <v>2307493.6700000004</v>
      </c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  <c r="KW29" s="23"/>
      <c r="KX29" s="23"/>
      <c r="KY29" s="23"/>
      <c r="KZ29" s="23"/>
      <c r="LA29" s="23"/>
      <c r="LB29" s="23"/>
      <c r="LC29" s="23"/>
      <c r="LD29" s="23"/>
      <c r="LE29" s="23"/>
      <c r="LF29" s="23"/>
      <c r="LG29" s="23"/>
      <c r="LH29" s="23"/>
      <c r="LI29" s="23"/>
      <c r="LJ29" s="23"/>
      <c r="LK29" s="23"/>
      <c r="LL29" s="23"/>
      <c r="LM29" s="23"/>
      <c r="LN29" s="23"/>
      <c r="LO29" s="23"/>
      <c r="LP29" s="23"/>
      <c r="LQ29" s="23"/>
      <c r="LR29" s="23"/>
      <c r="LS29" s="23"/>
      <c r="LT29" s="23"/>
      <c r="LU29" s="23"/>
      <c r="LV29" s="23"/>
      <c r="LW29" s="23"/>
      <c r="LX29" s="23"/>
      <c r="LY29" s="23"/>
      <c r="LZ29" s="23"/>
      <c r="MA29" s="23"/>
      <c r="MB29" s="23"/>
      <c r="MC29" s="23"/>
      <c r="MD29" s="23"/>
      <c r="ME29" s="23"/>
      <c r="MF29" s="23"/>
      <c r="MG29" s="23"/>
      <c r="MH29" s="23"/>
      <c r="MI29" s="23"/>
      <c r="MJ29" s="23"/>
      <c r="MK29" s="23"/>
      <c r="ML29" s="23"/>
      <c r="MM29" s="23"/>
      <c r="MN29" s="23"/>
      <c r="MO29" s="23"/>
      <c r="MP29" s="23"/>
      <c r="MQ29" s="23"/>
      <c r="MR29" s="23"/>
      <c r="MS29" s="23"/>
      <c r="MT29" s="23"/>
      <c r="MU29" s="23"/>
      <c r="MV29" s="23"/>
      <c r="MW29" s="23"/>
      <c r="MX29" s="23"/>
      <c r="MY29" s="23"/>
      <c r="MZ29" s="23"/>
      <c r="NA29" s="23"/>
      <c r="NB29" s="23"/>
      <c r="NC29" s="23"/>
      <c r="ND29" s="23"/>
      <c r="NE29" s="23"/>
      <c r="NF29" s="23"/>
      <c r="NG29" s="23"/>
      <c r="NH29" s="23"/>
      <c r="NI29" s="23"/>
      <c r="NJ29" s="23"/>
      <c r="NK29" s="23"/>
      <c r="NL29" s="23"/>
      <c r="NM29" s="23"/>
      <c r="NN29" s="23"/>
    </row>
    <row r="30" spans="5:378" ht="15" customHeight="1">
      <c r="E30" s="23" t="s">
        <v>2901</v>
      </c>
      <c r="F30" s="34">
        <v>43650.559999999998</v>
      </c>
      <c r="G30" s="34">
        <v>51707.32</v>
      </c>
      <c r="H30" s="34">
        <v>54307</v>
      </c>
      <c r="I30" s="34">
        <v>57892.110000000008</v>
      </c>
      <c r="J30" s="34">
        <v>70665.509999999995</v>
      </c>
      <c r="K30" s="34">
        <v>84968.56</v>
      </c>
      <c r="L30" s="34">
        <v>92029.91</v>
      </c>
      <c r="M30" s="34">
        <v>61557.020000000004</v>
      </c>
      <c r="N30" s="34">
        <v>125547.54</v>
      </c>
      <c r="O30" s="34">
        <v>43078.21</v>
      </c>
      <c r="P30" s="34">
        <v>88791.72</v>
      </c>
      <c r="Q30" s="34">
        <v>70680.03</v>
      </c>
      <c r="R30" s="34">
        <v>51609.120000000003</v>
      </c>
      <c r="S30" s="34">
        <v>87497.74</v>
      </c>
      <c r="T30" s="34">
        <v>118901.05999999998</v>
      </c>
      <c r="U30" s="34">
        <v>62195.839999999997</v>
      </c>
      <c r="V30" s="34">
        <v>73856.39</v>
      </c>
      <c r="W30" s="34">
        <v>101638.5</v>
      </c>
      <c r="X30" s="34">
        <v>30895.18</v>
      </c>
      <c r="Y30" s="34">
        <v>41744.44000000001</v>
      </c>
      <c r="Z30" s="34">
        <v>2689.92</v>
      </c>
      <c r="AA30" s="34">
        <v>158207.84</v>
      </c>
      <c r="AB30" s="34">
        <v>54606.060000000005</v>
      </c>
      <c r="AC30" s="34">
        <v>24937.08</v>
      </c>
      <c r="AD30" s="34">
        <v>56041.840000000004</v>
      </c>
      <c r="AE30" s="34">
        <v>12767.82</v>
      </c>
      <c r="AF30" s="34">
        <v>77569.16</v>
      </c>
      <c r="AG30" s="34">
        <v>36574.000000000007</v>
      </c>
      <c r="AH30" s="34">
        <v>45369.15</v>
      </c>
      <c r="AI30" s="34">
        <v>59170.81</v>
      </c>
      <c r="AJ30" s="34"/>
      <c r="AK30" s="34">
        <v>1941147.44</v>
      </c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  <c r="KW30" s="23"/>
      <c r="KX30" s="23"/>
      <c r="KY30" s="23"/>
      <c r="KZ30" s="23"/>
      <c r="LA30" s="23"/>
      <c r="LB30" s="23"/>
      <c r="LC30" s="23"/>
      <c r="LD30" s="23"/>
      <c r="LE30" s="23"/>
      <c r="LF30" s="23"/>
      <c r="LG30" s="23"/>
      <c r="LH30" s="23"/>
      <c r="LI30" s="23"/>
      <c r="LJ30" s="23"/>
      <c r="LK30" s="23"/>
      <c r="LL30" s="23"/>
      <c r="LM30" s="23"/>
      <c r="LN30" s="23"/>
      <c r="LO30" s="23"/>
      <c r="LP30" s="23"/>
      <c r="LQ30" s="23"/>
      <c r="LR30" s="23"/>
      <c r="LS30" s="23"/>
      <c r="LT30" s="23"/>
      <c r="LU30" s="23"/>
      <c r="LV30" s="23"/>
      <c r="LW30" s="23"/>
      <c r="LX30" s="23"/>
      <c r="LY30" s="23"/>
      <c r="LZ30" s="23"/>
      <c r="MA30" s="23"/>
      <c r="MB30" s="23"/>
      <c r="MC30" s="23"/>
      <c r="MD30" s="23"/>
      <c r="ME30" s="23"/>
      <c r="MF30" s="23"/>
      <c r="MG30" s="23"/>
      <c r="MH30" s="23"/>
      <c r="MI30" s="23"/>
      <c r="MJ30" s="23"/>
      <c r="MK30" s="23"/>
      <c r="ML30" s="23"/>
      <c r="MM30" s="23"/>
      <c r="MN30" s="23"/>
      <c r="MO30" s="23"/>
      <c r="MP30" s="23"/>
      <c r="MQ30" s="23"/>
      <c r="MR30" s="23"/>
      <c r="MS30" s="23"/>
      <c r="MT30" s="23"/>
      <c r="MU30" s="23"/>
      <c r="MV30" s="23"/>
      <c r="MW30" s="23"/>
      <c r="MX30" s="23"/>
      <c r="MY30" s="23"/>
      <c r="MZ30" s="23"/>
      <c r="NA30" s="23"/>
      <c r="NB30" s="23"/>
      <c r="NC30" s="23"/>
      <c r="ND30" s="23"/>
      <c r="NE30" s="23"/>
      <c r="NF30" s="23"/>
      <c r="NG30" s="23"/>
      <c r="NH30" s="23"/>
      <c r="NI30" s="23"/>
      <c r="NJ30" s="23"/>
      <c r="NK30" s="23"/>
      <c r="NL30" s="23"/>
      <c r="NM30" s="23"/>
      <c r="NN30" s="23"/>
    </row>
    <row r="31" spans="5:378" ht="15" customHeight="1">
      <c r="E31" s="23" t="s">
        <v>2907</v>
      </c>
      <c r="F31" s="34">
        <v>28761.200000000001</v>
      </c>
      <c r="G31" s="34">
        <v>62949.74</v>
      </c>
      <c r="H31" s="34">
        <v>185921.75</v>
      </c>
      <c r="I31" s="34">
        <v>7823.4800000000005</v>
      </c>
      <c r="J31" s="34">
        <v>20649.349999999999</v>
      </c>
      <c r="K31" s="34">
        <v>38479.32</v>
      </c>
      <c r="L31" s="34">
        <v>11528.24</v>
      </c>
      <c r="M31" s="34">
        <v>75853.47</v>
      </c>
      <c r="N31" s="34">
        <v>99012.62</v>
      </c>
      <c r="O31" s="34">
        <v>96008.48</v>
      </c>
      <c r="P31" s="34">
        <v>31373.22</v>
      </c>
      <c r="Q31" s="34">
        <v>75017.78</v>
      </c>
      <c r="R31" s="34">
        <v>32733.739999999998</v>
      </c>
      <c r="S31" s="34">
        <v>74760.149999999994</v>
      </c>
      <c r="T31" s="34">
        <v>51083.420000000006</v>
      </c>
      <c r="U31" s="34">
        <v>70547.11</v>
      </c>
      <c r="V31" s="34">
        <v>4516.7</v>
      </c>
      <c r="W31" s="34">
        <v>41039.879999999997</v>
      </c>
      <c r="X31" s="34">
        <v>72372.48000000001</v>
      </c>
      <c r="Y31" s="34">
        <v>28955.710000000003</v>
      </c>
      <c r="Z31" s="34">
        <v>72167.3</v>
      </c>
      <c r="AA31" s="34">
        <v>210918.24</v>
      </c>
      <c r="AB31" s="34">
        <v>89062.989999999991</v>
      </c>
      <c r="AC31" s="34">
        <v>58773.84</v>
      </c>
      <c r="AD31" s="34">
        <v>140235.22</v>
      </c>
      <c r="AE31" s="34">
        <v>13927.630000000001</v>
      </c>
      <c r="AF31" s="34">
        <v>32250.519999999997</v>
      </c>
      <c r="AG31" s="34">
        <v>88182.8</v>
      </c>
      <c r="AH31" s="34">
        <v>60836.130000000005</v>
      </c>
      <c r="AI31" s="34">
        <v>89271.18</v>
      </c>
      <c r="AJ31" s="34"/>
      <c r="AK31" s="34">
        <v>1965013.6899999997</v>
      </c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  <c r="KW31" s="23"/>
      <c r="KX31" s="23"/>
      <c r="KY31" s="23"/>
      <c r="KZ31" s="23"/>
      <c r="LA31" s="23"/>
      <c r="LB31" s="23"/>
      <c r="LC31" s="23"/>
      <c r="LD31" s="23"/>
      <c r="LE31" s="23"/>
      <c r="LF31" s="23"/>
      <c r="LG31" s="23"/>
      <c r="LH31" s="23"/>
      <c r="LI31" s="23"/>
      <c r="LJ31" s="23"/>
      <c r="LK31" s="23"/>
      <c r="LL31" s="23"/>
      <c r="LM31" s="23"/>
      <c r="LN31" s="23"/>
      <c r="LO31" s="23"/>
      <c r="LP31" s="23"/>
      <c r="LQ31" s="23"/>
      <c r="LR31" s="23"/>
      <c r="LS31" s="23"/>
      <c r="LT31" s="23"/>
      <c r="LU31" s="23"/>
      <c r="LV31" s="23"/>
      <c r="LW31" s="23"/>
      <c r="LX31" s="23"/>
      <c r="LY31" s="23"/>
      <c r="LZ31" s="23"/>
      <c r="MA31" s="23"/>
      <c r="MB31" s="23"/>
      <c r="MC31" s="23"/>
      <c r="MD31" s="23"/>
      <c r="ME31" s="23"/>
      <c r="MF31" s="23"/>
      <c r="MG31" s="23"/>
      <c r="MH31" s="23"/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/>
      <c r="NF31" s="23"/>
      <c r="NG31" s="23"/>
      <c r="NH31" s="23"/>
      <c r="NI31" s="23"/>
      <c r="NJ31" s="23"/>
      <c r="NK31" s="23"/>
      <c r="NL31" s="23"/>
      <c r="NM31" s="23"/>
      <c r="NN31" s="23"/>
    </row>
    <row r="32" spans="5:378" ht="15" customHeight="1">
      <c r="E32" s="23" t="s">
        <v>2906</v>
      </c>
      <c r="F32" s="34">
        <v>82789.949999999983</v>
      </c>
      <c r="G32" s="34">
        <v>82753.37000000001</v>
      </c>
      <c r="H32" s="34">
        <v>37966.089999999997</v>
      </c>
      <c r="I32" s="34">
        <v>42388.119999999995</v>
      </c>
      <c r="J32" s="34">
        <v>113205.31999999999</v>
      </c>
      <c r="K32" s="34">
        <v>191251.6</v>
      </c>
      <c r="L32" s="34">
        <v>58895.109999999993</v>
      </c>
      <c r="M32" s="34">
        <v>82481.440000000002</v>
      </c>
      <c r="N32" s="34">
        <v>69794.649999999994</v>
      </c>
      <c r="O32" s="34">
        <v>29458.160000000003</v>
      </c>
      <c r="P32" s="34">
        <v>45625.440000000002</v>
      </c>
      <c r="Q32" s="34">
        <v>59218.28</v>
      </c>
      <c r="R32" s="34">
        <v>33836.58</v>
      </c>
      <c r="S32" s="34">
        <v>15951.6</v>
      </c>
      <c r="T32" s="34">
        <v>12840.400000000001</v>
      </c>
      <c r="U32" s="34">
        <v>55791.51</v>
      </c>
      <c r="V32" s="34">
        <v>73782.34</v>
      </c>
      <c r="W32" s="34">
        <v>117809.47</v>
      </c>
      <c r="X32" s="34">
        <v>107491.77999999998</v>
      </c>
      <c r="Y32" s="34">
        <v>90724.13</v>
      </c>
      <c r="Z32" s="34">
        <v>65924.819999999992</v>
      </c>
      <c r="AA32" s="34">
        <v>61415.64</v>
      </c>
      <c r="AB32" s="34">
        <v>102315.15</v>
      </c>
      <c r="AC32" s="34">
        <v>53450.710000000006</v>
      </c>
      <c r="AD32" s="34">
        <v>66753.66</v>
      </c>
      <c r="AE32" s="34">
        <v>19115.52</v>
      </c>
      <c r="AF32" s="34">
        <v>49268.729999999996</v>
      </c>
      <c r="AG32" s="34">
        <v>47140.72</v>
      </c>
      <c r="AH32" s="34">
        <v>29011.879999999997</v>
      </c>
      <c r="AI32" s="34">
        <v>67486.899999999994</v>
      </c>
      <c r="AJ32" s="34"/>
      <c r="AK32" s="34">
        <v>1965939.0699999994</v>
      </c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  <c r="KW32" s="23"/>
      <c r="KX32" s="23"/>
      <c r="KY32" s="23"/>
      <c r="KZ32" s="23"/>
      <c r="LA32" s="23"/>
      <c r="LB32" s="23"/>
      <c r="LC32" s="23"/>
      <c r="LD32" s="23"/>
      <c r="LE32" s="23"/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3"/>
      <c r="LT32" s="23"/>
      <c r="LU32" s="23"/>
      <c r="LV32" s="23"/>
      <c r="LW32" s="23"/>
      <c r="LX32" s="23"/>
      <c r="LY32" s="23"/>
      <c r="LZ32" s="23"/>
      <c r="MA32" s="23"/>
      <c r="MB32" s="23"/>
      <c r="MC32" s="23"/>
      <c r="MD32" s="23"/>
      <c r="ME32" s="23"/>
      <c r="MF32" s="23"/>
      <c r="MG32" s="23"/>
      <c r="MH32" s="23"/>
      <c r="MI32" s="23"/>
      <c r="MJ32" s="23"/>
      <c r="MK32" s="23"/>
      <c r="ML32" s="23"/>
      <c r="MM32" s="23"/>
      <c r="MN32" s="23"/>
      <c r="MO32" s="23"/>
      <c r="MP32" s="23"/>
      <c r="MQ32" s="23"/>
      <c r="MR32" s="23"/>
      <c r="MS32" s="23"/>
      <c r="MT32" s="23"/>
      <c r="MU32" s="23"/>
      <c r="MV32" s="23"/>
      <c r="MW32" s="23"/>
      <c r="MX32" s="23"/>
      <c r="MY32" s="23"/>
      <c r="MZ32" s="23"/>
      <c r="NA32" s="23"/>
      <c r="NB32" s="23"/>
      <c r="NC32" s="23"/>
      <c r="ND32" s="23"/>
      <c r="NE32" s="23"/>
      <c r="NF32" s="23"/>
      <c r="NG32" s="23"/>
      <c r="NH32" s="23"/>
      <c r="NI32" s="23"/>
      <c r="NJ32" s="23"/>
      <c r="NK32" s="23"/>
      <c r="NL32" s="23"/>
      <c r="NM32" s="23"/>
      <c r="NN32" s="23"/>
    </row>
    <row r="33" spans="5:378" ht="15" customHeight="1">
      <c r="E33" s="23" t="s">
        <v>2903</v>
      </c>
      <c r="F33" s="34">
        <v>58208.49</v>
      </c>
      <c r="G33" s="34">
        <v>53533</v>
      </c>
      <c r="H33" s="34">
        <v>107489.23000000001</v>
      </c>
      <c r="I33" s="34">
        <v>14394.38</v>
      </c>
      <c r="J33" s="34">
        <v>85853.430000000008</v>
      </c>
      <c r="K33" s="34">
        <v>145435.13</v>
      </c>
      <c r="L33" s="34">
        <v>105489.82999999999</v>
      </c>
      <c r="M33" s="34">
        <v>164615.04999999999</v>
      </c>
      <c r="N33" s="34">
        <v>19130.39</v>
      </c>
      <c r="O33" s="34"/>
      <c r="P33" s="34">
        <v>77891.760000000009</v>
      </c>
      <c r="Q33" s="34">
        <v>20450.240000000002</v>
      </c>
      <c r="R33" s="34">
        <v>80024.44</v>
      </c>
      <c r="S33" s="34">
        <v>85611.839999999997</v>
      </c>
      <c r="T33" s="34">
        <v>67837.490000000005</v>
      </c>
      <c r="U33" s="34">
        <v>153834.45000000001</v>
      </c>
      <c r="V33" s="34">
        <v>120293.66</v>
      </c>
      <c r="W33" s="34">
        <v>51595.619999999995</v>
      </c>
      <c r="X33" s="34">
        <v>68954.539999999994</v>
      </c>
      <c r="Y33" s="34">
        <v>215416.30000000002</v>
      </c>
      <c r="Z33" s="34">
        <v>100685.62</v>
      </c>
      <c r="AA33" s="34">
        <v>51327.360000000001</v>
      </c>
      <c r="AB33" s="34">
        <v>82920.600000000006</v>
      </c>
      <c r="AC33" s="34">
        <v>63984.05</v>
      </c>
      <c r="AD33" s="34">
        <v>130752.95000000001</v>
      </c>
      <c r="AE33" s="34">
        <v>66759.360000000001</v>
      </c>
      <c r="AF33" s="34">
        <v>36563.800000000003</v>
      </c>
      <c r="AG33" s="34">
        <v>65497.58</v>
      </c>
      <c r="AH33" s="34">
        <v>63730.97</v>
      </c>
      <c r="AI33" s="34">
        <v>122041.05999999998</v>
      </c>
      <c r="AJ33" s="34"/>
      <c r="AK33" s="34">
        <v>2480322.6200000006</v>
      </c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/>
      <c r="KY33" s="23"/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  <c r="LT33" s="23"/>
      <c r="LU33" s="23"/>
      <c r="LV33" s="23"/>
      <c r="LW33" s="23"/>
      <c r="LX33" s="23"/>
      <c r="LY33" s="23"/>
      <c r="LZ33" s="23"/>
      <c r="MA33" s="23"/>
      <c r="MB33" s="23"/>
      <c r="MC33" s="23"/>
      <c r="MD33" s="23"/>
      <c r="ME33" s="23"/>
      <c r="MF33" s="23"/>
      <c r="MG33" s="23"/>
      <c r="MH33" s="23"/>
      <c r="MI33" s="23"/>
      <c r="MJ33" s="23"/>
      <c r="MK33" s="23"/>
      <c r="ML33" s="23"/>
      <c r="MM33" s="23"/>
      <c r="MN33" s="23"/>
      <c r="MO33" s="23"/>
      <c r="MP33" s="23"/>
      <c r="MQ33" s="23"/>
      <c r="MR33" s="23"/>
      <c r="MS33" s="23"/>
      <c r="MT33" s="23"/>
      <c r="MU33" s="23"/>
      <c r="MV33" s="23"/>
      <c r="MW33" s="23"/>
      <c r="MX33" s="23"/>
      <c r="MY33" s="23"/>
      <c r="MZ33" s="23"/>
      <c r="NA33" s="23"/>
      <c r="NB33" s="23"/>
      <c r="NC33" s="23"/>
      <c r="ND33" s="23"/>
      <c r="NE33" s="23"/>
      <c r="NF33" s="23"/>
      <c r="NG33" s="23"/>
      <c r="NH33" s="23"/>
      <c r="NI33" s="23"/>
      <c r="NJ33" s="23"/>
      <c r="NK33" s="23"/>
      <c r="NL33" s="23"/>
      <c r="NM33" s="23"/>
      <c r="NN33" s="23"/>
    </row>
    <row r="34" spans="5:378" ht="15" customHeight="1">
      <c r="E34" s="23" t="s">
        <v>2905</v>
      </c>
      <c r="F34" s="34">
        <v>44809.659999999996</v>
      </c>
      <c r="G34" s="34">
        <v>89794.86</v>
      </c>
      <c r="H34" s="34">
        <v>139257.72</v>
      </c>
      <c r="I34" s="34">
        <v>140739.80000000002</v>
      </c>
      <c r="J34" s="34">
        <v>67702.820000000007</v>
      </c>
      <c r="K34" s="34">
        <v>78322.48000000001</v>
      </c>
      <c r="L34" s="34">
        <v>41157.840000000004</v>
      </c>
      <c r="M34" s="34">
        <v>67200.569999999992</v>
      </c>
      <c r="N34" s="34">
        <v>100231.54</v>
      </c>
      <c r="O34" s="34">
        <v>83732.94</v>
      </c>
      <c r="P34" s="34">
        <v>10392.16</v>
      </c>
      <c r="Q34" s="34">
        <v>37183.630000000005</v>
      </c>
      <c r="R34" s="34">
        <v>80787.31</v>
      </c>
      <c r="S34" s="34">
        <v>154170.19999999998</v>
      </c>
      <c r="T34" s="34">
        <v>146185.96000000002</v>
      </c>
      <c r="U34" s="34">
        <v>67937.959999999992</v>
      </c>
      <c r="V34" s="34">
        <v>113791.15</v>
      </c>
      <c r="W34" s="34">
        <v>173129.47</v>
      </c>
      <c r="X34" s="34">
        <v>58746.86</v>
      </c>
      <c r="Y34" s="34">
        <v>182980.02999999997</v>
      </c>
      <c r="Z34" s="34">
        <v>56143.78</v>
      </c>
      <c r="AA34" s="34">
        <v>8802.7900000000009</v>
      </c>
      <c r="AB34" s="34">
        <v>40444.230000000003</v>
      </c>
      <c r="AC34" s="34">
        <v>125217.67</v>
      </c>
      <c r="AD34" s="34">
        <v>59507.42</v>
      </c>
      <c r="AE34" s="34">
        <v>30080.400000000001</v>
      </c>
      <c r="AF34" s="34">
        <v>85103.459999999992</v>
      </c>
      <c r="AG34" s="34">
        <v>68897.649999999994</v>
      </c>
      <c r="AH34" s="34">
        <v>180359.49</v>
      </c>
      <c r="AI34" s="34">
        <v>47579.17</v>
      </c>
      <c r="AJ34" s="34"/>
      <c r="AK34" s="34">
        <v>2580391.0199999996</v>
      </c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3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  <c r="KH34" s="23"/>
      <c r="KI34" s="23"/>
      <c r="KJ34" s="23"/>
      <c r="KK34" s="23"/>
      <c r="KL34" s="23"/>
      <c r="KM34" s="23"/>
      <c r="KN34" s="23"/>
      <c r="KO34" s="23"/>
      <c r="KP34" s="23"/>
      <c r="KQ34" s="23"/>
      <c r="KR34" s="23"/>
      <c r="KS34" s="23"/>
      <c r="KT34" s="23"/>
      <c r="KU34" s="23"/>
      <c r="KV34" s="23"/>
      <c r="KW34" s="23"/>
      <c r="KX34" s="23"/>
      <c r="KY34" s="23"/>
      <c r="KZ34" s="23"/>
      <c r="LA34" s="23"/>
      <c r="LB34" s="23"/>
      <c r="LC34" s="23"/>
      <c r="LD34" s="23"/>
      <c r="LE34" s="23"/>
      <c r="LF34" s="23"/>
      <c r="LG34" s="23"/>
      <c r="LH34" s="23"/>
      <c r="LI34" s="23"/>
      <c r="LJ34" s="23"/>
      <c r="LK34" s="23"/>
      <c r="LL34" s="23"/>
      <c r="LM34" s="23"/>
      <c r="LN34" s="23"/>
      <c r="LO34" s="23"/>
      <c r="LP34" s="23"/>
      <c r="LQ34" s="23"/>
      <c r="LR34" s="23"/>
      <c r="LS34" s="23"/>
      <c r="LT34" s="23"/>
      <c r="LU34" s="23"/>
      <c r="LV34" s="23"/>
      <c r="LW34" s="23"/>
      <c r="LX34" s="23"/>
      <c r="LY34" s="23"/>
      <c r="LZ34" s="23"/>
      <c r="MA34" s="23"/>
      <c r="MB34" s="23"/>
      <c r="MC34" s="23"/>
      <c r="MD34" s="23"/>
      <c r="ME34" s="23"/>
      <c r="MF34" s="23"/>
      <c r="MG34" s="23"/>
      <c r="MH34" s="23"/>
      <c r="MI34" s="23"/>
      <c r="MJ34" s="23"/>
      <c r="MK34" s="23"/>
      <c r="ML34" s="23"/>
      <c r="MM34" s="23"/>
      <c r="MN34" s="23"/>
      <c r="MO34" s="23"/>
      <c r="MP34" s="23"/>
      <c r="MQ34" s="23"/>
      <c r="MR34" s="23"/>
      <c r="MS34" s="23"/>
      <c r="MT34" s="23"/>
      <c r="MU34" s="23"/>
      <c r="MV34" s="23"/>
      <c r="MW34" s="23"/>
      <c r="MX34" s="23"/>
      <c r="MY34" s="23"/>
      <c r="MZ34" s="23"/>
      <c r="NA34" s="23"/>
      <c r="NB34" s="23"/>
      <c r="NC34" s="23"/>
      <c r="ND34" s="23"/>
      <c r="NE34" s="23"/>
      <c r="NF34" s="23"/>
      <c r="NG34" s="23"/>
      <c r="NH34" s="23"/>
      <c r="NI34" s="23"/>
      <c r="NJ34" s="23"/>
      <c r="NK34" s="23"/>
      <c r="NL34" s="23"/>
      <c r="NM34" s="23"/>
      <c r="NN34" s="23"/>
    </row>
    <row r="35" spans="5:378" ht="15" customHeight="1">
      <c r="E35" s="23" t="s">
        <v>2911</v>
      </c>
      <c r="F35" s="34">
        <v>72215.41</v>
      </c>
      <c r="G35" s="34">
        <v>158277.82</v>
      </c>
      <c r="H35" s="34">
        <v>106760.75</v>
      </c>
      <c r="I35" s="34">
        <v>38491.18</v>
      </c>
      <c r="J35" s="34">
        <v>55570.99</v>
      </c>
      <c r="K35" s="34">
        <v>81500.239999999991</v>
      </c>
      <c r="L35" s="34">
        <v>130208.90000000001</v>
      </c>
      <c r="M35" s="34">
        <v>64537.259999999995</v>
      </c>
      <c r="N35" s="34">
        <v>30954.959999999999</v>
      </c>
      <c r="O35" s="34">
        <v>119201.56999999999</v>
      </c>
      <c r="P35" s="34">
        <v>64240.800000000003</v>
      </c>
      <c r="Q35" s="34">
        <v>69152.06</v>
      </c>
      <c r="R35" s="34">
        <v>108112.06999999999</v>
      </c>
      <c r="S35" s="34">
        <v>50971.92</v>
      </c>
      <c r="T35" s="34">
        <v>97394.65</v>
      </c>
      <c r="U35" s="34">
        <v>26689.96</v>
      </c>
      <c r="V35" s="34">
        <v>23417.13</v>
      </c>
      <c r="W35" s="34">
        <v>84868.64</v>
      </c>
      <c r="X35" s="34">
        <v>96634.5</v>
      </c>
      <c r="Y35" s="34">
        <v>68985.010000000009</v>
      </c>
      <c r="Z35" s="34">
        <v>53126.100000000006</v>
      </c>
      <c r="AA35" s="34">
        <v>76504.66</v>
      </c>
      <c r="AB35" s="34">
        <v>59984.34</v>
      </c>
      <c r="AC35" s="34">
        <v>68084.649999999994</v>
      </c>
      <c r="AD35" s="34">
        <v>103237.54000000001</v>
      </c>
      <c r="AE35" s="34">
        <v>28769.67</v>
      </c>
      <c r="AF35" s="34">
        <v>110369.59</v>
      </c>
      <c r="AG35" s="34">
        <v>64459.770000000004</v>
      </c>
      <c r="AH35" s="34">
        <v>65290.45</v>
      </c>
      <c r="AI35" s="34">
        <v>119624.48999999999</v>
      </c>
      <c r="AJ35" s="34"/>
      <c r="AK35" s="34">
        <v>2297637.08</v>
      </c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/>
      <c r="MD35" s="23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3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3"/>
      <c r="NE35" s="23"/>
      <c r="NF35" s="23"/>
      <c r="NG35" s="23"/>
      <c r="NH35" s="23"/>
      <c r="NI35" s="23"/>
      <c r="NJ35" s="23"/>
      <c r="NK35" s="23"/>
      <c r="NL35" s="23"/>
      <c r="NM35" s="23"/>
      <c r="NN35" s="23"/>
    </row>
    <row r="36" spans="5:378" ht="15" customHeight="1">
      <c r="E36" s="23" t="s">
        <v>2910</v>
      </c>
      <c r="F36" s="34">
        <v>37753.900000000009</v>
      </c>
      <c r="G36" s="34">
        <v>35751.81</v>
      </c>
      <c r="H36" s="34">
        <v>29309.979999999996</v>
      </c>
      <c r="I36" s="34">
        <v>43456.180000000008</v>
      </c>
      <c r="J36" s="34">
        <v>99252.76999999999</v>
      </c>
      <c r="K36" s="34">
        <v>52942.27</v>
      </c>
      <c r="L36" s="34">
        <v>57313.75</v>
      </c>
      <c r="M36" s="34">
        <v>26620.46</v>
      </c>
      <c r="N36" s="34">
        <v>107648.92</v>
      </c>
      <c r="O36" s="34">
        <v>64630.99</v>
      </c>
      <c r="P36" s="34">
        <v>55503.48</v>
      </c>
      <c r="Q36" s="34">
        <v>89150.849999999991</v>
      </c>
      <c r="R36" s="34">
        <v>46714.579999999994</v>
      </c>
      <c r="S36" s="34">
        <v>80097.179999999993</v>
      </c>
      <c r="T36" s="34">
        <v>119179.18</v>
      </c>
      <c r="U36" s="34">
        <v>55604.090000000004</v>
      </c>
      <c r="V36" s="34">
        <v>75670.28</v>
      </c>
      <c r="W36" s="34">
        <v>109087.31</v>
      </c>
      <c r="X36" s="34">
        <v>152548.56</v>
      </c>
      <c r="Y36" s="34">
        <v>23378.260000000002</v>
      </c>
      <c r="Z36" s="34">
        <v>42203.749999999993</v>
      </c>
      <c r="AA36" s="34">
        <v>73388.56</v>
      </c>
      <c r="AB36" s="34">
        <v>13975.5</v>
      </c>
      <c r="AC36" s="34">
        <v>82877.570000000007</v>
      </c>
      <c r="AD36" s="34">
        <v>8289.0300000000007</v>
      </c>
      <c r="AE36" s="34">
        <v>79217.400000000009</v>
      </c>
      <c r="AF36" s="34">
        <v>110709.74999999999</v>
      </c>
      <c r="AG36" s="34">
        <v>137494.43</v>
      </c>
      <c r="AH36" s="34">
        <v>27441.88</v>
      </c>
      <c r="AI36" s="34">
        <v>40669.760000000002</v>
      </c>
      <c r="AJ36" s="34"/>
      <c r="AK36" s="34">
        <v>1977882.4299999997</v>
      </c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  <c r="JA36" s="23"/>
      <c r="JB36" s="23"/>
      <c r="JC36" s="23"/>
      <c r="JD36" s="23"/>
      <c r="JE36" s="23"/>
      <c r="JF36" s="23"/>
      <c r="JG36" s="23"/>
      <c r="JH36" s="23"/>
      <c r="JI36" s="23"/>
      <c r="JJ36" s="23"/>
      <c r="JK36" s="23"/>
      <c r="JL36" s="23"/>
      <c r="JM36" s="23"/>
      <c r="JN36" s="23"/>
      <c r="JO36" s="23"/>
      <c r="JP36" s="23"/>
      <c r="JQ36" s="23"/>
      <c r="JR36" s="23"/>
      <c r="JS36" s="23"/>
      <c r="JT36" s="23"/>
      <c r="JU36" s="23"/>
      <c r="JV36" s="23"/>
      <c r="JW36" s="23"/>
      <c r="JX36" s="23"/>
      <c r="JY36" s="23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23"/>
      <c r="KT36" s="23"/>
      <c r="KU36" s="23"/>
      <c r="KV36" s="23"/>
      <c r="KW36" s="23"/>
      <c r="KX36" s="23"/>
      <c r="KY36" s="23"/>
      <c r="KZ36" s="23"/>
      <c r="LA36" s="23"/>
      <c r="LB36" s="23"/>
      <c r="LC36" s="23"/>
      <c r="LD36" s="23"/>
      <c r="LE36" s="23"/>
      <c r="LF36" s="23"/>
      <c r="LG36" s="23"/>
      <c r="LH36" s="23"/>
      <c r="LI36" s="23"/>
      <c r="LJ36" s="23"/>
      <c r="LK36" s="23"/>
      <c r="LL36" s="23"/>
      <c r="LM36" s="23"/>
      <c r="LN36" s="23"/>
      <c r="LO36" s="23"/>
      <c r="LP36" s="23"/>
      <c r="LQ36" s="23"/>
      <c r="LR36" s="23"/>
      <c r="LS36" s="23"/>
      <c r="LT36" s="23"/>
      <c r="LU36" s="23"/>
      <c r="LV36" s="23"/>
      <c r="LW36" s="23"/>
      <c r="LX36" s="23"/>
      <c r="LY36" s="23"/>
      <c r="LZ36" s="23"/>
      <c r="MA36" s="23"/>
      <c r="MB36" s="23"/>
      <c r="MC36" s="23"/>
      <c r="MD36" s="23"/>
      <c r="ME36" s="23"/>
      <c r="MF36" s="23"/>
      <c r="MG36" s="23"/>
      <c r="MH36" s="23"/>
      <c r="MI36" s="23"/>
      <c r="MJ36" s="23"/>
      <c r="MK36" s="23"/>
      <c r="ML36" s="23"/>
      <c r="MM36" s="23"/>
      <c r="MN36" s="23"/>
      <c r="MO36" s="23"/>
      <c r="MP36" s="23"/>
      <c r="MQ36" s="23"/>
      <c r="MR36" s="23"/>
      <c r="MS36" s="23"/>
      <c r="MT36" s="23"/>
      <c r="MU36" s="23"/>
      <c r="MV36" s="23"/>
      <c r="MW36" s="23"/>
      <c r="MX36" s="23"/>
      <c r="MY36" s="23"/>
      <c r="MZ36" s="23"/>
      <c r="NA36" s="23"/>
      <c r="NB36" s="23"/>
      <c r="NC36" s="23"/>
      <c r="ND36" s="23"/>
      <c r="NE36" s="23"/>
      <c r="NF36" s="23"/>
      <c r="NG36" s="23"/>
      <c r="NH36" s="23"/>
      <c r="NI36" s="23"/>
      <c r="NJ36" s="23"/>
      <c r="NK36" s="23"/>
      <c r="NL36" s="23"/>
      <c r="NM36" s="23"/>
      <c r="NN36" s="23"/>
    </row>
    <row r="37" spans="5:378" ht="15" customHeight="1">
      <c r="E37" s="23" t="s">
        <v>2909</v>
      </c>
      <c r="F37" s="34">
        <v>88884.34</v>
      </c>
      <c r="G37" s="34">
        <v>91647.290000000008</v>
      </c>
      <c r="H37" s="34">
        <v>69896.72</v>
      </c>
      <c r="I37" s="34">
        <v>46944.28</v>
      </c>
      <c r="J37" s="34">
        <v>81963.69</v>
      </c>
      <c r="K37" s="34">
        <v>76627.83</v>
      </c>
      <c r="L37" s="34">
        <v>52194.149999999994</v>
      </c>
      <c r="M37" s="34">
        <v>49404.639999999999</v>
      </c>
      <c r="N37" s="34">
        <v>98466.52</v>
      </c>
      <c r="O37" s="34">
        <v>146100.57</v>
      </c>
      <c r="P37" s="34">
        <v>88472.060000000012</v>
      </c>
      <c r="Q37" s="34">
        <v>104717.03</v>
      </c>
      <c r="R37" s="34">
        <v>63389.33</v>
      </c>
      <c r="S37" s="34">
        <v>45673.51</v>
      </c>
      <c r="T37" s="34">
        <v>92815.3</v>
      </c>
      <c r="U37" s="34">
        <v>34105.56</v>
      </c>
      <c r="V37" s="34">
        <v>75893.02</v>
      </c>
      <c r="W37" s="34">
        <v>29070.76</v>
      </c>
      <c r="X37" s="34">
        <v>34590.78</v>
      </c>
      <c r="Y37" s="34">
        <v>57555.72</v>
      </c>
      <c r="Z37" s="34">
        <v>108409.59</v>
      </c>
      <c r="AA37" s="34">
        <v>87991.220000000016</v>
      </c>
      <c r="AB37" s="34">
        <v>50462.58</v>
      </c>
      <c r="AC37" s="34">
        <v>16909.739999999998</v>
      </c>
      <c r="AD37" s="34">
        <v>121716.57999999999</v>
      </c>
      <c r="AE37" s="34">
        <v>26249.420000000002</v>
      </c>
      <c r="AF37" s="34">
        <v>133645.79999999999</v>
      </c>
      <c r="AG37" s="34">
        <v>44209.14</v>
      </c>
      <c r="AH37" s="34">
        <v>18360.240000000002</v>
      </c>
      <c r="AI37" s="34">
        <v>26448.21</v>
      </c>
      <c r="AJ37" s="34"/>
      <c r="AK37" s="34">
        <v>2062815.6200000003</v>
      </c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  <c r="IZ37" s="23"/>
      <c r="JA37" s="23"/>
      <c r="JB37" s="23"/>
      <c r="JC37" s="23"/>
      <c r="JD37" s="23"/>
      <c r="JE37" s="23"/>
      <c r="JF37" s="23"/>
      <c r="JG37" s="23"/>
      <c r="JH37" s="23"/>
      <c r="JI37" s="23"/>
      <c r="JJ37" s="23"/>
      <c r="JK37" s="23"/>
      <c r="JL37" s="23"/>
      <c r="JM37" s="23"/>
      <c r="JN37" s="23"/>
      <c r="JO37" s="23"/>
      <c r="JP37" s="23"/>
      <c r="JQ37" s="23"/>
      <c r="JR37" s="23"/>
      <c r="JS37" s="23"/>
      <c r="JT37" s="23"/>
      <c r="JU37" s="23"/>
      <c r="JV37" s="23"/>
      <c r="JW37" s="23"/>
      <c r="JX37" s="23"/>
      <c r="JY37" s="23"/>
      <c r="JZ37" s="23"/>
      <c r="KA37" s="23"/>
      <c r="KB37" s="23"/>
      <c r="KC37" s="23"/>
      <c r="KD37" s="23"/>
      <c r="KE37" s="23"/>
      <c r="KF37" s="23"/>
      <c r="KG37" s="23"/>
      <c r="KH37" s="23"/>
      <c r="KI37" s="23"/>
      <c r="KJ37" s="23"/>
      <c r="KK37" s="23"/>
      <c r="KL37" s="23"/>
      <c r="KM37" s="23"/>
      <c r="KN37" s="23"/>
      <c r="KO37" s="23"/>
      <c r="KP37" s="23"/>
      <c r="KQ37" s="23"/>
      <c r="KR37" s="23"/>
      <c r="KS37" s="23"/>
      <c r="KT37" s="23"/>
      <c r="KU37" s="23"/>
      <c r="KV37" s="23"/>
      <c r="KW37" s="23"/>
      <c r="KX37" s="23"/>
      <c r="KY37" s="23"/>
      <c r="KZ37" s="23"/>
      <c r="LA37" s="23"/>
      <c r="LB37" s="23"/>
      <c r="LC37" s="23"/>
      <c r="LD37" s="23"/>
      <c r="LE37" s="23"/>
      <c r="LF37" s="23"/>
      <c r="LG37" s="23"/>
      <c r="LH37" s="23"/>
      <c r="LI37" s="23"/>
      <c r="LJ37" s="23"/>
      <c r="LK37" s="23"/>
      <c r="LL37" s="23"/>
      <c r="LM37" s="23"/>
      <c r="LN37" s="23"/>
      <c r="LO37" s="23"/>
      <c r="LP37" s="23"/>
      <c r="LQ37" s="23"/>
      <c r="LR37" s="23"/>
      <c r="LS37" s="23"/>
      <c r="LT37" s="23"/>
      <c r="LU37" s="23"/>
      <c r="LV37" s="23"/>
      <c r="LW37" s="23"/>
      <c r="LX37" s="23"/>
      <c r="LY37" s="23"/>
      <c r="LZ37" s="23"/>
      <c r="MA37" s="23"/>
      <c r="MB37" s="23"/>
      <c r="MC37" s="23"/>
      <c r="MD37" s="23"/>
      <c r="ME37" s="23"/>
      <c r="MF37" s="23"/>
      <c r="MG37" s="23"/>
      <c r="MH37" s="23"/>
      <c r="MI37" s="23"/>
      <c r="MJ37" s="23"/>
      <c r="MK37" s="23"/>
      <c r="ML37" s="23"/>
      <c r="MM37" s="23"/>
      <c r="MN37" s="23"/>
      <c r="MO37" s="23"/>
      <c r="MP37" s="23"/>
      <c r="MQ37" s="23"/>
      <c r="MR37" s="23"/>
      <c r="MS37" s="23"/>
      <c r="MT37" s="23"/>
      <c r="MU37" s="23"/>
      <c r="MV37" s="23"/>
      <c r="MW37" s="23"/>
      <c r="MX37" s="23"/>
      <c r="MY37" s="23"/>
      <c r="MZ37" s="23"/>
      <c r="NA37" s="23"/>
      <c r="NB37" s="23"/>
      <c r="NC37" s="23"/>
      <c r="ND37" s="23"/>
      <c r="NE37" s="23"/>
      <c r="NF37" s="23"/>
      <c r="NG37" s="23"/>
      <c r="NH37" s="23"/>
      <c r="NI37" s="23"/>
      <c r="NJ37" s="23"/>
      <c r="NK37" s="23"/>
      <c r="NL37" s="23"/>
      <c r="NM37" s="23"/>
      <c r="NN37" s="23"/>
    </row>
    <row r="38" spans="5:378" ht="15" customHeight="1">
      <c r="E38" s="23" t="s">
        <v>2988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  <c r="JA38" s="23"/>
      <c r="JB38" s="23"/>
      <c r="JC38" s="23"/>
      <c r="JD38" s="23"/>
      <c r="JE38" s="23"/>
      <c r="JF38" s="23"/>
      <c r="JG38" s="23"/>
      <c r="JH38" s="23"/>
      <c r="JI38" s="23"/>
      <c r="JJ38" s="23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  <c r="KW38" s="23"/>
      <c r="KX38" s="23"/>
      <c r="KY38" s="23"/>
      <c r="KZ38" s="23"/>
      <c r="LA38" s="23"/>
      <c r="LB38" s="23"/>
      <c r="LC38" s="23"/>
      <c r="LD38" s="23"/>
      <c r="LE38" s="23"/>
      <c r="LF38" s="23"/>
      <c r="LG38" s="23"/>
      <c r="LH38" s="23"/>
      <c r="LI38" s="23"/>
      <c r="LJ38" s="23"/>
      <c r="LK38" s="23"/>
      <c r="LL38" s="23"/>
      <c r="LM38" s="23"/>
      <c r="LN38" s="23"/>
      <c r="LO38" s="23"/>
      <c r="LP38" s="23"/>
      <c r="LQ38" s="23"/>
      <c r="LR38" s="23"/>
      <c r="LS38" s="23"/>
      <c r="LT38" s="23"/>
      <c r="LU38" s="23"/>
      <c r="LV38" s="23"/>
      <c r="LW38" s="23"/>
      <c r="LX38" s="23"/>
      <c r="LY38" s="23"/>
      <c r="LZ38" s="23"/>
      <c r="MA38" s="23"/>
      <c r="MB38" s="23"/>
      <c r="MC38" s="23"/>
      <c r="MD38" s="23"/>
      <c r="ME38" s="23"/>
      <c r="MF38" s="23"/>
      <c r="MG38" s="23"/>
      <c r="MH38" s="23"/>
      <c r="MI38" s="23"/>
      <c r="MJ38" s="23"/>
      <c r="MK38" s="23"/>
      <c r="ML38" s="23"/>
      <c r="MM38" s="23"/>
      <c r="MN38" s="23"/>
      <c r="MO38" s="23"/>
      <c r="MP38" s="23"/>
      <c r="MQ38" s="23"/>
      <c r="MR38" s="23"/>
      <c r="MS38" s="23"/>
      <c r="MT38" s="23"/>
      <c r="MU38" s="23"/>
      <c r="MV38" s="23"/>
      <c r="MW38" s="23"/>
      <c r="MX38" s="23"/>
      <c r="MY38" s="23"/>
      <c r="MZ38" s="23"/>
      <c r="NA38" s="23"/>
      <c r="NB38" s="23"/>
      <c r="NC38" s="23"/>
      <c r="ND38" s="23"/>
      <c r="NE38" s="23"/>
      <c r="NF38" s="23"/>
      <c r="NG38" s="23"/>
      <c r="NH38" s="23"/>
      <c r="NI38" s="23"/>
      <c r="NJ38" s="23"/>
      <c r="NK38" s="23"/>
      <c r="NL38" s="23"/>
      <c r="NM38" s="23"/>
      <c r="NN38" s="23"/>
    </row>
    <row r="39" spans="5:378" ht="15" customHeight="1">
      <c r="E39" s="23" t="s">
        <v>2989</v>
      </c>
      <c r="F39" s="34">
        <v>789849.60000000009</v>
      </c>
      <c r="G39" s="34">
        <v>980063.66000000015</v>
      </c>
      <c r="H39" s="34">
        <v>986692.90999999992</v>
      </c>
      <c r="I39" s="34">
        <v>589026.29</v>
      </c>
      <c r="J39" s="34">
        <v>782445.32999999984</v>
      </c>
      <c r="K39" s="34">
        <v>1138648.73</v>
      </c>
      <c r="L39" s="34">
        <v>855749.67999999993</v>
      </c>
      <c r="M39" s="34">
        <v>861553.33</v>
      </c>
      <c r="N39" s="34">
        <v>914554.72</v>
      </c>
      <c r="O39" s="34">
        <v>880345.2</v>
      </c>
      <c r="P39" s="34">
        <v>735207.76</v>
      </c>
      <c r="Q39" s="34">
        <v>901394.32000000018</v>
      </c>
      <c r="R39" s="34">
        <v>811524.37999999977</v>
      </c>
      <c r="S39" s="34">
        <v>995713.54</v>
      </c>
      <c r="T39" s="34">
        <v>1091740.1800000002</v>
      </c>
      <c r="U39" s="34">
        <v>814563.70999999973</v>
      </c>
      <c r="V39" s="34">
        <v>780384.41000000015</v>
      </c>
      <c r="W39" s="34">
        <v>1112289.6399999999</v>
      </c>
      <c r="X39" s="34">
        <v>971183.52</v>
      </c>
      <c r="Y39" s="34">
        <v>906107.71</v>
      </c>
      <c r="Z39" s="34">
        <v>761507.16999999993</v>
      </c>
      <c r="AA39" s="34">
        <v>1069570.54</v>
      </c>
      <c r="AB39" s="34">
        <v>983787.47999999986</v>
      </c>
      <c r="AC39" s="34">
        <v>819558.58000000007</v>
      </c>
      <c r="AD39" s="34">
        <v>901298.89000000013</v>
      </c>
      <c r="AE39" s="34">
        <v>576305.08000000007</v>
      </c>
      <c r="AF39" s="34">
        <v>917092.62000000011</v>
      </c>
      <c r="AG39" s="34">
        <v>880468.04999999993</v>
      </c>
      <c r="AH39" s="34">
        <v>1016696.7999999999</v>
      </c>
      <c r="AI39" s="34">
        <v>747624.37</v>
      </c>
      <c r="AJ39" s="34"/>
      <c r="AK39" s="34">
        <v>26572948.199999999</v>
      </c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  <c r="IZ39" s="23"/>
      <c r="JA39" s="23"/>
      <c r="JB39" s="23"/>
      <c r="JC39" s="23"/>
      <c r="JD39" s="23"/>
      <c r="JE39" s="23"/>
      <c r="JF39" s="23"/>
      <c r="JG39" s="23"/>
      <c r="JH39" s="23"/>
      <c r="JI39" s="23"/>
      <c r="JJ39" s="23"/>
      <c r="JK39" s="23"/>
      <c r="JL39" s="23"/>
      <c r="JM39" s="23"/>
      <c r="JN39" s="23"/>
      <c r="JO39" s="23"/>
      <c r="JP39" s="23"/>
      <c r="JQ39" s="23"/>
      <c r="JR39" s="23"/>
      <c r="JS39" s="23"/>
      <c r="JT39" s="23"/>
      <c r="JU39" s="23"/>
      <c r="JV39" s="23"/>
      <c r="JW39" s="23"/>
      <c r="JX39" s="23"/>
      <c r="JY39" s="23"/>
      <c r="JZ39" s="23"/>
      <c r="KA39" s="23"/>
      <c r="KB39" s="23"/>
      <c r="KC39" s="23"/>
      <c r="KD39" s="23"/>
      <c r="KE39" s="23"/>
      <c r="KF39" s="23"/>
      <c r="KG39" s="23"/>
      <c r="KH39" s="23"/>
      <c r="KI39" s="23"/>
      <c r="KJ39" s="23"/>
      <c r="KK39" s="23"/>
      <c r="KL39" s="23"/>
      <c r="KM39" s="23"/>
      <c r="KN39" s="23"/>
      <c r="KO39" s="23"/>
      <c r="KP39" s="23"/>
      <c r="KQ39" s="23"/>
      <c r="KR39" s="23"/>
      <c r="KS39" s="23"/>
      <c r="KT39" s="23"/>
      <c r="KU39" s="23"/>
      <c r="KV39" s="23"/>
      <c r="KW39" s="23"/>
      <c r="KX39" s="23"/>
      <c r="KY39" s="23"/>
      <c r="KZ39" s="23"/>
      <c r="LA39" s="23"/>
      <c r="LB39" s="23"/>
      <c r="LC39" s="23"/>
      <c r="LD39" s="23"/>
      <c r="LE39" s="23"/>
      <c r="LF39" s="23"/>
      <c r="LG39" s="23"/>
      <c r="LH39" s="23"/>
      <c r="LI39" s="23"/>
      <c r="LJ39" s="23"/>
      <c r="LK39" s="23"/>
      <c r="LL39" s="23"/>
      <c r="LM39" s="23"/>
      <c r="LN39" s="23"/>
      <c r="LO39" s="23"/>
      <c r="LP39" s="23"/>
      <c r="LQ39" s="23"/>
      <c r="LR39" s="23"/>
      <c r="LS39" s="23"/>
      <c r="LT39" s="23"/>
      <c r="LU39" s="23"/>
      <c r="LV39" s="23"/>
      <c r="LW39" s="23"/>
      <c r="LX39" s="23"/>
      <c r="LY39" s="23"/>
      <c r="LZ39" s="23"/>
      <c r="MA39" s="23"/>
      <c r="MB39" s="23"/>
      <c r="MC39" s="23"/>
      <c r="MD39" s="23"/>
      <c r="ME39" s="23"/>
      <c r="MF39" s="23"/>
      <c r="MG39" s="23"/>
      <c r="MH39" s="23"/>
      <c r="MI39" s="23"/>
      <c r="MJ39" s="23"/>
      <c r="MK39" s="23"/>
      <c r="ML39" s="23"/>
      <c r="MM39" s="23"/>
      <c r="MN39" s="23"/>
      <c r="MO39" s="23"/>
      <c r="MP39" s="23"/>
      <c r="MQ39" s="23"/>
      <c r="MR39" s="23"/>
      <c r="MS39" s="23"/>
      <c r="MT39" s="23"/>
      <c r="MU39" s="23"/>
      <c r="MV39" s="23"/>
      <c r="MW39" s="23"/>
      <c r="MX39" s="23"/>
      <c r="MY39" s="23"/>
      <c r="MZ39" s="23"/>
      <c r="NA39" s="23"/>
      <c r="NB39" s="23"/>
      <c r="NC39" s="23"/>
      <c r="ND39" s="23"/>
      <c r="NE39" s="23"/>
      <c r="NF39" s="23"/>
      <c r="NG39" s="23"/>
      <c r="NH39" s="23"/>
      <c r="NI39" s="23"/>
      <c r="NJ39" s="23"/>
      <c r="NK39" s="23"/>
      <c r="NL39" s="23"/>
      <c r="NM39" s="23"/>
      <c r="NN39" s="23"/>
    </row>
    <row r="40" spans="5:378" ht="15" customHeight="1"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  <c r="IZ40" s="23"/>
      <c r="JA40" s="23"/>
      <c r="JB40" s="23"/>
      <c r="JC40" s="23"/>
      <c r="JD40" s="23"/>
      <c r="JE40" s="23"/>
      <c r="JF40" s="23"/>
      <c r="JG40" s="23"/>
      <c r="JH40" s="23"/>
      <c r="JI40" s="23"/>
      <c r="JJ40" s="23"/>
      <c r="JK40" s="23"/>
      <c r="JL40" s="23"/>
      <c r="JM40" s="23"/>
      <c r="JN40" s="23"/>
      <c r="JO40" s="23"/>
      <c r="JP40" s="23"/>
      <c r="JQ40" s="23"/>
      <c r="JR40" s="23"/>
      <c r="JS40" s="23"/>
      <c r="JT40" s="23"/>
      <c r="JU40" s="23"/>
      <c r="JV40" s="23"/>
      <c r="JW40" s="23"/>
      <c r="JX40" s="23"/>
      <c r="JY40" s="23"/>
      <c r="JZ40" s="23"/>
      <c r="KA40" s="23"/>
      <c r="KB40" s="23"/>
      <c r="KC40" s="23"/>
      <c r="KD40" s="23"/>
      <c r="KE40" s="23"/>
      <c r="KF40" s="23"/>
      <c r="KG40" s="23"/>
      <c r="KH40" s="23"/>
      <c r="KI40" s="23"/>
      <c r="KJ40" s="23"/>
      <c r="KK40" s="23"/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  <c r="KW40" s="23"/>
      <c r="KX40" s="23"/>
      <c r="KY40" s="23"/>
      <c r="KZ40" s="23"/>
      <c r="LA40" s="23"/>
      <c r="LB40" s="23"/>
      <c r="LC40" s="23"/>
      <c r="LD40" s="23"/>
      <c r="LE40" s="23"/>
      <c r="LF40" s="23"/>
      <c r="LG40" s="23"/>
      <c r="LH40" s="23"/>
      <c r="LI40" s="23"/>
      <c r="LJ40" s="23"/>
      <c r="LK40" s="23"/>
      <c r="LL40" s="23"/>
      <c r="LM40" s="23"/>
      <c r="LN40" s="23"/>
      <c r="LO40" s="23"/>
      <c r="LP40" s="23"/>
      <c r="LQ40" s="23"/>
      <c r="LR40" s="23"/>
      <c r="LS40" s="23"/>
      <c r="LT40" s="23"/>
      <c r="LU40" s="23"/>
      <c r="LV40" s="23"/>
      <c r="LW40" s="23"/>
      <c r="LX40" s="23"/>
      <c r="LY40" s="23"/>
      <c r="LZ40" s="23"/>
      <c r="MA40" s="23"/>
      <c r="MB40" s="23"/>
      <c r="MC40" s="23"/>
      <c r="MD40" s="23"/>
      <c r="ME40" s="23"/>
      <c r="MF40" s="23"/>
      <c r="MG40" s="23"/>
      <c r="MH40" s="23"/>
      <c r="MI40" s="23"/>
      <c r="MJ40" s="23"/>
      <c r="MK40" s="23"/>
      <c r="ML40" s="23"/>
      <c r="MM40" s="23"/>
      <c r="MN40" s="23"/>
      <c r="MO40" s="23"/>
      <c r="MP40" s="23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/>
      <c r="NH40" s="23"/>
      <c r="NI40" s="23"/>
      <c r="NJ40" s="23"/>
      <c r="NK40" s="23"/>
      <c r="NL40" s="23"/>
      <c r="NM40" s="23"/>
      <c r="NN40" s="23"/>
    </row>
    <row r="41" spans="5:378" ht="15" customHeight="1"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  <c r="IZ41" s="23"/>
      <c r="JA41" s="23"/>
      <c r="JB41" s="23"/>
      <c r="JC41" s="23"/>
      <c r="JD41" s="23"/>
      <c r="JE41" s="23"/>
      <c r="JF41" s="23"/>
      <c r="JG41" s="23"/>
      <c r="JH41" s="23"/>
      <c r="JI41" s="23"/>
      <c r="JJ41" s="23"/>
      <c r="JK41" s="23"/>
      <c r="JL41" s="23"/>
      <c r="JM41" s="23"/>
      <c r="JN41" s="23"/>
      <c r="JO41" s="23"/>
      <c r="JP41" s="23"/>
      <c r="JQ41" s="23"/>
      <c r="JR41" s="23"/>
      <c r="JS41" s="23"/>
      <c r="JT41" s="23"/>
      <c r="JU41" s="23"/>
      <c r="JV41" s="23"/>
      <c r="JW41" s="23"/>
      <c r="JX41" s="23"/>
      <c r="JY41" s="23"/>
      <c r="JZ41" s="23"/>
      <c r="KA41" s="23"/>
      <c r="KB41" s="23"/>
      <c r="KC41" s="23"/>
      <c r="KD41" s="23"/>
      <c r="KE41" s="23"/>
      <c r="KF41" s="23"/>
      <c r="KG41" s="23"/>
      <c r="KH41" s="23"/>
      <c r="KI41" s="23"/>
      <c r="KJ41" s="23"/>
      <c r="KK41" s="23"/>
      <c r="KL41" s="23"/>
      <c r="KM41" s="23"/>
      <c r="KN41" s="23"/>
      <c r="KO41" s="23"/>
      <c r="KP41" s="23"/>
      <c r="KQ41" s="23"/>
      <c r="KR41" s="23"/>
      <c r="KS41" s="23"/>
      <c r="KT41" s="23"/>
      <c r="KU41" s="23"/>
      <c r="KV41" s="23"/>
      <c r="KW41" s="23"/>
      <c r="KX41" s="23"/>
      <c r="KY41" s="23"/>
      <c r="KZ41" s="23"/>
      <c r="LA41" s="23"/>
      <c r="LB41" s="23"/>
      <c r="LC41" s="23"/>
      <c r="LD41" s="23"/>
      <c r="LE41" s="23"/>
      <c r="LF41" s="23"/>
      <c r="LG41" s="23"/>
      <c r="LH41" s="23"/>
      <c r="LI41" s="23"/>
      <c r="LJ41" s="23"/>
      <c r="LK41" s="23"/>
      <c r="LL41" s="23"/>
      <c r="LM41" s="23"/>
      <c r="LN41" s="23"/>
      <c r="LO41" s="23"/>
      <c r="LP41" s="23"/>
      <c r="LQ41" s="23"/>
      <c r="LR41" s="23"/>
      <c r="LS41" s="23"/>
      <c r="LT41" s="23"/>
      <c r="LU41" s="23"/>
      <c r="LV41" s="23"/>
      <c r="LW41" s="23"/>
      <c r="LX41" s="23"/>
      <c r="LY41" s="23"/>
      <c r="LZ41" s="23"/>
      <c r="MA41" s="23"/>
      <c r="MB41" s="23"/>
      <c r="MC41" s="23"/>
      <c r="MD41" s="23"/>
      <c r="ME41" s="23"/>
      <c r="MF41" s="23"/>
      <c r="MG41" s="23"/>
      <c r="MH41" s="23"/>
      <c r="MI41" s="23"/>
      <c r="MJ41" s="23"/>
      <c r="MK41" s="23"/>
      <c r="ML41" s="23"/>
      <c r="MM41" s="23"/>
      <c r="MN41" s="23"/>
      <c r="MO41" s="23"/>
      <c r="MP41" s="23"/>
      <c r="MQ41" s="23"/>
      <c r="MR41" s="23"/>
      <c r="MS41" s="23"/>
      <c r="MT41" s="23"/>
      <c r="MU41" s="23"/>
      <c r="MV41" s="23"/>
      <c r="MW41" s="23"/>
      <c r="MX41" s="23"/>
      <c r="MY41" s="23"/>
      <c r="MZ41" s="23"/>
      <c r="NA41" s="23"/>
      <c r="NB41" s="23"/>
      <c r="NC41" s="23"/>
      <c r="ND41" s="23"/>
      <c r="NE41" s="23"/>
      <c r="NF41" s="23"/>
      <c r="NG41" s="23"/>
      <c r="NH41" s="23"/>
      <c r="NI41" s="23"/>
      <c r="NJ41" s="23"/>
      <c r="NK41" s="23"/>
      <c r="NL41" s="23"/>
      <c r="NM41" s="23"/>
      <c r="NN41" s="23"/>
    </row>
    <row r="42" spans="5:378" ht="15" customHeight="1"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  <c r="JA42" s="23"/>
      <c r="JB42" s="23"/>
      <c r="JC42" s="23"/>
      <c r="JD42" s="23"/>
      <c r="JE42" s="23"/>
      <c r="JF42" s="23"/>
      <c r="JG42" s="23"/>
      <c r="JH42" s="23"/>
      <c r="JI42" s="23"/>
      <c r="JJ42" s="23"/>
      <c r="JK42" s="23"/>
      <c r="JL42" s="23"/>
      <c r="JM42" s="23"/>
      <c r="JN42" s="23"/>
      <c r="JO42" s="23"/>
      <c r="JP42" s="23"/>
      <c r="JQ42" s="23"/>
      <c r="JR42" s="23"/>
      <c r="JS42" s="23"/>
      <c r="JT42" s="23"/>
      <c r="JU42" s="23"/>
      <c r="JV42" s="23"/>
      <c r="JW42" s="23"/>
      <c r="JX42" s="23"/>
      <c r="JY42" s="23"/>
      <c r="JZ42" s="23"/>
      <c r="KA42" s="23"/>
      <c r="KB42" s="23"/>
      <c r="KC42" s="23"/>
      <c r="KD42" s="23"/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/>
      <c r="KY42" s="23"/>
      <c r="KZ42" s="23"/>
      <c r="LA42" s="23"/>
      <c r="LB42" s="23"/>
      <c r="LC42" s="23"/>
      <c r="LD42" s="23"/>
      <c r="LE42" s="23"/>
      <c r="LF42" s="23"/>
      <c r="LG42" s="23"/>
      <c r="LH42" s="23"/>
      <c r="LI42" s="23"/>
      <c r="LJ42" s="23"/>
      <c r="LK42" s="23"/>
      <c r="LL42" s="23"/>
      <c r="LM42" s="23"/>
      <c r="LN42" s="23"/>
      <c r="LO42" s="23"/>
      <c r="LP42" s="23"/>
      <c r="LQ42" s="23"/>
      <c r="LR42" s="23"/>
      <c r="LS42" s="23"/>
      <c r="LT42" s="23"/>
      <c r="LU42" s="23"/>
      <c r="LV42" s="23"/>
      <c r="LW42" s="23"/>
      <c r="LX42" s="23"/>
      <c r="LY42" s="23"/>
      <c r="LZ42" s="23"/>
      <c r="MA42" s="23"/>
      <c r="MB42" s="23"/>
      <c r="MC42" s="23"/>
      <c r="MD42" s="23"/>
      <c r="ME42" s="23"/>
      <c r="MF42" s="23"/>
      <c r="MG42" s="23"/>
      <c r="MH42" s="23"/>
      <c r="MI42" s="23"/>
      <c r="MJ42" s="23"/>
      <c r="MK42" s="23"/>
      <c r="ML42" s="23"/>
      <c r="MM42" s="23"/>
      <c r="MN42" s="23"/>
      <c r="MO42" s="23"/>
      <c r="MP42" s="23"/>
      <c r="MQ42" s="23"/>
      <c r="MR42" s="23"/>
      <c r="MS42" s="23"/>
      <c r="MT42" s="23"/>
      <c r="MU42" s="23"/>
      <c r="MV42" s="23"/>
      <c r="MW42" s="23"/>
      <c r="MX42" s="23"/>
      <c r="MY42" s="23"/>
      <c r="MZ42" s="23"/>
      <c r="NA42" s="23"/>
      <c r="NB42" s="23"/>
      <c r="NC42" s="23"/>
      <c r="ND42" s="23"/>
      <c r="NE42" s="23"/>
      <c r="NF42" s="23"/>
      <c r="NG42" s="23"/>
      <c r="NH42" s="23"/>
      <c r="NI42" s="23"/>
      <c r="NJ42" s="23"/>
      <c r="NK42" s="23"/>
      <c r="NL42" s="23"/>
      <c r="NM42" s="23"/>
      <c r="NN42" s="23"/>
    </row>
    <row r="43" spans="5:378" ht="15" customHeight="1">
      <c r="E43" s="33" t="s">
        <v>2987</v>
      </c>
      <c r="F43" s="33" t="s">
        <v>94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  <c r="IZ43" s="23"/>
      <c r="JA43" s="23"/>
      <c r="JB43" s="23"/>
      <c r="JC43" s="23"/>
      <c r="JD43" s="23"/>
      <c r="JE43" s="23"/>
      <c r="JF43" s="23"/>
      <c r="JG43" s="23"/>
      <c r="JH43" s="23"/>
      <c r="JI43" s="23"/>
      <c r="JJ43" s="23"/>
      <c r="JK43" s="23"/>
      <c r="JL43" s="23"/>
      <c r="JM43" s="23"/>
      <c r="JN43" s="23"/>
      <c r="JO43" s="23"/>
      <c r="JP43" s="23"/>
      <c r="JQ43" s="23"/>
      <c r="JR43" s="23"/>
      <c r="JS43" s="23"/>
      <c r="JT43" s="23"/>
      <c r="JU43" s="23"/>
      <c r="JV43" s="23"/>
      <c r="JW43" s="23"/>
      <c r="JX43" s="23"/>
      <c r="JY43" s="23"/>
      <c r="JZ43" s="23"/>
      <c r="KA43" s="23"/>
      <c r="KB43" s="23"/>
      <c r="KC43" s="23"/>
      <c r="KD43" s="23"/>
      <c r="KE43" s="23"/>
      <c r="KF43" s="23"/>
      <c r="KG43" s="23"/>
      <c r="KH43" s="23"/>
      <c r="KI43" s="23"/>
      <c r="KJ43" s="23"/>
      <c r="KK43" s="23"/>
      <c r="KL43" s="23"/>
      <c r="KM43" s="23"/>
      <c r="KN43" s="23"/>
      <c r="KO43" s="23"/>
      <c r="KP43" s="23"/>
      <c r="KQ43" s="23"/>
      <c r="KR43" s="23"/>
      <c r="KS43" s="23"/>
      <c r="KT43" s="23"/>
      <c r="KU43" s="23"/>
      <c r="KV43" s="23"/>
      <c r="KW43" s="23"/>
      <c r="KX43" s="23"/>
      <c r="KY43" s="23"/>
      <c r="KZ43" s="23"/>
      <c r="LA43" s="23"/>
      <c r="LB43" s="23"/>
      <c r="LC43" s="23"/>
      <c r="LD43" s="23"/>
      <c r="LE43" s="23"/>
      <c r="LF43" s="23"/>
      <c r="LG43" s="23"/>
      <c r="LH43" s="23"/>
      <c r="LI43" s="23"/>
      <c r="LJ43" s="23"/>
      <c r="LK43" s="23"/>
      <c r="LL43" s="23"/>
      <c r="LM43" s="23"/>
      <c r="LN43" s="23"/>
      <c r="LO43" s="23"/>
      <c r="LP43" s="23"/>
      <c r="LQ43" s="23"/>
      <c r="LR43" s="23"/>
      <c r="LS43" s="23"/>
      <c r="LT43" s="23"/>
      <c r="LU43" s="23"/>
      <c r="LV43" s="23"/>
      <c r="LW43" s="23"/>
      <c r="LX43" s="23"/>
      <c r="LY43" s="23"/>
      <c r="LZ43" s="23"/>
      <c r="MA43" s="23"/>
      <c r="MB43" s="23"/>
      <c r="MC43" s="23"/>
      <c r="MD43" s="23"/>
      <c r="ME43" s="23"/>
      <c r="MF43" s="23"/>
      <c r="MG43" s="23"/>
      <c r="MH43" s="23"/>
      <c r="MI43" s="23"/>
      <c r="MJ43" s="23"/>
      <c r="MK43" s="23"/>
      <c r="ML43" s="23"/>
      <c r="MM43" s="23"/>
      <c r="MN43" s="23"/>
      <c r="MO43" s="23"/>
      <c r="MP43" s="23"/>
      <c r="MQ43" s="23"/>
      <c r="MR43" s="23"/>
      <c r="MS43" s="23"/>
      <c r="MT43" s="23"/>
      <c r="MU43" s="23"/>
      <c r="MV43" s="23"/>
      <c r="MW43" s="23"/>
      <c r="MX43" s="23"/>
      <c r="MY43" s="23"/>
      <c r="MZ43" s="23"/>
      <c r="NA43" s="23"/>
      <c r="NB43" s="23"/>
      <c r="NC43" s="23"/>
      <c r="ND43" s="23"/>
      <c r="NE43" s="23"/>
      <c r="NF43" s="23"/>
      <c r="NG43" s="23"/>
      <c r="NH43" s="23"/>
      <c r="NI43" s="23"/>
      <c r="NJ43" s="23"/>
      <c r="NK43" s="23"/>
      <c r="NL43" s="23"/>
      <c r="NM43" s="23"/>
      <c r="NN43" s="23"/>
    </row>
    <row r="44" spans="5:378" ht="15" customHeight="1">
      <c r="E44" s="33" t="s">
        <v>95</v>
      </c>
      <c r="F44" s="23" t="s">
        <v>2810</v>
      </c>
      <c r="G44" s="23" t="s">
        <v>2843</v>
      </c>
      <c r="H44" s="23" t="s">
        <v>2799</v>
      </c>
      <c r="I44" s="23" t="s">
        <v>2821</v>
      </c>
      <c r="J44" s="23" t="s">
        <v>2832</v>
      </c>
      <c r="K44" s="23" t="s">
        <v>2854</v>
      </c>
      <c r="L44" s="23" t="s">
        <v>2988</v>
      </c>
      <c r="M44" s="23" t="s">
        <v>2989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  <c r="IZ44" s="23"/>
      <c r="JA44" s="23"/>
      <c r="JB44" s="23"/>
      <c r="JC44" s="23"/>
      <c r="JD44" s="23"/>
      <c r="JE44" s="23"/>
      <c r="JF44" s="23"/>
      <c r="JG44" s="23"/>
      <c r="JH44" s="23"/>
      <c r="JI44" s="23"/>
      <c r="JJ44" s="23"/>
      <c r="JK44" s="23"/>
      <c r="JL44" s="23"/>
      <c r="JM44" s="23"/>
      <c r="JN44" s="23"/>
      <c r="JO44" s="23"/>
      <c r="JP44" s="23"/>
      <c r="JQ44" s="23"/>
      <c r="JR44" s="23"/>
      <c r="JS44" s="23"/>
      <c r="JT44" s="23"/>
      <c r="JU44" s="23"/>
      <c r="JV44" s="23"/>
      <c r="JW44" s="23"/>
      <c r="JX44" s="23"/>
      <c r="JY44" s="23"/>
      <c r="JZ44" s="23"/>
      <c r="KA44" s="23"/>
      <c r="KB44" s="23"/>
      <c r="KC44" s="23"/>
      <c r="KD44" s="23"/>
      <c r="KE44" s="23"/>
      <c r="KF44" s="23"/>
      <c r="KG44" s="23"/>
      <c r="KH44" s="23"/>
      <c r="KI44" s="23"/>
      <c r="KJ44" s="23"/>
      <c r="KK44" s="23"/>
      <c r="KL44" s="23"/>
      <c r="KM44" s="23"/>
      <c r="KN44" s="23"/>
      <c r="KO44" s="23"/>
      <c r="KP44" s="23"/>
      <c r="KQ44" s="23"/>
      <c r="KR44" s="23"/>
      <c r="KS44" s="23"/>
      <c r="KT44" s="23"/>
      <c r="KU44" s="23"/>
      <c r="KV44" s="23"/>
      <c r="KW44" s="23"/>
      <c r="KX44" s="23"/>
      <c r="KY44" s="23"/>
      <c r="KZ44" s="23"/>
      <c r="LA44" s="23"/>
      <c r="LB44" s="23"/>
      <c r="LC44" s="23"/>
      <c r="LD44" s="23"/>
      <c r="LE44" s="23"/>
      <c r="LF44" s="23"/>
      <c r="LG44" s="23"/>
      <c r="LH44" s="23"/>
      <c r="LI44" s="23"/>
      <c r="LJ44" s="23"/>
      <c r="LK44" s="23"/>
      <c r="LL44" s="23"/>
      <c r="LM44" s="23"/>
      <c r="LN44" s="23"/>
      <c r="LO44" s="23"/>
      <c r="LP44" s="23"/>
      <c r="LQ44" s="23"/>
      <c r="LR44" s="23"/>
      <c r="LS44" s="23"/>
      <c r="LT44" s="23"/>
      <c r="LU44" s="23"/>
      <c r="LV44" s="23"/>
      <c r="LW44" s="23"/>
      <c r="LX44" s="23"/>
      <c r="LY44" s="23"/>
      <c r="LZ44" s="23"/>
      <c r="MA44" s="23"/>
      <c r="MB44" s="23"/>
      <c r="MC44" s="23"/>
      <c r="MD44" s="23"/>
      <c r="ME44" s="23"/>
      <c r="MF44" s="23"/>
      <c r="MG44" s="23"/>
      <c r="MH44" s="23"/>
      <c r="MI44" s="23"/>
      <c r="MJ44" s="23"/>
      <c r="MK44" s="23"/>
      <c r="ML44" s="23"/>
      <c r="MM44" s="23"/>
      <c r="MN44" s="23"/>
      <c r="MO44" s="23"/>
      <c r="MP44" s="23"/>
      <c r="MQ44" s="23"/>
      <c r="MR44" s="23"/>
      <c r="MS44" s="23"/>
      <c r="MT44" s="23"/>
      <c r="MU44" s="23"/>
      <c r="MV44" s="23"/>
      <c r="MW44" s="23"/>
      <c r="MX44" s="23"/>
      <c r="MY44" s="23"/>
      <c r="MZ44" s="23"/>
      <c r="NA44" s="23"/>
      <c r="NB44" s="23"/>
      <c r="NC44" s="23"/>
      <c r="ND44" s="23"/>
      <c r="NE44" s="23"/>
      <c r="NF44" s="23"/>
      <c r="NG44" s="23"/>
      <c r="NH44" s="23"/>
      <c r="NI44" s="23"/>
      <c r="NJ44" s="23"/>
      <c r="NK44" s="23"/>
      <c r="NL44" s="23"/>
      <c r="NM44" s="23"/>
      <c r="NN44" s="23"/>
    </row>
    <row r="45" spans="5:378" ht="15" customHeight="1">
      <c r="E45" s="23" t="s">
        <v>2886</v>
      </c>
      <c r="F45" s="35">
        <v>0.13071896595084243</v>
      </c>
      <c r="G45" s="35">
        <v>0.19304259931843007</v>
      </c>
      <c r="H45" s="35">
        <v>0.18449706876052649</v>
      </c>
      <c r="I45" s="35">
        <v>0.17739103767693512</v>
      </c>
      <c r="J45" s="35">
        <v>0.17073082520832161</v>
      </c>
      <c r="K45" s="35">
        <v>0.14361950308494426</v>
      </c>
      <c r="L45" s="35">
        <v>0</v>
      </c>
      <c r="M45" s="35">
        <v>1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  <c r="IZ45" s="23"/>
      <c r="JA45" s="23"/>
      <c r="JB45" s="23"/>
      <c r="JC45" s="23"/>
      <c r="JD45" s="23"/>
      <c r="JE45" s="23"/>
      <c r="JF45" s="23"/>
      <c r="JG45" s="23"/>
      <c r="JH45" s="23"/>
      <c r="JI45" s="23"/>
      <c r="JJ45" s="23"/>
      <c r="JK45" s="23"/>
      <c r="JL45" s="23"/>
      <c r="JM45" s="23"/>
      <c r="JN45" s="23"/>
      <c r="JO45" s="23"/>
      <c r="JP45" s="23"/>
      <c r="JQ45" s="23"/>
      <c r="JR45" s="23"/>
      <c r="JS45" s="23"/>
      <c r="JT45" s="23"/>
      <c r="JU45" s="23"/>
      <c r="JV45" s="23"/>
      <c r="JW45" s="23"/>
      <c r="JX45" s="23"/>
      <c r="JY45" s="23"/>
      <c r="JZ45" s="23"/>
      <c r="KA45" s="23"/>
      <c r="KB45" s="23"/>
      <c r="KC45" s="23"/>
      <c r="KD45" s="23"/>
      <c r="KE45" s="23"/>
      <c r="KF45" s="23"/>
      <c r="KG45" s="23"/>
      <c r="KH45" s="23"/>
      <c r="KI45" s="23"/>
      <c r="KJ45" s="23"/>
      <c r="KK45" s="23"/>
      <c r="KL45" s="23"/>
      <c r="KM45" s="23"/>
      <c r="KN45" s="23"/>
      <c r="KO45" s="23"/>
      <c r="KP45" s="23"/>
      <c r="KQ45" s="23"/>
      <c r="KR45" s="23"/>
      <c r="KS45" s="23"/>
      <c r="KT45" s="23"/>
      <c r="KU45" s="23"/>
      <c r="KV45" s="23"/>
      <c r="KW45" s="23"/>
      <c r="KX45" s="23"/>
      <c r="KY45" s="23"/>
      <c r="KZ45" s="23"/>
      <c r="LA45" s="23"/>
      <c r="LB45" s="23"/>
      <c r="LC45" s="23"/>
      <c r="LD45" s="23"/>
      <c r="LE45" s="23"/>
      <c r="LF45" s="23"/>
      <c r="LG45" s="23"/>
      <c r="LH45" s="23"/>
      <c r="LI45" s="23"/>
      <c r="LJ45" s="23"/>
      <c r="LK45" s="23"/>
      <c r="LL45" s="23"/>
      <c r="LM45" s="23"/>
      <c r="LN45" s="23"/>
      <c r="LO45" s="23"/>
      <c r="LP45" s="23"/>
      <c r="LQ45" s="23"/>
      <c r="LR45" s="23"/>
      <c r="LS45" s="23"/>
      <c r="LT45" s="23"/>
      <c r="LU45" s="23"/>
      <c r="LV45" s="23"/>
      <c r="LW45" s="23"/>
      <c r="LX45" s="23"/>
      <c r="LY45" s="23"/>
      <c r="LZ45" s="23"/>
      <c r="MA45" s="23"/>
      <c r="MB45" s="23"/>
      <c r="MC45" s="23"/>
      <c r="MD45" s="23"/>
      <c r="ME45" s="23"/>
      <c r="MF45" s="23"/>
      <c r="MG45" s="23"/>
      <c r="MH45" s="23"/>
      <c r="MI45" s="23"/>
      <c r="MJ45" s="23"/>
      <c r="MK45" s="23"/>
      <c r="ML45" s="23"/>
      <c r="MM45" s="23"/>
      <c r="MN45" s="23"/>
      <c r="MO45" s="23"/>
      <c r="MP45" s="23"/>
      <c r="MQ45" s="23"/>
      <c r="MR45" s="23"/>
      <c r="MS45" s="23"/>
      <c r="MT45" s="23"/>
      <c r="MU45" s="23"/>
      <c r="MV45" s="23"/>
      <c r="MW45" s="23"/>
      <c r="MX45" s="23"/>
      <c r="MY45" s="23"/>
      <c r="MZ45" s="23"/>
      <c r="NA45" s="23"/>
      <c r="NB45" s="23"/>
      <c r="NC45" s="23"/>
      <c r="ND45" s="23"/>
      <c r="NE45" s="23"/>
      <c r="NF45" s="23"/>
      <c r="NG45" s="23"/>
      <c r="NH45" s="23"/>
      <c r="NI45" s="23"/>
      <c r="NJ45" s="23"/>
      <c r="NK45" s="23"/>
      <c r="NL45" s="23"/>
      <c r="NM45" s="23"/>
      <c r="NN45" s="23"/>
    </row>
    <row r="46" spans="5:378" ht="15" customHeight="1">
      <c r="E46" s="23" t="s">
        <v>2870</v>
      </c>
      <c r="F46" s="35">
        <v>0.14023150471988344</v>
      </c>
      <c r="G46" s="35">
        <v>0.22281122714554163</v>
      </c>
      <c r="H46" s="35">
        <v>0.20771830127127197</v>
      </c>
      <c r="I46" s="35">
        <v>0.16021751414329996</v>
      </c>
      <c r="J46" s="35">
        <v>0.12414513230158122</v>
      </c>
      <c r="K46" s="35">
        <v>0.1448763204184218</v>
      </c>
      <c r="L46" s="35">
        <v>0</v>
      </c>
      <c r="M46" s="35">
        <v>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  <c r="IZ46" s="23"/>
      <c r="JA46" s="23"/>
      <c r="JB46" s="23"/>
      <c r="JC46" s="23"/>
      <c r="JD46" s="23"/>
      <c r="JE46" s="23"/>
      <c r="JF46" s="23"/>
      <c r="JG46" s="23"/>
      <c r="JH46" s="23"/>
      <c r="JI46" s="23"/>
      <c r="JJ46" s="23"/>
      <c r="JK46" s="23"/>
      <c r="JL46" s="23"/>
      <c r="JM46" s="23"/>
      <c r="JN46" s="23"/>
      <c r="JO46" s="23"/>
      <c r="JP46" s="23"/>
      <c r="JQ46" s="23"/>
      <c r="JR46" s="23"/>
      <c r="JS46" s="23"/>
      <c r="JT46" s="23"/>
      <c r="JU46" s="23"/>
      <c r="JV46" s="23"/>
      <c r="JW46" s="23"/>
      <c r="JX46" s="23"/>
      <c r="JY46" s="23"/>
      <c r="JZ46" s="23"/>
      <c r="KA46" s="23"/>
      <c r="KB46" s="23"/>
      <c r="KC46" s="23"/>
      <c r="KD46" s="23"/>
      <c r="KE46" s="23"/>
      <c r="KF46" s="23"/>
      <c r="KG46" s="23"/>
      <c r="KH46" s="23"/>
      <c r="KI46" s="23"/>
      <c r="KJ46" s="23"/>
      <c r="KK46" s="23"/>
      <c r="KL46" s="23"/>
      <c r="KM46" s="23"/>
      <c r="KN46" s="23"/>
      <c r="KO46" s="23"/>
      <c r="KP46" s="23"/>
      <c r="KQ46" s="23"/>
      <c r="KR46" s="23"/>
      <c r="KS46" s="23"/>
      <c r="KT46" s="23"/>
      <c r="KU46" s="23"/>
      <c r="KV46" s="23"/>
      <c r="KW46" s="23"/>
      <c r="KX46" s="23"/>
      <c r="KY46" s="23"/>
      <c r="KZ46" s="23"/>
      <c r="LA46" s="23"/>
      <c r="LB46" s="23"/>
      <c r="LC46" s="23"/>
      <c r="LD46" s="23"/>
      <c r="LE46" s="23"/>
      <c r="LF46" s="23"/>
      <c r="LG46" s="23"/>
      <c r="LH46" s="23"/>
      <c r="LI46" s="23"/>
      <c r="LJ46" s="23"/>
      <c r="LK46" s="23"/>
      <c r="LL46" s="23"/>
      <c r="LM46" s="23"/>
      <c r="LN46" s="23"/>
      <c r="LO46" s="23"/>
      <c r="LP46" s="23"/>
      <c r="LQ46" s="23"/>
      <c r="LR46" s="23"/>
      <c r="LS46" s="23"/>
      <c r="LT46" s="23"/>
      <c r="LU46" s="23"/>
      <c r="LV46" s="23"/>
      <c r="LW46" s="23"/>
      <c r="LX46" s="23"/>
      <c r="LY46" s="23"/>
      <c r="LZ46" s="23"/>
      <c r="MA46" s="23"/>
      <c r="MB46" s="23"/>
      <c r="MC46" s="23"/>
      <c r="MD46" s="23"/>
      <c r="ME46" s="23"/>
      <c r="MF46" s="23"/>
      <c r="MG46" s="23"/>
      <c r="MH46" s="23"/>
      <c r="MI46" s="23"/>
      <c r="MJ46" s="23"/>
      <c r="MK46" s="23"/>
      <c r="ML46" s="23"/>
      <c r="MM46" s="23"/>
      <c r="MN46" s="23"/>
      <c r="MO46" s="23"/>
      <c r="MP46" s="23"/>
      <c r="MQ46" s="23"/>
      <c r="MR46" s="23"/>
      <c r="MS46" s="23"/>
      <c r="MT46" s="23"/>
      <c r="MU46" s="23"/>
      <c r="MV46" s="23"/>
      <c r="MW46" s="23"/>
      <c r="MX46" s="23"/>
      <c r="MY46" s="23"/>
      <c r="MZ46" s="23"/>
      <c r="NA46" s="23"/>
      <c r="NB46" s="23"/>
      <c r="NC46" s="23"/>
      <c r="ND46" s="23"/>
      <c r="NE46" s="23"/>
      <c r="NF46" s="23"/>
      <c r="NG46" s="23"/>
      <c r="NH46" s="23"/>
      <c r="NI46" s="23"/>
      <c r="NJ46" s="23"/>
      <c r="NK46" s="23"/>
      <c r="NL46" s="23"/>
      <c r="NM46" s="23"/>
      <c r="NN46" s="23"/>
    </row>
    <row r="47" spans="5:378" ht="15" customHeight="1">
      <c r="E47" s="23" t="s">
        <v>2877</v>
      </c>
      <c r="F47" s="35">
        <v>0.1347463130530476</v>
      </c>
      <c r="G47" s="35">
        <v>0.22262229487995266</v>
      </c>
      <c r="H47" s="35">
        <v>0.18391873093357558</v>
      </c>
      <c r="I47" s="35">
        <v>0.14575149260001524</v>
      </c>
      <c r="J47" s="35">
        <v>0.15959003615962439</v>
      </c>
      <c r="K47" s="35">
        <v>0.15337113237378452</v>
      </c>
      <c r="L47" s="35">
        <v>0</v>
      </c>
      <c r="M47" s="35">
        <v>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  <c r="IZ47" s="23"/>
      <c r="JA47" s="23"/>
      <c r="JB47" s="23"/>
      <c r="JC47" s="23"/>
      <c r="JD47" s="23"/>
      <c r="JE47" s="23"/>
      <c r="JF47" s="23"/>
      <c r="JG47" s="23"/>
      <c r="JH47" s="23"/>
      <c r="JI47" s="23"/>
      <c r="JJ47" s="23"/>
      <c r="JK47" s="23"/>
      <c r="JL47" s="23"/>
      <c r="JM47" s="23"/>
      <c r="JN47" s="23"/>
      <c r="JO47" s="23"/>
      <c r="JP47" s="23"/>
      <c r="JQ47" s="23"/>
      <c r="JR47" s="23"/>
      <c r="JS47" s="23"/>
      <c r="JT47" s="23"/>
      <c r="JU47" s="23"/>
      <c r="JV47" s="23"/>
      <c r="JW47" s="23"/>
      <c r="JX47" s="23"/>
      <c r="JY47" s="23"/>
      <c r="JZ47" s="23"/>
      <c r="KA47" s="23"/>
      <c r="KB47" s="23"/>
      <c r="KC47" s="23"/>
      <c r="KD47" s="23"/>
      <c r="KE47" s="23"/>
      <c r="KF47" s="23"/>
      <c r="KG47" s="23"/>
      <c r="KH47" s="23"/>
      <c r="KI47" s="23"/>
      <c r="KJ47" s="23"/>
      <c r="KK47" s="23"/>
      <c r="KL47" s="23"/>
      <c r="KM47" s="23"/>
      <c r="KN47" s="23"/>
      <c r="KO47" s="23"/>
      <c r="KP47" s="23"/>
      <c r="KQ47" s="23"/>
      <c r="KR47" s="23"/>
      <c r="KS47" s="23"/>
      <c r="KT47" s="23"/>
      <c r="KU47" s="23"/>
      <c r="KV47" s="23"/>
      <c r="KW47" s="23"/>
      <c r="KX47" s="23"/>
      <c r="KY47" s="23"/>
      <c r="KZ47" s="23"/>
      <c r="LA47" s="23"/>
      <c r="LB47" s="23"/>
      <c r="LC47" s="23"/>
      <c r="LD47" s="23"/>
      <c r="LE47" s="23"/>
      <c r="LF47" s="23"/>
      <c r="LG47" s="23"/>
      <c r="LH47" s="23"/>
      <c r="LI47" s="23"/>
      <c r="LJ47" s="23"/>
      <c r="LK47" s="23"/>
      <c r="LL47" s="23"/>
      <c r="LM47" s="23"/>
      <c r="LN47" s="23"/>
      <c r="LO47" s="23"/>
      <c r="LP47" s="23"/>
      <c r="LQ47" s="23"/>
      <c r="LR47" s="23"/>
      <c r="LS47" s="23"/>
      <c r="LT47" s="23"/>
      <c r="LU47" s="23"/>
      <c r="LV47" s="23"/>
      <c r="LW47" s="23"/>
      <c r="LX47" s="23"/>
      <c r="LY47" s="23"/>
      <c r="LZ47" s="23"/>
      <c r="MA47" s="23"/>
      <c r="MB47" s="23"/>
      <c r="MC47" s="23"/>
      <c r="MD47" s="23"/>
      <c r="ME47" s="23"/>
      <c r="MF47" s="23"/>
      <c r="MG47" s="23"/>
      <c r="MH47" s="23"/>
      <c r="MI47" s="23"/>
      <c r="MJ47" s="23"/>
      <c r="MK47" s="23"/>
      <c r="ML47" s="23"/>
      <c r="MM47" s="23"/>
      <c r="MN47" s="23"/>
      <c r="MO47" s="23"/>
      <c r="MP47" s="23"/>
      <c r="MQ47" s="23"/>
      <c r="MR47" s="23"/>
      <c r="MS47" s="23"/>
      <c r="MT47" s="23"/>
      <c r="MU47" s="23"/>
      <c r="MV47" s="23"/>
      <c r="MW47" s="23"/>
      <c r="MX47" s="23"/>
      <c r="MY47" s="23"/>
      <c r="MZ47" s="23"/>
      <c r="NA47" s="23"/>
      <c r="NB47" s="23"/>
      <c r="NC47" s="23"/>
      <c r="ND47" s="23"/>
      <c r="NE47" s="23"/>
      <c r="NF47" s="23"/>
      <c r="NG47" s="23"/>
      <c r="NH47" s="23"/>
      <c r="NI47" s="23"/>
      <c r="NJ47" s="23"/>
      <c r="NK47" s="23"/>
      <c r="NL47" s="23"/>
      <c r="NM47" s="23"/>
      <c r="NN47" s="23"/>
    </row>
    <row r="48" spans="5:378" ht="15" customHeight="1">
      <c r="E48" s="23" t="s">
        <v>2894</v>
      </c>
      <c r="F48" s="35">
        <v>0.14818799316179956</v>
      </c>
      <c r="G48" s="35">
        <v>0.20284195525611987</v>
      </c>
      <c r="H48" s="35">
        <v>0.16949061722333192</v>
      </c>
      <c r="I48" s="35">
        <v>0.17020963720672549</v>
      </c>
      <c r="J48" s="35">
        <v>0.16306542780775893</v>
      </c>
      <c r="K48" s="35">
        <v>0.14620436934426434</v>
      </c>
      <c r="L48" s="35">
        <v>0</v>
      </c>
      <c r="M48" s="35">
        <v>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  <c r="IZ48" s="23"/>
      <c r="JA48" s="23"/>
      <c r="JB48" s="23"/>
      <c r="JC48" s="23"/>
      <c r="JD48" s="23"/>
      <c r="JE48" s="23"/>
      <c r="JF48" s="23"/>
      <c r="JG48" s="23"/>
      <c r="JH48" s="23"/>
      <c r="JI48" s="23"/>
      <c r="JJ48" s="23"/>
      <c r="JK48" s="23"/>
      <c r="JL48" s="23"/>
      <c r="JM48" s="23"/>
      <c r="JN48" s="23"/>
      <c r="JO48" s="23"/>
      <c r="JP48" s="23"/>
      <c r="JQ48" s="23"/>
      <c r="JR48" s="23"/>
      <c r="JS48" s="23"/>
      <c r="JT48" s="23"/>
      <c r="JU48" s="23"/>
      <c r="JV48" s="23"/>
      <c r="JW48" s="23"/>
      <c r="JX48" s="23"/>
      <c r="JY48" s="23"/>
      <c r="JZ48" s="23"/>
      <c r="KA48" s="23"/>
      <c r="KB48" s="23"/>
      <c r="KC48" s="23"/>
      <c r="KD48" s="23"/>
      <c r="KE48" s="23"/>
      <c r="KF48" s="23"/>
      <c r="KG48" s="23"/>
      <c r="KH48" s="23"/>
      <c r="KI48" s="23"/>
      <c r="KJ48" s="23"/>
      <c r="KK48" s="23"/>
      <c r="KL48" s="23"/>
      <c r="KM48" s="23"/>
      <c r="KN48" s="23"/>
      <c r="KO48" s="23"/>
      <c r="KP48" s="23"/>
      <c r="KQ48" s="23"/>
      <c r="KR48" s="23"/>
      <c r="KS48" s="23"/>
      <c r="KT48" s="23"/>
      <c r="KU48" s="23"/>
      <c r="KV48" s="23"/>
      <c r="KW48" s="23"/>
      <c r="KX48" s="23"/>
      <c r="KY48" s="23"/>
      <c r="KZ48" s="23"/>
      <c r="LA48" s="23"/>
      <c r="LB48" s="23"/>
      <c r="LC48" s="23"/>
      <c r="LD48" s="23"/>
      <c r="LE48" s="23"/>
      <c r="LF48" s="23"/>
      <c r="LG48" s="23"/>
      <c r="LH48" s="23"/>
      <c r="LI48" s="23"/>
      <c r="LJ48" s="23"/>
      <c r="LK48" s="23"/>
      <c r="LL48" s="23"/>
      <c r="LM48" s="23"/>
      <c r="LN48" s="23"/>
      <c r="LO48" s="23"/>
      <c r="LP48" s="23"/>
      <c r="LQ48" s="23"/>
      <c r="LR48" s="23"/>
      <c r="LS48" s="23"/>
      <c r="LT48" s="23"/>
      <c r="LU48" s="23"/>
      <c r="LV48" s="23"/>
      <c r="LW48" s="23"/>
      <c r="LX48" s="23"/>
      <c r="LY48" s="23"/>
      <c r="LZ48" s="23"/>
      <c r="MA48" s="23"/>
      <c r="MB48" s="23"/>
      <c r="MC48" s="23"/>
      <c r="MD48" s="23"/>
      <c r="ME48" s="23"/>
      <c r="MF48" s="23"/>
      <c r="MG48" s="23"/>
      <c r="MH48" s="23"/>
      <c r="MI48" s="23"/>
      <c r="MJ48" s="23"/>
      <c r="MK48" s="23"/>
      <c r="ML48" s="23"/>
      <c r="MM48" s="23"/>
      <c r="MN48" s="23"/>
      <c r="MO48" s="23"/>
      <c r="MP48" s="23"/>
      <c r="MQ48" s="23"/>
      <c r="MR48" s="23"/>
      <c r="MS48" s="23"/>
      <c r="MT48" s="23"/>
      <c r="MU48" s="23"/>
      <c r="MV48" s="23"/>
      <c r="MW48" s="23"/>
      <c r="MX48" s="23"/>
      <c r="MY48" s="23"/>
      <c r="MZ48" s="23"/>
      <c r="NA48" s="23"/>
      <c r="NB48" s="23"/>
      <c r="NC48" s="23"/>
      <c r="ND48" s="23"/>
      <c r="NE48" s="23"/>
      <c r="NF48" s="23"/>
      <c r="NG48" s="23"/>
      <c r="NH48" s="23"/>
      <c r="NI48" s="23"/>
      <c r="NJ48" s="23"/>
      <c r="NK48" s="23"/>
      <c r="NL48" s="23"/>
      <c r="NM48" s="23"/>
      <c r="NN48" s="23"/>
    </row>
    <row r="49" spans="5:378" ht="15" customHeight="1">
      <c r="E49" s="23" t="s">
        <v>2988</v>
      </c>
      <c r="F49" s="35" t="e">
        <v>#DIV/0!</v>
      </c>
      <c r="G49" s="35" t="e">
        <v>#DIV/0!</v>
      </c>
      <c r="H49" s="35" t="e">
        <v>#DIV/0!</v>
      </c>
      <c r="I49" s="35" t="e">
        <v>#DIV/0!</v>
      </c>
      <c r="J49" s="35" t="e">
        <v>#DIV/0!</v>
      </c>
      <c r="K49" s="35" t="e">
        <v>#DIV/0!</v>
      </c>
      <c r="L49" s="35" t="e">
        <v>#DIV/0!</v>
      </c>
      <c r="M49" s="35" t="e">
        <v>#DIV/0!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  <c r="IZ49" s="23"/>
      <c r="JA49" s="23"/>
      <c r="JB49" s="23"/>
      <c r="JC49" s="23"/>
      <c r="JD49" s="23"/>
      <c r="JE49" s="23"/>
      <c r="JF49" s="23"/>
      <c r="JG49" s="23"/>
      <c r="JH49" s="23"/>
      <c r="JI49" s="23"/>
      <c r="JJ49" s="23"/>
      <c r="JK49" s="23"/>
      <c r="JL49" s="23"/>
      <c r="JM49" s="23"/>
      <c r="JN49" s="23"/>
      <c r="JO49" s="23"/>
      <c r="JP49" s="23"/>
      <c r="JQ49" s="23"/>
      <c r="JR49" s="23"/>
      <c r="JS49" s="23"/>
      <c r="JT49" s="23"/>
      <c r="JU49" s="23"/>
      <c r="JV49" s="23"/>
      <c r="JW49" s="23"/>
      <c r="JX49" s="23"/>
      <c r="JY49" s="23"/>
      <c r="JZ49" s="23"/>
      <c r="KA49" s="23"/>
      <c r="KB49" s="23"/>
      <c r="KC49" s="23"/>
      <c r="KD49" s="23"/>
      <c r="KE49" s="23"/>
      <c r="KF49" s="23"/>
      <c r="KG49" s="23"/>
      <c r="KH49" s="23"/>
      <c r="KI49" s="23"/>
      <c r="KJ49" s="23"/>
      <c r="KK49" s="23"/>
      <c r="KL49" s="23"/>
      <c r="KM49" s="23"/>
      <c r="KN49" s="23"/>
      <c r="KO49" s="23"/>
      <c r="KP49" s="23"/>
      <c r="KQ49" s="23"/>
      <c r="KR49" s="23"/>
      <c r="KS49" s="23"/>
      <c r="KT49" s="23"/>
      <c r="KU49" s="23"/>
      <c r="KV49" s="23"/>
      <c r="KW49" s="23"/>
      <c r="KX49" s="23"/>
      <c r="KY49" s="23"/>
      <c r="KZ49" s="23"/>
      <c r="LA49" s="23"/>
      <c r="LB49" s="23"/>
      <c r="LC49" s="23"/>
      <c r="LD49" s="23"/>
      <c r="LE49" s="23"/>
      <c r="LF49" s="23"/>
      <c r="LG49" s="23"/>
      <c r="LH49" s="23"/>
      <c r="LI49" s="23"/>
      <c r="LJ49" s="23"/>
      <c r="LK49" s="23"/>
      <c r="LL49" s="23"/>
      <c r="LM49" s="23"/>
      <c r="LN49" s="23"/>
      <c r="LO49" s="23"/>
      <c r="LP49" s="23"/>
      <c r="LQ49" s="23"/>
      <c r="LR49" s="23"/>
      <c r="LS49" s="23"/>
      <c r="LT49" s="23"/>
      <c r="LU49" s="23"/>
      <c r="LV49" s="23"/>
      <c r="LW49" s="23"/>
      <c r="LX49" s="23"/>
      <c r="LY49" s="23"/>
      <c r="LZ49" s="23"/>
      <c r="MA49" s="23"/>
      <c r="MB49" s="23"/>
      <c r="MC49" s="23"/>
      <c r="MD49" s="23"/>
      <c r="ME49" s="23"/>
      <c r="MF49" s="23"/>
      <c r="MG49" s="23"/>
      <c r="MH49" s="23"/>
      <c r="MI49" s="23"/>
      <c r="MJ49" s="23"/>
      <c r="MK49" s="23"/>
      <c r="ML49" s="23"/>
      <c r="MM49" s="23"/>
      <c r="MN49" s="23"/>
      <c r="MO49" s="23"/>
      <c r="MP49" s="23"/>
      <c r="MQ49" s="23"/>
      <c r="MR49" s="23"/>
      <c r="MS49" s="23"/>
      <c r="MT49" s="23"/>
      <c r="MU49" s="23"/>
      <c r="MV49" s="23"/>
      <c r="MW49" s="23"/>
      <c r="MX49" s="23"/>
      <c r="MY49" s="23"/>
      <c r="MZ49" s="23"/>
      <c r="NA49" s="23"/>
      <c r="NB49" s="23"/>
      <c r="NC49" s="23"/>
      <c r="ND49" s="23"/>
      <c r="NE49" s="23"/>
      <c r="NF49" s="23"/>
      <c r="NG49" s="23"/>
      <c r="NH49" s="23"/>
      <c r="NI49" s="23"/>
      <c r="NJ49" s="23"/>
      <c r="NK49" s="23"/>
      <c r="NL49" s="23"/>
      <c r="NM49" s="23"/>
      <c r="NN49" s="23"/>
    </row>
    <row r="50" spans="5:378" ht="15" customHeight="1">
      <c r="E50" s="23" t="s">
        <v>2989</v>
      </c>
      <c r="F50" s="35">
        <v>0.13815371604118806</v>
      </c>
      <c r="G50" s="35">
        <v>0.21098069389229457</v>
      </c>
      <c r="H50" s="35">
        <v>0.18713592005572038</v>
      </c>
      <c r="I50" s="35">
        <v>0.16278661846034831</v>
      </c>
      <c r="J50" s="35">
        <v>0.15380123271380178</v>
      </c>
      <c r="K50" s="35">
        <v>0.14714181883664676</v>
      </c>
      <c r="L50" s="35">
        <v>0</v>
      </c>
      <c r="M50" s="35">
        <v>1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  <c r="NA50" s="23"/>
      <c r="NB50" s="23"/>
      <c r="NC50" s="23"/>
      <c r="ND50" s="23"/>
      <c r="NE50" s="23"/>
      <c r="NF50" s="23"/>
      <c r="NG50" s="23"/>
      <c r="NH50" s="23"/>
      <c r="NI50" s="23"/>
      <c r="NJ50" s="23"/>
      <c r="NK50" s="23"/>
      <c r="NL50" s="23"/>
      <c r="NM50" s="23"/>
      <c r="NN50" s="23"/>
    </row>
    <row r="51" spans="5:378" ht="15" customHeight="1"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  <c r="IZ51" s="23"/>
      <c r="JA51" s="23"/>
      <c r="JB51" s="23"/>
      <c r="JC51" s="23"/>
      <c r="JD51" s="23"/>
      <c r="JE51" s="23"/>
      <c r="JF51" s="23"/>
      <c r="JG51" s="23"/>
      <c r="JH51" s="23"/>
      <c r="JI51" s="23"/>
      <c r="JJ51" s="23"/>
      <c r="JK51" s="23"/>
      <c r="JL51" s="23"/>
      <c r="JM51" s="23"/>
      <c r="JN51" s="23"/>
      <c r="JO51" s="23"/>
      <c r="JP51" s="23"/>
      <c r="JQ51" s="23"/>
      <c r="JR51" s="23"/>
      <c r="JS51" s="23"/>
      <c r="JT51" s="23"/>
      <c r="JU51" s="23"/>
      <c r="JV51" s="23"/>
      <c r="JW51" s="23"/>
      <c r="JX51" s="23"/>
      <c r="JY51" s="23"/>
      <c r="JZ51" s="23"/>
      <c r="KA51" s="23"/>
      <c r="KB51" s="23"/>
      <c r="KC51" s="23"/>
      <c r="KD51" s="23"/>
      <c r="KE51" s="23"/>
      <c r="KF51" s="23"/>
      <c r="KG51" s="23"/>
      <c r="KH51" s="23"/>
      <c r="KI51" s="23"/>
      <c r="KJ51" s="23"/>
      <c r="KK51" s="23"/>
      <c r="KL51" s="23"/>
      <c r="KM51" s="23"/>
      <c r="KN51" s="23"/>
      <c r="KO51" s="23"/>
      <c r="KP51" s="23"/>
      <c r="KQ51" s="23"/>
      <c r="KR51" s="23"/>
      <c r="KS51" s="23"/>
      <c r="KT51" s="23"/>
      <c r="KU51" s="23"/>
      <c r="KV51" s="23"/>
      <c r="KW51" s="23"/>
      <c r="KX51" s="23"/>
      <c r="KY51" s="23"/>
      <c r="KZ51" s="23"/>
      <c r="LA51" s="23"/>
      <c r="LB51" s="23"/>
      <c r="LC51" s="23"/>
      <c r="LD51" s="23"/>
      <c r="LE51" s="23"/>
      <c r="LF51" s="23"/>
      <c r="LG51" s="23"/>
      <c r="LH51" s="23"/>
      <c r="LI51" s="23"/>
      <c r="LJ51" s="23"/>
      <c r="LK51" s="23"/>
      <c r="LL51" s="23"/>
      <c r="LM51" s="23"/>
      <c r="LN51" s="23"/>
      <c r="LO51" s="23"/>
      <c r="LP51" s="23"/>
      <c r="LQ51" s="23"/>
      <c r="LR51" s="23"/>
      <c r="LS51" s="23"/>
      <c r="LT51" s="23"/>
      <c r="LU51" s="23"/>
      <c r="LV51" s="23"/>
      <c r="LW51" s="23"/>
      <c r="LX51" s="23"/>
      <c r="LY51" s="23"/>
      <c r="LZ51" s="23"/>
      <c r="MA51" s="23"/>
      <c r="MB51" s="23"/>
      <c r="MC51" s="23"/>
      <c r="MD51" s="23"/>
      <c r="ME51" s="23"/>
      <c r="MF51" s="23"/>
      <c r="MG51" s="23"/>
      <c r="MH51" s="23"/>
      <c r="MI51" s="23"/>
      <c r="MJ51" s="23"/>
      <c r="MK51" s="23"/>
      <c r="ML51" s="23"/>
      <c r="MM51" s="23"/>
      <c r="MN51" s="23"/>
      <c r="MO51" s="23"/>
      <c r="MP51" s="23"/>
      <c r="MQ51" s="23"/>
      <c r="MR51" s="23"/>
      <c r="MS51" s="23"/>
      <c r="MT51" s="23"/>
      <c r="MU51" s="23"/>
      <c r="MV51" s="23"/>
      <c r="MW51" s="23"/>
      <c r="MX51" s="23"/>
      <c r="MY51" s="23"/>
      <c r="MZ51" s="23"/>
      <c r="NA51" s="23"/>
      <c r="NB51" s="23"/>
      <c r="NC51" s="23"/>
      <c r="ND51" s="23"/>
      <c r="NE51" s="23"/>
      <c r="NF51" s="23"/>
      <c r="NG51" s="23"/>
      <c r="NH51" s="23"/>
      <c r="NI51" s="23"/>
      <c r="NJ51" s="23"/>
      <c r="NK51" s="23"/>
      <c r="NL51" s="23"/>
      <c r="NM51" s="23"/>
      <c r="NN51" s="23"/>
    </row>
    <row r="52" spans="5:378" ht="15" customHeight="1"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  <c r="IZ52" s="23"/>
      <c r="JA52" s="23"/>
      <c r="JB52" s="23"/>
      <c r="JC52" s="23"/>
      <c r="JD52" s="23"/>
      <c r="JE52" s="23"/>
      <c r="JF52" s="23"/>
      <c r="JG52" s="23"/>
      <c r="JH52" s="23"/>
      <c r="JI52" s="23"/>
      <c r="JJ52" s="23"/>
      <c r="JK52" s="23"/>
      <c r="JL52" s="23"/>
      <c r="JM52" s="23"/>
      <c r="JN52" s="23"/>
      <c r="JO52" s="23"/>
      <c r="JP52" s="23"/>
      <c r="JQ52" s="23"/>
      <c r="JR52" s="23"/>
      <c r="JS52" s="23"/>
      <c r="JT52" s="23"/>
      <c r="JU52" s="23"/>
      <c r="JV52" s="23"/>
      <c r="JW52" s="23"/>
      <c r="JX52" s="23"/>
      <c r="JY52" s="23"/>
      <c r="JZ52" s="23"/>
      <c r="KA52" s="23"/>
      <c r="KB52" s="23"/>
      <c r="KC52" s="23"/>
      <c r="KD52" s="23"/>
      <c r="KE52" s="23"/>
      <c r="KF52" s="23"/>
      <c r="KG52" s="23"/>
      <c r="KH52" s="23"/>
      <c r="KI52" s="23"/>
      <c r="KJ52" s="23"/>
      <c r="KK52" s="23"/>
      <c r="KL52" s="23"/>
      <c r="KM52" s="23"/>
      <c r="KN52" s="23"/>
      <c r="KO52" s="23"/>
      <c r="KP52" s="23"/>
      <c r="KQ52" s="23"/>
      <c r="KR52" s="23"/>
      <c r="KS52" s="23"/>
      <c r="KT52" s="23"/>
      <c r="KU52" s="23"/>
      <c r="KV52" s="23"/>
      <c r="KW52" s="23"/>
      <c r="KX52" s="23"/>
      <c r="KY52" s="23"/>
      <c r="KZ52" s="23"/>
      <c r="LA52" s="23"/>
      <c r="LB52" s="23"/>
      <c r="LC52" s="23"/>
      <c r="LD52" s="23"/>
      <c r="LE52" s="23"/>
      <c r="LF52" s="23"/>
      <c r="LG52" s="23"/>
      <c r="LH52" s="23"/>
      <c r="LI52" s="23"/>
      <c r="LJ52" s="23"/>
      <c r="LK52" s="23"/>
      <c r="LL52" s="23"/>
      <c r="LM52" s="23"/>
      <c r="LN52" s="23"/>
      <c r="LO52" s="23"/>
      <c r="LP52" s="23"/>
      <c r="LQ52" s="23"/>
      <c r="LR52" s="23"/>
      <c r="LS52" s="23"/>
      <c r="LT52" s="23"/>
      <c r="LU52" s="23"/>
      <c r="LV52" s="23"/>
      <c r="LW52" s="23"/>
      <c r="LX52" s="23"/>
      <c r="LY52" s="23"/>
      <c r="LZ52" s="23"/>
      <c r="MA52" s="23"/>
      <c r="MB52" s="23"/>
      <c r="MC52" s="23"/>
      <c r="MD52" s="23"/>
      <c r="ME52" s="23"/>
      <c r="MF52" s="23"/>
      <c r="MG52" s="23"/>
      <c r="MH52" s="23"/>
      <c r="MI52" s="23"/>
      <c r="MJ52" s="23"/>
      <c r="MK52" s="23"/>
      <c r="ML52" s="23"/>
      <c r="MM52" s="23"/>
      <c r="MN52" s="23"/>
      <c r="MO52" s="23"/>
      <c r="MP52" s="23"/>
      <c r="MQ52" s="23"/>
      <c r="MR52" s="23"/>
      <c r="MS52" s="23"/>
      <c r="MT52" s="23"/>
      <c r="MU52" s="23"/>
      <c r="MV52" s="23"/>
      <c r="MW52" s="23"/>
      <c r="MX52" s="23"/>
      <c r="MY52" s="23"/>
      <c r="MZ52" s="23"/>
      <c r="NA52" s="23"/>
      <c r="NB52" s="23"/>
      <c r="NC52" s="23"/>
      <c r="ND52" s="23"/>
      <c r="NE52" s="23"/>
      <c r="NF52" s="23"/>
      <c r="NG52" s="23"/>
      <c r="NH52" s="23"/>
      <c r="NI52" s="23"/>
      <c r="NJ52" s="23"/>
      <c r="NK52" s="23"/>
      <c r="NL52" s="23"/>
      <c r="NM52" s="23"/>
      <c r="NN52" s="23"/>
    </row>
    <row r="53" spans="5:378" ht="15" customHeight="1"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  <c r="IZ53" s="23"/>
      <c r="JA53" s="23"/>
      <c r="JB53" s="23"/>
      <c r="JC53" s="23"/>
      <c r="JD53" s="23"/>
      <c r="JE53" s="23"/>
      <c r="JF53" s="23"/>
      <c r="JG53" s="23"/>
      <c r="JH53" s="23"/>
      <c r="JI53" s="23"/>
      <c r="JJ53" s="23"/>
      <c r="JK53" s="23"/>
      <c r="JL53" s="23"/>
      <c r="JM53" s="23"/>
      <c r="JN53" s="23"/>
      <c r="JO53" s="23"/>
      <c r="JP53" s="23"/>
      <c r="JQ53" s="23"/>
      <c r="JR53" s="23"/>
      <c r="JS53" s="23"/>
      <c r="JT53" s="23"/>
      <c r="JU53" s="23"/>
      <c r="JV53" s="23"/>
      <c r="JW53" s="23"/>
      <c r="JX53" s="23"/>
      <c r="JY53" s="23"/>
      <c r="JZ53" s="23"/>
      <c r="KA53" s="23"/>
      <c r="KB53" s="23"/>
      <c r="KC53" s="23"/>
      <c r="KD53" s="23"/>
      <c r="KE53" s="23"/>
      <c r="KF53" s="23"/>
      <c r="KG53" s="23"/>
      <c r="KH53" s="23"/>
      <c r="KI53" s="23"/>
      <c r="KJ53" s="23"/>
      <c r="KK53" s="23"/>
      <c r="KL53" s="23"/>
      <c r="KM53" s="23"/>
      <c r="KN53" s="23"/>
      <c r="KO53" s="23"/>
      <c r="KP53" s="23"/>
      <c r="KQ53" s="23"/>
      <c r="KR53" s="23"/>
      <c r="KS53" s="23"/>
      <c r="KT53" s="23"/>
      <c r="KU53" s="23"/>
      <c r="KV53" s="23"/>
      <c r="KW53" s="23"/>
      <c r="KX53" s="23"/>
      <c r="KY53" s="23"/>
      <c r="KZ53" s="23"/>
      <c r="LA53" s="23"/>
      <c r="LB53" s="23"/>
      <c r="LC53" s="23"/>
      <c r="LD53" s="23"/>
      <c r="LE53" s="23"/>
      <c r="LF53" s="23"/>
      <c r="LG53" s="23"/>
      <c r="LH53" s="23"/>
      <c r="LI53" s="23"/>
      <c r="LJ53" s="23"/>
      <c r="LK53" s="23"/>
      <c r="LL53" s="23"/>
      <c r="LM53" s="23"/>
      <c r="LN53" s="23"/>
      <c r="LO53" s="23"/>
      <c r="LP53" s="23"/>
      <c r="LQ53" s="23"/>
      <c r="LR53" s="23"/>
      <c r="LS53" s="23"/>
      <c r="LT53" s="23"/>
      <c r="LU53" s="23"/>
      <c r="LV53" s="23"/>
      <c r="LW53" s="23"/>
      <c r="LX53" s="23"/>
      <c r="LY53" s="23"/>
      <c r="LZ53" s="23"/>
      <c r="MA53" s="23"/>
      <c r="MB53" s="23"/>
      <c r="MC53" s="23"/>
      <c r="MD53" s="23"/>
      <c r="ME53" s="23"/>
      <c r="MF53" s="23"/>
      <c r="MG53" s="23"/>
      <c r="MH53" s="23"/>
      <c r="MI53" s="23"/>
      <c r="MJ53" s="23"/>
      <c r="MK53" s="23"/>
      <c r="ML53" s="23"/>
      <c r="MM53" s="23"/>
      <c r="MN53" s="23"/>
      <c r="MO53" s="23"/>
      <c r="MP53" s="23"/>
      <c r="MQ53" s="23"/>
      <c r="MR53" s="23"/>
      <c r="MS53" s="23"/>
      <c r="MT53" s="23"/>
      <c r="MU53" s="23"/>
      <c r="MV53" s="23"/>
      <c r="MW53" s="23"/>
      <c r="MX53" s="23"/>
      <c r="MY53" s="23"/>
      <c r="MZ53" s="23"/>
      <c r="NA53" s="23"/>
      <c r="NB53" s="23"/>
      <c r="NC53" s="23"/>
      <c r="ND53" s="23"/>
      <c r="NE53" s="23"/>
      <c r="NF53" s="23"/>
      <c r="NG53" s="23"/>
      <c r="NH53" s="23"/>
      <c r="NI53" s="23"/>
      <c r="NJ53" s="23"/>
      <c r="NK53" s="23"/>
      <c r="NL53" s="23"/>
      <c r="NM53" s="23"/>
      <c r="NN53" s="23"/>
    </row>
    <row r="54" spans="5:378" ht="15" customHeight="1"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  <c r="IZ54" s="23"/>
      <c r="JA54" s="23"/>
      <c r="JB54" s="23"/>
      <c r="JC54" s="23"/>
      <c r="JD54" s="23"/>
      <c r="JE54" s="23"/>
      <c r="JF54" s="23"/>
      <c r="JG54" s="23"/>
      <c r="JH54" s="23"/>
      <c r="JI54" s="23"/>
      <c r="JJ54" s="23"/>
      <c r="JK54" s="23"/>
      <c r="JL54" s="23"/>
      <c r="JM54" s="23"/>
      <c r="JN54" s="23"/>
      <c r="JO54" s="23"/>
      <c r="JP54" s="23"/>
      <c r="JQ54" s="23"/>
      <c r="JR54" s="23"/>
      <c r="JS54" s="23"/>
      <c r="JT54" s="23"/>
      <c r="JU54" s="23"/>
      <c r="JV54" s="23"/>
      <c r="JW54" s="23"/>
      <c r="JX54" s="23"/>
      <c r="JY54" s="23"/>
      <c r="JZ54" s="23"/>
      <c r="KA54" s="23"/>
      <c r="KB54" s="23"/>
      <c r="KC54" s="23"/>
      <c r="KD54" s="23"/>
      <c r="KE54" s="23"/>
      <c r="KF54" s="23"/>
      <c r="KG54" s="23"/>
      <c r="KH54" s="23"/>
      <c r="KI54" s="23"/>
      <c r="KJ54" s="23"/>
      <c r="KK54" s="23"/>
      <c r="KL54" s="23"/>
      <c r="KM54" s="23"/>
      <c r="KN54" s="23"/>
      <c r="KO54" s="23"/>
      <c r="KP54" s="23"/>
      <c r="KQ54" s="23"/>
      <c r="KR54" s="23"/>
      <c r="KS54" s="23"/>
      <c r="KT54" s="23"/>
      <c r="KU54" s="23"/>
      <c r="KV54" s="23"/>
      <c r="KW54" s="23"/>
      <c r="KX54" s="23"/>
      <c r="KY54" s="23"/>
      <c r="KZ54" s="23"/>
      <c r="LA54" s="23"/>
      <c r="LB54" s="23"/>
      <c r="LC54" s="23"/>
      <c r="LD54" s="23"/>
      <c r="LE54" s="23"/>
      <c r="LF54" s="23"/>
      <c r="LG54" s="23"/>
      <c r="LH54" s="23"/>
      <c r="LI54" s="23"/>
      <c r="LJ54" s="23"/>
      <c r="LK54" s="23"/>
      <c r="LL54" s="23"/>
      <c r="LM54" s="23"/>
      <c r="LN54" s="23"/>
      <c r="LO54" s="23"/>
      <c r="LP54" s="23"/>
      <c r="LQ54" s="23"/>
      <c r="LR54" s="23"/>
      <c r="LS54" s="23"/>
      <c r="LT54" s="23"/>
      <c r="LU54" s="23"/>
      <c r="LV54" s="23"/>
      <c r="LW54" s="23"/>
      <c r="LX54" s="23"/>
      <c r="LY54" s="23"/>
      <c r="LZ54" s="23"/>
      <c r="MA54" s="23"/>
      <c r="MB54" s="23"/>
      <c r="MC54" s="23"/>
      <c r="MD54" s="23"/>
      <c r="ME54" s="23"/>
      <c r="MF54" s="23"/>
      <c r="MG54" s="23"/>
      <c r="MH54" s="23"/>
      <c r="MI54" s="23"/>
      <c r="MJ54" s="23"/>
      <c r="MK54" s="23"/>
      <c r="ML54" s="23"/>
      <c r="MM54" s="23"/>
      <c r="MN54" s="23"/>
      <c r="MO54" s="23"/>
      <c r="MP54" s="23"/>
      <c r="MQ54" s="23"/>
      <c r="MR54" s="23"/>
      <c r="MS54" s="23"/>
      <c r="MT54" s="23"/>
      <c r="MU54" s="23"/>
      <c r="MV54" s="23"/>
      <c r="MW54" s="23"/>
      <c r="MX54" s="23"/>
      <c r="MY54" s="23"/>
      <c r="MZ54" s="23"/>
      <c r="NA54" s="23"/>
      <c r="NB54" s="23"/>
      <c r="NC54" s="23"/>
      <c r="ND54" s="23"/>
      <c r="NE54" s="23"/>
      <c r="NF54" s="23"/>
      <c r="NG54" s="23"/>
      <c r="NH54" s="23"/>
      <c r="NI54" s="23"/>
      <c r="NJ54" s="23"/>
      <c r="NK54" s="23"/>
      <c r="NL54" s="23"/>
      <c r="NM54" s="23"/>
      <c r="NN54" s="23"/>
    </row>
    <row r="55" spans="5:378" ht="15" customHeight="1">
      <c r="E55" s="33" t="s">
        <v>97</v>
      </c>
      <c r="F55" s="23" t="s">
        <v>2987</v>
      </c>
      <c r="G55" s="23"/>
      <c r="H55" s="23"/>
      <c r="I55" s="33" t="s">
        <v>93</v>
      </c>
      <c r="J55" s="23" t="s">
        <v>2990</v>
      </c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  <c r="IZ55" s="23"/>
      <c r="JA55" s="23"/>
      <c r="JB55" s="23"/>
      <c r="JC55" s="23"/>
      <c r="JD55" s="23"/>
      <c r="JE55" s="23"/>
      <c r="JF55" s="23"/>
      <c r="JG55" s="23"/>
      <c r="JH55" s="23"/>
      <c r="JI55" s="23"/>
      <c r="JJ55" s="23"/>
      <c r="JK55" s="23"/>
      <c r="JL55" s="23"/>
      <c r="JM55" s="23"/>
      <c r="JN55" s="23"/>
      <c r="JO55" s="23"/>
      <c r="JP55" s="23"/>
      <c r="JQ55" s="23"/>
      <c r="JR55" s="23"/>
      <c r="JS55" s="23"/>
      <c r="JT55" s="23"/>
      <c r="JU55" s="23"/>
      <c r="JV55" s="23"/>
      <c r="JW55" s="23"/>
      <c r="JX55" s="23"/>
      <c r="JY55" s="23"/>
      <c r="JZ55" s="23"/>
      <c r="KA55" s="23"/>
      <c r="KB55" s="23"/>
      <c r="KC55" s="23"/>
      <c r="KD55" s="23"/>
      <c r="KE55" s="23"/>
      <c r="KF55" s="23"/>
      <c r="KG55" s="23"/>
      <c r="KH55" s="23"/>
      <c r="KI55" s="23"/>
      <c r="KJ55" s="23"/>
      <c r="KK55" s="23"/>
      <c r="KL55" s="23"/>
      <c r="KM55" s="23"/>
      <c r="KN55" s="23"/>
      <c r="KO55" s="23"/>
      <c r="KP55" s="23"/>
      <c r="KQ55" s="23"/>
      <c r="KR55" s="23"/>
      <c r="KS55" s="23"/>
      <c r="KT55" s="23"/>
      <c r="KU55" s="23"/>
      <c r="KV55" s="23"/>
      <c r="KW55" s="23"/>
      <c r="KX55" s="23"/>
      <c r="KY55" s="23"/>
      <c r="KZ55" s="23"/>
      <c r="LA55" s="23"/>
      <c r="LB55" s="23"/>
      <c r="LC55" s="23"/>
      <c r="LD55" s="23"/>
      <c r="LE55" s="23"/>
      <c r="LF55" s="23"/>
      <c r="LG55" s="23"/>
      <c r="LH55" s="23"/>
      <c r="LI55" s="23"/>
      <c r="LJ55" s="23"/>
      <c r="LK55" s="23"/>
      <c r="LL55" s="23"/>
      <c r="LM55" s="23"/>
      <c r="LN55" s="23"/>
      <c r="LO55" s="23"/>
      <c r="LP55" s="23"/>
      <c r="LQ55" s="23"/>
      <c r="LR55" s="23"/>
      <c r="LS55" s="23"/>
      <c r="LT55" s="23"/>
      <c r="LU55" s="23"/>
      <c r="LV55" s="23"/>
      <c r="LW55" s="23"/>
      <c r="LX55" s="23"/>
      <c r="LY55" s="23"/>
      <c r="LZ55" s="23"/>
      <c r="MA55" s="23"/>
      <c r="MB55" s="23"/>
      <c r="MC55" s="23"/>
      <c r="MD55" s="23"/>
      <c r="ME55" s="23"/>
      <c r="MF55" s="23"/>
      <c r="MG55" s="23"/>
      <c r="MH55" s="23"/>
      <c r="MI55" s="23"/>
      <c r="MJ55" s="23"/>
      <c r="MK55" s="23"/>
      <c r="ML55" s="23"/>
      <c r="MM55" s="23"/>
      <c r="MN55" s="23"/>
      <c r="MO55" s="23"/>
      <c r="MP55" s="23"/>
      <c r="MQ55" s="23"/>
      <c r="MR55" s="23"/>
      <c r="MS55" s="23"/>
      <c r="MT55" s="23"/>
      <c r="MU55" s="23"/>
      <c r="MV55" s="23"/>
      <c r="MW55" s="23"/>
      <c r="MX55" s="23"/>
      <c r="MY55" s="23"/>
      <c r="MZ55" s="23"/>
      <c r="NA55" s="23"/>
      <c r="NB55" s="23"/>
      <c r="NC55" s="23"/>
      <c r="ND55" s="23"/>
      <c r="NE55" s="23"/>
      <c r="NF55" s="23"/>
      <c r="NG55" s="23"/>
      <c r="NH55" s="23"/>
      <c r="NI55" s="23"/>
      <c r="NJ55" s="23"/>
      <c r="NK55" s="23"/>
      <c r="NL55" s="23"/>
      <c r="NM55" s="23"/>
      <c r="NN55" s="23"/>
    </row>
    <row r="56" spans="5:378" ht="15" customHeight="1">
      <c r="E56" s="23" t="s">
        <v>2991</v>
      </c>
      <c r="F56" s="34">
        <v>6728963.7299999958</v>
      </c>
      <c r="G56" s="23"/>
      <c r="H56" s="23"/>
      <c r="I56" s="23" t="s">
        <v>116</v>
      </c>
      <c r="J56" s="36">
        <v>0.44880872703963443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  <c r="IY56" s="23"/>
      <c r="IZ56" s="23"/>
      <c r="JA56" s="23"/>
      <c r="JB56" s="23"/>
      <c r="JC56" s="23"/>
      <c r="JD56" s="23"/>
      <c r="JE56" s="23"/>
      <c r="JF56" s="23"/>
      <c r="JG56" s="23"/>
      <c r="JH56" s="23"/>
      <c r="JI56" s="23"/>
      <c r="JJ56" s="23"/>
      <c r="JK56" s="23"/>
      <c r="JL56" s="23"/>
      <c r="JM56" s="23"/>
      <c r="JN56" s="23"/>
      <c r="JO56" s="23"/>
      <c r="JP56" s="23"/>
      <c r="JQ56" s="23"/>
      <c r="JR56" s="23"/>
      <c r="JS56" s="23"/>
      <c r="JT56" s="23"/>
      <c r="JU56" s="23"/>
      <c r="JV56" s="23"/>
      <c r="JW56" s="23"/>
      <c r="JX56" s="23"/>
      <c r="JY56" s="23"/>
      <c r="JZ56" s="23"/>
      <c r="KA56" s="23"/>
      <c r="KB56" s="23"/>
      <c r="KC56" s="23"/>
      <c r="KD56" s="23"/>
      <c r="KE56" s="23"/>
      <c r="KF56" s="23"/>
      <c r="KG56" s="23"/>
      <c r="KH56" s="23"/>
      <c r="KI56" s="23"/>
      <c r="KJ56" s="23"/>
      <c r="KK56" s="23"/>
      <c r="KL56" s="23"/>
      <c r="KM56" s="23"/>
      <c r="KN56" s="23"/>
      <c r="KO56" s="23"/>
      <c r="KP56" s="23"/>
      <c r="KQ56" s="23"/>
      <c r="KR56" s="23"/>
      <c r="KS56" s="23"/>
      <c r="KT56" s="23"/>
      <c r="KU56" s="23"/>
      <c r="KV56" s="23"/>
      <c r="KW56" s="23"/>
      <c r="KX56" s="23"/>
      <c r="KY56" s="23"/>
      <c r="KZ56" s="23"/>
      <c r="LA56" s="23"/>
      <c r="LB56" s="23"/>
      <c r="LC56" s="23"/>
      <c r="LD56" s="23"/>
      <c r="LE56" s="23"/>
      <c r="LF56" s="23"/>
      <c r="LG56" s="23"/>
      <c r="LH56" s="23"/>
      <c r="LI56" s="23"/>
      <c r="LJ56" s="23"/>
      <c r="LK56" s="23"/>
      <c r="LL56" s="23"/>
      <c r="LM56" s="23"/>
      <c r="LN56" s="23"/>
      <c r="LO56" s="23"/>
      <c r="LP56" s="23"/>
      <c r="LQ56" s="23"/>
      <c r="LR56" s="23"/>
      <c r="LS56" s="23"/>
      <c r="LT56" s="23"/>
      <c r="LU56" s="23"/>
      <c r="LV56" s="23"/>
      <c r="LW56" s="23"/>
      <c r="LX56" s="23"/>
      <c r="LY56" s="23"/>
      <c r="LZ56" s="23"/>
      <c r="MA56" s="23"/>
      <c r="MB56" s="23"/>
      <c r="MC56" s="23"/>
      <c r="MD56" s="23"/>
      <c r="ME56" s="23"/>
      <c r="MF56" s="23"/>
      <c r="MG56" s="23"/>
      <c r="MH56" s="23"/>
      <c r="MI56" s="23"/>
      <c r="MJ56" s="23"/>
      <c r="MK56" s="23"/>
      <c r="ML56" s="23"/>
      <c r="MM56" s="23"/>
      <c r="MN56" s="23"/>
      <c r="MO56" s="23"/>
      <c r="MP56" s="23"/>
      <c r="MQ56" s="23"/>
      <c r="MR56" s="23"/>
      <c r="MS56" s="23"/>
      <c r="MT56" s="23"/>
      <c r="MU56" s="23"/>
      <c r="MV56" s="23"/>
      <c r="MW56" s="23"/>
      <c r="MX56" s="23"/>
      <c r="MY56" s="23"/>
      <c r="MZ56" s="23"/>
      <c r="NA56" s="23"/>
      <c r="NB56" s="23"/>
      <c r="NC56" s="23"/>
      <c r="ND56" s="23"/>
      <c r="NE56" s="23"/>
      <c r="NF56" s="23"/>
      <c r="NG56" s="23"/>
      <c r="NH56" s="23"/>
      <c r="NI56" s="23"/>
      <c r="NJ56" s="23"/>
      <c r="NK56" s="23"/>
      <c r="NL56" s="23"/>
      <c r="NM56" s="23"/>
      <c r="NN56" s="23"/>
    </row>
    <row r="57" spans="5:378" ht="15" customHeight="1">
      <c r="E57" s="23" t="s">
        <v>2992</v>
      </c>
      <c r="F57" s="34">
        <v>6828784.2199999979</v>
      </c>
      <c r="G57" s="23"/>
      <c r="H57" s="23"/>
      <c r="I57" s="23" t="s">
        <v>2989</v>
      </c>
      <c r="J57" s="36">
        <v>0.44880872703963443</v>
      </c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  <c r="IZ57" s="23"/>
      <c r="JA57" s="23"/>
      <c r="JB57" s="23"/>
      <c r="JC57" s="23"/>
      <c r="JD57" s="23"/>
      <c r="JE57" s="23"/>
      <c r="JF57" s="23"/>
      <c r="JG57" s="23"/>
      <c r="JH57" s="23"/>
      <c r="JI57" s="23"/>
      <c r="JJ57" s="23"/>
      <c r="JK57" s="23"/>
      <c r="JL57" s="23"/>
      <c r="JM57" s="23"/>
      <c r="JN57" s="23"/>
      <c r="JO57" s="23"/>
      <c r="JP57" s="23"/>
      <c r="JQ57" s="23"/>
      <c r="JR57" s="23"/>
      <c r="JS57" s="23"/>
      <c r="JT57" s="23"/>
      <c r="JU57" s="23"/>
      <c r="JV57" s="23"/>
      <c r="JW57" s="23"/>
      <c r="JX57" s="23"/>
      <c r="JY57" s="23"/>
      <c r="JZ57" s="23"/>
      <c r="KA57" s="23"/>
      <c r="KB57" s="23"/>
      <c r="KC57" s="23"/>
      <c r="KD57" s="23"/>
      <c r="KE57" s="23"/>
      <c r="KF57" s="23"/>
      <c r="KG57" s="23"/>
      <c r="KH57" s="23"/>
      <c r="KI57" s="23"/>
      <c r="KJ57" s="23"/>
      <c r="KK57" s="23"/>
      <c r="KL57" s="23"/>
      <c r="KM57" s="23"/>
      <c r="KN57" s="23"/>
      <c r="KO57" s="23"/>
      <c r="KP57" s="23"/>
      <c r="KQ57" s="23"/>
      <c r="KR57" s="23"/>
      <c r="KS57" s="23"/>
      <c r="KT57" s="23"/>
      <c r="KU57" s="23"/>
      <c r="KV57" s="23"/>
      <c r="KW57" s="23"/>
      <c r="KX57" s="23"/>
      <c r="KY57" s="23"/>
      <c r="KZ57" s="23"/>
      <c r="LA57" s="23"/>
      <c r="LB57" s="23"/>
      <c r="LC57" s="23"/>
      <c r="LD57" s="23"/>
      <c r="LE57" s="23"/>
      <c r="LF57" s="23"/>
      <c r="LG57" s="23"/>
      <c r="LH57" s="23"/>
      <c r="LI57" s="23"/>
      <c r="LJ57" s="23"/>
      <c r="LK57" s="23"/>
      <c r="LL57" s="23"/>
      <c r="LM57" s="23"/>
      <c r="LN57" s="23"/>
      <c r="LO57" s="23"/>
      <c r="LP57" s="23"/>
      <c r="LQ57" s="23"/>
      <c r="LR57" s="23"/>
      <c r="LS57" s="23"/>
      <c r="LT57" s="23"/>
      <c r="LU57" s="23"/>
      <c r="LV57" s="23"/>
      <c r="LW57" s="23"/>
      <c r="LX57" s="23"/>
      <c r="LY57" s="23"/>
      <c r="LZ57" s="23"/>
      <c r="MA57" s="23"/>
      <c r="MB57" s="23"/>
      <c r="MC57" s="23"/>
      <c r="MD57" s="23"/>
      <c r="ME57" s="23"/>
      <c r="MF57" s="23"/>
      <c r="MG57" s="23"/>
      <c r="MH57" s="23"/>
      <c r="MI57" s="23"/>
      <c r="MJ57" s="23"/>
      <c r="MK57" s="23"/>
      <c r="ML57" s="23"/>
      <c r="MM57" s="23"/>
      <c r="MN57" s="23"/>
      <c r="MO57" s="23"/>
      <c r="MP57" s="23"/>
      <c r="MQ57" s="23"/>
      <c r="MR57" s="23"/>
      <c r="MS57" s="23"/>
      <c r="MT57" s="23"/>
      <c r="MU57" s="23"/>
      <c r="MV57" s="23"/>
      <c r="MW57" s="23"/>
      <c r="MX57" s="23"/>
      <c r="MY57" s="23"/>
      <c r="MZ57" s="23"/>
      <c r="NA57" s="23"/>
      <c r="NB57" s="23"/>
      <c r="NC57" s="23"/>
      <c r="ND57" s="23"/>
      <c r="NE57" s="23"/>
      <c r="NF57" s="23"/>
      <c r="NG57" s="23"/>
      <c r="NH57" s="23"/>
      <c r="NI57" s="23"/>
      <c r="NJ57" s="23"/>
      <c r="NK57" s="23"/>
      <c r="NL57" s="23"/>
      <c r="NM57" s="23"/>
      <c r="NN57" s="23"/>
    </row>
    <row r="58" spans="5:378" ht="15" customHeight="1">
      <c r="E58" s="23" t="s">
        <v>2993</v>
      </c>
      <c r="F58" s="34">
        <v>6555757.270000007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  <c r="IY58" s="23"/>
      <c r="IZ58" s="23"/>
      <c r="JA58" s="23"/>
      <c r="JB58" s="23"/>
      <c r="JC58" s="23"/>
      <c r="JD58" s="23"/>
      <c r="JE58" s="23"/>
      <c r="JF58" s="23"/>
      <c r="JG58" s="23"/>
      <c r="JH58" s="23"/>
      <c r="JI58" s="23"/>
      <c r="JJ58" s="23"/>
      <c r="JK58" s="23"/>
      <c r="JL58" s="23"/>
      <c r="JM58" s="23"/>
      <c r="JN58" s="23"/>
      <c r="JO58" s="23"/>
      <c r="JP58" s="23"/>
      <c r="JQ58" s="23"/>
      <c r="JR58" s="23"/>
      <c r="JS58" s="23"/>
      <c r="JT58" s="23"/>
      <c r="JU58" s="23"/>
      <c r="JV58" s="23"/>
      <c r="JW58" s="23"/>
      <c r="JX58" s="23"/>
      <c r="JY58" s="23"/>
      <c r="JZ58" s="23"/>
      <c r="KA58" s="23"/>
      <c r="KB58" s="23"/>
      <c r="KC58" s="23"/>
      <c r="KD58" s="23"/>
      <c r="KE58" s="23"/>
      <c r="KF58" s="23"/>
      <c r="KG58" s="23"/>
      <c r="KH58" s="23"/>
      <c r="KI58" s="23"/>
      <c r="KJ58" s="23"/>
      <c r="KK58" s="23"/>
      <c r="KL58" s="23"/>
      <c r="KM58" s="23"/>
      <c r="KN58" s="23"/>
      <c r="KO58" s="23"/>
      <c r="KP58" s="23"/>
      <c r="KQ58" s="23"/>
      <c r="KR58" s="23"/>
      <c r="KS58" s="23"/>
      <c r="KT58" s="23"/>
      <c r="KU58" s="23"/>
      <c r="KV58" s="23"/>
      <c r="KW58" s="23"/>
      <c r="KX58" s="23"/>
      <c r="KY58" s="23"/>
      <c r="KZ58" s="23"/>
      <c r="LA58" s="23"/>
      <c r="LB58" s="23"/>
      <c r="LC58" s="23"/>
      <c r="LD58" s="23"/>
      <c r="LE58" s="23"/>
      <c r="LF58" s="23"/>
      <c r="LG58" s="23"/>
      <c r="LH58" s="23"/>
      <c r="LI58" s="23"/>
      <c r="LJ58" s="23"/>
      <c r="LK58" s="23"/>
      <c r="LL58" s="23"/>
      <c r="LM58" s="23"/>
      <c r="LN58" s="23"/>
      <c r="LO58" s="23"/>
      <c r="LP58" s="23"/>
      <c r="LQ58" s="23"/>
      <c r="LR58" s="23"/>
      <c r="LS58" s="23"/>
      <c r="LT58" s="23"/>
      <c r="LU58" s="23"/>
      <c r="LV58" s="23"/>
      <c r="LW58" s="23"/>
      <c r="LX58" s="23"/>
      <c r="LY58" s="23"/>
      <c r="LZ58" s="23"/>
      <c r="MA58" s="23"/>
      <c r="MB58" s="23"/>
      <c r="MC58" s="23"/>
      <c r="MD58" s="23"/>
      <c r="ME58" s="23"/>
      <c r="MF58" s="23"/>
      <c r="MG58" s="23"/>
      <c r="MH58" s="23"/>
      <c r="MI58" s="23"/>
      <c r="MJ58" s="23"/>
      <c r="MK58" s="23"/>
      <c r="ML58" s="23"/>
      <c r="MM58" s="23"/>
      <c r="MN58" s="23"/>
      <c r="MO58" s="23"/>
      <c r="MP58" s="23"/>
      <c r="MQ58" s="23"/>
      <c r="MR58" s="23"/>
      <c r="MS58" s="23"/>
      <c r="MT58" s="23"/>
      <c r="MU58" s="23"/>
      <c r="MV58" s="23"/>
      <c r="MW58" s="23"/>
      <c r="MX58" s="23"/>
      <c r="MY58" s="23"/>
      <c r="MZ58" s="23"/>
      <c r="NA58" s="23"/>
      <c r="NB58" s="23"/>
      <c r="NC58" s="23"/>
      <c r="ND58" s="23"/>
      <c r="NE58" s="23"/>
      <c r="NF58" s="23"/>
      <c r="NG58" s="23"/>
      <c r="NH58" s="23"/>
      <c r="NI58" s="23"/>
      <c r="NJ58" s="23"/>
      <c r="NK58" s="23"/>
      <c r="NL58" s="23"/>
      <c r="NM58" s="23"/>
      <c r="NN58" s="23"/>
    </row>
    <row r="59" spans="5:378" ht="15" customHeight="1">
      <c r="E59" s="23" t="s">
        <v>2994</v>
      </c>
      <c r="F59" s="34">
        <v>6459442.9800000004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  <c r="IZ59" s="23"/>
      <c r="JA59" s="23"/>
      <c r="JB59" s="23"/>
      <c r="JC59" s="23"/>
      <c r="JD59" s="23"/>
      <c r="JE59" s="23"/>
      <c r="JF59" s="23"/>
      <c r="JG59" s="23"/>
      <c r="JH59" s="23"/>
      <c r="JI59" s="23"/>
      <c r="JJ59" s="23"/>
      <c r="JK59" s="23"/>
      <c r="JL59" s="23"/>
      <c r="JM59" s="23"/>
      <c r="JN59" s="23"/>
      <c r="JO59" s="23"/>
      <c r="JP59" s="23"/>
      <c r="JQ59" s="23"/>
      <c r="JR59" s="23"/>
      <c r="JS59" s="23"/>
      <c r="JT59" s="23"/>
      <c r="JU59" s="23"/>
      <c r="JV59" s="23"/>
      <c r="JW59" s="23"/>
      <c r="JX59" s="23"/>
      <c r="JY59" s="23"/>
      <c r="JZ59" s="23"/>
      <c r="KA59" s="23"/>
      <c r="KB59" s="23"/>
      <c r="KC59" s="23"/>
      <c r="KD59" s="23"/>
      <c r="KE59" s="23"/>
      <c r="KF59" s="23"/>
      <c r="KG59" s="23"/>
      <c r="KH59" s="23"/>
      <c r="KI59" s="23"/>
      <c r="KJ59" s="23"/>
      <c r="KK59" s="23"/>
      <c r="KL59" s="23"/>
      <c r="KM59" s="23"/>
      <c r="KN59" s="23"/>
      <c r="KO59" s="23"/>
      <c r="KP59" s="23"/>
      <c r="KQ59" s="23"/>
      <c r="KR59" s="23"/>
      <c r="KS59" s="23"/>
      <c r="KT59" s="23"/>
      <c r="KU59" s="23"/>
      <c r="KV59" s="23"/>
      <c r="KW59" s="23"/>
      <c r="KX59" s="23"/>
      <c r="KY59" s="23"/>
      <c r="KZ59" s="23"/>
      <c r="LA59" s="23"/>
      <c r="LB59" s="23"/>
      <c r="LC59" s="23"/>
      <c r="LD59" s="23"/>
      <c r="LE59" s="23"/>
      <c r="LF59" s="23"/>
      <c r="LG59" s="23"/>
      <c r="LH59" s="23"/>
      <c r="LI59" s="23"/>
      <c r="LJ59" s="23"/>
      <c r="LK59" s="23"/>
      <c r="LL59" s="23"/>
      <c r="LM59" s="23"/>
      <c r="LN59" s="23"/>
      <c r="LO59" s="23"/>
      <c r="LP59" s="23"/>
      <c r="LQ59" s="23"/>
      <c r="LR59" s="23"/>
      <c r="LS59" s="23"/>
      <c r="LT59" s="23"/>
      <c r="LU59" s="23"/>
      <c r="LV59" s="23"/>
      <c r="LW59" s="23"/>
      <c r="LX59" s="23"/>
      <c r="LY59" s="23"/>
      <c r="LZ59" s="23"/>
      <c r="MA59" s="23"/>
      <c r="MB59" s="23"/>
      <c r="MC59" s="23"/>
      <c r="MD59" s="23"/>
      <c r="ME59" s="23"/>
      <c r="MF59" s="23"/>
      <c r="MG59" s="23"/>
      <c r="MH59" s="23"/>
      <c r="MI59" s="23"/>
      <c r="MJ59" s="23"/>
      <c r="MK59" s="23"/>
      <c r="ML59" s="23"/>
      <c r="MM59" s="23"/>
      <c r="MN59" s="23"/>
      <c r="MO59" s="23"/>
      <c r="MP59" s="23"/>
      <c r="MQ59" s="23"/>
      <c r="MR59" s="23"/>
      <c r="MS59" s="23"/>
      <c r="MT59" s="23"/>
      <c r="MU59" s="23"/>
      <c r="MV59" s="23"/>
      <c r="MW59" s="23"/>
      <c r="MX59" s="23"/>
      <c r="MY59" s="23"/>
      <c r="MZ59" s="23"/>
      <c r="NA59" s="23"/>
      <c r="NB59" s="23"/>
      <c r="NC59" s="23"/>
      <c r="ND59" s="23"/>
      <c r="NE59" s="23"/>
      <c r="NF59" s="23"/>
      <c r="NG59" s="23"/>
      <c r="NH59" s="23"/>
      <c r="NI59" s="23"/>
      <c r="NJ59" s="23"/>
      <c r="NK59" s="23"/>
      <c r="NL59" s="23"/>
      <c r="NM59" s="23"/>
      <c r="NN59" s="23"/>
    </row>
    <row r="60" spans="5:378" ht="15" customHeight="1">
      <c r="E60" s="23" t="s">
        <v>2988</v>
      </c>
      <c r="F60" s="34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  <c r="IZ60" s="23"/>
      <c r="JA60" s="23"/>
      <c r="JB60" s="23"/>
      <c r="JC60" s="23"/>
      <c r="JD60" s="23"/>
      <c r="JE60" s="23"/>
      <c r="JF60" s="23"/>
      <c r="JG60" s="23"/>
      <c r="JH60" s="23"/>
      <c r="JI60" s="23"/>
      <c r="JJ60" s="23"/>
      <c r="JK60" s="23"/>
      <c r="JL60" s="23"/>
      <c r="JM60" s="23"/>
      <c r="JN60" s="23"/>
      <c r="JO60" s="23"/>
      <c r="JP60" s="23"/>
      <c r="JQ60" s="23"/>
      <c r="JR60" s="23"/>
      <c r="JS60" s="23"/>
      <c r="JT60" s="23"/>
      <c r="JU60" s="23"/>
      <c r="JV60" s="23"/>
      <c r="JW60" s="23"/>
      <c r="JX60" s="23"/>
      <c r="JY60" s="23"/>
      <c r="JZ60" s="23"/>
      <c r="KA60" s="23"/>
      <c r="KB60" s="23"/>
      <c r="KC60" s="23"/>
      <c r="KD60" s="23"/>
      <c r="KE60" s="23"/>
      <c r="KF60" s="23"/>
      <c r="KG60" s="23"/>
      <c r="KH60" s="23"/>
      <c r="KI60" s="23"/>
      <c r="KJ60" s="23"/>
      <c r="KK60" s="23"/>
      <c r="KL60" s="23"/>
      <c r="KM60" s="23"/>
      <c r="KN60" s="23"/>
      <c r="KO60" s="23"/>
      <c r="KP60" s="23"/>
      <c r="KQ60" s="23"/>
      <c r="KR60" s="23"/>
      <c r="KS60" s="23"/>
      <c r="KT60" s="23"/>
      <c r="KU60" s="23"/>
      <c r="KV60" s="23"/>
      <c r="KW60" s="23"/>
      <c r="KX60" s="23"/>
      <c r="KY60" s="23"/>
      <c r="KZ60" s="23"/>
      <c r="LA60" s="23"/>
      <c r="LB60" s="23"/>
      <c r="LC60" s="23"/>
      <c r="LD60" s="23"/>
      <c r="LE60" s="23"/>
      <c r="LF60" s="23"/>
      <c r="LG60" s="23"/>
      <c r="LH60" s="23"/>
      <c r="LI60" s="23"/>
      <c r="LJ60" s="23"/>
      <c r="LK60" s="23"/>
      <c r="LL60" s="23"/>
      <c r="LM60" s="23"/>
      <c r="LN60" s="23"/>
      <c r="LO60" s="23"/>
      <c r="LP60" s="23"/>
      <c r="LQ60" s="23"/>
      <c r="LR60" s="23"/>
      <c r="LS60" s="23"/>
      <c r="LT60" s="23"/>
      <c r="LU60" s="23"/>
      <c r="LV60" s="23"/>
      <c r="LW60" s="23"/>
      <c r="LX60" s="23"/>
      <c r="LY60" s="23"/>
      <c r="LZ60" s="23"/>
      <c r="MA60" s="23"/>
      <c r="MB60" s="23"/>
      <c r="MC60" s="23"/>
      <c r="MD60" s="23"/>
      <c r="ME60" s="23"/>
      <c r="MF60" s="23"/>
      <c r="MG60" s="23"/>
      <c r="MH60" s="23"/>
      <c r="MI60" s="23"/>
      <c r="MJ60" s="23"/>
      <c r="MK60" s="23"/>
      <c r="ML60" s="23"/>
      <c r="MM60" s="23"/>
      <c r="MN60" s="23"/>
      <c r="MO60" s="23"/>
      <c r="MP60" s="23"/>
      <c r="MQ60" s="23"/>
      <c r="MR60" s="23"/>
      <c r="MS60" s="23"/>
      <c r="MT60" s="23"/>
      <c r="MU60" s="23"/>
      <c r="MV60" s="23"/>
      <c r="MW60" s="23"/>
      <c r="MX60" s="23"/>
      <c r="MY60" s="23"/>
      <c r="MZ60" s="23"/>
      <c r="NA60" s="23"/>
      <c r="NB60" s="23"/>
      <c r="NC60" s="23"/>
      <c r="ND60" s="23"/>
      <c r="NE60" s="23"/>
      <c r="NF60" s="23"/>
      <c r="NG60" s="23"/>
      <c r="NH60" s="23"/>
      <c r="NI60" s="23"/>
      <c r="NJ60" s="23"/>
      <c r="NK60" s="23"/>
      <c r="NL60" s="23"/>
      <c r="NM60" s="23"/>
      <c r="NN60" s="23"/>
    </row>
    <row r="61" spans="5:378" ht="15" customHeight="1">
      <c r="E61" s="23" t="s">
        <v>2989</v>
      </c>
      <c r="F61" s="34">
        <v>26572948.199999999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  <c r="IY61" s="23"/>
      <c r="IZ61" s="23"/>
      <c r="JA61" s="23"/>
      <c r="JB61" s="23"/>
      <c r="JC61" s="23"/>
      <c r="JD61" s="23"/>
      <c r="JE61" s="23"/>
      <c r="JF61" s="23"/>
      <c r="JG61" s="23"/>
      <c r="JH61" s="23"/>
      <c r="JI61" s="23"/>
      <c r="JJ61" s="23"/>
      <c r="JK61" s="23"/>
      <c r="JL61" s="23"/>
      <c r="JM61" s="23"/>
      <c r="JN61" s="23"/>
      <c r="JO61" s="23"/>
      <c r="JP61" s="23"/>
      <c r="JQ61" s="23"/>
      <c r="JR61" s="23"/>
      <c r="JS61" s="23"/>
      <c r="JT61" s="23"/>
      <c r="JU61" s="23"/>
      <c r="JV61" s="23"/>
      <c r="JW61" s="23"/>
      <c r="JX61" s="23"/>
      <c r="JY61" s="23"/>
      <c r="JZ61" s="23"/>
      <c r="KA61" s="23"/>
      <c r="KB61" s="23"/>
      <c r="KC61" s="23"/>
      <c r="KD61" s="23"/>
      <c r="KE61" s="23"/>
      <c r="KF61" s="23"/>
      <c r="KG61" s="23"/>
      <c r="KH61" s="23"/>
      <c r="KI61" s="23"/>
      <c r="KJ61" s="23"/>
      <c r="KK61" s="23"/>
      <c r="KL61" s="23"/>
      <c r="KM61" s="23"/>
      <c r="KN61" s="23"/>
      <c r="KO61" s="23"/>
      <c r="KP61" s="23"/>
      <c r="KQ61" s="23"/>
      <c r="KR61" s="23"/>
      <c r="KS61" s="23"/>
      <c r="KT61" s="23"/>
      <c r="KU61" s="23"/>
      <c r="KV61" s="23"/>
      <c r="KW61" s="23"/>
      <c r="KX61" s="23"/>
      <c r="KY61" s="23"/>
      <c r="KZ61" s="23"/>
      <c r="LA61" s="23"/>
      <c r="LB61" s="23"/>
      <c r="LC61" s="23"/>
      <c r="LD61" s="23"/>
      <c r="LE61" s="23"/>
      <c r="LF61" s="23"/>
      <c r="LG61" s="23"/>
      <c r="LH61" s="23"/>
      <c r="LI61" s="23"/>
      <c r="LJ61" s="23"/>
      <c r="LK61" s="23"/>
      <c r="LL61" s="23"/>
      <c r="LM61" s="23"/>
      <c r="LN61" s="23"/>
      <c r="LO61" s="23"/>
      <c r="LP61" s="23"/>
      <c r="LQ61" s="23"/>
      <c r="LR61" s="23"/>
      <c r="LS61" s="23"/>
      <c r="LT61" s="23"/>
      <c r="LU61" s="23"/>
      <c r="LV61" s="23"/>
      <c r="LW61" s="23"/>
      <c r="LX61" s="23"/>
      <c r="LY61" s="23"/>
      <c r="LZ61" s="23"/>
      <c r="MA61" s="23"/>
      <c r="MB61" s="23"/>
      <c r="MC61" s="23"/>
      <c r="MD61" s="23"/>
      <c r="ME61" s="23"/>
      <c r="MF61" s="23"/>
      <c r="MG61" s="23"/>
      <c r="MH61" s="23"/>
      <c r="MI61" s="23"/>
      <c r="MJ61" s="23"/>
      <c r="MK61" s="23"/>
      <c r="ML61" s="23"/>
      <c r="MM61" s="23"/>
      <c r="MN61" s="23"/>
      <c r="MO61" s="23"/>
      <c r="MP61" s="23"/>
      <c r="MQ61" s="23"/>
      <c r="MR61" s="23"/>
      <c r="MS61" s="23"/>
      <c r="MT61" s="23"/>
      <c r="MU61" s="23"/>
      <c r="MV61" s="23"/>
      <c r="MW61" s="23"/>
      <c r="MX61" s="23"/>
      <c r="MY61" s="23"/>
      <c r="MZ61" s="23"/>
      <c r="NA61" s="23"/>
      <c r="NB61" s="23"/>
      <c r="NC61" s="23"/>
      <c r="ND61" s="23"/>
      <c r="NE61" s="23"/>
      <c r="NF61" s="23"/>
      <c r="NG61" s="23"/>
      <c r="NH61" s="23"/>
      <c r="NI61" s="23"/>
      <c r="NJ61" s="23"/>
      <c r="NK61" s="23"/>
      <c r="NL61" s="23"/>
      <c r="NM61" s="23"/>
      <c r="NN61" s="23"/>
    </row>
    <row r="62" spans="5:378" ht="15" customHeight="1"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  <c r="IZ62" s="23"/>
      <c r="JA62" s="23"/>
      <c r="JB62" s="23"/>
      <c r="JC62" s="23"/>
      <c r="JD62" s="23"/>
      <c r="JE62" s="23"/>
      <c r="JF62" s="23"/>
      <c r="JG62" s="23"/>
      <c r="JH62" s="23"/>
      <c r="JI62" s="23"/>
      <c r="JJ62" s="23"/>
      <c r="JK62" s="23"/>
      <c r="JL62" s="23"/>
      <c r="JM62" s="23"/>
      <c r="JN62" s="23"/>
      <c r="JO62" s="23"/>
      <c r="JP62" s="23"/>
      <c r="JQ62" s="23"/>
      <c r="JR62" s="23"/>
      <c r="JS62" s="23"/>
      <c r="JT62" s="23"/>
      <c r="JU62" s="23"/>
      <c r="JV62" s="23"/>
      <c r="JW62" s="23"/>
      <c r="JX62" s="23"/>
      <c r="JY62" s="23"/>
      <c r="JZ62" s="23"/>
      <c r="KA62" s="23"/>
      <c r="KB62" s="23"/>
      <c r="KC62" s="23"/>
      <c r="KD62" s="23"/>
      <c r="KE62" s="23"/>
      <c r="KF62" s="23"/>
      <c r="KG62" s="23"/>
      <c r="KH62" s="23"/>
      <c r="KI62" s="23"/>
      <c r="KJ62" s="23"/>
      <c r="KK62" s="23"/>
      <c r="KL62" s="23"/>
      <c r="KM62" s="23"/>
      <c r="KN62" s="23"/>
      <c r="KO62" s="23"/>
      <c r="KP62" s="23"/>
      <c r="KQ62" s="23"/>
      <c r="KR62" s="23"/>
      <c r="KS62" s="23"/>
      <c r="KT62" s="23"/>
      <c r="KU62" s="23"/>
      <c r="KV62" s="23"/>
      <c r="KW62" s="23"/>
      <c r="KX62" s="23"/>
      <c r="KY62" s="23"/>
      <c r="KZ62" s="23"/>
      <c r="LA62" s="23"/>
      <c r="LB62" s="23"/>
      <c r="LC62" s="23"/>
      <c r="LD62" s="23"/>
      <c r="LE62" s="23"/>
      <c r="LF62" s="23"/>
      <c r="LG62" s="23"/>
      <c r="LH62" s="23"/>
      <c r="LI62" s="23"/>
      <c r="LJ62" s="23"/>
      <c r="LK62" s="23"/>
      <c r="LL62" s="23"/>
      <c r="LM62" s="23"/>
      <c r="LN62" s="23"/>
      <c r="LO62" s="23"/>
      <c r="LP62" s="23"/>
      <c r="LQ62" s="23"/>
      <c r="LR62" s="23"/>
      <c r="LS62" s="23"/>
      <c r="LT62" s="23"/>
      <c r="LU62" s="23"/>
      <c r="LV62" s="23"/>
      <c r="LW62" s="23"/>
      <c r="LX62" s="23"/>
      <c r="LY62" s="23"/>
      <c r="LZ62" s="23"/>
      <c r="MA62" s="23"/>
      <c r="MB62" s="23"/>
      <c r="MC62" s="23"/>
      <c r="MD62" s="23"/>
      <c r="ME62" s="23"/>
      <c r="MF62" s="23"/>
      <c r="MG62" s="23"/>
      <c r="MH62" s="23"/>
      <c r="MI62" s="23"/>
      <c r="MJ62" s="23"/>
      <c r="MK62" s="23"/>
      <c r="ML62" s="23"/>
      <c r="MM62" s="23"/>
      <c r="MN62" s="23"/>
      <c r="MO62" s="23"/>
      <c r="MP62" s="23"/>
      <c r="MQ62" s="23"/>
      <c r="MR62" s="23"/>
      <c r="MS62" s="23"/>
      <c r="MT62" s="23"/>
      <c r="MU62" s="23"/>
      <c r="MV62" s="23"/>
      <c r="MW62" s="23"/>
      <c r="MX62" s="23"/>
      <c r="MY62" s="23"/>
      <c r="MZ62" s="23"/>
      <c r="NA62" s="23"/>
      <c r="NB62" s="23"/>
      <c r="NC62" s="23"/>
      <c r="ND62" s="23"/>
      <c r="NE62" s="23"/>
      <c r="NF62" s="23"/>
      <c r="NG62" s="23"/>
      <c r="NH62" s="23"/>
      <c r="NI62" s="23"/>
      <c r="NJ62" s="23"/>
      <c r="NK62" s="23"/>
      <c r="NL62" s="23"/>
      <c r="NM62" s="23"/>
      <c r="NN62" s="23"/>
    </row>
    <row r="63" spans="5:378" ht="15" customHeight="1"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  <c r="IY63" s="23"/>
      <c r="IZ63" s="23"/>
      <c r="JA63" s="23"/>
      <c r="JB63" s="23"/>
      <c r="JC63" s="23"/>
      <c r="JD63" s="23"/>
      <c r="JE63" s="23"/>
      <c r="JF63" s="23"/>
      <c r="JG63" s="23"/>
      <c r="JH63" s="23"/>
      <c r="JI63" s="23"/>
      <c r="JJ63" s="23"/>
      <c r="JK63" s="23"/>
      <c r="JL63" s="23"/>
      <c r="JM63" s="23"/>
      <c r="JN63" s="23"/>
      <c r="JO63" s="23"/>
      <c r="JP63" s="23"/>
      <c r="JQ63" s="23"/>
      <c r="JR63" s="23"/>
      <c r="JS63" s="23"/>
      <c r="JT63" s="23"/>
      <c r="JU63" s="23"/>
      <c r="JV63" s="23"/>
      <c r="JW63" s="23"/>
      <c r="JX63" s="23"/>
      <c r="JY63" s="23"/>
      <c r="JZ63" s="23"/>
      <c r="KA63" s="23"/>
      <c r="KB63" s="23"/>
      <c r="KC63" s="23"/>
      <c r="KD63" s="23"/>
      <c r="KE63" s="23"/>
      <c r="KF63" s="23"/>
      <c r="KG63" s="23"/>
      <c r="KH63" s="23"/>
      <c r="KI63" s="23"/>
      <c r="KJ63" s="23"/>
      <c r="KK63" s="23"/>
      <c r="KL63" s="23"/>
      <c r="KM63" s="23"/>
      <c r="KN63" s="23"/>
      <c r="KO63" s="23"/>
      <c r="KP63" s="23"/>
      <c r="KQ63" s="23"/>
      <c r="KR63" s="23"/>
      <c r="KS63" s="23"/>
      <c r="KT63" s="23"/>
      <c r="KU63" s="23"/>
      <c r="KV63" s="23"/>
      <c r="KW63" s="23"/>
      <c r="KX63" s="23"/>
      <c r="KY63" s="23"/>
      <c r="KZ63" s="23"/>
      <c r="LA63" s="23"/>
      <c r="LB63" s="23"/>
      <c r="LC63" s="23"/>
      <c r="LD63" s="23"/>
      <c r="LE63" s="23"/>
      <c r="LF63" s="23"/>
      <c r="LG63" s="23"/>
      <c r="LH63" s="23"/>
      <c r="LI63" s="23"/>
      <c r="LJ63" s="23"/>
      <c r="LK63" s="23"/>
      <c r="LL63" s="23"/>
      <c r="LM63" s="23"/>
      <c r="LN63" s="23"/>
      <c r="LO63" s="23"/>
      <c r="LP63" s="23"/>
      <c r="LQ63" s="23"/>
      <c r="LR63" s="23"/>
      <c r="LS63" s="23"/>
      <c r="LT63" s="23"/>
      <c r="LU63" s="23"/>
      <c r="LV63" s="23"/>
      <c r="LW63" s="23"/>
      <c r="LX63" s="23"/>
      <c r="LY63" s="23"/>
      <c r="LZ63" s="23"/>
      <c r="MA63" s="23"/>
      <c r="MB63" s="23"/>
      <c r="MC63" s="23"/>
      <c r="MD63" s="23"/>
      <c r="ME63" s="23"/>
      <c r="MF63" s="23"/>
      <c r="MG63" s="23"/>
      <c r="MH63" s="23"/>
      <c r="MI63" s="23"/>
      <c r="MJ63" s="23"/>
      <c r="MK63" s="23"/>
      <c r="ML63" s="23"/>
      <c r="MM63" s="23"/>
      <c r="MN63" s="23"/>
      <c r="MO63" s="23"/>
      <c r="MP63" s="23"/>
      <c r="MQ63" s="23"/>
      <c r="MR63" s="23"/>
      <c r="MS63" s="23"/>
      <c r="MT63" s="23"/>
      <c r="MU63" s="23"/>
      <c r="MV63" s="23"/>
      <c r="MW63" s="23"/>
      <c r="MX63" s="23"/>
      <c r="MY63" s="23"/>
      <c r="MZ63" s="23"/>
      <c r="NA63" s="23"/>
      <c r="NB63" s="23"/>
      <c r="NC63" s="23"/>
      <c r="ND63" s="23"/>
      <c r="NE63" s="23"/>
      <c r="NF63" s="23"/>
      <c r="NG63" s="23"/>
      <c r="NH63" s="23"/>
      <c r="NI63" s="23"/>
      <c r="NJ63" s="23"/>
      <c r="NK63" s="23"/>
      <c r="NL63" s="23"/>
      <c r="NM63" s="23"/>
      <c r="NN63" s="23"/>
    </row>
    <row r="64" spans="5:378" ht="15" customHeight="1"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  <c r="IZ64" s="23"/>
      <c r="JA64" s="23"/>
      <c r="JB64" s="23"/>
      <c r="JC64" s="23"/>
      <c r="JD64" s="23"/>
      <c r="JE64" s="23"/>
      <c r="JF64" s="23"/>
      <c r="JG64" s="23"/>
      <c r="JH64" s="23"/>
      <c r="JI64" s="23"/>
      <c r="JJ64" s="23"/>
      <c r="JK64" s="23"/>
      <c r="JL64" s="23"/>
      <c r="JM64" s="23"/>
      <c r="JN64" s="23"/>
      <c r="JO64" s="23"/>
      <c r="JP64" s="23"/>
      <c r="JQ64" s="23"/>
      <c r="JR64" s="23"/>
      <c r="JS64" s="23"/>
      <c r="JT64" s="23"/>
      <c r="JU64" s="23"/>
      <c r="JV64" s="23"/>
      <c r="JW64" s="23"/>
      <c r="JX64" s="23"/>
      <c r="JY64" s="23"/>
      <c r="JZ64" s="23"/>
      <c r="KA64" s="23"/>
      <c r="KB64" s="23"/>
      <c r="KC64" s="23"/>
      <c r="KD64" s="23"/>
      <c r="KE64" s="23"/>
      <c r="KF64" s="23"/>
      <c r="KG64" s="23"/>
      <c r="KH64" s="23"/>
      <c r="KI64" s="23"/>
      <c r="KJ64" s="23"/>
      <c r="KK64" s="23"/>
      <c r="KL64" s="23"/>
      <c r="KM64" s="23"/>
      <c r="KN64" s="23"/>
      <c r="KO64" s="23"/>
      <c r="KP64" s="23"/>
      <c r="KQ64" s="23"/>
      <c r="KR64" s="23"/>
      <c r="KS64" s="23"/>
      <c r="KT64" s="23"/>
      <c r="KU64" s="23"/>
      <c r="KV64" s="23"/>
      <c r="KW64" s="23"/>
      <c r="KX64" s="23"/>
      <c r="KY64" s="23"/>
      <c r="KZ64" s="23"/>
      <c r="LA64" s="23"/>
      <c r="LB64" s="23"/>
      <c r="LC64" s="23"/>
      <c r="LD64" s="23"/>
      <c r="LE64" s="23"/>
      <c r="LF64" s="23"/>
      <c r="LG64" s="23"/>
      <c r="LH64" s="23"/>
      <c r="LI64" s="23"/>
      <c r="LJ64" s="23"/>
      <c r="LK64" s="23"/>
      <c r="LL64" s="23"/>
      <c r="LM64" s="23"/>
      <c r="LN64" s="23"/>
      <c r="LO64" s="23"/>
      <c r="LP64" s="23"/>
      <c r="LQ64" s="23"/>
      <c r="LR64" s="23"/>
      <c r="LS64" s="23"/>
      <c r="LT64" s="23"/>
      <c r="LU64" s="23"/>
      <c r="LV64" s="23"/>
      <c r="LW64" s="23"/>
      <c r="LX64" s="23"/>
      <c r="LY64" s="23"/>
      <c r="LZ64" s="23"/>
      <c r="MA64" s="23"/>
      <c r="MB64" s="23"/>
      <c r="MC64" s="23"/>
      <c r="MD64" s="23"/>
      <c r="ME64" s="23"/>
      <c r="MF64" s="23"/>
      <c r="MG64" s="23"/>
      <c r="MH64" s="23"/>
      <c r="MI64" s="23"/>
      <c r="MJ64" s="23"/>
      <c r="MK64" s="23"/>
      <c r="ML64" s="23"/>
      <c r="MM64" s="23"/>
      <c r="MN64" s="23"/>
      <c r="MO64" s="23"/>
      <c r="MP64" s="23"/>
      <c r="MQ64" s="23"/>
      <c r="MR64" s="23"/>
      <c r="MS64" s="23"/>
      <c r="MT64" s="23"/>
      <c r="MU64" s="23"/>
      <c r="MV64" s="23"/>
      <c r="MW64" s="23"/>
      <c r="MX64" s="23"/>
      <c r="MY64" s="23"/>
      <c r="MZ64" s="23"/>
      <c r="NA64" s="23"/>
      <c r="NB64" s="23"/>
      <c r="NC64" s="23"/>
      <c r="ND64" s="23"/>
      <c r="NE64" s="23"/>
      <c r="NF64" s="23"/>
      <c r="NG64" s="23"/>
      <c r="NH64" s="23"/>
      <c r="NI64" s="23"/>
      <c r="NJ64" s="23"/>
      <c r="NK64" s="23"/>
      <c r="NL64" s="23"/>
      <c r="NM64" s="23"/>
      <c r="NN64" s="23"/>
    </row>
    <row r="65" spans="5:378" ht="15" customHeight="1"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  <c r="IY65" s="23"/>
      <c r="IZ65" s="23"/>
      <c r="JA65" s="23"/>
      <c r="JB65" s="23"/>
      <c r="JC65" s="23"/>
      <c r="JD65" s="23"/>
      <c r="JE65" s="23"/>
      <c r="JF65" s="23"/>
      <c r="JG65" s="23"/>
      <c r="JH65" s="23"/>
      <c r="JI65" s="23"/>
      <c r="JJ65" s="23"/>
      <c r="JK65" s="23"/>
      <c r="JL65" s="23"/>
      <c r="JM65" s="23"/>
      <c r="JN65" s="23"/>
      <c r="JO65" s="23"/>
      <c r="JP65" s="23"/>
      <c r="JQ65" s="23"/>
      <c r="JR65" s="23"/>
      <c r="JS65" s="23"/>
      <c r="JT65" s="23"/>
      <c r="JU65" s="23"/>
      <c r="JV65" s="23"/>
      <c r="JW65" s="23"/>
      <c r="JX65" s="23"/>
      <c r="JY65" s="23"/>
      <c r="JZ65" s="23"/>
      <c r="KA65" s="23"/>
      <c r="KB65" s="23"/>
      <c r="KC65" s="23"/>
      <c r="KD65" s="23"/>
      <c r="KE65" s="23"/>
      <c r="KF65" s="23"/>
      <c r="KG65" s="23"/>
      <c r="KH65" s="23"/>
      <c r="KI65" s="23"/>
      <c r="KJ65" s="23"/>
      <c r="KK65" s="23"/>
      <c r="KL65" s="23"/>
      <c r="KM65" s="23"/>
      <c r="KN65" s="23"/>
      <c r="KO65" s="23"/>
      <c r="KP65" s="23"/>
      <c r="KQ65" s="23"/>
      <c r="KR65" s="23"/>
      <c r="KS65" s="23"/>
      <c r="KT65" s="23"/>
      <c r="KU65" s="23"/>
      <c r="KV65" s="23"/>
      <c r="KW65" s="23"/>
      <c r="KX65" s="23"/>
      <c r="KY65" s="23"/>
      <c r="KZ65" s="23"/>
      <c r="LA65" s="23"/>
      <c r="LB65" s="23"/>
      <c r="LC65" s="23"/>
      <c r="LD65" s="23"/>
      <c r="LE65" s="23"/>
      <c r="LF65" s="23"/>
      <c r="LG65" s="23"/>
      <c r="LH65" s="23"/>
      <c r="LI65" s="23"/>
      <c r="LJ65" s="23"/>
      <c r="LK65" s="23"/>
      <c r="LL65" s="23"/>
      <c r="LM65" s="23"/>
      <c r="LN65" s="23"/>
      <c r="LO65" s="23"/>
      <c r="LP65" s="23"/>
      <c r="LQ65" s="23"/>
      <c r="LR65" s="23"/>
      <c r="LS65" s="23"/>
      <c r="LT65" s="23"/>
      <c r="LU65" s="23"/>
      <c r="LV65" s="23"/>
      <c r="LW65" s="23"/>
      <c r="LX65" s="23"/>
      <c r="LY65" s="23"/>
      <c r="LZ65" s="23"/>
      <c r="MA65" s="23"/>
      <c r="MB65" s="23"/>
      <c r="MC65" s="23"/>
      <c r="MD65" s="23"/>
      <c r="ME65" s="23"/>
      <c r="MF65" s="23"/>
      <c r="MG65" s="23"/>
      <c r="MH65" s="23"/>
      <c r="MI65" s="23"/>
      <c r="MJ65" s="23"/>
      <c r="MK65" s="23"/>
      <c r="ML65" s="23"/>
      <c r="MM65" s="23"/>
      <c r="MN65" s="23"/>
      <c r="MO65" s="23"/>
      <c r="MP65" s="23"/>
      <c r="MQ65" s="23"/>
      <c r="MR65" s="23"/>
      <c r="MS65" s="23"/>
      <c r="MT65" s="23"/>
      <c r="MU65" s="23"/>
      <c r="MV65" s="23"/>
      <c r="MW65" s="23"/>
      <c r="MX65" s="23"/>
      <c r="MY65" s="23"/>
      <c r="MZ65" s="23"/>
      <c r="NA65" s="23"/>
      <c r="NB65" s="23"/>
      <c r="NC65" s="23"/>
      <c r="ND65" s="23"/>
      <c r="NE65" s="23"/>
      <c r="NF65" s="23"/>
      <c r="NG65" s="23"/>
      <c r="NH65" s="23"/>
      <c r="NI65" s="23"/>
      <c r="NJ65" s="23"/>
      <c r="NK65" s="23"/>
      <c r="NL65" s="23"/>
      <c r="NM65" s="23"/>
      <c r="NN65" s="23"/>
    </row>
    <row r="66" spans="5:378" ht="15" customHeight="1"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  <c r="IY66" s="23"/>
      <c r="IZ66" s="23"/>
      <c r="JA66" s="23"/>
      <c r="JB66" s="23"/>
      <c r="JC66" s="23"/>
      <c r="JD66" s="23"/>
      <c r="JE66" s="23"/>
      <c r="JF66" s="23"/>
      <c r="JG66" s="23"/>
      <c r="JH66" s="23"/>
      <c r="JI66" s="23"/>
      <c r="JJ66" s="23"/>
      <c r="JK66" s="23"/>
      <c r="JL66" s="23"/>
      <c r="JM66" s="23"/>
      <c r="JN66" s="23"/>
      <c r="JO66" s="23"/>
      <c r="JP66" s="23"/>
      <c r="JQ66" s="23"/>
      <c r="JR66" s="23"/>
      <c r="JS66" s="23"/>
      <c r="JT66" s="23"/>
      <c r="JU66" s="23"/>
      <c r="JV66" s="23"/>
      <c r="JW66" s="23"/>
      <c r="JX66" s="23"/>
      <c r="JY66" s="23"/>
      <c r="JZ66" s="23"/>
      <c r="KA66" s="23"/>
      <c r="KB66" s="23"/>
      <c r="KC66" s="23"/>
      <c r="KD66" s="23"/>
      <c r="KE66" s="23"/>
      <c r="KF66" s="23"/>
      <c r="KG66" s="23"/>
      <c r="KH66" s="23"/>
      <c r="KI66" s="23"/>
      <c r="KJ66" s="23"/>
      <c r="KK66" s="23"/>
      <c r="KL66" s="23"/>
      <c r="KM66" s="23"/>
      <c r="KN66" s="23"/>
      <c r="KO66" s="23"/>
      <c r="KP66" s="23"/>
      <c r="KQ66" s="23"/>
      <c r="KR66" s="23"/>
      <c r="KS66" s="23"/>
      <c r="KT66" s="23"/>
      <c r="KU66" s="23"/>
      <c r="KV66" s="23"/>
      <c r="KW66" s="23"/>
      <c r="KX66" s="23"/>
      <c r="KY66" s="23"/>
      <c r="KZ66" s="23"/>
      <c r="LA66" s="23"/>
      <c r="LB66" s="23"/>
      <c r="LC66" s="23"/>
      <c r="LD66" s="23"/>
      <c r="LE66" s="23"/>
      <c r="LF66" s="23"/>
      <c r="LG66" s="23"/>
      <c r="LH66" s="23"/>
      <c r="LI66" s="23"/>
      <c r="LJ66" s="23"/>
      <c r="LK66" s="23"/>
      <c r="LL66" s="23"/>
      <c r="LM66" s="23"/>
      <c r="LN66" s="23"/>
      <c r="LO66" s="23"/>
      <c r="LP66" s="23"/>
      <c r="LQ66" s="23"/>
      <c r="LR66" s="23"/>
      <c r="LS66" s="23"/>
      <c r="LT66" s="23"/>
      <c r="LU66" s="23"/>
      <c r="LV66" s="23"/>
      <c r="LW66" s="23"/>
      <c r="LX66" s="23"/>
      <c r="LY66" s="23"/>
      <c r="LZ66" s="23"/>
      <c r="MA66" s="23"/>
      <c r="MB66" s="23"/>
      <c r="MC66" s="23"/>
      <c r="MD66" s="23"/>
      <c r="ME66" s="23"/>
      <c r="MF66" s="23"/>
      <c r="MG66" s="23"/>
      <c r="MH66" s="23"/>
      <c r="MI66" s="23"/>
      <c r="MJ66" s="23"/>
      <c r="MK66" s="23"/>
      <c r="ML66" s="23"/>
      <c r="MM66" s="23"/>
      <c r="MN66" s="23"/>
      <c r="MO66" s="23"/>
      <c r="MP66" s="23"/>
      <c r="MQ66" s="23"/>
      <c r="MR66" s="23"/>
      <c r="MS66" s="23"/>
      <c r="MT66" s="23"/>
      <c r="MU66" s="23"/>
      <c r="MV66" s="23"/>
      <c r="MW66" s="23"/>
      <c r="MX66" s="23"/>
      <c r="MY66" s="23"/>
      <c r="MZ66" s="23"/>
      <c r="NA66" s="23"/>
      <c r="NB66" s="23"/>
      <c r="NC66" s="23"/>
      <c r="ND66" s="23"/>
      <c r="NE66" s="23"/>
      <c r="NF66" s="23"/>
      <c r="NG66" s="23"/>
      <c r="NH66" s="23"/>
      <c r="NI66" s="23"/>
      <c r="NJ66" s="23"/>
      <c r="NK66" s="23"/>
      <c r="NL66" s="23"/>
      <c r="NM66" s="23"/>
      <c r="NN66" s="23"/>
    </row>
    <row r="67" spans="5:378" ht="15" customHeight="1"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  <c r="IZ67" s="23"/>
      <c r="JA67" s="23"/>
      <c r="JB67" s="23"/>
      <c r="JC67" s="23"/>
      <c r="JD67" s="23"/>
      <c r="JE67" s="23"/>
      <c r="JF67" s="23"/>
      <c r="JG67" s="23"/>
      <c r="JH67" s="23"/>
      <c r="JI67" s="23"/>
      <c r="JJ67" s="23"/>
      <c r="JK67" s="23"/>
      <c r="JL67" s="23"/>
      <c r="JM67" s="23"/>
      <c r="JN67" s="23"/>
      <c r="JO67" s="23"/>
      <c r="JP67" s="23"/>
      <c r="JQ67" s="23"/>
      <c r="JR67" s="23"/>
      <c r="JS67" s="23"/>
      <c r="JT67" s="23"/>
      <c r="JU67" s="23"/>
      <c r="JV67" s="23"/>
      <c r="JW67" s="23"/>
      <c r="JX67" s="23"/>
      <c r="JY67" s="23"/>
      <c r="JZ67" s="23"/>
      <c r="KA67" s="23"/>
      <c r="KB67" s="23"/>
      <c r="KC67" s="23"/>
      <c r="KD67" s="23"/>
      <c r="KE67" s="23"/>
      <c r="KF67" s="23"/>
      <c r="KG67" s="23"/>
      <c r="KH67" s="23"/>
      <c r="KI67" s="23"/>
      <c r="KJ67" s="23"/>
      <c r="KK67" s="23"/>
      <c r="KL67" s="23"/>
      <c r="KM67" s="23"/>
      <c r="KN67" s="23"/>
      <c r="KO67" s="23"/>
      <c r="KP67" s="23"/>
      <c r="KQ67" s="23"/>
      <c r="KR67" s="23"/>
      <c r="KS67" s="23"/>
      <c r="KT67" s="23"/>
      <c r="KU67" s="23"/>
      <c r="KV67" s="23"/>
      <c r="KW67" s="23"/>
      <c r="KX67" s="23"/>
      <c r="KY67" s="23"/>
      <c r="KZ67" s="23"/>
      <c r="LA67" s="23"/>
      <c r="LB67" s="23"/>
      <c r="LC67" s="23"/>
      <c r="LD67" s="23"/>
      <c r="LE67" s="23"/>
      <c r="LF67" s="23"/>
      <c r="LG67" s="23"/>
      <c r="LH67" s="23"/>
      <c r="LI67" s="23"/>
      <c r="LJ67" s="23"/>
      <c r="LK67" s="23"/>
      <c r="LL67" s="23"/>
      <c r="LM67" s="23"/>
      <c r="LN67" s="23"/>
      <c r="LO67" s="23"/>
      <c r="LP67" s="23"/>
      <c r="LQ67" s="23"/>
      <c r="LR67" s="23"/>
      <c r="LS67" s="23"/>
      <c r="LT67" s="23"/>
      <c r="LU67" s="23"/>
      <c r="LV67" s="23"/>
      <c r="LW67" s="23"/>
      <c r="LX67" s="23"/>
      <c r="LY67" s="23"/>
      <c r="LZ67" s="23"/>
      <c r="MA67" s="23"/>
      <c r="MB67" s="23"/>
      <c r="MC67" s="23"/>
      <c r="MD67" s="23"/>
      <c r="ME67" s="23"/>
      <c r="MF67" s="23"/>
      <c r="MG67" s="23"/>
      <c r="MH67" s="23"/>
      <c r="MI67" s="23"/>
      <c r="MJ67" s="23"/>
      <c r="MK67" s="23"/>
      <c r="ML67" s="23"/>
      <c r="MM67" s="23"/>
      <c r="MN67" s="23"/>
      <c r="MO67" s="23"/>
      <c r="MP67" s="23"/>
      <c r="MQ67" s="23"/>
      <c r="MR67" s="23"/>
      <c r="MS67" s="23"/>
      <c r="MT67" s="23"/>
      <c r="MU67" s="23"/>
      <c r="MV67" s="23"/>
      <c r="MW67" s="23"/>
      <c r="MX67" s="23"/>
      <c r="MY67" s="23"/>
      <c r="MZ67" s="23"/>
      <c r="NA67" s="23"/>
      <c r="NB67" s="23"/>
      <c r="NC67" s="23"/>
      <c r="ND67" s="23"/>
      <c r="NE67" s="23"/>
      <c r="NF67" s="23"/>
      <c r="NG67" s="23"/>
      <c r="NH67" s="23"/>
      <c r="NI67" s="23"/>
      <c r="NJ67" s="23"/>
      <c r="NK67" s="23"/>
      <c r="NL67" s="23"/>
      <c r="NM67" s="23"/>
      <c r="NN67" s="23"/>
    </row>
    <row r="68" spans="5:378" ht="15" customHeight="1"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  <c r="IZ68" s="23"/>
      <c r="JA68" s="23"/>
      <c r="JB68" s="23"/>
      <c r="JC68" s="23"/>
      <c r="JD68" s="23"/>
      <c r="JE68" s="23"/>
      <c r="JF68" s="23"/>
      <c r="JG68" s="23"/>
      <c r="JH68" s="23"/>
      <c r="JI68" s="23"/>
      <c r="JJ68" s="23"/>
      <c r="JK68" s="23"/>
      <c r="JL68" s="23"/>
      <c r="JM68" s="23"/>
      <c r="JN68" s="23"/>
      <c r="JO68" s="23"/>
      <c r="JP68" s="23"/>
      <c r="JQ68" s="23"/>
      <c r="JR68" s="23"/>
      <c r="JS68" s="23"/>
      <c r="JT68" s="23"/>
      <c r="JU68" s="23"/>
      <c r="JV68" s="23"/>
      <c r="JW68" s="23"/>
      <c r="JX68" s="23"/>
      <c r="JY68" s="23"/>
      <c r="JZ68" s="23"/>
      <c r="KA68" s="23"/>
      <c r="KB68" s="23"/>
      <c r="KC68" s="23"/>
      <c r="KD68" s="23"/>
      <c r="KE68" s="23"/>
      <c r="KF68" s="23"/>
      <c r="KG68" s="23"/>
      <c r="KH68" s="23"/>
      <c r="KI68" s="23"/>
      <c r="KJ68" s="23"/>
      <c r="KK68" s="23"/>
      <c r="KL68" s="23"/>
      <c r="KM68" s="23"/>
      <c r="KN68" s="23"/>
      <c r="KO68" s="23"/>
      <c r="KP68" s="23"/>
      <c r="KQ68" s="23"/>
      <c r="KR68" s="23"/>
      <c r="KS68" s="23"/>
      <c r="KT68" s="23"/>
      <c r="KU68" s="23"/>
      <c r="KV68" s="23"/>
      <c r="KW68" s="23"/>
      <c r="KX68" s="23"/>
      <c r="KY68" s="23"/>
      <c r="KZ68" s="23"/>
      <c r="LA68" s="23"/>
      <c r="LB68" s="23"/>
      <c r="LC68" s="23"/>
      <c r="LD68" s="23"/>
      <c r="LE68" s="23"/>
      <c r="LF68" s="23"/>
      <c r="LG68" s="23"/>
      <c r="LH68" s="23"/>
      <c r="LI68" s="23"/>
      <c r="LJ68" s="23"/>
      <c r="LK68" s="23"/>
      <c r="LL68" s="23"/>
      <c r="LM68" s="23"/>
      <c r="LN68" s="23"/>
      <c r="LO68" s="23"/>
      <c r="LP68" s="23"/>
      <c r="LQ68" s="23"/>
      <c r="LR68" s="23"/>
      <c r="LS68" s="23"/>
      <c r="LT68" s="23"/>
      <c r="LU68" s="23"/>
      <c r="LV68" s="23"/>
      <c r="LW68" s="23"/>
      <c r="LX68" s="23"/>
      <c r="LY68" s="23"/>
      <c r="LZ68" s="23"/>
      <c r="MA68" s="23"/>
      <c r="MB68" s="23"/>
      <c r="MC68" s="23"/>
      <c r="MD68" s="23"/>
      <c r="ME68" s="23"/>
      <c r="MF68" s="23"/>
      <c r="MG68" s="23"/>
      <c r="MH68" s="23"/>
      <c r="MI68" s="23"/>
      <c r="MJ68" s="23"/>
      <c r="MK68" s="23"/>
      <c r="ML68" s="23"/>
      <c r="MM68" s="23"/>
      <c r="MN68" s="23"/>
      <c r="MO68" s="23"/>
      <c r="MP68" s="23"/>
      <c r="MQ68" s="23"/>
      <c r="MR68" s="23"/>
      <c r="MS68" s="23"/>
      <c r="MT68" s="23"/>
      <c r="MU68" s="23"/>
      <c r="MV68" s="23"/>
      <c r="MW68" s="23"/>
      <c r="MX68" s="23"/>
      <c r="MY68" s="23"/>
      <c r="MZ68" s="23"/>
      <c r="NA68" s="23"/>
      <c r="NB68" s="23"/>
      <c r="NC68" s="23"/>
      <c r="ND68" s="23"/>
      <c r="NE68" s="23"/>
      <c r="NF68" s="23"/>
      <c r="NG68" s="23"/>
      <c r="NH68" s="23"/>
      <c r="NI68" s="23"/>
      <c r="NJ68" s="23"/>
      <c r="NK68" s="23"/>
      <c r="NL68" s="23"/>
      <c r="NM68" s="23"/>
      <c r="NN68" s="23"/>
    </row>
    <row r="69" spans="5:378" ht="15" customHeight="1"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  <c r="IY69" s="23"/>
      <c r="IZ69" s="23"/>
      <c r="JA69" s="23"/>
      <c r="JB69" s="23"/>
      <c r="JC69" s="23"/>
      <c r="JD69" s="23"/>
      <c r="JE69" s="23"/>
      <c r="JF69" s="23"/>
      <c r="JG69" s="23"/>
      <c r="JH69" s="23"/>
      <c r="JI69" s="23"/>
      <c r="JJ69" s="23"/>
      <c r="JK69" s="23"/>
      <c r="JL69" s="23"/>
      <c r="JM69" s="23"/>
      <c r="JN69" s="23"/>
      <c r="JO69" s="23"/>
      <c r="JP69" s="23"/>
      <c r="JQ69" s="23"/>
      <c r="JR69" s="23"/>
      <c r="JS69" s="23"/>
      <c r="JT69" s="23"/>
      <c r="JU69" s="23"/>
      <c r="JV69" s="23"/>
      <c r="JW69" s="23"/>
      <c r="JX69" s="23"/>
      <c r="JY69" s="23"/>
      <c r="JZ69" s="23"/>
      <c r="KA69" s="23"/>
      <c r="KB69" s="23"/>
      <c r="KC69" s="23"/>
      <c r="KD69" s="23"/>
      <c r="KE69" s="23"/>
      <c r="KF69" s="23"/>
      <c r="KG69" s="23"/>
      <c r="KH69" s="23"/>
      <c r="KI69" s="23"/>
      <c r="KJ69" s="23"/>
      <c r="KK69" s="23"/>
      <c r="KL69" s="23"/>
      <c r="KM69" s="23"/>
      <c r="KN69" s="23"/>
      <c r="KO69" s="23"/>
      <c r="KP69" s="23"/>
      <c r="KQ69" s="23"/>
      <c r="KR69" s="23"/>
      <c r="KS69" s="23"/>
      <c r="KT69" s="23"/>
      <c r="KU69" s="23"/>
      <c r="KV69" s="23"/>
      <c r="KW69" s="23"/>
      <c r="KX69" s="23"/>
      <c r="KY69" s="23"/>
      <c r="KZ69" s="23"/>
      <c r="LA69" s="23"/>
      <c r="LB69" s="23"/>
      <c r="LC69" s="23"/>
      <c r="LD69" s="23"/>
      <c r="LE69" s="23"/>
      <c r="LF69" s="23"/>
      <c r="LG69" s="23"/>
      <c r="LH69" s="23"/>
      <c r="LI69" s="23"/>
      <c r="LJ69" s="23"/>
      <c r="LK69" s="23"/>
      <c r="LL69" s="23"/>
      <c r="LM69" s="23"/>
      <c r="LN69" s="23"/>
      <c r="LO69" s="23"/>
      <c r="LP69" s="23"/>
      <c r="LQ69" s="23"/>
      <c r="LR69" s="23"/>
      <c r="LS69" s="23"/>
      <c r="LT69" s="23"/>
      <c r="LU69" s="23"/>
      <c r="LV69" s="23"/>
      <c r="LW69" s="23"/>
      <c r="LX69" s="23"/>
      <c r="LY69" s="23"/>
      <c r="LZ69" s="23"/>
      <c r="MA69" s="23"/>
      <c r="MB69" s="23"/>
      <c r="MC69" s="23"/>
      <c r="MD69" s="23"/>
      <c r="ME69" s="23"/>
      <c r="MF69" s="23"/>
      <c r="MG69" s="23"/>
      <c r="MH69" s="23"/>
      <c r="MI69" s="23"/>
      <c r="MJ69" s="23"/>
      <c r="MK69" s="23"/>
      <c r="ML69" s="23"/>
      <c r="MM69" s="23"/>
      <c r="MN69" s="23"/>
      <c r="MO69" s="23"/>
      <c r="MP69" s="23"/>
      <c r="MQ69" s="23"/>
      <c r="MR69" s="23"/>
      <c r="MS69" s="23"/>
      <c r="MT69" s="23"/>
      <c r="MU69" s="23"/>
      <c r="MV69" s="23"/>
      <c r="MW69" s="23"/>
      <c r="MX69" s="23"/>
      <c r="MY69" s="23"/>
      <c r="MZ69" s="23"/>
      <c r="NA69" s="23"/>
      <c r="NB69" s="23"/>
      <c r="NC69" s="23"/>
      <c r="ND69" s="23"/>
      <c r="NE69" s="23"/>
      <c r="NF69" s="23"/>
      <c r="NG69" s="23"/>
      <c r="NH69" s="23"/>
      <c r="NI69" s="23"/>
      <c r="NJ69" s="23"/>
      <c r="NK69" s="23"/>
      <c r="NL69" s="23"/>
      <c r="NM69" s="23"/>
      <c r="NN69" s="23"/>
    </row>
    <row r="70" spans="5:378" ht="15" customHeight="1"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  <c r="IZ70" s="23"/>
      <c r="JA70" s="23"/>
      <c r="JB70" s="23"/>
      <c r="JC70" s="23"/>
      <c r="JD70" s="23"/>
      <c r="JE70" s="23"/>
      <c r="JF70" s="23"/>
      <c r="JG70" s="23"/>
      <c r="JH70" s="23"/>
      <c r="JI70" s="23"/>
      <c r="JJ70" s="23"/>
      <c r="JK70" s="23"/>
      <c r="JL70" s="23"/>
      <c r="JM70" s="23"/>
      <c r="JN70" s="23"/>
      <c r="JO70" s="23"/>
      <c r="JP70" s="23"/>
      <c r="JQ70" s="23"/>
      <c r="JR70" s="23"/>
      <c r="JS70" s="23"/>
      <c r="JT70" s="23"/>
      <c r="JU70" s="23"/>
      <c r="JV70" s="23"/>
      <c r="JW70" s="23"/>
      <c r="JX70" s="23"/>
      <c r="JY70" s="23"/>
      <c r="JZ70" s="23"/>
      <c r="KA70" s="23"/>
      <c r="KB70" s="23"/>
      <c r="KC70" s="23"/>
      <c r="KD70" s="23"/>
      <c r="KE70" s="23"/>
      <c r="KF70" s="23"/>
      <c r="KG70" s="23"/>
      <c r="KH70" s="23"/>
      <c r="KI70" s="23"/>
      <c r="KJ70" s="23"/>
      <c r="KK70" s="23"/>
      <c r="KL70" s="23"/>
      <c r="KM70" s="23"/>
      <c r="KN70" s="23"/>
      <c r="KO70" s="23"/>
      <c r="KP70" s="23"/>
      <c r="KQ70" s="23"/>
      <c r="KR70" s="23"/>
      <c r="KS70" s="23"/>
      <c r="KT70" s="23"/>
      <c r="KU70" s="23"/>
      <c r="KV70" s="23"/>
      <c r="KW70" s="23"/>
      <c r="KX70" s="23"/>
      <c r="KY70" s="23"/>
      <c r="KZ70" s="23"/>
      <c r="LA70" s="23"/>
      <c r="LB70" s="23"/>
      <c r="LC70" s="23"/>
      <c r="LD70" s="23"/>
      <c r="LE70" s="23"/>
      <c r="LF70" s="23"/>
      <c r="LG70" s="23"/>
      <c r="LH70" s="23"/>
      <c r="LI70" s="23"/>
      <c r="LJ70" s="23"/>
      <c r="LK70" s="23"/>
      <c r="LL70" s="23"/>
      <c r="LM70" s="23"/>
      <c r="LN70" s="23"/>
      <c r="LO70" s="23"/>
      <c r="LP70" s="23"/>
      <c r="LQ70" s="23"/>
      <c r="LR70" s="23"/>
      <c r="LS70" s="23"/>
      <c r="LT70" s="23"/>
      <c r="LU70" s="23"/>
      <c r="LV70" s="23"/>
      <c r="LW70" s="23"/>
      <c r="LX70" s="23"/>
      <c r="LY70" s="23"/>
      <c r="LZ70" s="23"/>
      <c r="MA70" s="23"/>
      <c r="MB70" s="23"/>
      <c r="MC70" s="23"/>
      <c r="MD70" s="23"/>
      <c r="ME70" s="23"/>
      <c r="MF70" s="23"/>
      <c r="MG70" s="23"/>
      <c r="MH70" s="23"/>
      <c r="MI70" s="23"/>
      <c r="MJ70" s="23"/>
      <c r="MK70" s="23"/>
      <c r="ML70" s="23"/>
      <c r="MM70" s="23"/>
      <c r="MN70" s="23"/>
      <c r="MO70" s="23"/>
      <c r="MP70" s="23"/>
      <c r="MQ70" s="23"/>
      <c r="MR70" s="23"/>
      <c r="MS70" s="23"/>
      <c r="MT70" s="23"/>
      <c r="MU70" s="23"/>
      <c r="MV70" s="23"/>
      <c r="MW70" s="23"/>
      <c r="MX70" s="23"/>
      <c r="MY70" s="23"/>
      <c r="MZ70" s="23"/>
      <c r="NA70" s="23"/>
      <c r="NB70" s="23"/>
      <c r="NC70" s="23"/>
      <c r="ND70" s="23"/>
      <c r="NE70" s="23"/>
      <c r="NF70" s="23"/>
      <c r="NG70" s="23"/>
      <c r="NH70" s="23"/>
      <c r="NI70" s="23"/>
      <c r="NJ70" s="23"/>
      <c r="NK70" s="23"/>
      <c r="NL70" s="23"/>
      <c r="NM70" s="23"/>
      <c r="NN70" s="23"/>
    </row>
    <row r="71" spans="5:378" ht="15" customHeight="1"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  <c r="IY71" s="23"/>
      <c r="IZ71" s="23"/>
      <c r="JA71" s="23"/>
      <c r="JB71" s="23"/>
      <c r="JC71" s="23"/>
      <c r="JD71" s="23"/>
      <c r="JE71" s="23"/>
      <c r="JF71" s="23"/>
      <c r="JG71" s="23"/>
      <c r="JH71" s="23"/>
      <c r="JI71" s="23"/>
      <c r="JJ71" s="23"/>
      <c r="JK71" s="23"/>
      <c r="JL71" s="23"/>
      <c r="JM71" s="23"/>
      <c r="JN71" s="23"/>
      <c r="JO71" s="23"/>
      <c r="JP71" s="23"/>
      <c r="JQ71" s="23"/>
      <c r="JR71" s="23"/>
      <c r="JS71" s="23"/>
      <c r="JT71" s="23"/>
      <c r="JU71" s="23"/>
      <c r="JV71" s="23"/>
      <c r="JW71" s="23"/>
      <c r="JX71" s="23"/>
      <c r="JY71" s="23"/>
      <c r="JZ71" s="23"/>
      <c r="KA71" s="23"/>
      <c r="KB71" s="23"/>
      <c r="KC71" s="23"/>
      <c r="KD71" s="23"/>
      <c r="KE71" s="23"/>
      <c r="KF71" s="23"/>
      <c r="KG71" s="23"/>
      <c r="KH71" s="23"/>
      <c r="KI71" s="23"/>
      <c r="KJ71" s="23"/>
      <c r="KK71" s="23"/>
      <c r="KL71" s="23"/>
      <c r="KM71" s="23"/>
      <c r="KN71" s="23"/>
      <c r="KO71" s="23"/>
      <c r="KP71" s="23"/>
      <c r="KQ71" s="23"/>
      <c r="KR71" s="23"/>
      <c r="KS71" s="23"/>
      <c r="KT71" s="23"/>
      <c r="KU71" s="23"/>
      <c r="KV71" s="23"/>
      <c r="KW71" s="23"/>
      <c r="KX71" s="23"/>
      <c r="KY71" s="23"/>
      <c r="KZ71" s="23"/>
      <c r="LA71" s="23"/>
      <c r="LB71" s="23"/>
      <c r="LC71" s="23"/>
      <c r="LD71" s="23"/>
      <c r="LE71" s="23"/>
      <c r="LF71" s="23"/>
      <c r="LG71" s="23"/>
      <c r="LH71" s="23"/>
      <c r="LI71" s="23"/>
      <c r="LJ71" s="23"/>
      <c r="LK71" s="23"/>
      <c r="LL71" s="23"/>
      <c r="LM71" s="23"/>
      <c r="LN71" s="23"/>
      <c r="LO71" s="23"/>
      <c r="LP71" s="23"/>
      <c r="LQ71" s="23"/>
      <c r="LR71" s="23"/>
      <c r="LS71" s="23"/>
      <c r="LT71" s="23"/>
      <c r="LU71" s="23"/>
      <c r="LV71" s="23"/>
      <c r="LW71" s="23"/>
      <c r="LX71" s="23"/>
      <c r="LY71" s="23"/>
      <c r="LZ71" s="23"/>
      <c r="MA71" s="23"/>
      <c r="MB71" s="23"/>
      <c r="MC71" s="23"/>
      <c r="MD71" s="23"/>
      <c r="ME71" s="23"/>
      <c r="MF71" s="23"/>
      <c r="MG71" s="23"/>
      <c r="MH71" s="23"/>
      <c r="MI71" s="23"/>
      <c r="MJ71" s="23"/>
      <c r="MK71" s="23"/>
      <c r="ML71" s="23"/>
      <c r="MM71" s="23"/>
      <c r="MN71" s="23"/>
      <c r="MO71" s="23"/>
      <c r="MP71" s="23"/>
      <c r="MQ71" s="23"/>
      <c r="MR71" s="23"/>
      <c r="MS71" s="23"/>
      <c r="MT71" s="23"/>
      <c r="MU71" s="23"/>
      <c r="MV71" s="23"/>
      <c r="MW71" s="23"/>
      <c r="MX71" s="23"/>
      <c r="MY71" s="23"/>
      <c r="MZ71" s="23"/>
      <c r="NA71" s="23"/>
      <c r="NB71" s="23"/>
      <c r="NC71" s="23"/>
      <c r="ND71" s="23"/>
      <c r="NE71" s="23"/>
      <c r="NF71" s="23"/>
      <c r="NG71" s="23"/>
      <c r="NH71" s="23"/>
      <c r="NI71" s="23"/>
      <c r="NJ71" s="23"/>
      <c r="NK71" s="23"/>
      <c r="NL71" s="23"/>
      <c r="NM71" s="23"/>
      <c r="NN71" s="23"/>
    </row>
    <row r="72" spans="5:378" ht="15" customHeight="1"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  <c r="IZ72" s="23"/>
      <c r="JA72" s="23"/>
      <c r="JB72" s="23"/>
      <c r="JC72" s="23"/>
      <c r="JD72" s="23"/>
      <c r="JE72" s="23"/>
      <c r="JF72" s="23"/>
      <c r="JG72" s="23"/>
      <c r="JH72" s="23"/>
      <c r="JI72" s="23"/>
      <c r="JJ72" s="23"/>
      <c r="JK72" s="23"/>
      <c r="JL72" s="23"/>
      <c r="JM72" s="23"/>
      <c r="JN72" s="23"/>
      <c r="JO72" s="23"/>
      <c r="JP72" s="23"/>
      <c r="JQ72" s="23"/>
      <c r="JR72" s="23"/>
      <c r="JS72" s="23"/>
      <c r="JT72" s="23"/>
      <c r="JU72" s="23"/>
      <c r="JV72" s="23"/>
      <c r="JW72" s="23"/>
      <c r="JX72" s="23"/>
      <c r="JY72" s="23"/>
      <c r="JZ72" s="23"/>
      <c r="KA72" s="23"/>
      <c r="KB72" s="23"/>
      <c r="KC72" s="23"/>
      <c r="KD72" s="23"/>
      <c r="KE72" s="23"/>
      <c r="KF72" s="23"/>
      <c r="KG72" s="23"/>
      <c r="KH72" s="23"/>
      <c r="KI72" s="23"/>
      <c r="KJ72" s="23"/>
      <c r="KK72" s="23"/>
      <c r="KL72" s="23"/>
      <c r="KM72" s="23"/>
      <c r="KN72" s="23"/>
      <c r="KO72" s="23"/>
      <c r="KP72" s="23"/>
      <c r="KQ72" s="23"/>
      <c r="KR72" s="23"/>
      <c r="KS72" s="23"/>
      <c r="KT72" s="23"/>
      <c r="KU72" s="23"/>
      <c r="KV72" s="23"/>
      <c r="KW72" s="23"/>
      <c r="KX72" s="23"/>
      <c r="KY72" s="23"/>
      <c r="KZ72" s="23"/>
      <c r="LA72" s="23"/>
      <c r="LB72" s="23"/>
      <c r="LC72" s="23"/>
      <c r="LD72" s="23"/>
      <c r="LE72" s="23"/>
      <c r="LF72" s="23"/>
      <c r="LG72" s="23"/>
      <c r="LH72" s="23"/>
      <c r="LI72" s="23"/>
      <c r="LJ72" s="23"/>
      <c r="LK72" s="23"/>
      <c r="LL72" s="23"/>
      <c r="LM72" s="23"/>
      <c r="LN72" s="23"/>
      <c r="LO72" s="23"/>
      <c r="LP72" s="23"/>
      <c r="LQ72" s="23"/>
      <c r="LR72" s="23"/>
      <c r="LS72" s="23"/>
      <c r="LT72" s="23"/>
      <c r="LU72" s="23"/>
      <c r="LV72" s="23"/>
      <c r="LW72" s="23"/>
      <c r="LX72" s="23"/>
      <c r="LY72" s="23"/>
      <c r="LZ72" s="23"/>
      <c r="MA72" s="23"/>
      <c r="MB72" s="23"/>
      <c r="MC72" s="23"/>
      <c r="MD72" s="23"/>
      <c r="ME72" s="23"/>
      <c r="MF72" s="23"/>
      <c r="MG72" s="23"/>
      <c r="MH72" s="23"/>
      <c r="MI72" s="23"/>
      <c r="MJ72" s="23"/>
      <c r="MK72" s="23"/>
      <c r="ML72" s="23"/>
      <c r="MM72" s="23"/>
      <c r="MN72" s="23"/>
      <c r="MO72" s="23"/>
      <c r="MP72" s="23"/>
      <c r="MQ72" s="23"/>
      <c r="MR72" s="23"/>
      <c r="MS72" s="23"/>
      <c r="MT72" s="23"/>
      <c r="MU72" s="23"/>
      <c r="MV72" s="23"/>
      <c r="MW72" s="23"/>
      <c r="MX72" s="23"/>
      <c r="MY72" s="23"/>
      <c r="MZ72" s="23"/>
      <c r="NA72" s="23"/>
      <c r="NB72" s="23"/>
      <c r="NC72" s="23"/>
      <c r="ND72" s="23"/>
      <c r="NE72" s="23"/>
      <c r="NF72" s="23"/>
      <c r="NG72" s="23"/>
      <c r="NH72" s="23"/>
      <c r="NI72" s="23"/>
      <c r="NJ72" s="23"/>
      <c r="NK72" s="23"/>
      <c r="NL72" s="23"/>
      <c r="NM72" s="23"/>
      <c r="NN72" s="23"/>
    </row>
    <row r="73" spans="5:378" ht="15" customHeight="1"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  <c r="IZ73" s="23"/>
      <c r="JA73" s="23"/>
      <c r="JB73" s="23"/>
      <c r="JC73" s="23"/>
      <c r="JD73" s="23"/>
      <c r="JE73" s="23"/>
      <c r="JF73" s="23"/>
      <c r="JG73" s="23"/>
      <c r="JH73" s="23"/>
      <c r="JI73" s="23"/>
      <c r="JJ73" s="23"/>
      <c r="JK73" s="23"/>
      <c r="JL73" s="23"/>
      <c r="JM73" s="23"/>
      <c r="JN73" s="23"/>
      <c r="JO73" s="23"/>
      <c r="JP73" s="23"/>
      <c r="JQ73" s="23"/>
      <c r="JR73" s="23"/>
      <c r="JS73" s="23"/>
      <c r="JT73" s="23"/>
      <c r="JU73" s="23"/>
      <c r="JV73" s="23"/>
      <c r="JW73" s="23"/>
      <c r="JX73" s="23"/>
      <c r="JY73" s="23"/>
      <c r="JZ73" s="23"/>
      <c r="KA73" s="23"/>
      <c r="KB73" s="23"/>
      <c r="KC73" s="23"/>
      <c r="KD73" s="23"/>
      <c r="KE73" s="23"/>
      <c r="KF73" s="23"/>
      <c r="KG73" s="23"/>
      <c r="KH73" s="23"/>
      <c r="KI73" s="23"/>
      <c r="KJ73" s="23"/>
      <c r="KK73" s="23"/>
      <c r="KL73" s="23"/>
      <c r="KM73" s="23"/>
      <c r="KN73" s="23"/>
      <c r="KO73" s="23"/>
      <c r="KP73" s="23"/>
      <c r="KQ73" s="23"/>
      <c r="KR73" s="23"/>
      <c r="KS73" s="23"/>
      <c r="KT73" s="23"/>
      <c r="KU73" s="23"/>
      <c r="KV73" s="23"/>
      <c r="KW73" s="23"/>
      <c r="KX73" s="23"/>
      <c r="KY73" s="23"/>
      <c r="KZ73" s="23"/>
      <c r="LA73" s="23"/>
      <c r="LB73" s="23"/>
      <c r="LC73" s="23"/>
      <c r="LD73" s="23"/>
      <c r="LE73" s="23"/>
      <c r="LF73" s="23"/>
      <c r="LG73" s="23"/>
      <c r="LH73" s="23"/>
      <c r="LI73" s="23"/>
      <c r="LJ73" s="23"/>
      <c r="LK73" s="23"/>
      <c r="LL73" s="23"/>
      <c r="LM73" s="23"/>
      <c r="LN73" s="23"/>
      <c r="LO73" s="23"/>
      <c r="LP73" s="23"/>
      <c r="LQ73" s="23"/>
      <c r="LR73" s="23"/>
      <c r="LS73" s="23"/>
      <c r="LT73" s="23"/>
      <c r="LU73" s="23"/>
      <c r="LV73" s="23"/>
      <c r="LW73" s="23"/>
      <c r="LX73" s="23"/>
      <c r="LY73" s="23"/>
      <c r="LZ73" s="23"/>
      <c r="MA73" s="23"/>
      <c r="MB73" s="23"/>
      <c r="MC73" s="23"/>
      <c r="MD73" s="23"/>
      <c r="ME73" s="23"/>
      <c r="MF73" s="23"/>
      <c r="MG73" s="23"/>
      <c r="MH73" s="23"/>
      <c r="MI73" s="23"/>
      <c r="MJ73" s="23"/>
      <c r="MK73" s="23"/>
      <c r="ML73" s="23"/>
      <c r="MM73" s="23"/>
      <c r="MN73" s="23"/>
      <c r="MO73" s="23"/>
      <c r="MP73" s="23"/>
      <c r="MQ73" s="23"/>
      <c r="MR73" s="23"/>
      <c r="MS73" s="23"/>
      <c r="MT73" s="23"/>
      <c r="MU73" s="23"/>
      <c r="MV73" s="23"/>
      <c r="MW73" s="23"/>
      <c r="MX73" s="23"/>
      <c r="MY73" s="23"/>
      <c r="MZ73" s="23"/>
      <c r="NA73" s="23"/>
      <c r="NB73" s="23"/>
      <c r="NC73" s="23"/>
      <c r="ND73" s="23"/>
      <c r="NE73" s="23"/>
      <c r="NF73" s="23"/>
      <c r="NG73" s="23"/>
      <c r="NH73" s="23"/>
      <c r="NI73" s="23"/>
      <c r="NJ73" s="23"/>
      <c r="NK73" s="23"/>
      <c r="NL73" s="23"/>
      <c r="NM73" s="23"/>
      <c r="NN73" s="23"/>
    </row>
    <row r="74" spans="5:378" ht="15" customHeight="1"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  <c r="IZ74" s="23"/>
      <c r="JA74" s="23"/>
      <c r="JB74" s="23"/>
      <c r="JC74" s="23"/>
      <c r="JD74" s="23"/>
      <c r="JE74" s="23"/>
      <c r="JF74" s="23"/>
      <c r="JG74" s="23"/>
      <c r="JH74" s="23"/>
      <c r="JI74" s="23"/>
      <c r="JJ74" s="23"/>
      <c r="JK74" s="23"/>
      <c r="JL74" s="23"/>
      <c r="JM74" s="23"/>
      <c r="JN74" s="23"/>
      <c r="JO74" s="23"/>
      <c r="JP74" s="23"/>
      <c r="JQ74" s="23"/>
      <c r="JR74" s="23"/>
      <c r="JS74" s="23"/>
      <c r="JT74" s="23"/>
      <c r="JU74" s="23"/>
      <c r="JV74" s="23"/>
      <c r="JW74" s="23"/>
      <c r="JX74" s="23"/>
      <c r="JY74" s="23"/>
      <c r="JZ74" s="23"/>
      <c r="KA74" s="23"/>
      <c r="KB74" s="23"/>
      <c r="KC74" s="23"/>
      <c r="KD74" s="23"/>
      <c r="KE74" s="23"/>
      <c r="KF74" s="23"/>
      <c r="KG74" s="23"/>
      <c r="KH74" s="23"/>
      <c r="KI74" s="23"/>
      <c r="KJ74" s="23"/>
      <c r="KK74" s="23"/>
      <c r="KL74" s="23"/>
      <c r="KM74" s="23"/>
      <c r="KN74" s="23"/>
      <c r="KO74" s="23"/>
      <c r="KP74" s="23"/>
      <c r="KQ74" s="23"/>
      <c r="KR74" s="23"/>
      <c r="KS74" s="23"/>
      <c r="KT74" s="23"/>
      <c r="KU74" s="23"/>
      <c r="KV74" s="23"/>
      <c r="KW74" s="23"/>
      <c r="KX74" s="23"/>
      <c r="KY74" s="23"/>
      <c r="KZ74" s="23"/>
      <c r="LA74" s="23"/>
      <c r="LB74" s="23"/>
      <c r="LC74" s="23"/>
      <c r="LD74" s="23"/>
      <c r="LE74" s="23"/>
      <c r="LF74" s="23"/>
      <c r="LG74" s="23"/>
      <c r="LH74" s="23"/>
      <c r="LI74" s="23"/>
      <c r="LJ74" s="23"/>
      <c r="LK74" s="23"/>
      <c r="LL74" s="23"/>
      <c r="LM74" s="23"/>
      <c r="LN74" s="23"/>
      <c r="LO74" s="23"/>
      <c r="LP74" s="23"/>
      <c r="LQ74" s="23"/>
      <c r="LR74" s="23"/>
      <c r="LS74" s="23"/>
      <c r="LT74" s="23"/>
      <c r="LU74" s="23"/>
      <c r="LV74" s="23"/>
      <c r="LW74" s="23"/>
      <c r="LX74" s="23"/>
      <c r="LY74" s="23"/>
      <c r="LZ74" s="23"/>
      <c r="MA74" s="23"/>
      <c r="MB74" s="23"/>
      <c r="MC74" s="23"/>
      <c r="MD74" s="23"/>
      <c r="ME74" s="23"/>
      <c r="MF74" s="23"/>
      <c r="MG74" s="23"/>
      <c r="MH74" s="23"/>
      <c r="MI74" s="23"/>
      <c r="MJ74" s="23"/>
      <c r="MK74" s="23"/>
      <c r="ML74" s="23"/>
      <c r="MM74" s="23"/>
      <c r="MN74" s="23"/>
      <c r="MO74" s="23"/>
      <c r="MP74" s="23"/>
      <c r="MQ74" s="23"/>
      <c r="MR74" s="23"/>
      <c r="MS74" s="23"/>
      <c r="MT74" s="23"/>
      <c r="MU74" s="23"/>
      <c r="MV74" s="23"/>
      <c r="MW74" s="23"/>
      <c r="MX74" s="23"/>
      <c r="MY74" s="23"/>
      <c r="MZ74" s="23"/>
      <c r="NA74" s="23"/>
      <c r="NB74" s="23"/>
      <c r="NC74" s="23"/>
      <c r="ND74" s="23"/>
      <c r="NE74" s="23"/>
      <c r="NF74" s="23"/>
      <c r="NG74" s="23"/>
      <c r="NH74" s="23"/>
      <c r="NI74" s="23"/>
      <c r="NJ74" s="23"/>
      <c r="NK74" s="23"/>
      <c r="NL74" s="23"/>
      <c r="NM74" s="23"/>
      <c r="NN74" s="23"/>
    </row>
    <row r="75" spans="5:378" ht="15" customHeight="1"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  <c r="IY75" s="23"/>
      <c r="IZ75" s="23"/>
      <c r="JA75" s="23"/>
      <c r="JB75" s="23"/>
      <c r="JC75" s="23"/>
      <c r="JD75" s="23"/>
      <c r="JE75" s="23"/>
      <c r="JF75" s="23"/>
      <c r="JG75" s="23"/>
      <c r="JH75" s="23"/>
      <c r="JI75" s="23"/>
      <c r="JJ75" s="23"/>
      <c r="JK75" s="23"/>
      <c r="JL75" s="23"/>
      <c r="JM75" s="23"/>
      <c r="JN75" s="23"/>
      <c r="JO75" s="23"/>
      <c r="JP75" s="23"/>
      <c r="JQ75" s="23"/>
      <c r="JR75" s="23"/>
      <c r="JS75" s="23"/>
      <c r="JT75" s="23"/>
      <c r="JU75" s="23"/>
      <c r="JV75" s="23"/>
      <c r="JW75" s="23"/>
      <c r="JX75" s="23"/>
      <c r="JY75" s="23"/>
      <c r="JZ75" s="23"/>
      <c r="KA75" s="23"/>
      <c r="KB75" s="23"/>
      <c r="KC75" s="23"/>
      <c r="KD75" s="23"/>
      <c r="KE75" s="23"/>
      <c r="KF75" s="23"/>
      <c r="KG75" s="23"/>
      <c r="KH75" s="23"/>
      <c r="KI75" s="23"/>
      <c r="KJ75" s="23"/>
      <c r="KK75" s="23"/>
      <c r="KL75" s="23"/>
      <c r="KM75" s="23"/>
      <c r="KN75" s="23"/>
      <c r="KO75" s="23"/>
      <c r="KP75" s="23"/>
      <c r="KQ75" s="23"/>
      <c r="KR75" s="23"/>
      <c r="KS75" s="23"/>
      <c r="KT75" s="23"/>
      <c r="KU75" s="23"/>
      <c r="KV75" s="23"/>
      <c r="KW75" s="23"/>
      <c r="KX75" s="23"/>
      <c r="KY75" s="23"/>
      <c r="KZ75" s="23"/>
      <c r="LA75" s="23"/>
      <c r="LB75" s="23"/>
      <c r="LC75" s="23"/>
      <c r="LD75" s="23"/>
      <c r="LE75" s="23"/>
      <c r="LF75" s="23"/>
      <c r="LG75" s="23"/>
      <c r="LH75" s="23"/>
      <c r="LI75" s="23"/>
      <c r="LJ75" s="23"/>
      <c r="LK75" s="23"/>
      <c r="LL75" s="23"/>
      <c r="LM75" s="23"/>
      <c r="LN75" s="23"/>
      <c r="LO75" s="23"/>
      <c r="LP75" s="23"/>
      <c r="LQ75" s="23"/>
      <c r="LR75" s="23"/>
      <c r="LS75" s="23"/>
      <c r="LT75" s="23"/>
      <c r="LU75" s="23"/>
      <c r="LV75" s="23"/>
      <c r="LW75" s="23"/>
      <c r="LX75" s="23"/>
      <c r="LY75" s="23"/>
      <c r="LZ75" s="23"/>
      <c r="MA75" s="23"/>
      <c r="MB75" s="23"/>
      <c r="MC75" s="23"/>
      <c r="MD75" s="23"/>
      <c r="ME75" s="23"/>
      <c r="MF75" s="23"/>
      <c r="MG75" s="23"/>
      <c r="MH75" s="23"/>
      <c r="MI75" s="23"/>
      <c r="MJ75" s="23"/>
      <c r="MK75" s="23"/>
      <c r="ML75" s="23"/>
      <c r="MM75" s="23"/>
      <c r="MN75" s="23"/>
      <c r="MO75" s="23"/>
      <c r="MP75" s="23"/>
      <c r="MQ75" s="23"/>
      <c r="MR75" s="23"/>
      <c r="MS75" s="23"/>
      <c r="MT75" s="23"/>
      <c r="MU75" s="23"/>
      <c r="MV75" s="23"/>
      <c r="MW75" s="23"/>
      <c r="MX75" s="23"/>
      <c r="MY75" s="23"/>
      <c r="MZ75" s="23"/>
      <c r="NA75" s="23"/>
      <c r="NB75" s="23"/>
      <c r="NC75" s="23"/>
      <c r="ND75" s="23"/>
      <c r="NE75" s="23"/>
      <c r="NF75" s="23"/>
      <c r="NG75" s="23"/>
      <c r="NH75" s="23"/>
      <c r="NI75" s="23"/>
      <c r="NJ75" s="23"/>
      <c r="NK75" s="23"/>
      <c r="NL75" s="23"/>
      <c r="NM75" s="23"/>
      <c r="NN75" s="23"/>
    </row>
    <row r="76" spans="5:378" ht="15" customHeight="1"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  <c r="IZ76" s="23"/>
      <c r="JA76" s="23"/>
      <c r="JB76" s="23"/>
      <c r="JC76" s="23"/>
      <c r="JD76" s="23"/>
      <c r="JE76" s="23"/>
      <c r="JF76" s="23"/>
      <c r="JG76" s="23"/>
      <c r="JH76" s="23"/>
      <c r="JI76" s="23"/>
      <c r="JJ76" s="23"/>
      <c r="JK76" s="23"/>
      <c r="JL76" s="23"/>
      <c r="JM76" s="23"/>
      <c r="JN76" s="23"/>
      <c r="JO76" s="23"/>
      <c r="JP76" s="23"/>
      <c r="JQ76" s="23"/>
      <c r="JR76" s="23"/>
      <c r="JS76" s="23"/>
      <c r="JT76" s="23"/>
      <c r="JU76" s="23"/>
      <c r="JV76" s="23"/>
      <c r="JW76" s="23"/>
      <c r="JX76" s="23"/>
      <c r="JY76" s="23"/>
      <c r="JZ76" s="23"/>
      <c r="KA76" s="23"/>
      <c r="KB76" s="23"/>
      <c r="KC76" s="23"/>
      <c r="KD76" s="23"/>
      <c r="KE76" s="23"/>
      <c r="KF76" s="23"/>
      <c r="KG76" s="23"/>
      <c r="KH76" s="23"/>
      <c r="KI76" s="23"/>
      <c r="KJ76" s="23"/>
      <c r="KK76" s="23"/>
      <c r="KL76" s="23"/>
      <c r="KM76" s="23"/>
      <c r="KN76" s="23"/>
      <c r="KO76" s="23"/>
      <c r="KP76" s="23"/>
      <c r="KQ76" s="23"/>
      <c r="KR76" s="23"/>
      <c r="KS76" s="23"/>
      <c r="KT76" s="23"/>
      <c r="KU76" s="23"/>
      <c r="KV76" s="23"/>
      <c r="KW76" s="23"/>
      <c r="KX76" s="23"/>
      <c r="KY76" s="23"/>
      <c r="KZ76" s="23"/>
      <c r="LA76" s="23"/>
      <c r="LB76" s="23"/>
      <c r="LC76" s="23"/>
      <c r="LD76" s="23"/>
      <c r="LE76" s="23"/>
      <c r="LF76" s="23"/>
      <c r="LG76" s="23"/>
      <c r="LH76" s="23"/>
      <c r="LI76" s="23"/>
      <c r="LJ76" s="23"/>
      <c r="LK76" s="23"/>
      <c r="LL76" s="23"/>
      <c r="LM76" s="23"/>
      <c r="LN76" s="23"/>
      <c r="LO76" s="23"/>
      <c r="LP76" s="23"/>
      <c r="LQ76" s="23"/>
      <c r="LR76" s="23"/>
      <c r="LS76" s="23"/>
      <c r="LT76" s="23"/>
      <c r="LU76" s="23"/>
      <c r="LV76" s="23"/>
      <c r="LW76" s="23"/>
      <c r="LX76" s="23"/>
      <c r="LY76" s="23"/>
      <c r="LZ76" s="23"/>
      <c r="MA76" s="23"/>
      <c r="MB76" s="23"/>
      <c r="MC76" s="23"/>
      <c r="MD76" s="23"/>
      <c r="ME76" s="23"/>
      <c r="MF76" s="23"/>
      <c r="MG76" s="23"/>
      <c r="MH76" s="23"/>
      <c r="MI76" s="23"/>
      <c r="MJ76" s="23"/>
      <c r="MK76" s="23"/>
      <c r="ML76" s="23"/>
      <c r="MM76" s="23"/>
      <c r="MN76" s="23"/>
      <c r="MO76" s="23"/>
      <c r="MP76" s="23"/>
      <c r="MQ76" s="23"/>
      <c r="MR76" s="23"/>
      <c r="MS76" s="23"/>
      <c r="MT76" s="23"/>
      <c r="MU76" s="23"/>
      <c r="MV76" s="23"/>
      <c r="MW76" s="23"/>
      <c r="MX76" s="23"/>
      <c r="MY76" s="23"/>
      <c r="MZ76" s="23"/>
      <c r="NA76" s="23"/>
      <c r="NB76" s="23"/>
      <c r="NC76" s="23"/>
      <c r="ND76" s="23"/>
      <c r="NE76" s="23"/>
      <c r="NF76" s="23"/>
      <c r="NG76" s="23"/>
      <c r="NH76" s="23"/>
      <c r="NI76" s="23"/>
      <c r="NJ76" s="23"/>
      <c r="NK76" s="23"/>
      <c r="NL76" s="23"/>
      <c r="NM76" s="23"/>
      <c r="NN76" s="23"/>
    </row>
    <row r="77" spans="5:378" ht="15" customHeight="1"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  <c r="IY77" s="23"/>
      <c r="IZ77" s="23"/>
      <c r="JA77" s="23"/>
      <c r="JB77" s="23"/>
      <c r="JC77" s="23"/>
      <c r="JD77" s="23"/>
      <c r="JE77" s="23"/>
      <c r="JF77" s="23"/>
      <c r="JG77" s="23"/>
      <c r="JH77" s="23"/>
      <c r="JI77" s="23"/>
      <c r="JJ77" s="23"/>
      <c r="JK77" s="23"/>
      <c r="JL77" s="23"/>
      <c r="JM77" s="23"/>
      <c r="JN77" s="23"/>
      <c r="JO77" s="23"/>
      <c r="JP77" s="23"/>
      <c r="JQ77" s="23"/>
      <c r="JR77" s="23"/>
      <c r="JS77" s="23"/>
      <c r="JT77" s="23"/>
      <c r="JU77" s="23"/>
      <c r="JV77" s="23"/>
      <c r="JW77" s="23"/>
      <c r="JX77" s="23"/>
      <c r="JY77" s="23"/>
      <c r="JZ77" s="23"/>
      <c r="KA77" s="23"/>
      <c r="KB77" s="23"/>
      <c r="KC77" s="23"/>
      <c r="KD77" s="23"/>
      <c r="KE77" s="23"/>
      <c r="KF77" s="23"/>
      <c r="KG77" s="23"/>
      <c r="KH77" s="23"/>
      <c r="KI77" s="23"/>
      <c r="KJ77" s="23"/>
      <c r="KK77" s="23"/>
      <c r="KL77" s="23"/>
      <c r="KM77" s="23"/>
      <c r="KN77" s="23"/>
      <c r="KO77" s="23"/>
      <c r="KP77" s="23"/>
      <c r="KQ77" s="23"/>
      <c r="KR77" s="23"/>
      <c r="KS77" s="23"/>
      <c r="KT77" s="23"/>
      <c r="KU77" s="23"/>
      <c r="KV77" s="23"/>
      <c r="KW77" s="23"/>
      <c r="KX77" s="23"/>
      <c r="KY77" s="23"/>
      <c r="KZ77" s="23"/>
      <c r="LA77" s="23"/>
      <c r="LB77" s="23"/>
      <c r="LC77" s="23"/>
      <c r="LD77" s="23"/>
      <c r="LE77" s="23"/>
      <c r="LF77" s="23"/>
      <c r="LG77" s="23"/>
      <c r="LH77" s="23"/>
      <c r="LI77" s="23"/>
      <c r="LJ77" s="23"/>
      <c r="LK77" s="23"/>
      <c r="LL77" s="23"/>
      <c r="LM77" s="23"/>
      <c r="LN77" s="23"/>
      <c r="LO77" s="23"/>
      <c r="LP77" s="23"/>
      <c r="LQ77" s="23"/>
      <c r="LR77" s="23"/>
      <c r="LS77" s="23"/>
      <c r="LT77" s="23"/>
      <c r="LU77" s="23"/>
      <c r="LV77" s="23"/>
      <c r="LW77" s="23"/>
      <c r="LX77" s="23"/>
      <c r="LY77" s="23"/>
      <c r="LZ77" s="23"/>
      <c r="MA77" s="23"/>
      <c r="MB77" s="23"/>
      <c r="MC77" s="23"/>
      <c r="MD77" s="23"/>
      <c r="ME77" s="23"/>
      <c r="MF77" s="23"/>
      <c r="MG77" s="23"/>
      <c r="MH77" s="23"/>
      <c r="MI77" s="23"/>
      <c r="MJ77" s="23"/>
      <c r="MK77" s="23"/>
      <c r="ML77" s="23"/>
      <c r="MM77" s="23"/>
      <c r="MN77" s="23"/>
      <c r="MO77" s="23"/>
      <c r="MP77" s="23"/>
      <c r="MQ77" s="23"/>
      <c r="MR77" s="23"/>
      <c r="MS77" s="23"/>
      <c r="MT77" s="23"/>
      <c r="MU77" s="23"/>
      <c r="MV77" s="23"/>
      <c r="MW77" s="23"/>
      <c r="MX77" s="23"/>
      <c r="MY77" s="23"/>
      <c r="MZ77" s="23"/>
      <c r="NA77" s="23"/>
      <c r="NB77" s="23"/>
      <c r="NC77" s="23"/>
      <c r="ND77" s="23"/>
      <c r="NE77" s="23"/>
      <c r="NF77" s="23"/>
      <c r="NG77" s="23"/>
      <c r="NH77" s="23"/>
      <c r="NI77" s="23"/>
      <c r="NJ77" s="23"/>
      <c r="NK77" s="23"/>
      <c r="NL77" s="23"/>
      <c r="NM77" s="23"/>
      <c r="NN77" s="23"/>
    </row>
    <row r="78" spans="5:378" ht="15" customHeight="1"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  <c r="IY78" s="23"/>
      <c r="IZ78" s="23"/>
      <c r="JA78" s="23"/>
      <c r="JB78" s="23"/>
      <c r="JC78" s="23"/>
      <c r="JD78" s="23"/>
      <c r="JE78" s="23"/>
      <c r="JF78" s="23"/>
      <c r="JG78" s="23"/>
      <c r="JH78" s="23"/>
      <c r="JI78" s="23"/>
      <c r="JJ78" s="23"/>
      <c r="JK78" s="23"/>
      <c r="JL78" s="23"/>
      <c r="JM78" s="23"/>
      <c r="JN78" s="23"/>
      <c r="JO78" s="23"/>
      <c r="JP78" s="23"/>
      <c r="JQ78" s="23"/>
      <c r="JR78" s="23"/>
      <c r="JS78" s="23"/>
      <c r="JT78" s="23"/>
      <c r="JU78" s="23"/>
      <c r="JV78" s="23"/>
      <c r="JW78" s="23"/>
      <c r="JX78" s="23"/>
      <c r="JY78" s="23"/>
      <c r="JZ78" s="23"/>
      <c r="KA78" s="23"/>
      <c r="KB78" s="23"/>
      <c r="KC78" s="23"/>
      <c r="KD78" s="23"/>
      <c r="KE78" s="23"/>
      <c r="KF78" s="23"/>
      <c r="KG78" s="23"/>
      <c r="KH78" s="23"/>
      <c r="KI78" s="23"/>
      <c r="KJ78" s="23"/>
      <c r="KK78" s="23"/>
      <c r="KL78" s="23"/>
      <c r="KM78" s="23"/>
      <c r="KN78" s="23"/>
      <c r="KO78" s="23"/>
      <c r="KP78" s="23"/>
      <c r="KQ78" s="23"/>
      <c r="KR78" s="23"/>
      <c r="KS78" s="23"/>
      <c r="KT78" s="23"/>
      <c r="KU78" s="23"/>
      <c r="KV78" s="23"/>
      <c r="KW78" s="23"/>
      <c r="KX78" s="23"/>
      <c r="KY78" s="23"/>
      <c r="KZ78" s="23"/>
      <c r="LA78" s="23"/>
      <c r="LB78" s="23"/>
      <c r="LC78" s="23"/>
      <c r="LD78" s="23"/>
      <c r="LE78" s="23"/>
      <c r="LF78" s="23"/>
      <c r="LG78" s="23"/>
      <c r="LH78" s="23"/>
      <c r="LI78" s="23"/>
      <c r="LJ78" s="23"/>
      <c r="LK78" s="23"/>
      <c r="LL78" s="23"/>
      <c r="LM78" s="23"/>
      <c r="LN78" s="23"/>
      <c r="LO78" s="23"/>
      <c r="LP78" s="23"/>
      <c r="LQ78" s="23"/>
      <c r="LR78" s="23"/>
      <c r="LS78" s="23"/>
      <c r="LT78" s="23"/>
      <c r="LU78" s="23"/>
      <c r="LV78" s="23"/>
      <c r="LW78" s="23"/>
      <c r="LX78" s="23"/>
      <c r="LY78" s="23"/>
      <c r="LZ78" s="23"/>
      <c r="MA78" s="23"/>
      <c r="MB78" s="23"/>
      <c r="MC78" s="23"/>
      <c r="MD78" s="23"/>
      <c r="ME78" s="23"/>
      <c r="MF78" s="23"/>
      <c r="MG78" s="23"/>
      <c r="MH78" s="23"/>
      <c r="MI78" s="23"/>
      <c r="MJ78" s="23"/>
      <c r="MK78" s="23"/>
      <c r="ML78" s="23"/>
      <c r="MM78" s="23"/>
      <c r="MN78" s="23"/>
      <c r="MO78" s="23"/>
      <c r="MP78" s="23"/>
      <c r="MQ78" s="23"/>
      <c r="MR78" s="23"/>
      <c r="MS78" s="23"/>
      <c r="MT78" s="23"/>
      <c r="MU78" s="23"/>
      <c r="MV78" s="23"/>
      <c r="MW78" s="23"/>
      <c r="MX78" s="23"/>
      <c r="MY78" s="23"/>
      <c r="MZ78" s="23"/>
      <c r="NA78" s="23"/>
      <c r="NB78" s="23"/>
      <c r="NC78" s="23"/>
      <c r="ND78" s="23"/>
      <c r="NE78" s="23"/>
      <c r="NF78" s="23"/>
      <c r="NG78" s="23"/>
      <c r="NH78" s="23"/>
      <c r="NI78" s="23"/>
      <c r="NJ78" s="23"/>
      <c r="NK78" s="23"/>
      <c r="NL78" s="23"/>
      <c r="NM78" s="23"/>
      <c r="NN78" s="23"/>
    </row>
    <row r="79" spans="5:378" ht="15" customHeight="1"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  <c r="IY79" s="23"/>
      <c r="IZ79" s="23"/>
      <c r="JA79" s="23"/>
      <c r="JB79" s="23"/>
      <c r="JC79" s="23"/>
      <c r="JD79" s="23"/>
      <c r="JE79" s="23"/>
      <c r="JF79" s="23"/>
      <c r="JG79" s="23"/>
      <c r="JH79" s="23"/>
      <c r="JI79" s="23"/>
      <c r="JJ79" s="23"/>
      <c r="JK79" s="23"/>
      <c r="JL79" s="23"/>
      <c r="JM79" s="23"/>
      <c r="JN79" s="23"/>
      <c r="JO79" s="23"/>
      <c r="JP79" s="23"/>
      <c r="JQ79" s="23"/>
      <c r="JR79" s="23"/>
      <c r="JS79" s="23"/>
      <c r="JT79" s="23"/>
      <c r="JU79" s="23"/>
      <c r="JV79" s="23"/>
      <c r="JW79" s="23"/>
      <c r="JX79" s="23"/>
      <c r="JY79" s="23"/>
      <c r="JZ79" s="23"/>
      <c r="KA79" s="23"/>
      <c r="KB79" s="23"/>
      <c r="KC79" s="23"/>
      <c r="KD79" s="23"/>
      <c r="KE79" s="23"/>
      <c r="KF79" s="23"/>
      <c r="KG79" s="23"/>
      <c r="KH79" s="23"/>
      <c r="KI79" s="23"/>
      <c r="KJ79" s="23"/>
      <c r="KK79" s="23"/>
      <c r="KL79" s="23"/>
      <c r="KM79" s="23"/>
      <c r="KN79" s="23"/>
      <c r="KO79" s="23"/>
      <c r="KP79" s="23"/>
      <c r="KQ79" s="23"/>
      <c r="KR79" s="23"/>
      <c r="KS79" s="23"/>
      <c r="KT79" s="23"/>
      <c r="KU79" s="23"/>
      <c r="KV79" s="23"/>
      <c r="KW79" s="23"/>
      <c r="KX79" s="23"/>
      <c r="KY79" s="23"/>
      <c r="KZ79" s="23"/>
      <c r="LA79" s="23"/>
      <c r="LB79" s="23"/>
      <c r="LC79" s="23"/>
      <c r="LD79" s="23"/>
      <c r="LE79" s="23"/>
      <c r="LF79" s="23"/>
      <c r="LG79" s="23"/>
      <c r="LH79" s="23"/>
      <c r="LI79" s="23"/>
      <c r="LJ79" s="23"/>
      <c r="LK79" s="23"/>
      <c r="LL79" s="23"/>
      <c r="LM79" s="23"/>
      <c r="LN79" s="23"/>
      <c r="LO79" s="23"/>
      <c r="LP79" s="23"/>
      <c r="LQ79" s="23"/>
      <c r="LR79" s="23"/>
      <c r="LS79" s="23"/>
      <c r="LT79" s="23"/>
      <c r="LU79" s="23"/>
      <c r="LV79" s="23"/>
      <c r="LW79" s="23"/>
      <c r="LX79" s="23"/>
      <c r="LY79" s="23"/>
      <c r="LZ79" s="23"/>
      <c r="MA79" s="23"/>
      <c r="MB79" s="23"/>
      <c r="MC79" s="23"/>
      <c r="MD79" s="23"/>
      <c r="ME79" s="23"/>
      <c r="MF79" s="23"/>
      <c r="MG79" s="23"/>
      <c r="MH79" s="23"/>
      <c r="MI79" s="23"/>
      <c r="MJ79" s="23"/>
      <c r="MK79" s="23"/>
      <c r="ML79" s="23"/>
      <c r="MM79" s="23"/>
      <c r="MN79" s="23"/>
      <c r="MO79" s="23"/>
      <c r="MP79" s="23"/>
      <c r="MQ79" s="23"/>
      <c r="MR79" s="23"/>
      <c r="MS79" s="23"/>
      <c r="MT79" s="23"/>
      <c r="MU79" s="23"/>
      <c r="MV79" s="23"/>
      <c r="MW79" s="23"/>
      <c r="MX79" s="23"/>
      <c r="MY79" s="23"/>
      <c r="MZ79" s="23"/>
      <c r="NA79" s="23"/>
      <c r="NB79" s="23"/>
      <c r="NC79" s="23"/>
      <c r="ND79" s="23"/>
      <c r="NE79" s="23"/>
      <c r="NF79" s="23"/>
      <c r="NG79" s="23"/>
      <c r="NH79" s="23"/>
      <c r="NI79" s="23"/>
      <c r="NJ79" s="23"/>
      <c r="NK79" s="23"/>
      <c r="NL79" s="23"/>
      <c r="NM79" s="23"/>
      <c r="NN79" s="23"/>
    </row>
    <row r="80" spans="5:378" ht="15" customHeight="1"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  <c r="IY80" s="23"/>
      <c r="IZ80" s="23"/>
      <c r="JA80" s="23"/>
      <c r="JB80" s="23"/>
      <c r="JC80" s="23"/>
      <c r="JD80" s="23"/>
      <c r="JE80" s="23"/>
      <c r="JF80" s="23"/>
      <c r="JG80" s="23"/>
      <c r="JH80" s="23"/>
      <c r="JI80" s="23"/>
      <c r="JJ80" s="23"/>
      <c r="JK80" s="23"/>
      <c r="JL80" s="23"/>
      <c r="JM80" s="23"/>
      <c r="JN80" s="23"/>
      <c r="JO80" s="23"/>
      <c r="JP80" s="23"/>
      <c r="JQ80" s="23"/>
      <c r="JR80" s="23"/>
      <c r="JS80" s="23"/>
      <c r="JT80" s="23"/>
      <c r="JU80" s="23"/>
      <c r="JV80" s="23"/>
      <c r="JW80" s="23"/>
      <c r="JX80" s="23"/>
      <c r="JY80" s="23"/>
      <c r="JZ80" s="23"/>
      <c r="KA80" s="23"/>
      <c r="KB80" s="23"/>
      <c r="KC80" s="23"/>
      <c r="KD80" s="23"/>
      <c r="KE80" s="23"/>
      <c r="KF80" s="23"/>
      <c r="KG80" s="23"/>
      <c r="KH80" s="23"/>
      <c r="KI80" s="23"/>
      <c r="KJ80" s="23"/>
      <c r="KK80" s="23"/>
      <c r="KL80" s="23"/>
      <c r="KM80" s="23"/>
      <c r="KN80" s="23"/>
      <c r="KO80" s="23"/>
      <c r="KP80" s="23"/>
      <c r="KQ80" s="23"/>
      <c r="KR80" s="23"/>
      <c r="KS80" s="23"/>
      <c r="KT80" s="23"/>
      <c r="KU80" s="23"/>
      <c r="KV80" s="23"/>
      <c r="KW80" s="23"/>
      <c r="KX80" s="23"/>
      <c r="KY80" s="23"/>
      <c r="KZ80" s="23"/>
      <c r="LA80" s="23"/>
      <c r="LB80" s="23"/>
      <c r="LC80" s="23"/>
      <c r="LD80" s="23"/>
      <c r="LE80" s="23"/>
      <c r="LF80" s="23"/>
      <c r="LG80" s="23"/>
      <c r="LH80" s="23"/>
      <c r="LI80" s="23"/>
      <c r="LJ80" s="23"/>
      <c r="LK80" s="23"/>
      <c r="LL80" s="23"/>
      <c r="LM80" s="23"/>
      <c r="LN80" s="23"/>
      <c r="LO80" s="23"/>
      <c r="LP80" s="23"/>
      <c r="LQ80" s="23"/>
      <c r="LR80" s="23"/>
      <c r="LS80" s="23"/>
      <c r="LT80" s="23"/>
      <c r="LU80" s="23"/>
      <c r="LV80" s="23"/>
      <c r="LW80" s="23"/>
      <c r="LX80" s="23"/>
      <c r="LY80" s="23"/>
      <c r="LZ80" s="23"/>
      <c r="MA80" s="23"/>
      <c r="MB80" s="23"/>
      <c r="MC80" s="23"/>
      <c r="MD80" s="23"/>
      <c r="ME80" s="23"/>
      <c r="MF80" s="23"/>
      <c r="MG80" s="23"/>
      <c r="MH80" s="23"/>
      <c r="MI80" s="23"/>
      <c r="MJ80" s="23"/>
      <c r="MK80" s="23"/>
      <c r="ML80" s="23"/>
      <c r="MM80" s="23"/>
      <c r="MN80" s="23"/>
      <c r="MO80" s="23"/>
      <c r="MP80" s="23"/>
      <c r="MQ80" s="23"/>
      <c r="MR80" s="23"/>
      <c r="MS80" s="23"/>
      <c r="MT80" s="23"/>
      <c r="MU80" s="23"/>
      <c r="MV80" s="23"/>
      <c r="MW80" s="23"/>
      <c r="MX80" s="23"/>
      <c r="MY80" s="23"/>
      <c r="MZ80" s="23"/>
      <c r="NA80" s="23"/>
      <c r="NB80" s="23"/>
      <c r="NC80" s="23"/>
      <c r="ND80" s="23"/>
      <c r="NE80" s="23"/>
      <c r="NF80" s="23"/>
      <c r="NG80" s="23"/>
      <c r="NH80" s="23"/>
      <c r="NI80" s="23"/>
      <c r="NJ80" s="23"/>
      <c r="NK80" s="23"/>
      <c r="NL80" s="23"/>
      <c r="NM80" s="23"/>
      <c r="NN80" s="23"/>
    </row>
    <row r="81" spans="5:378" ht="15" customHeight="1"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  <c r="IY81" s="23"/>
      <c r="IZ81" s="23"/>
      <c r="JA81" s="23"/>
      <c r="JB81" s="23"/>
      <c r="JC81" s="23"/>
      <c r="JD81" s="23"/>
      <c r="JE81" s="23"/>
      <c r="JF81" s="23"/>
      <c r="JG81" s="23"/>
      <c r="JH81" s="23"/>
      <c r="JI81" s="23"/>
      <c r="JJ81" s="23"/>
      <c r="JK81" s="23"/>
      <c r="JL81" s="23"/>
      <c r="JM81" s="23"/>
      <c r="JN81" s="23"/>
      <c r="JO81" s="23"/>
      <c r="JP81" s="23"/>
      <c r="JQ81" s="23"/>
      <c r="JR81" s="23"/>
      <c r="JS81" s="23"/>
      <c r="JT81" s="23"/>
      <c r="JU81" s="23"/>
      <c r="JV81" s="23"/>
      <c r="JW81" s="23"/>
      <c r="JX81" s="23"/>
      <c r="JY81" s="23"/>
      <c r="JZ81" s="23"/>
      <c r="KA81" s="23"/>
      <c r="KB81" s="23"/>
      <c r="KC81" s="23"/>
      <c r="KD81" s="23"/>
      <c r="KE81" s="23"/>
      <c r="KF81" s="23"/>
      <c r="KG81" s="23"/>
      <c r="KH81" s="23"/>
      <c r="KI81" s="23"/>
      <c r="KJ81" s="23"/>
      <c r="KK81" s="23"/>
      <c r="KL81" s="23"/>
      <c r="KM81" s="23"/>
      <c r="KN81" s="23"/>
      <c r="KO81" s="23"/>
      <c r="KP81" s="23"/>
      <c r="KQ81" s="23"/>
      <c r="KR81" s="23"/>
      <c r="KS81" s="23"/>
      <c r="KT81" s="23"/>
      <c r="KU81" s="23"/>
      <c r="KV81" s="23"/>
      <c r="KW81" s="23"/>
      <c r="KX81" s="23"/>
      <c r="KY81" s="23"/>
      <c r="KZ81" s="23"/>
      <c r="LA81" s="23"/>
      <c r="LB81" s="23"/>
      <c r="LC81" s="23"/>
      <c r="LD81" s="23"/>
      <c r="LE81" s="23"/>
      <c r="LF81" s="23"/>
      <c r="LG81" s="23"/>
      <c r="LH81" s="23"/>
      <c r="LI81" s="23"/>
      <c r="LJ81" s="23"/>
      <c r="LK81" s="23"/>
      <c r="LL81" s="23"/>
      <c r="LM81" s="23"/>
      <c r="LN81" s="23"/>
      <c r="LO81" s="23"/>
      <c r="LP81" s="23"/>
      <c r="LQ81" s="23"/>
      <c r="LR81" s="23"/>
      <c r="LS81" s="23"/>
      <c r="LT81" s="23"/>
      <c r="LU81" s="23"/>
      <c r="LV81" s="23"/>
      <c r="LW81" s="23"/>
      <c r="LX81" s="23"/>
      <c r="LY81" s="23"/>
      <c r="LZ81" s="23"/>
      <c r="MA81" s="23"/>
      <c r="MB81" s="23"/>
      <c r="MC81" s="23"/>
      <c r="MD81" s="23"/>
      <c r="ME81" s="23"/>
      <c r="MF81" s="23"/>
      <c r="MG81" s="23"/>
      <c r="MH81" s="23"/>
      <c r="MI81" s="23"/>
      <c r="MJ81" s="23"/>
      <c r="MK81" s="23"/>
      <c r="ML81" s="23"/>
      <c r="MM81" s="23"/>
      <c r="MN81" s="23"/>
      <c r="MO81" s="23"/>
      <c r="MP81" s="23"/>
      <c r="MQ81" s="23"/>
      <c r="MR81" s="23"/>
      <c r="MS81" s="23"/>
      <c r="MT81" s="23"/>
      <c r="MU81" s="23"/>
      <c r="MV81" s="23"/>
      <c r="MW81" s="23"/>
      <c r="MX81" s="23"/>
      <c r="MY81" s="23"/>
      <c r="MZ81" s="23"/>
      <c r="NA81" s="23"/>
      <c r="NB81" s="23"/>
      <c r="NC81" s="23"/>
      <c r="ND81" s="23"/>
      <c r="NE81" s="23"/>
      <c r="NF81" s="23"/>
      <c r="NG81" s="23"/>
      <c r="NH81" s="23"/>
      <c r="NI81" s="23"/>
      <c r="NJ81" s="23"/>
      <c r="NK81" s="23"/>
      <c r="NL81" s="23"/>
      <c r="NM81" s="23"/>
      <c r="NN81" s="23"/>
    </row>
    <row r="82" spans="5:378" ht="15" customHeight="1"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  <c r="IX82" s="23"/>
      <c r="IY82" s="23"/>
      <c r="IZ82" s="23"/>
      <c r="JA82" s="23"/>
      <c r="JB82" s="23"/>
      <c r="JC82" s="23"/>
      <c r="JD82" s="23"/>
      <c r="JE82" s="23"/>
      <c r="JF82" s="23"/>
      <c r="JG82" s="23"/>
      <c r="JH82" s="23"/>
      <c r="JI82" s="23"/>
      <c r="JJ82" s="23"/>
      <c r="JK82" s="23"/>
      <c r="JL82" s="23"/>
      <c r="JM82" s="23"/>
      <c r="JN82" s="23"/>
      <c r="JO82" s="23"/>
      <c r="JP82" s="23"/>
      <c r="JQ82" s="23"/>
      <c r="JR82" s="23"/>
      <c r="JS82" s="23"/>
      <c r="JT82" s="23"/>
      <c r="JU82" s="23"/>
      <c r="JV82" s="23"/>
      <c r="JW82" s="23"/>
      <c r="JX82" s="23"/>
      <c r="JY82" s="23"/>
      <c r="JZ82" s="23"/>
      <c r="KA82" s="23"/>
      <c r="KB82" s="23"/>
      <c r="KC82" s="23"/>
      <c r="KD82" s="23"/>
      <c r="KE82" s="23"/>
      <c r="KF82" s="23"/>
      <c r="KG82" s="23"/>
      <c r="KH82" s="23"/>
      <c r="KI82" s="23"/>
      <c r="KJ82" s="23"/>
      <c r="KK82" s="23"/>
      <c r="KL82" s="23"/>
      <c r="KM82" s="23"/>
      <c r="KN82" s="23"/>
      <c r="KO82" s="23"/>
      <c r="KP82" s="23"/>
      <c r="KQ82" s="23"/>
      <c r="KR82" s="23"/>
      <c r="KS82" s="23"/>
      <c r="KT82" s="23"/>
      <c r="KU82" s="23"/>
      <c r="KV82" s="23"/>
      <c r="KW82" s="23"/>
      <c r="KX82" s="23"/>
      <c r="KY82" s="23"/>
      <c r="KZ82" s="23"/>
      <c r="LA82" s="23"/>
      <c r="LB82" s="23"/>
      <c r="LC82" s="23"/>
      <c r="LD82" s="23"/>
      <c r="LE82" s="23"/>
      <c r="LF82" s="23"/>
      <c r="LG82" s="23"/>
      <c r="LH82" s="23"/>
      <c r="LI82" s="23"/>
      <c r="LJ82" s="23"/>
      <c r="LK82" s="23"/>
      <c r="LL82" s="23"/>
      <c r="LM82" s="23"/>
      <c r="LN82" s="23"/>
      <c r="LO82" s="23"/>
      <c r="LP82" s="23"/>
      <c r="LQ82" s="23"/>
      <c r="LR82" s="23"/>
      <c r="LS82" s="23"/>
      <c r="LT82" s="23"/>
      <c r="LU82" s="23"/>
      <c r="LV82" s="23"/>
      <c r="LW82" s="23"/>
      <c r="LX82" s="23"/>
      <c r="LY82" s="23"/>
      <c r="LZ82" s="23"/>
      <c r="MA82" s="23"/>
      <c r="MB82" s="23"/>
      <c r="MC82" s="23"/>
      <c r="MD82" s="23"/>
      <c r="ME82" s="23"/>
      <c r="MF82" s="23"/>
      <c r="MG82" s="23"/>
      <c r="MH82" s="23"/>
      <c r="MI82" s="23"/>
      <c r="MJ82" s="23"/>
      <c r="MK82" s="23"/>
      <c r="ML82" s="23"/>
      <c r="MM82" s="23"/>
      <c r="MN82" s="23"/>
      <c r="MO82" s="23"/>
      <c r="MP82" s="23"/>
      <c r="MQ82" s="23"/>
      <c r="MR82" s="23"/>
      <c r="MS82" s="23"/>
      <c r="MT82" s="23"/>
      <c r="MU82" s="23"/>
      <c r="MV82" s="23"/>
      <c r="MW82" s="23"/>
      <c r="MX82" s="23"/>
      <c r="MY82" s="23"/>
      <c r="MZ82" s="23"/>
      <c r="NA82" s="23"/>
      <c r="NB82" s="23"/>
      <c r="NC82" s="23"/>
      <c r="ND82" s="23"/>
      <c r="NE82" s="23"/>
      <c r="NF82" s="23"/>
      <c r="NG82" s="23"/>
      <c r="NH82" s="23"/>
      <c r="NI82" s="23"/>
      <c r="NJ82" s="23"/>
      <c r="NK82" s="23"/>
      <c r="NL82" s="23"/>
      <c r="NM82" s="23"/>
      <c r="NN82" s="23"/>
    </row>
    <row r="83" spans="5:378" ht="15" customHeight="1"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  <c r="IZ83" s="23"/>
      <c r="JA83" s="23"/>
      <c r="JB83" s="23"/>
      <c r="JC83" s="23"/>
      <c r="JD83" s="23"/>
      <c r="JE83" s="23"/>
      <c r="JF83" s="23"/>
      <c r="JG83" s="23"/>
      <c r="JH83" s="23"/>
      <c r="JI83" s="23"/>
      <c r="JJ83" s="23"/>
      <c r="JK83" s="23"/>
      <c r="JL83" s="23"/>
      <c r="JM83" s="23"/>
      <c r="JN83" s="23"/>
      <c r="JO83" s="23"/>
      <c r="JP83" s="23"/>
      <c r="JQ83" s="23"/>
      <c r="JR83" s="23"/>
      <c r="JS83" s="23"/>
      <c r="JT83" s="23"/>
      <c r="JU83" s="23"/>
      <c r="JV83" s="23"/>
      <c r="JW83" s="23"/>
      <c r="JX83" s="23"/>
      <c r="JY83" s="23"/>
      <c r="JZ83" s="23"/>
      <c r="KA83" s="23"/>
      <c r="KB83" s="23"/>
      <c r="KC83" s="23"/>
      <c r="KD83" s="23"/>
      <c r="KE83" s="23"/>
      <c r="KF83" s="23"/>
      <c r="KG83" s="23"/>
      <c r="KH83" s="23"/>
      <c r="KI83" s="23"/>
      <c r="KJ83" s="23"/>
      <c r="KK83" s="23"/>
      <c r="KL83" s="23"/>
      <c r="KM83" s="23"/>
      <c r="KN83" s="23"/>
      <c r="KO83" s="23"/>
      <c r="KP83" s="23"/>
      <c r="KQ83" s="23"/>
      <c r="KR83" s="23"/>
      <c r="KS83" s="23"/>
      <c r="KT83" s="23"/>
      <c r="KU83" s="23"/>
      <c r="KV83" s="23"/>
      <c r="KW83" s="23"/>
      <c r="KX83" s="23"/>
      <c r="KY83" s="23"/>
      <c r="KZ83" s="23"/>
      <c r="LA83" s="23"/>
      <c r="LB83" s="23"/>
      <c r="LC83" s="23"/>
      <c r="LD83" s="23"/>
      <c r="LE83" s="23"/>
      <c r="LF83" s="23"/>
      <c r="LG83" s="23"/>
      <c r="LH83" s="23"/>
      <c r="LI83" s="23"/>
      <c r="LJ83" s="23"/>
      <c r="LK83" s="23"/>
      <c r="LL83" s="23"/>
      <c r="LM83" s="23"/>
      <c r="LN83" s="23"/>
      <c r="LO83" s="23"/>
      <c r="LP83" s="23"/>
      <c r="LQ83" s="23"/>
      <c r="LR83" s="23"/>
      <c r="LS83" s="23"/>
      <c r="LT83" s="23"/>
      <c r="LU83" s="23"/>
      <c r="LV83" s="23"/>
      <c r="LW83" s="23"/>
      <c r="LX83" s="23"/>
      <c r="LY83" s="23"/>
      <c r="LZ83" s="23"/>
      <c r="MA83" s="23"/>
      <c r="MB83" s="23"/>
      <c r="MC83" s="23"/>
      <c r="MD83" s="23"/>
      <c r="ME83" s="23"/>
      <c r="MF83" s="23"/>
      <c r="MG83" s="23"/>
      <c r="MH83" s="23"/>
      <c r="MI83" s="23"/>
      <c r="MJ83" s="23"/>
      <c r="MK83" s="23"/>
      <c r="ML83" s="23"/>
      <c r="MM83" s="23"/>
      <c r="MN83" s="23"/>
      <c r="MO83" s="23"/>
      <c r="MP83" s="23"/>
      <c r="MQ83" s="23"/>
      <c r="MR83" s="23"/>
      <c r="MS83" s="23"/>
      <c r="MT83" s="23"/>
      <c r="MU83" s="23"/>
      <c r="MV83" s="23"/>
      <c r="MW83" s="23"/>
      <c r="MX83" s="23"/>
      <c r="MY83" s="23"/>
      <c r="MZ83" s="23"/>
      <c r="NA83" s="23"/>
      <c r="NB83" s="23"/>
      <c r="NC83" s="23"/>
      <c r="ND83" s="23"/>
      <c r="NE83" s="23"/>
      <c r="NF83" s="23"/>
      <c r="NG83" s="23"/>
      <c r="NH83" s="23"/>
      <c r="NI83" s="23"/>
      <c r="NJ83" s="23"/>
      <c r="NK83" s="23"/>
      <c r="NL83" s="23"/>
      <c r="NM83" s="23"/>
      <c r="NN83" s="23"/>
    </row>
    <row r="84" spans="5:378" ht="15" customHeight="1"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  <c r="IZ84" s="23"/>
      <c r="JA84" s="23"/>
      <c r="JB84" s="23"/>
      <c r="JC84" s="23"/>
      <c r="JD84" s="23"/>
      <c r="JE84" s="23"/>
      <c r="JF84" s="23"/>
      <c r="JG84" s="23"/>
      <c r="JH84" s="23"/>
      <c r="JI84" s="23"/>
      <c r="JJ84" s="23"/>
      <c r="JK84" s="23"/>
      <c r="JL84" s="23"/>
      <c r="JM84" s="23"/>
      <c r="JN84" s="23"/>
      <c r="JO84" s="23"/>
      <c r="JP84" s="23"/>
      <c r="JQ84" s="23"/>
      <c r="JR84" s="23"/>
      <c r="JS84" s="23"/>
      <c r="JT84" s="23"/>
      <c r="JU84" s="23"/>
      <c r="JV84" s="23"/>
      <c r="JW84" s="23"/>
      <c r="JX84" s="23"/>
      <c r="JY84" s="23"/>
      <c r="JZ84" s="23"/>
      <c r="KA84" s="23"/>
      <c r="KB84" s="23"/>
      <c r="KC84" s="23"/>
      <c r="KD84" s="23"/>
      <c r="KE84" s="23"/>
      <c r="KF84" s="23"/>
      <c r="KG84" s="23"/>
      <c r="KH84" s="23"/>
      <c r="KI84" s="23"/>
      <c r="KJ84" s="23"/>
      <c r="KK84" s="23"/>
      <c r="KL84" s="23"/>
      <c r="KM84" s="23"/>
      <c r="KN84" s="23"/>
      <c r="KO84" s="23"/>
      <c r="KP84" s="23"/>
      <c r="KQ84" s="23"/>
      <c r="KR84" s="23"/>
      <c r="KS84" s="23"/>
      <c r="KT84" s="23"/>
      <c r="KU84" s="23"/>
      <c r="KV84" s="23"/>
      <c r="KW84" s="23"/>
      <c r="KX84" s="23"/>
      <c r="KY84" s="23"/>
      <c r="KZ84" s="23"/>
      <c r="LA84" s="23"/>
      <c r="LB84" s="23"/>
      <c r="LC84" s="23"/>
      <c r="LD84" s="23"/>
      <c r="LE84" s="23"/>
      <c r="LF84" s="23"/>
      <c r="LG84" s="23"/>
      <c r="LH84" s="23"/>
      <c r="LI84" s="23"/>
      <c r="LJ84" s="23"/>
      <c r="LK84" s="23"/>
      <c r="LL84" s="23"/>
      <c r="LM84" s="23"/>
      <c r="LN84" s="23"/>
      <c r="LO84" s="23"/>
      <c r="LP84" s="23"/>
      <c r="LQ84" s="23"/>
      <c r="LR84" s="23"/>
      <c r="LS84" s="23"/>
      <c r="LT84" s="23"/>
      <c r="LU84" s="23"/>
      <c r="LV84" s="23"/>
      <c r="LW84" s="23"/>
      <c r="LX84" s="23"/>
      <c r="LY84" s="23"/>
      <c r="LZ84" s="23"/>
      <c r="MA84" s="23"/>
      <c r="MB84" s="23"/>
      <c r="MC84" s="23"/>
      <c r="MD84" s="23"/>
      <c r="ME84" s="23"/>
      <c r="MF84" s="23"/>
      <c r="MG84" s="23"/>
      <c r="MH84" s="23"/>
      <c r="MI84" s="23"/>
      <c r="MJ84" s="23"/>
      <c r="MK84" s="23"/>
      <c r="ML84" s="23"/>
      <c r="MM84" s="23"/>
      <c r="MN84" s="23"/>
      <c r="MO84" s="23"/>
      <c r="MP84" s="23"/>
      <c r="MQ84" s="23"/>
      <c r="MR84" s="23"/>
      <c r="MS84" s="23"/>
      <c r="MT84" s="23"/>
      <c r="MU84" s="23"/>
      <c r="MV84" s="23"/>
      <c r="MW84" s="23"/>
      <c r="MX84" s="23"/>
      <c r="MY84" s="23"/>
      <c r="MZ84" s="23"/>
      <c r="NA84" s="23"/>
      <c r="NB84" s="23"/>
      <c r="NC84" s="23"/>
      <c r="ND84" s="23"/>
      <c r="NE84" s="23"/>
      <c r="NF84" s="23"/>
      <c r="NG84" s="23"/>
      <c r="NH84" s="23"/>
      <c r="NI84" s="23"/>
      <c r="NJ84" s="23"/>
      <c r="NK84" s="23"/>
      <c r="NL84" s="23"/>
      <c r="NM84" s="23"/>
      <c r="NN84" s="23"/>
    </row>
    <row r="85" spans="5:378" ht="15" customHeight="1"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  <c r="IZ85" s="23"/>
      <c r="JA85" s="23"/>
      <c r="JB85" s="23"/>
      <c r="JC85" s="23"/>
      <c r="JD85" s="23"/>
      <c r="JE85" s="23"/>
      <c r="JF85" s="23"/>
      <c r="JG85" s="23"/>
      <c r="JH85" s="23"/>
      <c r="JI85" s="23"/>
      <c r="JJ85" s="23"/>
      <c r="JK85" s="23"/>
      <c r="JL85" s="23"/>
      <c r="JM85" s="23"/>
      <c r="JN85" s="23"/>
      <c r="JO85" s="23"/>
      <c r="JP85" s="23"/>
      <c r="JQ85" s="23"/>
      <c r="JR85" s="23"/>
      <c r="JS85" s="23"/>
      <c r="JT85" s="23"/>
      <c r="JU85" s="23"/>
      <c r="JV85" s="23"/>
      <c r="JW85" s="23"/>
      <c r="JX85" s="23"/>
      <c r="JY85" s="23"/>
      <c r="JZ85" s="23"/>
      <c r="KA85" s="23"/>
      <c r="KB85" s="23"/>
      <c r="KC85" s="23"/>
      <c r="KD85" s="23"/>
      <c r="KE85" s="23"/>
      <c r="KF85" s="23"/>
      <c r="KG85" s="23"/>
      <c r="KH85" s="23"/>
      <c r="KI85" s="23"/>
      <c r="KJ85" s="23"/>
      <c r="KK85" s="23"/>
      <c r="KL85" s="23"/>
      <c r="KM85" s="23"/>
      <c r="KN85" s="23"/>
      <c r="KO85" s="23"/>
      <c r="KP85" s="23"/>
      <c r="KQ85" s="23"/>
      <c r="KR85" s="23"/>
      <c r="KS85" s="23"/>
      <c r="KT85" s="23"/>
      <c r="KU85" s="23"/>
      <c r="KV85" s="23"/>
      <c r="KW85" s="23"/>
      <c r="KX85" s="23"/>
      <c r="KY85" s="23"/>
      <c r="KZ85" s="23"/>
      <c r="LA85" s="23"/>
      <c r="LB85" s="23"/>
      <c r="LC85" s="23"/>
      <c r="LD85" s="23"/>
      <c r="LE85" s="23"/>
      <c r="LF85" s="23"/>
      <c r="LG85" s="23"/>
      <c r="LH85" s="23"/>
      <c r="LI85" s="23"/>
      <c r="LJ85" s="23"/>
      <c r="LK85" s="23"/>
      <c r="LL85" s="23"/>
      <c r="LM85" s="23"/>
      <c r="LN85" s="23"/>
      <c r="LO85" s="23"/>
      <c r="LP85" s="23"/>
      <c r="LQ85" s="23"/>
      <c r="LR85" s="23"/>
      <c r="LS85" s="23"/>
      <c r="LT85" s="23"/>
      <c r="LU85" s="23"/>
      <c r="LV85" s="23"/>
      <c r="LW85" s="23"/>
      <c r="LX85" s="23"/>
      <c r="LY85" s="23"/>
      <c r="LZ85" s="23"/>
      <c r="MA85" s="23"/>
      <c r="MB85" s="23"/>
      <c r="MC85" s="23"/>
      <c r="MD85" s="23"/>
      <c r="ME85" s="23"/>
      <c r="MF85" s="23"/>
      <c r="MG85" s="23"/>
      <c r="MH85" s="23"/>
      <c r="MI85" s="23"/>
      <c r="MJ85" s="23"/>
      <c r="MK85" s="23"/>
      <c r="ML85" s="23"/>
      <c r="MM85" s="23"/>
      <c r="MN85" s="23"/>
      <c r="MO85" s="23"/>
      <c r="MP85" s="23"/>
      <c r="MQ85" s="23"/>
      <c r="MR85" s="23"/>
      <c r="MS85" s="23"/>
      <c r="MT85" s="23"/>
      <c r="MU85" s="23"/>
      <c r="MV85" s="23"/>
      <c r="MW85" s="23"/>
      <c r="MX85" s="23"/>
      <c r="MY85" s="23"/>
      <c r="MZ85" s="23"/>
      <c r="NA85" s="23"/>
      <c r="NB85" s="23"/>
      <c r="NC85" s="23"/>
      <c r="ND85" s="23"/>
      <c r="NE85" s="23"/>
      <c r="NF85" s="23"/>
      <c r="NG85" s="23"/>
      <c r="NH85" s="23"/>
      <c r="NI85" s="23"/>
      <c r="NJ85" s="23"/>
      <c r="NK85" s="23"/>
      <c r="NL85" s="23"/>
      <c r="NM85" s="23"/>
      <c r="NN85" s="23"/>
    </row>
    <row r="86" spans="5:378" ht="15" customHeight="1"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  <c r="IZ86" s="23"/>
      <c r="JA86" s="23"/>
      <c r="JB86" s="23"/>
      <c r="JC86" s="23"/>
      <c r="JD86" s="23"/>
      <c r="JE86" s="23"/>
      <c r="JF86" s="23"/>
      <c r="JG86" s="23"/>
      <c r="JH86" s="23"/>
      <c r="JI86" s="23"/>
      <c r="JJ86" s="23"/>
      <c r="JK86" s="23"/>
      <c r="JL86" s="23"/>
      <c r="JM86" s="23"/>
      <c r="JN86" s="23"/>
      <c r="JO86" s="23"/>
      <c r="JP86" s="23"/>
      <c r="JQ86" s="23"/>
      <c r="JR86" s="23"/>
      <c r="JS86" s="23"/>
      <c r="JT86" s="23"/>
      <c r="JU86" s="23"/>
      <c r="JV86" s="23"/>
      <c r="JW86" s="23"/>
      <c r="JX86" s="23"/>
      <c r="JY86" s="23"/>
      <c r="JZ86" s="23"/>
      <c r="KA86" s="23"/>
      <c r="KB86" s="23"/>
      <c r="KC86" s="23"/>
      <c r="KD86" s="23"/>
      <c r="KE86" s="23"/>
      <c r="KF86" s="23"/>
      <c r="KG86" s="23"/>
      <c r="KH86" s="23"/>
      <c r="KI86" s="23"/>
      <c r="KJ86" s="23"/>
      <c r="KK86" s="23"/>
      <c r="KL86" s="23"/>
      <c r="KM86" s="23"/>
      <c r="KN86" s="23"/>
      <c r="KO86" s="23"/>
      <c r="KP86" s="23"/>
      <c r="KQ86" s="23"/>
      <c r="KR86" s="23"/>
      <c r="KS86" s="23"/>
      <c r="KT86" s="23"/>
      <c r="KU86" s="23"/>
      <c r="KV86" s="23"/>
      <c r="KW86" s="23"/>
      <c r="KX86" s="23"/>
      <c r="KY86" s="23"/>
      <c r="KZ86" s="23"/>
      <c r="LA86" s="23"/>
      <c r="LB86" s="23"/>
      <c r="LC86" s="23"/>
      <c r="LD86" s="23"/>
      <c r="LE86" s="23"/>
      <c r="LF86" s="23"/>
      <c r="LG86" s="23"/>
      <c r="LH86" s="23"/>
      <c r="LI86" s="23"/>
      <c r="LJ86" s="23"/>
      <c r="LK86" s="23"/>
      <c r="LL86" s="23"/>
      <c r="LM86" s="23"/>
      <c r="LN86" s="23"/>
      <c r="LO86" s="23"/>
      <c r="LP86" s="23"/>
      <c r="LQ86" s="23"/>
      <c r="LR86" s="23"/>
      <c r="LS86" s="23"/>
      <c r="LT86" s="23"/>
      <c r="LU86" s="23"/>
      <c r="LV86" s="23"/>
      <c r="LW86" s="23"/>
      <c r="LX86" s="23"/>
      <c r="LY86" s="23"/>
      <c r="LZ86" s="23"/>
      <c r="MA86" s="23"/>
      <c r="MB86" s="23"/>
      <c r="MC86" s="23"/>
      <c r="MD86" s="23"/>
      <c r="ME86" s="23"/>
      <c r="MF86" s="23"/>
      <c r="MG86" s="23"/>
      <c r="MH86" s="23"/>
      <c r="MI86" s="23"/>
      <c r="MJ86" s="23"/>
      <c r="MK86" s="23"/>
      <c r="ML86" s="23"/>
      <c r="MM86" s="23"/>
      <c r="MN86" s="23"/>
      <c r="MO86" s="23"/>
      <c r="MP86" s="23"/>
      <c r="MQ86" s="23"/>
      <c r="MR86" s="23"/>
      <c r="MS86" s="23"/>
      <c r="MT86" s="23"/>
      <c r="MU86" s="23"/>
      <c r="MV86" s="23"/>
      <c r="MW86" s="23"/>
      <c r="MX86" s="23"/>
      <c r="MY86" s="23"/>
      <c r="MZ86" s="23"/>
      <c r="NA86" s="23"/>
      <c r="NB86" s="23"/>
      <c r="NC86" s="23"/>
      <c r="ND86" s="23"/>
      <c r="NE86" s="23"/>
      <c r="NF86" s="23"/>
      <c r="NG86" s="23"/>
      <c r="NH86" s="23"/>
      <c r="NI86" s="23"/>
      <c r="NJ86" s="23"/>
      <c r="NK86" s="23"/>
      <c r="NL86" s="23"/>
      <c r="NM86" s="23"/>
      <c r="NN86" s="23"/>
    </row>
    <row r="87" spans="5:378" ht="15" customHeight="1"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  <c r="IY87" s="23"/>
      <c r="IZ87" s="23"/>
      <c r="JA87" s="23"/>
      <c r="JB87" s="23"/>
      <c r="JC87" s="23"/>
      <c r="JD87" s="23"/>
      <c r="JE87" s="23"/>
      <c r="JF87" s="23"/>
      <c r="JG87" s="23"/>
      <c r="JH87" s="23"/>
      <c r="JI87" s="23"/>
      <c r="JJ87" s="23"/>
      <c r="JK87" s="23"/>
      <c r="JL87" s="23"/>
      <c r="JM87" s="23"/>
      <c r="JN87" s="23"/>
      <c r="JO87" s="23"/>
      <c r="JP87" s="23"/>
      <c r="JQ87" s="23"/>
      <c r="JR87" s="23"/>
      <c r="JS87" s="23"/>
      <c r="JT87" s="23"/>
      <c r="JU87" s="23"/>
      <c r="JV87" s="23"/>
      <c r="JW87" s="23"/>
      <c r="JX87" s="23"/>
      <c r="JY87" s="23"/>
      <c r="JZ87" s="23"/>
      <c r="KA87" s="23"/>
      <c r="KB87" s="23"/>
      <c r="KC87" s="23"/>
      <c r="KD87" s="23"/>
      <c r="KE87" s="23"/>
      <c r="KF87" s="23"/>
      <c r="KG87" s="23"/>
      <c r="KH87" s="23"/>
      <c r="KI87" s="23"/>
      <c r="KJ87" s="23"/>
      <c r="KK87" s="23"/>
      <c r="KL87" s="23"/>
      <c r="KM87" s="23"/>
      <c r="KN87" s="23"/>
      <c r="KO87" s="23"/>
      <c r="KP87" s="23"/>
      <c r="KQ87" s="23"/>
      <c r="KR87" s="23"/>
      <c r="KS87" s="23"/>
      <c r="KT87" s="23"/>
      <c r="KU87" s="23"/>
      <c r="KV87" s="23"/>
      <c r="KW87" s="23"/>
      <c r="KX87" s="23"/>
      <c r="KY87" s="23"/>
      <c r="KZ87" s="23"/>
      <c r="LA87" s="23"/>
      <c r="LB87" s="23"/>
      <c r="LC87" s="23"/>
      <c r="LD87" s="23"/>
      <c r="LE87" s="23"/>
      <c r="LF87" s="23"/>
      <c r="LG87" s="23"/>
      <c r="LH87" s="23"/>
      <c r="LI87" s="23"/>
      <c r="LJ87" s="23"/>
      <c r="LK87" s="23"/>
      <c r="LL87" s="23"/>
      <c r="LM87" s="23"/>
      <c r="LN87" s="23"/>
      <c r="LO87" s="23"/>
      <c r="LP87" s="23"/>
      <c r="LQ87" s="23"/>
      <c r="LR87" s="23"/>
      <c r="LS87" s="23"/>
      <c r="LT87" s="23"/>
      <c r="LU87" s="23"/>
      <c r="LV87" s="23"/>
      <c r="LW87" s="23"/>
      <c r="LX87" s="23"/>
      <c r="LY87" s="23"/>
      <c r="LZ87" s="23"/>
      <c r="MA87" s="23"/>
      <c r="MB87" s="23"/>
      <c r="MC87" s="23"/>
      <c r="MD87" s="23"/>
      <c r="ME87" s="23"/>
      <c r="MF87" s="23"/>
      <c r="MG87" s="23"/>
      <c r="MH87" s="23"/>
      <c r="MI87" s="23"/>
      <c r="MJ87" s="23"/>
      <c r="MK87" s="23"/>
      <c r="ML87" s="23"/>
      <c r="MM87" s="23"/>
      <c r="MN87" s="23"/>
      <c r="MO87" s="23"/>
      <c r="MP87" s="23"/>
      <c r="MQ87" s="23"/>
      <c r="MR87" s="23"/>
      <c r="MS87" s="23"/>
      <c r="MT87" s="23"/>
      <c r="MU87" s="23"/>
      <c r="MV87" s="23"/>
      <c r="MW87" s="23"/>
      <c r="MX87" s="23"/>
      <c r="MY87" s="23"/>
      <c r="MZ87" s="23"/>
      <c r="NA87" s="23"/>
      <c r="NB87" s="23"/>
      <c r="NC87" s="23"/>
      <c r="ND87" s="23"/>
      <c r="NE87" s="23"/>
      <c r="NF87" s="23"/>
      <c r="NG87" s="23"/>
      <c r="NH87" s="23"/>
      <c r="NI87" s="23"/>
      <c r="NJ87" s="23"/>
      <c r="NK87" s="23"/>
      <c r="NL87" s="23"/>
      <c r="NM87" s="23"/>
      <c r="NN87" s="23"/>
    </row>
    <row r="88" spans="5:378" ht="15" customHeight="1"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  <c r="IZ88" s="23"/>
      <c r="JA88" s="23"/>
      <c r="JB88" s="23"/>
      <c r="JC88" s="23"/>
      <c r="JD88" s="23"/>
      <c r="JE88" s="23"/>
      <c r="JF88" s="23"/>
      <c r="JG88" s="23"/>
      <c r="JH88" s="23"/>
      <c r="JI88" s="23"/>
      <c r="JJ88" s="23"/>
      <c r="JK88" s="23"/>
      <c r="JL88" s="23"/>
      <c r="JM88" s="23"/>
      <c r="JN88" s="23"/>
      <c r="JO88" s="23"/>
      <c r="JP88" s="23"/>
      <c r="JQ88" s="23"/>
      <c r="JR88" s="23"/>
      <c r="JS88" s="23"/>
      <c r="JT88" s="23"/>
      <c r="JU88" s="23"/>
      <c r="JV88" s="23"/>
      <c r="JW88" s="23"/>
      <c r="JX88" s="23"/>
      <c r="JY88" s="23"/>
      <c r="JZ88" s="23"/>
      <c r="KA88" s="23"/>
      <c r="KB88" s="23"/>
      <c r="KC88" s="23"/>
      <c r="KD88" s="23"/>
      <c r="KE88" s="23"/>
      <c r="KF88" s="23"/>
      <c r="KG88" s="23"/>
      <c r="KH88" s="23"/>
      <c r="KI88" s="23"/>
      <c r="KJ88" s="23"/>
      <c r="KK88" s="23"/>
      <c r="KL88" s="23"/>
      <c r="KM88" s="23"/>
      <c r="KN88" s="23"/>
      <c r="KO88" s="23"/>
      <c r="KP88" s="23"/>
      <c r="KQ88" s="23"/>
      <c r="KR88" s="23"/>
      <c r="KS88" s="23"/>
      <c r="KT88" s="23"/>
      <c r="KU88" s="23"/>
      <c r="KV88" s="23"/>
      <c r="KW88" s="23"/>
      <c r="KX88" s="23"/>
      <c r="KY88" s="23"/>
      <c r="KZ88" s="23"/>
      <c r="LA88" s="23"/>
      <c r="LB88" s="23"/>
      <c r="LC88" s="23"/>
      <c r="LD88" s="23"/>
      <c r="LE88" s="23"/>
      <c r="LF88" s="23"/>
      <c r="LG88" s="23"/>
      <c r="LH88" s="23"/>
      <c r="LI88" s="23"/>
      <c r="LJ88" s="23"/>
      <c r="LK88" s="23"/>
      <c r="LL88" s="23"/>
      <c r="LM88" s="23"/>
      <c r="LN88" s="23"/>
      <c r="LO88" s="23"/>
      <c r="LP88" s="23"/>
      <c r="LQ88" s="23"/>
      <c r="LR88" s="23"/>
      <c r="LS88" s="23"/>
      <c r="LT88" s="23"/>
      <c r="LU88" s="23"/>
      <c r="LV88" s="23"/>
      <c r="LW88" s="23"/>
      <c r="LX88" s="23"/>
      <c r="LY88" s="23"/>
      <c r="LZ88" s="23"/>
      <c r="MA88" s="23"/>
      <c r="MB88" s="23"/>
      <c r="MC88" s="23"/>
      <c r="MD88" s="23"/>
      <c r="ME88" s="23"/>
      <c r="MF88" s="23"/>
      <c r="MG88" s="23"/>
      <c r="MH88" s="23"/>
      <c r="MI88" s="23"/>
      <c r="MJ88" s="23"/>
      <c r="MK88" s="23"/>
      <c r="ML88" s="23"/>
      <c r="MM88" s="23"/>
      <c r="MN88" s="23"/>
      <c r="MO88" s="23"/>
      <c r="MP88" s="23"/>
      <c r="MQ88" s="23"/>
      <c r="MR88" s="23"/>
      <c r="MS88" s="23"/>
      <c r="MT88" s="23"/>
      <c r="MU88" s="23"/>
      <c r="MV88" s="23"/>
      <c r="MW88" s="23"/>
      <c r="MX88" s="23"/>
      <c r="MY88" s="23"/>
      <c r="MZ88" s="23"/>
      <c r="NA88" s="23"/>
      <c r="NB88" s="23"/>
      <c r="NC88" s="23"/>
      <c r="ND88" s="23"/>
      <c r="NE88" s="23"/>
      <c r="NF88" s="23"/>
      <c r="NG88" s="23"/>
      <c r="NH88" s="23"/>
      <c r="NI88" s="23"/>
      <c r="NJ88" s="23"/>
      <c r="NK88" s="23"/>
      <c r="NL88" s="23"/>
      <c r="NM88" s="23"/>
      <c r="NN88" s="23"/>
    </row>
    <row r="89" spans="5:378" ht="15" customHeight="1"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  <c r="IY89" s="23"/>
      <c r="IZ89" s="23"/>
      <c r="JA89" s="23"/>
      <c r="JB89" s="23"/>
      <c r="JC89" s="23"/>
      <c r="JD89" s="23"/>
      <c r="JE89" s="23"/>
      <c r="JF89" s="23"/>
      <c r="JG89" s="23"/>
      <c r="JH89" s="23"/>
      <c r="JI89" s="23"/>
      <c r="JJ89" s="23"/>
      <c r="JK89" s="23"/>
      <c r="JL89" s="23"/>
      <c r="JM89" s="23"/>
      <c r="JN89" s="23"/>
      <c r="JO89" s="23"/>
      <c r="JP89" s="23"/>
      <c r="JQ89" s="23"/>
      <c r="JR89" s="23"/>
      <c r="JS89" s="23"/>
      <c r="JT89" s="23"/>
      <c r="JU89" s="23"/>
      <c r="JV89" s="23"/>
      <c r="JW89" s="23"/>
      <c r="JX89" s="23"/>
      <c r="JY89" s="23"/>
      <c r="JZ89" s="23"/>
      <c r="KA89" s="23"/>
      <c r="KB89" s="23"/>
      <c r="KC89" s="23"/>
      <c r="KD89" s="23"/>
      <c r="KE89" s="23"/>
      <c r="KF89" s="23"/>
      <c r="KG89" s="23"/>
      <c r="KH89" s="23"/>
      <c r="KI89" s="23"/>
      <c r="KJ89" s="23"/>
      <c r="KK89" s="23"/>
      <c r="KL89" s="23"/>
      <c r="KM89" s="23"/>
      <c r="KN89" s="23"/>
      <c r="KO89" s="23"/>
      <c r="KP89" s="23"/>
      <c r="KQ89" s="23"/>
      <c r="KR89" s="23"/>
      <c r="KS89" s="23"/>
      <c r="KT89" s="23"/>
      <c r="KU89" s="23"/>
      <c r="KV89" s="23"/>
      <c r="KW89" s="23"/>
      <c r="KX89" s="23"/>
      <c r="KY89" s="23"/>
      <c r="KZ89" s="23"/>
      <c r="LA89" s="23"/>
      <c r="LB89" s="23"/>
      <c r="LC89" s="23"/>
      <c r="LD89" s="23"/>
      <c r="LE89" s="23"/>
      <c r="LF89" s="23"/>
      <c r="LG89" s="23"/>
      <c r="LH89" s="23"/>
      <c r="LI89" s="23"/>
      <c r="LJ89" s="23"/>
      <c r="LK89" s="23"/>
      <c r="LL89" s="23"/>
      <c r="LM89" s="23"/>
      <c r="LN89" s="23"/>
      <c r="LO89" s="23"/>
      <c r="LP89" s="23"/>
      <c r="LQ89" s="23"/>
      <c r="LR89" s="23"/>
      <c r="LS89" s="23"/>
      <c r="LT89" s="23"/>
      <c r="LU89" s="23"/>
      <c r="LV89" s="23"/>
      <c r="LW89" s="23"/>
      <c r="LX89" s="23"/>
      <c r="LY89" s="23"/>
      <c r="LZ89" s="23"/>
      <c r="MA89" s="23"/>
      <c r="MB89" s="23"/>
      <c r="MC89" s="23"/>
      <c r="MD89" s="23"/>
      <c r="ME89" s="23"/>
      <c r="MF89" s="23"/>
      <c r="MG89" s="23"/>
      <c r="MH89" s="23"/>
      <c r="MI89" s="23"/>
      <c r="MJ89" s="23"/>
      <c r="MK89" s="23"/>
      <c r="ML89" s="23"/>
      <c r="MM89" s="23"/>
      <c r="MN89" s="23"/>
      <c r="MO89" s="23"/>
      <c r="MP89" s="23"/>
      <c r="MQ89" s="23"/>
      <c r="MR89" s="23"/>
      <c r="MS89" s="23"/>
      <c r="MT89" s="23"/>
      <c r="MU89" s="23"/>
      <c r="MV89" s="23"/>
      <c r="MW89" s="23"/>
      <c r="MX89" s="23"/>
      <c r="MY89" s="23"/>
      <c r="MZ89" s="23"/>
      <c r="NA89" s="23"/>
      <c r="NB89" s="23"/>
      <c r="NC89" s="23"/>
      <c r="ND89" s="23"/>
      <c r="NE89" s="23"/>
      <c r="NF89" s="23"/>
      <c r="NG89" s="23"/>
      <c r="NH89" s="23"/>
      <c r="NI89" s="23"/>
      <c r="NJ89" s="23"/>
      <c r="NK89" s="23"/>
      <c r="NL89" s="23"/>
      <c r="NM89" s="23"/>
      <c r="NN89" s="23"/>
    </row>
    <row r="90" spans="5:378" ht="15" customHeight="1"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  <c r="IY90" s="23"/>
      <c r="IZ90" s="23"/>
      <c r="JA90" s="23"/>
      <c r="JB90" s="23"/>
      <c r="JC90" s="23"/>
      <c r="JD90" s="23"/>
      <c r="JE90" s="23"/>
      <c r="JF90" s="23"/>
      <c r="JG90" s="23"/>
      <c r="JH90" s="23"/>
      <c r="JI90" s="23"/>
      <c r="JJ90" s="23"/>
      <c r="JK90" s="23"/>
      <c r="JL90" s="23"/>
      <c r="JM90" s="23"/>
      <c r="JN90" s="23"/>
      <c r="JO90" s="23"/>
      <c r="JP90" s="23"/>
      <c r="JQ90" s="23"/>
      <c r="JR90" s="23"/>
      <c r="JS90" s="23"/>
      <c r="JT90" s="23"/>
      <c r="JU90" s="23"/>
      <c r="JV90" s="23"/>
      <c r="JW90" s="23"/>
      <c r="JX90" s="23"/>
      <c r="JY90" s="23"/>
      <c r="JZ90" s="23"/>
      <c r="KA90" s="23"/>
      <c r="KB90" s="23"/>
      <c r="KC90" s="23"/>
      <c r="KD90" s="23"/>
      <c r="KE90" s="23"/>
      <c r="KF90" s="23"/>
      <c r="KG90" s="23"/>
      <c r="KH90" s="23"/>
      <c r="KI90" s="23"/>
      <c r="KJ90" s="23"/>
      <c r="KK90" s="23"/>
      <c r="KL90" s="23"/>
      <c r="KM90" s="23"/>
      <c r="KN90" s="23"/>
      <c r="KO90" s="23"/>
      <c r="KP90" s="23"/>
      <c r="KQ90" s="23"/>
      <c r="KR90" s="23"/>
      <c r="KS90" s="23"/>
      <c r="KT90" s="23"/>
      <c r="KU90" s="23"/>
      <c r="KV90" s="23"/>
      <c r="KW90" s="23"/>
      <c r="KX90" s="23"/>
      <c r="KY90" s="23"/>
      <c r="KZ90" s="23"/>
      <c r="LA90" s="23"/>
      <c r="LB90" s="23"/>
      <c r="LC90" s="23"/>
      <c r="LD90" s="23"/>
      <c r="LE90" s="23"/>
      <c r="LF90" s="23"/>
      <c r="LG90" s="23"/>
      <c r="LH90" s="23"/>
      <c r="LI90" s="23"/>
      <c r="LJ90" s="23"/>
      <c r="LK90" s="23"/>
      <c r="LL90" s="23"/>
      <c r="LM90" s="23"/>
      <c r="LN90" s="23"/>
      <c r="LO90" s="23"/>
      <c r="LP90" s="23"/>
      <c r="LQ90" s="23"/>
      <c r="LR90" s="23"/>
      <c r="LS90" s="23"/>
      <c r="LT90" s="23"/>
      <c r="LU90" s="23"/>
      <c r="LV90" s="23"/>
      <c r="LW90" s="23"/>
      <c r="LX90" s="23"/>
      <c r="LY90" s="23"/>
      <c r="LZ90" s="23"/>
      <c r="MA90" s="23"/>
      <c r="MB90" s="23"/>
      <c r="MC90" s="23"/>
      <c r="MD90" s="23"/>
      <c r="ME90" s="23"/>
      <c r="MF90" s="23"/>
      <c r="MG90" s="23"/>
      <c r="MH90" s="23"/>
      <c r="MI90" s="23"/>
      <c r="MJ90" s="23"/>
      <c r="MK90" s="23"/>
      <c r="ML90" s="23"/>
      <c r="MM90" s="23"/>
      <c r="MN90" s="23"/>
      <c r="MO90" s="23"/>
      <c r="MP90" s="23"/>
      <c r="MQ90" s="23"/>
      <c r="MR90" s="23"/>
      <c r="MS90" s="23"/>
      <c r="MT90" s="23"/>
      <c r="MU90" s="23"/>
      <c r="MV90" s="23"/>
      <c r="MW90" s="23"/>
      <c r="MX90" s="23"/>
      <c r="MY90" s="23"/>
      <c r="MZ90" s="23"/>
      <c r="NA90" s="23"/>
      <c r="NB90" s="23"/>
      <c r="NC90" s="23"/>
      <c r="ND90" s="23"/>
      <c r="NE90" s="23"/>
      <c r="NF90" s="23"/>
      <c r="NG90" s="23"/>
      <c r="NH90" s="23"/>
      <c r="NI90" s="23"/>
      <c r="NJ90" s="23"/>
      <c r="NK90" s="23"/>
      <c r="NL90" s="23"/>
      <c r="NM90" s="23"/>
      <c r="NN90" s="23"/>
    </row>
    <row r="91" spans="5:378" ht="15" customHeight="1"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  <c r="IZ91" s="23"/>
      <c r="JA91" s="23"/>
      <c r="JB91" s="23"/>
      <c r="JC91" s="23"/>
      <c r="JD91" s="23"/>
      <c r="JE91" s="23"/>
      <c r="JF91" s="23"/>
      <c r="JG91" s="23"/>
      <c r="JH91" s="23"/>
      <c r="JI91" s="23"/>
      <c r="JJ91" s="23"/>
      <c r="JK91" s="23"/>
      <c r="JL91" s="23"/>
      <c r="JM91" s="23"/>
      <c r="JN91" s="23"/>
      <c r="JO91" s="23"/>
      <c r="JP91" s="23"/>
      <c r="JQ91" s="23"/>
      <c r="JR91" s="23"/>
      <c r="JS91" s="23"/>
      <c r="JT91" s="23"/>
      <c r="JU91" s="23"/>
      <c r="JV91" s="23"/>
      <c r="JW91" s="23"/>
      <c r="JX91" s="23"/>
      <c r="JY91" s="23"/>
      <c r="JZ91" s="23"/>
      <c r="KA91" s="23"/>
      <c r="KB91" s="23"/>
      <c r="KC91" s="23"/>
      <c r="KD91" s="23"/>
      <c r="KE91" s="23"/>
      <c r="KF91" s="23"/>
      <c r="KG91" s="23"/>
      <c r="KH91" s="23"/>
      <c r="KI91" s="23"/>
      <c r="KJ91" s="23"/>
      <c r="KK91" s="23"/>
      <c r="KL91" s="23"/>
      <c r="KM91" s="23"/>
      <c r="KN91" s="23"/>
      <c r="KO91" s="23"/>
      <c r="KP91" s="23"/>
      <c r="KQ91" s="23"/>
      <c r="KR91" s="23"/>
      <c r="KS91" s="23"/>
      <c r="KT91" s="23"/>
      <c r="KU91" s="23"/>
      <c r="KV91" s="23"/>
      <c r="KW91" s="23"/>
      <c r="KX91" s="23"/>
      <c r="KY91" s="23"/>
      <c r="KZ91" s="23"/>
      <c r="LA91" s="23"/>
      <c r="LB91" s="23"/>
      <c r="LC91" s="23"/>
      <c r="LD91" s="23"/>
      <c r="LE91" s="23"/>
      <c r="LF91" s="23"/>
      <c r="LG91" s="23"/>
      <c r="LH91" s="23"/>
      <c r="LI91" s="23"/>
      <c r="LJ91" s="23"/>
      <c r="LK91" s="23"/>
      <c r="LL91" s="23"/>
      <c r="LM91" s="23"/>
      <c r="LN91" s="23"/>
      <c r="LO91" s="23"/>
      <c r="LP91" s="23"/>
      <c r="LQ91" s="23"/>
      <c r="LR91" s="23"/>
      <c r="LS91" s="23"/>
      <c r="LT91" s="23"/>
      <c r="LU91" s="23"/>
      <c r="LV91" s="23"/>
      <c r="LW91" s="23"/>
      <c r="LX91" s="23"/>
      <c r="LY91" s="23"/>
      <c r="LZ91" s="23"/>
      <c r="MA91" s="23"/>
      <c r="MB91" s="23"/>
      <c r="MC91" s="23"/>
      <c r="MD91" s="23"/>
      <c r="ME91" s="23"/>
      <c r="MF91" s="23"/>
      <c r="MG91" s="23"/>
      <c r="MH91" s="23"/>
      <c r="MI91" s="23"/>
      <c r="MJ91" s="23"/>
      <c r="MK91" s="23"/>
      <c r="ML91" s="23"/>
      <c r="MM91" s="23"/>
      <c r="MN91" s="23"/>
      <c r="MO91" s="23"/>
      <c r="MP91" s="23"/>
      <c r="MQ91" s="23"/>
      <c r="MR91" s="23"/>
      <c r="MS91" s="23"/>
      <c r="MT91" s="23"/>
      <c r="MU91" s="23"/>
      <c r="MV91" s="23"/>
      <c r="MW91" s="23"/>
      <c r="MX91" s="23"/>
      <c r="MY91" s="23"/>
      <c r="MZ91" s="23"/>
      <c r="NA91" s="23"/>
      <c r="NB91" s="23"/>
      <c r="NC91" s="23"/>
      <c r="ND91" s="23"/>
      <c r="NE91" s="23"/>
      <c r="NF91" s="23"/>
      <c r="NG91" s="23"/>
      <c r="NH91" s="23"/>
      <c r="NI91" s="23"/>
      <c r="NJ91" s="23"/>
      <c r="NK91" s="23"/>
      <c r="NL91" s="23"/>
      <c r="NM91" s="23"/>
      <c r="NN91" s="23"/>
    </row>
    <row r="92" spans="5:378" ht="15" customHeight="1"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  <c r="IZ92" s="23"/>
      <c r="JA92" s="23"/>
      <c r="JB92" s="23"/>
      <c r="JC92" s="23"/>
      <c r="JD92" s="23"/>
      <c r="JE92" s="23"/>
      <c r="JF92" s="23"/>
      <c r="JG92" s="23"/>
      <c r="JH92" s="23"/>
      <c r="JI92" s="23"/>
      <c r="JJ92" s="23"/>
      <c r="JK92" s="23"/>
      <c r="JL92" s="23"/>
      <c r="JM92" s="23"/>
      <c r="JN92" s="23"/>
      <c r="JO92" s="23"/>
      <c r="JP92" s="23"/>
      <c r="JQ92" s="23"/>
      <c r="JR92" s="23"/>
      <c r="JS92" s="23"/>
      <c r="JT92" s="23"/>
      <c r="JU92" s="23"/>
      <c r="JV92" s="23"/>
      <c r="JW92" s="23"/>
      <c r="JX92" s="23"/>
      <c r="JY92" s="23"/>
      <c r="JZ92" s="23"/>
      <c r="KA92" s="23"/>
      <c r="KB92" s="23"/>
      <c r="KC92" s="23"/>
      <c r="KD92" s="23"/>
      <c r="KE92" s="23"/>
      <c r="KF92" s="23"/>
      <c r="KG92" s="23"/>
      <c r="KH92" s="23"/>
      <c r="KI92" s="23"/>
      <c r="KJ92" s="23"/>
      <c r="KK92" s="23"/>
      <c r="KL92" s="23"/>
      <c r="KM92" s="23"/>
      <c r="KN92" s="23"/>
      <c r="KO92" s="23"/>
      <c r="KP92" s="23"/>
      <c r="KQ92" s="23"/>
      <c r="KR92" s="23"/>
      <c r="KS92" s="23"/>
      <c r="KT92" s="23"/>
      <c r="KU92" s="23"/>
      <c r="KV92" s="23"/>
      <c r="KW92" s="23"/>
      <c r="KX92" s="23"/>
      <c r="KY92" s="23"/>
      <c r="KZ92" s="23"/>
      <c r="LA92" s="23"/>
      <c r="LB92" s="23"/>
      <c r="LC92" s="23"/>
      <c r="LD92" s="23"/>
      <c r="LE92" s="23"/>
      <c r="LF92" s="23"/>
      <c r="LG92" s="23"/>
      <c r="LH92" s="23"/>
      <c r="LI92" s="23"/>
      <c r="LJ92" s="23"/>
      <c r="LK92" s="23"/>
      <c r="LL92" s="23"/>
      <c r="LM92" s="23"/>
      <c r="LN92" s="23"/>
      <c r="LO92" s="23"/>
      <c r="LP92" s="23"/>
      <c r="LQ92" s="23"/>
      <c r="LR92" s="23"/>
      <c r="LS92" s="23"/>
      <c r="LT92" s="23"/>
      <c r="LU92" s="23"/>
      <c r="LV92" s="23"/>
      <c r="LW92" s="23"/>
      <c r="LX92" s="23"/>
      <c r="LY92" s="23"/>
      <c r="LZ92" s="23"/>
      <c r="MA92" s="23"/>
      <c r="MB92" s="23"/>
      <c r="MC92" s="23"/>
      <c r="MD92" s="23"/>
      <c r="ME92" s="23"/>
      <c r="MF92" s="23"/>
      <c r="MG92" s="23"/>
      <c r="MH92" s="23"/>
      <c r="MI92" s="23"/>
      <c r="MJ92" s="23"/>
      <c r="MK92" s="23"/>
      <c r="ML92" s="23"/>
      <c r="MM92" s="23"/>
      <c r="MN92" s="23"/>
      <c r="MO92" s="23"/>
      <c r="MP92" s="23"/>
      <c r="MQ92" s="23"/>
      <c r="MR92" s="23"/>
      <c r="MS92" s="23"/>
      <c r="MT92" s="23"/>
      <c r="MU92" s="23"/>
      <c r="MV92" s="23"/>
      <c r="MW92" s="23"/>
      <c r="MX92" s="23"/>
      <c r="MY92" s="23"/>
      <c r="MZ92" s="23"/>
      <c r="NA92" s="23"/>
      <c r="NB92" s="23"/>
      <c r="NC92" s="23"/>
      <c r="ND92" s="23"/>
      <c r="NE92" s="23"/>
      <c r="NF92" s="23"/>
      <c r="NG92" s="23"/>
      <c r="NH92" s="23"/>
      <c r="NI92" s="23"/>
      <c r="NJ92" s="23"/>
      <c r="NK92" s="23"/>
      <c r="NL92" s="23"/>
      <c r="NM92" s="23"/>
      <c r="NN92" s="23"/>
    </row>
    <row r="93" spans="5:378" ht="15" customHeight="1"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  <c r="IZ93" s="23"/>
      <c r="JA93" s="23"/>
      <c r="JB93" s="23"/>
      <c r="JC93" s="23"/>
      <c r="JD93" s="23"/>
      <c r="JE93" s="23"/>
      <c r="JF93" s="23"/>
      <c r="JG93" s="23"/>
      <c r="JH93" s="23"/>
      <c r="JI93" s="23"/>
      <c r="JJ93" s="23"/>
      <c r="JK93" s="23"/>
      <c r="JL93" s="23"/>
      <c r="JM93" s="23"/>
      <c r="JN93" s="23"/>
      <c r="JO93" s="23"/>
      <c r="JP93" s="23"/>
      <c r="JQ93" s="23"/>
      <c r="JR93" s="23"/>
      <c r="JS93" s="23"/>
      <c r="JT93" s="23"/>
      <c r="JU93" s="23"/>
      <c r="JV93" s="23"/>
      <c r="JW93" s="23"/>
      <c r="JX93" s="23"/>
      <c r="JY93" s="23"/>
      <c r="JZ93" s="23"/>
      <c r="KA93" s="23"/>
      <c r="KB93" s="23"/>
      <c r="KC93" s="23"/>
      <c r="KD93" s="23"/>
      <c r="KE93" s="23"/>
      <c r="KF93" s="23"/>
      <c r="KG93" s="23"/>
      <c r="KH93" s="23"/>
      <c r="KI93" s="23"/>
      <c r="KJ93" s="23"/>
      <c r="KK93" s="23"/>
      <c r="KL93" s="23"/>
      <c r="KM93" s="23"/>
      <c r="KN93" s="23"/>
      <c r="KO93" s="23"/>
      <c r="KP93" s="23"/>
      <c r="KQ93" s="23"/>
      <c r="KR93" s="23"/>
      <c r="KS93" s="23"/>
      <c r="KT93" s="23"/>
      <c r="KU93" s="23"/>
      <c r="KV93" s="23"/>
      <c r="KW93" s="23"/>
      <c r="KX93" s="23"/>
      <c r="KY93" s="23"/>
      <c r="KZ93" s="23"/>
      <c r="LA93" s="23"/>
      <c r="LB93" s="23"/>
      <c r="LC93" s="23"/>
      <c r="LD93" s="23"/>
      <c r="LE93" s="23"/>
      <c r="LF93" s="23"/>
      <c r="LG93" s="23"/>
      <c r="LH93" s="23"/>
      <c r="LI93" s="23"/>
      <c r="LJ93" s="23"/>
      <c r="LK93" s="23"/>
      <c r="LL93" s="23"/>
      <c r="LM93" s="23"/>
      <c r="LN93" s="23"/>
      <c r="LO93" s="23"/>
      <c r="LP93" s="23"/>
      <c r="LQ93" s="23"/>
      <c r="LR93" s="23"/>
      <c r="LS93" s="23"/>
      <c r="LT93" s="23"/>
      <c r="LU93" s="23"/>
      <c r="LV93" s="23"/>
      <c r="LW93" s="23"/>
      <c r="LX93" s="23"/>
      <c r="LY93" s="23"/>
      <c r="LZ93" s="23"/>
      <c r="MA93" s="23"/>
      <c r="MB93" s="23"/>
      <c r="MC93" s="23"/>
      <c r="MD93" s="23"/>
      <c r="ME93" s="23"/>
      <c r="MF93" s="23"/>
      <c r="MG93" s="23"/>
      <c r="MH93" s="23"/>
      <c r="MI93" s="23"/>
      <c r="MJ93" s="23"/>
      <c r="MK93" s="23"/>
      <c r="ML93" s="23"/>
      <c r="MM93" s="23"/>
      <c r="MN93" s="23"/>
      <c r="MO93" s="23"/>
      <c r="MP93" s="23"/>
      <c r="MQ93" s="23"/>
      <c r="MR93" s="23"/>
      <c r="MS93" s="23"/>
      <c r="MT93" s="23"/>
      <c r="MU93" s="23"/>
      <c r="MV93" s="23"/>
      <c r="MW93" s="23"/>
      <c r="MX93" s="23"/>
      <c r="MY93" s="23"/>
      <c r="MZ93" s="23"/>
      <c r="NA93" s="23"/>
      <c r="NB93" s="23"/>
      <c r="NC93" s="23"/>
      <c r="ND93" s="23"/>
      <c r="NE93" s="23"/>
      <c r="NF93" s="23"/>
      <c r="NG93" s="23"/>
      <c r="NH93" s="23"/>
      <c r="NI93" s="23"/>
      <c r="NJ93" s="23"/>
      <c r="NK93" s="23"/>
      <c r="NL93" s="23"/>
      <c r="NM93" s="23"/>
      <c r="NN93" s="23"/>
    </row>
    <row r="94" spans="5:378" ht="15" customHeight="1"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  <c r="IZ94" s="23"/>
      <c r="JA94" s="23"/>
      <c r="JB94" s="23"/>
      <c r="JC94" s="23"/>
      <c r="JD94" s="23"/>
      <c r="JE94" s="23"/>
      <c r="JF94" s="23"/>
      <c r="JG94" s="23"/>
      <c r="JH94" s="23"/>
      <c r="JI94" s="23"/>
      <c r="JJ94" s="23"/>
      <c r="JK94" s="23"/>
      <c r="JL94" s="23"/>
      <c r="JM94" s="23"/>
      <c r="JN94" s="23"/>
      <c r="JO94" s="23"/>
      <c r="JP94" s="23"/>
      <c r="JQ94" s="23"/>
      <c r="JR94" s="23"/>
      <c r="JS94" s="23"/>
      <c r="JT94" s="23"/>
      <c r="JU94" s="23"/>
      <c r="JV94" s="23"/>
      <c r="JW94" s="23"/>
      <c r="JX94" s="23"/>
      <c r="JY94" s="23"/>
      <c r="JZ94" s="23"/>
      <c r="KA94" s="23"/>
      <c r="KB94" s="23"/>
      <c r="KC94" s="23"/>
      <c r="KD94" s="23"/>
      <c r="KE94" s="23"/>
      <c r="KF94" s="23"/>
      <c r="KG94" s="23"/>
      <c r="KH94" s="23"/>
      <c r="KI94" s="23"/>
      <c r="KJ94" s="23"/>
      <c r="KK94" s="23"/>
      <c r="KL94" s="23"/>
      <c r="KM94" s="23"/>
      <c r="KN94" s="23"/>
      <c r="KO94" s="23"/>
      <c r="KP94" s="23"/>
      <c r="KQ94" s="23"/>
      <c r="KR94" s="23"/>
      <c r="KS94" s="23"/>
      <c r="KT94" s="23"/>
      <c r="KU94" s="23"/>
      <c r="KV94" s="23"/>
      <c r="KW94" s="23"/>
      <c r="KX94" s="23"/>
      <c r="KY94" s="23"/>
      <c r="KZ94" s="23"/>
      <c r="LA94" s="23"/>
      <c r="LB94" s="23"/>
      <c r="LC94" s="23"/>
      <c r="LD94" s="23"/>
      <c r="LE94" s="23"/>
      <c r="LF94" s="23"/>
      <c r="LG94" s="23"/>
      <c r="LH94" s="23"/>
      <c r="LI94" s="23"/>
      <c r="LJ94" s="23"/>
      <c r="LK94" s="23"/>
      <c r="LL94" s="23"/>
      <c r="LM94" s="23"/>
      <c r="LN94" s="23"/>
      <c r="LO94" s="23"/>
      <c r="LP94" s="23"/>
      <c r="LQ94" s="23"/>
      <c r="LR94" s="23"/>
      <c r="LS94" s="23"/>
      <c r="LT94" s="23"/>
      <c r="LU94" s="23"/>
      <c r="LV94" s="23"/>
      <c r="LW94" s="23"/>
      <c r="LX94" s="23"/>
      <c r="LY94" s="23"/>
      <c r="LZ94" s="23"/>
      <c r="MA94" s="23"/>
      <c r="MB94" s="23"/>
      <c r="MC94" s="23"/>
      <c r="MD94" s="23"/>
      <c r="ME94" s="23"/>
      <c r="MF94" s="23"/>
      <c r="MG94" s="23"/>
      <c r="MH94" s="23"/>
      <c r="MI94" s="23"/>
      <c r="MJ94" s="23"/>
      <c r="MK94" s="23"/>
      <c r="ML94" s="23"/>
      <c r="MM94" s="23"/>
      <c r="MN94" s="23"/>
      <c r="MO94" s="23"/>
      <c r="MP94" s="23"/>
      <c r="MQ94" s="23"/>
      <c r="MR94" s="23"/>
      <c r="MS94" s="23"/>
      <c r="MT94" s="23"/>
      <c r="MU94" s="23"/>
      <c r="MV94" s="23"/>
      <c r="MW94" s="23"/>
      <c r="MX94" s="23"/>
      <c r="MY94" s="23"/>
      <c r="MZ94" s="23"/>
      <c r="NA94" s="23"/>
      <c r="NB94" s="23"/>
      <c r="NC94" s="23"/>
      <c r="ND94" s="23"/>
      <c r="NE94" s="23"/>
      <c r="NF94" s="23"/>
      <c r="NG94" s="23"/>
      <c r="NH94" s="23"/>
      <c r="NI94" s="23"/>
      <c r="NJ94" s="23"/>
      <c r="NK94" s="23"/>
      <c r="NL94" s="23"/>
      <c r="NM94" s="23"/>
      <c r="NN94" s="23"/>
    </row>
    <row r="95" spans="5:378" ht="15" customHeight="1"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  <c r="IZ95" s="23"/>
      <c r="JA95" s="23"/>
      <c r="JB95" s="23"/>
      <c r="JC95" s="23"/>
      <c r="JD95" s="23"/>
      <c r="JE95" s="23"/>
      <c r="JF95" s="23"/>
      <c r="JG95" s="23"/>
      <c r="JH95" s="23"/>
      <c r="JI95" s="23"/>
      <c r="JJ95" s="23"/>
      <c r="JK95" s="23"/>
      <c r="JL95" s="23"/>
      <c r="JM95" s="23"/>
      <c r="JN95" s="23"/>
      <c r="JO95" s="23"/>
      <c r="JP95" s="23"/>
      <c r="JQ95" s="23"/>
      <c r="JR95" s="23"/>
      <c r="JS95" s="23"/>
      <c r="JT95" s="23"/>
      <c r="JU95" s="23"/>
      <c r="JV95" s="23"/>
      <c r="JW95" s="23"/>
      <c r="JX95" s="23"/>
      <c r="JY95" s="23"/>
      <c r="JZ95" s="23"/>
      <c r="KA95" s="23"/>
      <c r="KB95" s="23"/>
      <c r="KC95" s="23"/>
      <c r="KD95" s="23"/>
      <c r="KE95" s="23"/>
      <c r="KF95" s="23"/>
      <c r="KG95" s="23"/>
      <c r="KH95" s="23"/>
      <c r="KI95" s="23"/>
      <c r="KJ95" s="23"/>
      <c r="KK95" s="23"/>
      <c r="KL95" s="23"/>
      <c r="KM95" s="23"/>
      <c r="KN95" s="23"/>
      <c r="KO95" s="23"/>
      <c r="KP95" s="23"/>
      <c r="KQ95" s="23"/>
      <c r="KR95" s="23"/>
      <c r="KS95" s="23"/>
      <c r="KT95" s="23"/>
      <c r="KU95" s="23"/>
      <c r="KV95" s="23"/>
      <c r="KW95" s="23"/>
      <c r="KX95" s="23"/>
      <c r="KY95" s="23"/>
      <c r="KZ95" s="23"/>
      <c r="LA95" s="23"/>
      <c r="LB95" s="23"/>
      <c r="LC95" s="23"/>
      <c r="LD95" s="23"/>
      <c r="LE95" s="23"/>
      <c r="LF95" s="23"/>
      <c r="LG95" s="23"/>
      <c r="LH95" s="23"/>
      <c r="LI95" s="23"/>
      <c r="LJ95" s="23"/>
      <c r="LK95" s="23"/>
      <c r="LL95" s="23"/>
      <c r="LM95" s="23"/>
      <c r="LN95" s="23"/>
      <c r="LO95" s="23"/>
      <c r="LP95" s="23"/>
      <c r="LQ95" s="23"/>
      <c r="LR95" s="23"/>
      <c r="LS95" s="23"/>
      <c r="LT95" s="23"/>
      <c r="LU95" s="23"/>
      <c r="LV95" s="23"/>
      <c r="LW95" s="23"/>
      <c r="LX95" s="23"/>
      <c r="LY95" s="23"/>
      <c r="LZ95" s="23"/>
      <c r="MA95" s="23"/>
      <c r="MB95" s="23"/>
      <c r="MC95" s="23"/>
      <c r="MD95" s="23"/>
      <c r="ME95" s="23"/>
      <c r="MF95" s="23"/>
      <c r="MG95" s="23"/>
      <c r="MH95" s="23"/>
      <c r="MI95" s="23"/>
      <c r="MJ95" s="23"/>
      <c r="MK95" s="23"/>
      <c r="ML95" s="23"/>
      <c r="MM95" s="23"/>
      <c r="MN95" s="23"/>
      <c r="MO95" s="23"/>
      <c r="MP95" s="23"/>
      <c r="MQ95" s="23"/>
      <c r="MR95" s="23"/>
      <c r="MS95" s="23"/>
      <c r="MT95" s="23"/>
      <c r="MU95" s="23"/>
      <c r="MV95" s="23"/>
      <c r="MW95" s="23"/>
      <c r="MX95" s="23"/>
      <c r="MY95" s="23"/>
      <c r="MZ95" s="23"/>
      <c r="NA95" s="23"/>
      <c r="NB95" s="23"/>
      <c r="NC95" s="23"/>
      <c r="ND95" s="23"/>
      <c r="NE95" s="23"/>
      <c r="NF95" s="23"/>
      <c r="NG95" s="23"/>
      <c r="NH95" s="23"/>
      <c r="NI95" s="23"/>
      <c r="NJ95" s="23"/>
      <c r="NK95" s="23"/>
      <c r="NL95" s="23"/>
      <c r="NM95" s="23"/>
      <c r="NN95" s="23"/>
    </row>
    <row r="96" spans="5:378" ht="15" customHeight="1"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  <c r="IZ96" s="23"/>
      <c r="JA96" s="23"/>
      <c r="JB96" s="23"/>
      <c r="JC96" s="23"/>
      <c r="JD96" s="23"/>
      <c r="JE96" s="23"/>
      <c r="JF96" s="23"/>
      <c r="JG96" s="23"/>
      <c r="JH96" s="23"/>
      <c r="JI96" s="23"/>
      <c r="JJ96" s="23"/>
      <c r="JK96" s="23"/>
      <c r="JL96" s="23"/>
      <c r="JM96" s="23"/>
      <c r="JN96" s="23"/>
      <c r="JO96" s="23"/>
      <c r="JP96" s="23"/>
      <c r="JQ96" s="23"/>
      <c r="JR96" s="23"/>
      <c r="JS96" s="23"/>
      <c r="JT96" s="23"/>
      <c r="JU96" s="23"/>
      <c r="JV96" s="23"/>
      <c r="JW96" s="23"/>
      <c r="JX96" s="23"/>
      <c r="JY96" s="23"/>
      <c r="JZ96" s="23"/>
      <c r="KA96" s="23"/>
      <c r="KB96" s="23"/>
      <c r="KC96" s="23"/>
      <c r="KD96" s="23"/>
      <c r="KE96" s="23"/>
      <c r="KF96" s="23"/>
      <c r="KG96" s="23"/>
      <c r="KH96" s="23"/>
      <c r="KI96" s="23"/>
      <c r="KJ96" s="23"/>
      <c r="KK96" s="23"/>
      <c r="KL96" s="23"/>
      <c r="KM96" s="23"/>
      <c r="KN96" s="23"/>
      <c r="KO96" s="23"/>
      <c r="KP96" s="23"/>
      <c r="KQ96" s="23"/>
      <c r="KR96" s="23"/>
      <c r="KS96" s="23"/>
      <c r="KT96" s="23"/>
      <c r="KU96" s="23"/>
      <c r="KV96" s="23"/>
      <c r="KW96" s="23"/>
      <c r="KX96" s="23"/>
      <c r="KY96" s="23"/>
      <c r="KZ96" s="23"/>
      <c r="LA96" s="23"/>
      <c r="LB96" s="23"/>
      <c r="LC96" s="23"/>
      <c r="LD96" s="23"/>
      <c r="LE96" s="23"/>
      <c r="LF96" s="23"/>
      <c r="LG96" s="23"/>
      <c r="LH96" s="23"/>
      <c r="LI96" s="23"/>
      <c r="LJ96" s="23"/>
      <c r="LK96" s="23"/>
      <c r="LL96" s="23"/>
      <c r="LM96" s="23"/>
      <c r="LN96" s="23"/>
      <c r="LO96" s="23"/>
      <c r="LP96" s="23"/>
      <c r="LQ96" s="23"/>
      <c r="LR96" s="23"/>
      <c r="LS96" s="23"/>
      <c r="LT96" s="23"/>
      <c r="LU96" s="23"/>
      <c r="LV96" s="23"/>
      <c r="LW96" s="23"/>
      <c r="LX96" s="23"/>
      <c r="LY96" s="23"/>
      <c r="LZ96" s="23"/>
      <c r="MA96" s="23"/>
      <c r="MB96" s="23"/>
      <c r="MC96" s="23"/>
      <c r="MD96" s="23"/>
      <c r="ME96" s="23"/>
      <c r="MF96" s="23"/>
      <c r="MG96" s="23"/>
      <c r="MH96" s="23"/>
      <c r="MI96" s="23"/>
      <c r="MJ96" s="23"/>
      <c r="MK96" s="23"/>
      <c r="ML96" s="23"/>
      <c r="MM96" s="23"/>
      <c r="MN96" s="23"/>
      <c r="MO96" s="23"/>
      <c r="MP96" s="23"/>
      <c r="MQ96" s="23"/>
      <c r="MR96" s="23"/>
      <c r="MS96" s="23"/>
      <c r="MT96" s="23"/>
      <c r="MU96" s="23"/>
      <c r="MV96" s="23"/>
      <c r="MW96" s="23"/>
      <c r="MX96" s="23"/>
      <c r="MY96" s="23"/>
      <c r="MZ96" s="23"/>
      <c r="NA96" s="23"/>
      <c r="NB96" s="23"/>
      <c r="NC96" s="23"/>
      <c r="ND96" s="23"/>
      <c r="NE96" s="23"/>
      <c r="NF96" s="23"/>
      <c r="NG96" s="23"/>
      <c r="NH96" s="23"/>
      <c r="NI96" s="23"/>
      <c r="NJ96" s="23"/>
      <c r="NK96" s="23"/>
      <c r="NL96" s="23"/>
      <c r="NM96" s="23"/>
      <c r="NN96" s="23"/>
    </row>
    <row r="97" spans="5:378" ht="15" customHeight="1"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  <c r="IZ97" s="23"/>
      <c r="JA97" s="23"/>
      <c r="JB97" s="23"/>
      <c r="JC97" s="23"/>
      <c r="JD97" s="23"/>
      <c r="JE97" s="23"/>
      <c r="JF97" s="23"/>
      <c r="JG97" s="23"/>
      <c r="JH97" s="23"/>
      <c r="JI97" s="23"/>
      <c r="JJ97" s="23"/>
      <c r="JK97" s="23"/>
      <c r="JL97" s="23"/>
      <c r="JM97" s="23"/>
      <c r="JN97" s="23"/>
      <c r="JO97" s="23"/>
      <c r="JP97" s="23"/>
      <c r="JQ97" s="23"/>
      <c r="JR97" s="23"/>
      <c r="JS97" s="23"/>
      <c r="JT97" s="23"/>
      <c r="JU97" s="23"/>
      <c r="JV97" s="23"/>
      <c r="JW97" s="23"/>
      <c r="JX97" s="23"/>
      <c r="JY97" s="23"/>
      <c r="JZ97" s="23"/>
      <c r="KA97" s="23"/>
      <c r="KB97" s="23"/>
      <c r="KC97" s="23"/>
      <c r="KD97" s="23"/>
      <c r="KE97" s="23"/>
      <c r="KF97" s="23"/>
      <c r="KG97" s="23"/>
      <c r="KH97" s="23"/>
      <c r="KI97" s="23"/>
      <c r="KJ97" s="23"/>
      <c r="KK97" s="23"/>
      <c r="KL97" s="23"/>
      <c r="KM97" s="23"/>
      <c r="KN97" s="23"/>
      <c r="KO97" s="23"/>
      <c r="KP97" s="23"/>
      <c r="KQ97" s="23"/>
      <c r="KR97" s="23"/>
      <c r="KS97" s="23"/>
      <c r="KT97" s="23"/>
      <c r="KU97" s="23"/>
      <c r="KV97" s="23"/>
      <c r="KW97" s="23"/>
      <c r="KX97" s="23"/>
      <c r="KY97" s="23"/>
      <c r="KZ97" s="23"/>
      <c r="LA97" s="23"/>
      <c r="LB97" s="23"/>
      <c r="LC97" s="23"/>
      <c r="LD97" s="23"/>
      <c r="LE97" s="23"/>
      <c r="LF97" s="23"/>
      <c r="LG97" s="23"/>
      <c r="LH97" s="23"/>
      <c r="LI97" s="23"/>
      <c r="LJ97" s="23"/>
      <c r="LK97" s="23"/>
      <c r="LL97" s="23"/>
      <c r="LM97" s="23"/>
      <c r="LN97" s="23"/>
      <c r="LO97" s="23"/>
      <c r="LP97" s="23"/>
      <c r="LQ97" s="23"/>
      <c r="LR97" s="23"/>
      <c r="LS97" s="23"/>
      <c r="LT97" s="23"/>
      <c r="LU97" s="23"/>
      <c r="LV97" s="23"/>
      <c r="LW97" s="23"/>
      <c r="LX97" s="23"/>
      <c r="LY97" s="23"/>
      <c r="LZ97" s="23"/>
      <c r="MA97" s="23"/>
      <c r="MB97" s="23"/>
      <c r="MC97" s="23"/>
      <c r="MD97" s="23"/>
      <c r="ME97" s="23"/>
      <c r="MF97" s="23"/>
      <c r="MG97" s="23"/>
      <c r="MH97" s="23"/>
      <c r="MI97" s="23"/>
      <c r="MJ97" s="23"/>
      <c r="MK97" s="23"/>
      <c r="ML97" s="23"/>
      <c r="MM97" s="23"/>
      <c r="MN97" s="23"/>
      <c r="MO97" s="23"/>
      <c r="MP97" s="23"/>
      <c r="MQ97" s="23"/>
      <c r="MR97" s="23"/>
      <c r="MS97" s="23"/>
      <c r="MT97" s="23"/>
      <c r="MU97" s="23"/>
      <c r="MV97" s="23"/>
      <c r="MW97" s="23"/>
      <c r="MX97" s="23"/>
      <c r="MY97" s="23"/>
      <c r="MZ97" s="23"/>
      <c r="NA97" s="23"/>
      <c r="NB97" s="23"/>
      <c r="NC97" s="23"/>
      <c r="ND97" s="23"/>
      <c r="NE97" s="23"/>
      <c r="NF97" s="23"/>
      <c r="NG97" s="23"/>
      <c r="NH97" s="23"/>
      <c r="NI97" s="23"/>
      <c r="NJ97" s="23"/>
      <c r="NK97" s="23"/>
      <c r="NL97" s="23"/>
      <c r="NM97" s="23"/>
      <c r="NN97" s="23"/>
    </row>
    <row r="98" spans="5:378" ht="15" customHeight="1"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  <c r="IZ98" s="23"/>
      <c r="JA98" s="23"/>
      <c r="JB98" s="23"/>
      <c r="JC98" s="23"/>
      <c r="JD98" s="23"/>
      <c r="JE98" s="23"/>
      <c r="JF98" s="23"/>
      <c r="JG98" s="23"/>
      <c r="JH98" s="23"/>
      <c r="JI98" s="23"/>
      <c r="JJ98" s="23"/>
      <c r="JK98" s="23"/>
      <c r="JL98" s="23"/>
      <c r="JM98" s="23"/>
      <c r="JN98" s="23"/>
      <c r="JO98" s="23"/>
      <c r="JP98" s="23"/>
      <c r="JQ98" s="23"/>
      <c r="JR98" s="23"/>
      <c r="JS98" s="23"/>
      <c r="JT98" s="23"/>
      <c r="JU98" s="23"/>
      <c r="JV98" s="23"/>
      <c r="JW98" s="23"/>
      <c r="JX98" s="23"/>
      <c r="JY98" s="23"/>
      <c r="JZ98" s="23"/>
      <c r="KA98" s="23"/>
      <c r="KB98" s="23"/>
      <c r="KC98" s="23"/>
      <c r="KD98" s="23"/>
      <c r="KE98" s="23"/>
      <c r="KF98" s="23"/>
      <c r="KG98" s="23"/>
      <c r="KH98" s="23"/>
      <c r="KI98" s="23"/>
      <c r="KJ98" s="23"/>
      <c r="KK98" s="23"/>
      <c r="KL98" s="23"/>
      <c r="KM98" s="23"/>
      <c r="KN98" s="23"/>
      <c r="KO98" s="23"/>
      <c r="KP98" s="23"/>
      <c r="KQ98" s="23"/>
      <c r="KR98" s="23"/>
      <c r="KS98" s="23"/>
      <c r="KT98" s="23"/>
      <c r="KU98" s="23"/>
      <c r="KV98" s="23"/>
      <c r="KW98" s="23"/>
      <c r="KX98" s="23"/>
      <c r="KY98" s="23"/>
      <c r="KZ98" s="23"/>
      <c r="LA98" s="23"/>
      <c r="LB98" s="23"/>
      <c r="LC98" s="23"/>
      <c r="LD98" s="23"/>
      <c r="LE98" s="23"/>
      <c r="LF98" s="23"/>
      <c r="LG98" s="23"/>
      <c r="LH98" s="23"/>
      <c r="LI98" s="23"/>
      <c r="LJ98" s="23"/>
      <c r="LK98" s="23"/>
      <c r="LL98" s="23"/>
      <c r="LM98" s="23"/>
      <c r="LN98" s="23"/>
      <c r="LO98" s="23"/>
      <c r="LP98" s="23"/>
      <c r="LQ98" s="23"/>
      <c r="LR98" s="23"/>
      <c r="LS98" s="23"/>
      <c r="LT98" s="23"/>
      <c r="LU98" s="23"/>
      <c r="LV98" s="23"/>
      <c r="LW98" s="23"/>
      <c r="LX98" s="23"/>
      <c r="LY98" s="23"/>
      <c r="LZ98" s="23"/>
      <c r="MA98" s="23"/>
      <c r="MB98" s="23"/>
      <c r="MC98" s="23"/>
      <c r="MD98" s="23"/>
      <c r="ME98" s="23"/>
      <c r="MF98" s="23"/>
      <c r="MG98" s="23"/>
      <c r="MH98" s="23"/>
      <c r="MI98" s="23"/>
      <c r="MJ98" s="23"/>
      <c r="MK98" s="23"/>
      <c r="ML98" s="23"/>
      <c r="MM98" s="23"/>
      <c r="MN98" s="23"/>
      <c r="MO98" s="23"/>
      <c r="MP98" s="23"/>
      <c r="MQ98" s="23"/>
      <c r="MR98" s="23"/>
      <c r="MS98" s="23"/>
      <c r="MT98" s="23"/>
      <c r="MU98" s="23"/>
      <c r="MV98" s="23"/>
      <c r="MW98" s="23"/>
      <c r="MX98" s="23"/>
      <c r="MY98" s="23"/>
      <c r="MZ98" s="23"/>
      <c r="NA98" s="23"/>
      <c r="NB98" s="23"/>
      <c r="NC98" s="23"/>
      <c r="ND98" s="23"/>
      <c r="NE98" s="23"/>
      <c r="NF98" s="23"/>
      <c r="NG98" s="23"/>
      <c r="NH98" s="23"/>
      <c r="NI98" s="23"/>
      <c r="NJ98" s="23"/>
      <c r="NK98" s="23"/>
      <c r="NL98" s="23"/>
      <c r="NM98" s="23"/>
      <c r="NN98" s="23"/>
    </row>
    <row r="99" spans="5:378" ht="15" customHeight="1"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  <c r="IZ99" s="23"/>
      <c r="JA99" s="23"/>
      <c r="JB99" s="23"/>
      <c r="JC99" s="23"/>
      <c r="JD99" s="23"/>
      <c r="JE99" s="23"/>
      <c r="JF99" s="23"/>
      <c r="JG99" s="23"/>
      <c r="JH99" s="23"/>
      <c r="JI99" s="23"/>
      <c r="JJ99" s="23"/>
      <c r="JK99" s="23"/>
      <c r="JL99" s="23"/>
      <c r="JM99" s="23"/>
      <c r="JN99" s="23"/>
      <c r="JO99" s="23"/>
      <c r="JP99" s="23"/>
      <c r="JQ99" s="23"/>
      <c r="JR99" s="23"/>
      <c r="JS99" s="23"/>
      <c r="JT99" s="23"/>
      <c r="JU99" s="23"/>
      <c r="JV99" s="23"/>
      <c r="JW99" s="23"/>
      <c r="JX99" s="23"/>
      <c r="JY99" s="23"/>
      <c r="JZ99" s="23"/>
      <c r="KA99" s="23"/>
      <c r="KB99" s="23"/>
      <c r="KC99" s="23"/>
      <c r="KD99" s="23"/>
      <c r="KE99" s="23"/>
      <c r="KF99" s="23"/>
      <c r="KG99" s="23"/>
      <c r="KH99" s="23"/>
      <c r="KI99" s="23"/>
      <c r="KJ99" s="23"/>
      <c r="KK99" s="23"/>
      <c r="KL99" s="23"/>
      <c r="KM99" s="23"/>
      <c r="KN99" s="23"/>
      <c r="KO99" s="23"/>
      <c r="KP99" s="23"/>
      <c r="KQ99" s="23"/>
      <c r="KR99" s="23"/>
      <c r="KS99" s="23"/>
      <c r="KT99" s="23"/>
      <c r="KU99" s="23"/>
      <c r="KV99" s="23"/>
      <c r="KW99" s="23"/>
      <c r="KX99" s="23"/>
      <c r="KY99" s="23"/>
      <c r="KZ99" s="23"/>
      <c r="LA99" s="23"/>
      <c r="LB99" s="23"/>
      <c r="LC99" s="23"/>
      <c r="LD99" s="23"/>
      <c r="LE99" s="23"/>
      <c r="LF99" s="23"/>
      <c r="LG99" s="23"/>
      <c r="LH99" s="23"/>
      <c r="LI99" s="23"/>
      <c r="LJ99" s="23"/>
      <c r="LK99" s="23"/>
      <c r="LL99" s="23"/>
      <c r="LM99" s="23"/>
      <c r="LN99" s="23"/>
      <c r="LO99" s="23"/>
      <c r="LP99" s="23"/>
      <c r="LQ99" s="23"/>
      <c r="LR99" s="23"/>
      <c r="LS99" s="23"/>
      <c r="LT99" s="23"/>
      <c r="LU99" s="23"/>
      <c r="LV99" s="23"/>
      <c r="LW99" s="23"/>
      <c r="LX99" s="23"/>
      <c r="LY99" s="23"/>
      <c r="LZ99" s="23"/>
      <c r="MA99" s="23"/>
      <c r="MB99" s="23"/>
      <c r="MC99" s="23"/>
      <c r="MD99" s="23"/>
      <c r="ME99" s="23"/>
      <c r="MF99" s="23"/>
      <c r="MG99" s="23"/>
      <c r="MH99" s="23"/>
      <c r="MI99" s="23"/>
      <c r="MJ99" s="23"/>
      <c r="MK99" s="23"/>
      <c r="ML99" s="23"/>
      <c r="MM99" s="23"/>
      <c r="MN99" s="23"/>
      <c r="MO99" s="23"/>
      <c r="MP99" s="23"/>
      <c r="MQ99" s="23"/>
      <c r="MR99" s="23"/>
      <c r="MS99" s="23"/>
      <c r="MT99" s="23"/>
      <c r="MU99" s="23"/>
      <c r="MV99" s="23"/>
      <c r="MW99" s="23"/>
      <c r="MX99" s="23"/>
      <c r="MY99" s="23"/>
      <c r="MZ99" s="23"/>
      <c r="NA99" s="23"/>
      <c r="NB99" s="23"/>
      <c r="NC99" s="23"/>
      <c r="ND99" s="23"/>
      <c r="NE99" s="23"/>
      <c r="NF99" s="23"/>
      <c r="NG99" s="23"/>
      <c r="NH99" s="23"/>
      <c r="NI99" s="23"/>
      <c r="NJ99" s="23"/>
      <c r="NK99" s="23"/>
      <c r="NL99" s="23"/>
      <c r="NM99" s="23"/>
      <c r="NN99" s="23"/>
    </row>
    <row r="100" spans="5:378" ht="15" customHeight="1"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  <c r="IZ100" s="23"/>
      <c r="JA100" s="23"/>
      <c r="JB100" s="23"/>
      <c r="JC100" s="23"/>
      <c r="JD100" s="23"/>
      <c r="JE100" s="23"/>
      <c r="JF100" s="23"/>
      <c r="JG100" s="23"/>
      <c r="JH100" s="23"/>
      <c r="JI100" s="23"/>
      <c r="JJ100" s="23"/>
      <c r="JK100" s="23"/>
      <c r="JL100" s="23"/>
      <c r="JM100" s="23"/>
      <c r="JN100" s="23"/>
      <c r="JO100" s="23"/>
      <c r="JP100" s="23"/>
      <c r="JQ100" s="23"/>
      <c r="JR100" s="23"/>
      <c r="JS100" s="23"/>
      <c r="JT100" s="23"/>
      <c r="JU100" s="23"/>
      <c r="JV100" s="23"/>
      <c r="JW100" s="23"/>
      <c r="JX100" s="23"/>
      <c r="JY100" s="23"/>
      <c r="JZ100" s="23"/>
      <c r="KA100" s="23"/>
      <c r="KB100" s="23"/>
      <c r="KC100" s="23"/>
      <c r="KD100" s="23"/>
      <c r="KE100" s="23"/>
      <c r="KF100" s="23"/>
      <c r="KG100" s="23"/>
      <c r="KH100" s="23"/>
      <c r="KI100" s="23"/>
      <c r="KJ100" s="23"/>
      <c r="KK100" s="23"/>
      <c r="KL100" s="23"/>
      <c r="KM100" s="23"/>
      <c r="KN100" s="23"/>
      <c r="KO100" s="23"/>
      <c r="KP100" s="23"/>
      <c r="KQ100" s="23"/>
      <c r="KR100" s="23"/>
      <c r="KS100" s="23"/>
      <c r="KT100" s="23"/>
      <c r="KU100" s="23"/>
      <c r="KV100" s="23"/>
      <c r="KW100" s="23"/>
      <c r="KX100" s="23"/>
      <c r="KY100" s="23"/>
      <c r="KZ100" s="23"/>
      <c r="LA100" s="23"/>
      <c r="LB100" s="23"/>
      <c r="LC100" s="23"/>
      <c r="LD100" s="23"/>
      <c r="LE100" s="23"/>
      <c r="LF100" s="23"/>
      <c r="LG100" s="23"/>
      <c r="LH100" s="23"/>
      <c r="LI100" s="23"/>
      <c r="LJ100" s="23"/>
      <c r="LK100" s="23"/>
      <c r="LL100" s="23"/>
      <c r="LM100" s="23"/>
      <c r="LN100" s="23"/>
      <c r="LO100" s="23"/>
      <c r="LP100" s="23"/>
      <c r="LQ100" s="23"/>
      <c r="LR100" s="23"/>
      <c r="LS100" s="23"/>
      <c r="LT100" s="23"/>
      <c r="LU100" s="23"/>
      <c r="LV100" s="23"/>
      <c r="LW100" s="23"/>
      <c r="LX100" s="23"/>
      <c r="LY100" s="23"/>
      <c r="LZ100" s="23"/>
      <c r="MA100" s="23"/>
      <c r="MB100" s="23"/>
      <c r="MC100" s="23"/>
      <c r="MD100" s="23"/>
      <c r="ME100" s="23"/>
      <c r="MF100" s="23"/>
      <c r="MG100" s="23"/>
      <c r="MH100" s="23"/>
      <c r="MI100" s="23"/>
      <c r="MJ100" s="23"/>
      <c r="MK100" s="23"/>
      <c r="ML100" s="23"/>
      <c r="MM100" s="23"/>
      <c r="MN100" s="23"/>
      <c r="MO100" s="23"/>
      <c r="MP100" s="23"/>
      <c r="MQ100" s="23"/>
      <c r="MR100" s="23"/>
      <c r="MS100" s="23"/>
      <c r="MT100" s="23"/>
      <c r="MU100" s="23"/>
      <c r="MV100" s="23"/>
      <c r="MW100" s="23"/>
      <c r="MX100" s="23"/>
      <c r="MY100" s="23"/>
      <c r="MZ100" s="23"/>
      <c r="NA100" s="23"/>
      <c r="NB100" s="23"/>
      <c r="NC100" s="23"/>
      <c r="ND100" s="23"/>
      <c r="NE100" s="23"/>
      <c r="NF100" s="23"/>
      <c r="NG100" s="23"/>
      <c r="NH100" s="23"/>
      <c r="NI100" s="23"/>
      <c r="NJ100" s="23"/>
      <c r="NK100" s="23"/>
      <c r="NL100" s="23"/>
      <c r="NM100" s="23"/>
      <c r="NN100" s="23"/>
    </row>
    <row r="101" spans="5:378" ht="15" customHeight="1"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  <c r="IZ101" s="23"/>
      <c r="JA101" s="23"/>
      <c r="JB101" s="23"/>
      <c r="JC101" s="23"/>
      <c r="JD101" s="23"/>
      <c r="JE101" s="23"/>
      <c r="JF101" s="23"/>
      <c r="JG101" s="23"/>
      <c r="JH101" s="23"/>
      <c r="JI101" s="23"/>
      <c r="JJ101" s="23"/>
      <c r="JK101" s="23"/>
      <c r="JL101" s="23"/>
      <c r="JM101" s="23"/>
      <c r="JN101" s="23"/>
      <c r="JO101" s="23"/>
      <c r="JP101" s="23"/>
      <c r="JQ101" s="23"/>
      <c r="JR101" s="23"/>
      <c r="JS101" s="23"/>
      <c r="JT101" s="23"/>
      <c r="JU101" s="23"/>
      <c r="JV101" s="23"/>
      <c r="JW101" s="23"/>
      <c r="JX101" s="23"/>
      <c r="JY101" s="23"/>
      <c r="JZ101" s="23"/>
      <c r="KA101" s="23"/>
      <c r="KB101" s="23"/>
      <c r="KC101" s="23"/>
      <c r="KD101" s="23"/>
      <c r="KE101" s="23"/>
      <c r="KF101" s="23"/>
      <c r="KG101" s="23"/>
      <c r="KH101" s="23"/>
      <c r="KI101" s="23"/>
      <c r="KJ101" s="23"/>
      <c r="KK101" s="23"/>
      <c r="KL101" s="23"/>
      <c r="KM101" s="23"/>
      <c r="KN101" s="23"/>
      <c r="KO101" s="23"/>
      <c r="KP101" s="23"/>
      <c r="KQ101" s="23"/>
      <c r="KR101" s="23"/>
      <c r="KS101" s="23"/>
      <c r="KT101" s="23"/>
      <c r="KU101" s="23"/>
      <c r="KV101" s="23"/>
      <c r="KW101" s="23"/>
      <c r="KX101" s="23"/>
      <c r="KY101" s="23"/>
      <c r="KZ101" s="23"/>
      <c r="LA101" s="23"/>
      <c r="LB101" s="23"/>
      <c r="LC101" s="23"/>
      <c r="LD101" s="23"/>
      <c r="LE101" s="23"/>
      <c r="LF101" s="23"/>
      <c r="LG101" s="23"/>
      <c r="LH101" s="23"/>
      <c r="LI101" s="23"/>
      <c r="LJ101" s="23"/>
      <c r="LK101" s="23"/>
      <c r="LL101" s="23"/>
      <c r="LM101" s="23"/>
      <c r="LN101" s="23"/>
      <c r="LO101" s="23"/>
      <c r="LP101" s="23"/>
      <c r="LQ101" s="23"/>
      <c r="LR101" s="23"/>
      <c r="LS101" s="23"/>
      <c r="LT101" s="23"/>
      <c r="LU101" s="23"/>
      <c r="LV101" s="23"/>
      <c r="LW101" s="23"/>
      <c r="LX101" s="23"/>
      <c r="LY101" s="23"/>
      <c r="LZ101" s="23"/>
      <c r="MA101" s="23"/>
      <c r="MB101" s="23"/>
      <c r="MC101" s="23"/>
      <c r="MD101" s="23"/>
      <c r="ME101" s="23"/>
      <c r="MF101" s="23"/>
      <c r="MG101" s="23"/>
      <c r="MH101" s="23"/>
      <c r="MI101" s="23"/>
      <c r="MJ101" s="23"/>
      <c r="MK101" s="23"/>
      <c r="ML101" s="23"/>
      <c r="MM101" s="23"/>
      <c r="MN101" s="23"/>
      <c r="MO101" s="23"/>
      <c r="MP101" s="23"/>
      <c r="MQ101" s="23"/>
      <c r="MR101" s="23"/>
      <c r="MS101" s="23"/>
      <c r="MT101" s="23"/>
      <c r="MU101" s="23"/>
      <c r="MV101" s="23"/>
      <c r="MW101" s="23"/>
      <c r="MX101" s="23"/>
      <c r="MY101" s="23"/>
      <c r="MZ101" s="23"/>
      <c r="NA101" s="23"/>
      <c r="NB101" s="23"/>
      <c r="NC101" s="23"/>
      <c r="ND101" s="23"/>
      <c r="NE101" s="23"/>
      <c r="NF101" s="23"/>
      <c r="NG101" s="23"/>
      <c r="NH101" s="23"/>
      <c r="NI101" s="23"/>
      <c r="NJ101" s="23"/>
      <c r="NK101" s="23"/>
      <c r="NL101" s="23"/>
      <c r="NM101" s="23"/>
      <c r="NN101" s="23"/>
    </row>
    <row r="102" spans="5:378" ht="15" customHeight="1"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  <c r="IZ102" s="23"/>
      <c r="JA102" s="23"/>
      <c r="JB102" s="23"/>
      <c r="JC102" s="23"/>
      <c r="JD102" s="23"/>
      <c r="JE102" s="23"/>
      <c r="JF102" s="23"/>
      <c r="JG102" s="23"/>
      <c r="JH102" s="23"/>
      <c r="JI102" s="23"/>
      <c r="JJ102" s="23"/>
      <c r="JK102" s="23"/>
      <c r="JL102" s="23"/>
      <c r="JM102" s="23"/>
      <c r="JN102" s="23"/>
      <c r="JO102" s="23"/>
      <c r="JP102" s="23"/>
      <c r="JQ102" s="23"/>
      <c r="JR102" s="23"/>
      <c r="JS102" s="23"/>
      <c r="JT102" s="23"/>
      <c r="JU102" s="23"/>
      <c r="JV102" s="23"/>
      <c r="JW102" s="23"/>
      <c r="JX102" s="23"/>
      <c r="JY102" s="23"/>
      <c r="JZ102" s="23"/>
      <c r="KA102" s="23"/>
      <c r="KB102" s="23"/>
      <c r="KC102" s="23"/>
      <c r="KD102" s="23"/>
      <c r="KE102" s="23"/>
      <c r="KF102" s="23"/>
      <c r="KG102" s="23"/>
      <c r="KH102" s="23"/>
      <c r="KI102" s="23"/>
      <c r="KJ102" s="23"/>
      <c r="KK102" s="23"/>
      <c r="KL102" s="23"/>
      <c r="KM102" s="23"/>
      <c r="KN102" s="23"/>
      <c r="KO102" s="23"/>
      <c r="KP102" s="23"/>
      <c r="KQ102" s="23"/>
      <c r="KR102" s="23"/>
      <c r="KS102" s="23"/>
      <c r="KT102" s="23"/>
      <c r="KU102" s="23"/>
      <c r="KV102" s="23"/>
      <c r="KW102" s="23"/>
      <c r="KX102" s="23"/>
      <c r="KY102" s="23"/>
      <c r="KZ102" s="23"/>
      <c r="LA102" s="23"/>
      <c r="LB102" s="23"/>
      <c r="LC102" s="23"/>
      <c r="LD102" s="23"/>
      <c r="LE102" s="23"/>
      <c r="LF102" s="23"/>
      <c r="LG102" s="23"/>
      <c r="LH102" s="23"/>
      <c r="LI102" s="23"/>
      <c r="LJ102" s="23"/>
      <c r="LK102" s="23"/>
      <c r="LL102" s="23"/>
      <c r="LM102" s="23"/>
      <c r="LN102" s="23"/>
      <c r="LO102" s="23"/>
      <c r="LP102" s="23"/>
      <c r="LQ102" s="23"/>
      <c r="LR102" s="23"/>
      <c r="LS102" s="23"/>
      <c r="LT102" s="23"/>
      <c r="LU102" s="23"/>
      <c r="LV102" s="23"/>
      <c r="LW102" s="23"/>
      <c r="LX102" s="23"/>
      <c r="LY102" s="23"/>
      <c r="LZ102" s="23"/>
      <c r="MA102" s="23"/>
      <c r="MB102" s="23"/>
      <c r="MC102" s="23"/>
      <c r="MD102" s="23"/>
      <c r="ME102" s="23"/>
      <c r="MF102" s="23"/>
      <c r="MG102" s="23"/>
      <c r="MH102" s="23"/>
      <c r="MI102" s="23"/>
      <c r="MJ102" s="23"/>
      <c r="MK102" s="23"/>
      <c r="ML102" s="23"/>
      <c r="MM102" s="23"/>
      <c r="MN102" s="23"/>
      <c r="MO102" s="23"/>
      <c r="MP102" s="23"/>
      <c r="MQ102" s="23"/>
      <c r="MR102" s="23"/>
      <c r="MS102" s="23"/>
      <c r="MT102" s="23"/>
      <c r="MU102" s="23"/>
      <c r="MV102" s="23"/>
      <c r="MW102" s="23"/>
      <c r="MX102" s="23"/>
      <c r="MY102" s="23"/>
      <c r="MZ102" s="23"/>
      <c r="NA102" s="23"/>
      <c r="NB102" s="23"/>
      <c r="NC102" s="23"/>
      <c r="ND102" s="23"/>
      <c r="NE102" s="23"/>
      <c r="NF102" s="23"/>
      <c r="NG102" s="23"/>
      <c r="NH102" s="23"/>
      <c r="NI102" s="23"/>
      <c r="NJ102" s="23"/>
      <c r="NK102" s="23"/>
      <c r="NL102" s="23"/>
      <c r="NM102" s="23"/>
      <c r="NN102" s="23"/>
    </row>
    <row r="103" spans="5:378" ht="15" customHeight="1"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  <c r="IY103" s="23"/>
      <c r="IZ103" s="23"/>
      <c r="JA103" s="23"/>
      <c r="JB103" s="23"/>
      <c r="JC103" s="23"/>
      <c r="JD103" s="23"/>
      <c r="JE103" s="23"/>
      <c r="JF103" s="23"/>
      <c r="JG103" s="23"/>
      <c r="JH103" s="23"/>
      <c r="JI103" s="23"/>
      <c r="JJ103" s="23"/>
      <c r="JK103" s="23"/>
      <c r="JL103" s="23"/>
      <c r="JM103" s="23"/>
      <c r="JN103" s="23"/>
      <c r="JO103" s="23"/>
      <c r="JP103" s="23"/>
      <c r="JQ103" s="23"/>
      <c r="JR103" s="23"/>
      <c r="JS103" s="23"/>
      <c r="JT103" s="23"/>
      <c r="JU103" s="23"/>
      <c r="JV103" s="23"/>
      <c r="JW103" s="23"/>
      <c r="JX103" s="23"/>
      <c r="JY103" s="23"/>
      <c r="JZ103" s="23"/>
      <c r="KA103" s="23"/>
      <c r="KB103" s="23"/>
      <c r="KC103" s="23"/>
      <c r="KD103" s="23"/>
      <c r="KE103" s="23"/>
      <c r="KF103" s="23"/>
      <c r="KG103" s="23"/>
      <c r="KH103" s="23"/>
      <c r="KI103" s="23"/>
      <c r="KJ103" s="23"/>
      <c r="KK103" s="23"/>
      <c r="KL103" s="23"/>
      <c r="KM103" s="23"/>
      <c r="KN103" s="23"/>
      <c r="KO103" s="23"/>
      <c r="KP103" s="23"/>
      <c r="KQ103" s="23"/>
      <c r="KR103" s="23"/>
      <c r="KS103" s="23"/>
      <c r="KT103" s="23"/>
      <c r="KU103" s="23"/>
      <c r="KV103" s="23"/>
      <c r="KW103" s="23"/>
      <c r="KX103" s="23"/>
      <c r="KY103" s="23"/>
      <c r="KZ103" s="23"/>
      <c r="LA103" s="23"/>
      <c r="LB103" s="23"/>
      <c r="LC103" s="23"/>
      <c r="LD103" s="23"/>
      <c r="LE103" s="23"/>
      <c r="LF103" s="23"/>
      <c r="LG103" s="23"/>
      <c r="LH103" s="23"/>
      <c r="LI103" s="23"/>
      <c r="LJ103" s="23"/>
      <c r="LK103" s="23"/>
      <c r="LL103" s="23"/>
      <c r="LM103" s="23"/>
      <c r="LN103" s="23"/>
      <c r="LO103" s="23"/>
      <c r="LP103" s="23"/>
      <c r="LQ103" s="23"/>
      <c r="LR103" s="23"/>
      <c r="LS103" s="23"/>
      <c r="LT103" s="23"/>
      <c r="LU103" s="23"/>
      <c r="LV103" s="23"/>
      <c r="LW103" s="23"/>
      <c r="LX103" s="23"/>
      <c r="LY103" s="23"/>
      <c r="LZ103" s="23"/>
      <c r="MA103" s="23"/>
      <c r="MB103" s="23"/>
      <c r="MC103" s="23"/>
      <c r="MD103" s="23"/>
      <c r="ME103" s="23"/>
      <c r="MF103" s="23"/>
      <c r="MG103" s="23"/>
      <c r="MH103" s="23"/>
      <c r="MI103" s="23"/>
      <c r="MJ103" s="23"/>
      <c r="MK103" s="23"/>
      <c r="ML103" s="23"/>
      <c r="MM103" s="23"/>
      <c r="MN103" s="23"/>
      <c r="MO103" s="23"/>
      <c r="MP103" s="23"/>
      <c r="MQ103" s="23"/>
      <c r="MR103" s="23"/>
      <c r="MS103" s="23"/>
      <c r="MT103" s="23"/>
      <c r="MU103" s="23"/>
      <c r="MV103" s="23"/>
      <c r="MW103" s="23"/>
      <c r="MX103" s="23"/>
      <c r="MY103" s="23"/>
      <c r="MZ103" s="23"/>
      <c r="NA103" s="23"/>
      <c r="NB103" s="23"/>
      <c r="NC103" s="23"/>
      <c r="ND103" s="23"/>
      <c r="NE103" s="23"/>
      <c r="NF103" s="23"/>
      <c r="NG103" s="23"/>
      <c r="NH103" s="23"/>
      <c r="NI103" s="23"/>
      <c r="NJ103" s="23"/>
      <c r="NK103" s="23"/>
      <c r="NL103" s="23"/>
      <c r="NM103" s="23"/>
      <c r="NN103" s="23"/>
    </row>
    <row r="104" spans="5:378" ht="15" customHeight="1"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  <c r="IZ104" s="23"/>
      <c r="JA104" s="23"/>
      <c r="JB104" s="23"/>
      <c r="JC104" s="23"/>
      <c r="JD104" s="23"/>
      <c r="JE104" s="23"/>
      <c r="JF104" s="23"/>
      <c r="JG104" s="23"/>
      <c r="JH104" s="23"/>
      <c r="JI104" s="23"/>
      <c r="JJ104" s="23"/>
      <c r="JK104" s="23"/>
      <c r="JL104" s="23"/>
      <c r="JM104" s="23"/>
      <c r="JN104" s="23"/>
      <c r="JO104" s="23"/>
      <c r="JP104" s="23"/>
      <c r="JQ104" s="23"/>
      <c r="JR104" s="23"/>
      <c r="JS104" s="23"/>
      <c r="JT104" s="23"/>
      <c r="JU104" s="23"/>
      <c r="JV104" s="23"/>
      <c r="JW104" s="23"/>
      <c r="JX104" s="23"/>
      <c r="JY104" s="23"/>
      <c r="JZ104" s="23"/>
      <c r="KA104" s="23"/>
      <c r="KB104" s="23"/>
      <c r="KC104" s="23"/>
      <c r="KD104" s="23"/>
      <c r="KE104" s="23"/>
      <c r="KF104" s="23"/>
      <c r="KG104" s="23"/>
      <c r="KH104" s="23"/>
      <c r="KI104" s="23"/>
      <c r="KJ104" s="23"/>
      <c r="KK104" s="23"/>
      <c r="KL104" s="23"/>
      <c r="KM104" s="23"/>
      <c r="KN104" s="23"/>
      <c r="KO104" s="23"/>
      <c r="KP104" s="23"/>
      <c r="KQ104" s="23"/>
      <c r="KR104" s="23"/>
      <c r="KS104" s="23"/>
      <c r="KT104" s="23"/>
      <c r="KU104" s="23"/>
      <c r="KV104" s="23"/>
      <c r="KW104" s="23"/>
      <c r="KX104" s="23"/>
      <c r="KY104" s="23"/>
      <c r="KZ104" s="23"/>
      <c r="LA104" s="23"/>
      <c r="LB104" s="23"/>
      <c r="LC104" s="23"/>
      <c r="LD104" s="23"/>
      <c r="LE104" s="23"/>
      <c r="LF104" s="23"/>
      <c r="LG104" s="23"/>
      <c r="LH104" s="23"/>
      <c r="LI104" s="23"/>
      <c r="LJ104" s="23"/>
      <c r="LK104" s="23"/>
      <c r="LL104" s="23"/>
      <c r="LM104" s="23"/>
      <c r="LN104" s="23"/>
      <c r="LO104" s="23"/>
      <c r="LP104" s="23"/>
      <c r="LQ104" s="23"/>
      <c r="LR104" s="23"/>
      <c r="LS104" s="23"/>
      <c r="LT104" s="23"/>
      <c r="LU104" s="23"/>
      <c r="LV104" s="23"/>
      <c r="LW104" s="23"/>
      <c r="LX104" s="23"/>
      <c r="LY104" s="23"/>
      <c r="LZ104" s="23"/>
      <c r="MA104" s="23"/>
      <c r="MB104" s="23"/>
      <c r="MC104" s="23"/>
      <c r="MD104" s="23"/>
      <c r="ME104" s="23"/>
      <c r="MF104" s="23"/>
      <c r="MG104" s="23"/>
      <c r="MH104" s="23"/>
      <c r="MI104" s="23"/>
      <c r="MJ104" s="23"/>
      <c r="MK104" s="23"/>
      <c r="ML104" s="23"/>
      <c r="MM104" s="23"/>
      <c r="MN104" s="23"/>
      <c r="MO104" s="23"/>
      <c r="MP104" s="23"/>
      <c r="MQ104" s="23"/>
      <c r="MR104" s="23"/>
      <c r="MS104" s="23"/>
      <c r="MT104" s="23"/>
      <c r="MU104" s="23"/>
      <c r="MV104" s="23"/>
      <c r="MW104" s="23"/>
      <c r="MX104" s="23"/>
      <c r="MY104" s="23"/>
      <c r="MZ104" s="23"/>
      <c r="NA104" s="23"/>
      <c r="NB104" s="23"/>
      <c r="NC104" s="23"/>
      <c r="ND104" s="23"/>
      <c r="NE104" s="23"/>
      <c r="NF104" s="23"/>
      <c r="NG104" s="23"/>
      <c r="NH104" s="23"/>
      <c r="NI104" s="23"/>
      <c r="NJ104" s="23"/>
      <c r="NK104" s="23"/>
      <c r="NL104" s="23"/>
      <c r="NM104" s="23"/>
      <c r="NN104" s="23"/>
    </row>
    <row r="105" spans="5:378" ht="15" customHeight="1"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  <c r="IZ105" s="23"/>
      <c r="JA105" s="23"/>
      <c r="JB105" s="23"/>
      <c r="JC105" s="23"/>
      <c r="JD105" s="23"/>
      <c r="JE105" s="23"/>
      <c r="JF105" s="23"/>
      <c r="JG105" s="23"/>
      <c r="JH105" s="23"/>
      <c r="JI105" s="23"/>
      <c r="JJ105" s="23"/>
      <c r="JK105" s="23"/>
      <c r="JL105" s="23"/>
      <c r="JM105" s="23"/>
      <c r="JN105" s="23"/>
      <c r="JO105" s="23"/>
      <c r="JP105" s="23"/>
      <c r="JQ105" s="23"/>
      <c r="JR105" s="23"/>
      <c r="JS105" s="23"/>
      <c r="JT105" s="23"/>
      <c r="JU105" s="23"/>
      <c r="JV105" s="23"/>
      <c r="JW105" s="23"/>
      <c r="JX105" s="23"/>
      <c r="JY105" s="23"/>
      <c r="JZ105" s="23"/>
      <c r="KA105" s="23"/>
      <c r="KB105" s="23"/>
      <c r="KC105" s="23"/>
      <c r="KD105" s="23"/>
      <c r="KE105" s="23"/>
      <c r="KF105" s="23"/>
      <c r="KG105" s="23"/>
      <c r="KH105" s="23"/>
      <c r="KI105" s="23"/>
      <c r="KJ105" s="23"/>
      <c r="KK105" s="23"/>
      <c r="KL105" s="23"/>
      <c r="KM105" s="23"/>
      <c r="KN105" s="23"/>
      <c r="KO105" s="23"/>
      <c r="KP105" s="23"/>
      <c r="KQ105" s="23"/>
      <c r="KR105" s="23"/>
      <c r="KS105" s="23"/>
      <c r="KT105" s="23"/>
      <c r="KU105" s="23"/>
      <c r="KV105" s="23"/>
      <c r="KW105" s="23"/>
      <c r="KX105" s="23"/>
      <c r="KY105" s="23"/>
      <c r="KZ105" s="23"/>
      <c r="LA105" s="23"/>
      <c r="LB105" s="23"/>
      <c r="LC105" s="23"/>
      <c r="LD105" s="23"/>
      <c r="LE105" s="23"/>
      <c r="LF105" s="23"/>
      <c r="LG105" s="23"/>
      <c r="LH105" s="23"/>
      <c r="LI105" s="23"/>
      <c r="LJ105" s="23"/>
      <c r="LK105" s="23"/>
      <c r="LL105" s="23"/>
      <c r="LM105" s="23"/>
      <c r="LN105" s="23"/>
      <c r="LO105" s="23"/>
      <c r="LP105" s="23"/>
      <c r="LQ105" s="23"/>
      <c r="LR105" s="23"/>
      <c r="LS105" s="23"/>
      <c r="LT105" s="23"/>
      <c r="LU105" s="23"/>
      <c r="LV105" s="23"/>
      <c r="LW105" s="23"/>
      <c r="LX105" s="23"/>
      <c r="LY105" s="23"/>
      <c r="LZ105" s="23"/>
      <c r="MA105" s="23"/>
      <c r="MB105" s="23"/>
      <c r="MC105" s="23"/>
      <c r="MD105" s="23"/>
      <c r="ME105" s="23"/>
      <c r="MF105" s="23"/>
      <c r="MG105" s="23"/>
      <c r="MH105" s="23"/>
      <c r="MI105" s="23"/>
      <c r="MJ105" s="23"/>
      <c r="MK105" s="23"/>
      <c r="ML105" s="23"/>
      <c r="MM105" s="23"/>
      <c r="MN105" s="23"/>
      <c r="MO105" s="23"/>
      <c r="MP105" s="23"/>
      <c r="MQ105" s="23"/>
      <c r="MR105" s="23"/>
      <c r="MS105" s="23"/>
      <c r="MT105" s="23"/>
      <c r="MU105" s="23"/>
      <c r="MV105" s="23"/>
      <c r="MW105" s="23"/>
      <c r="MX105" s="23"/>
      <c r="MY105" s="23"/>
      <c r="MZ105" s="23"/>
      <c r="NA105" s="23"/>
      <c r="NB105" s="23"/>
      <c r="NC105" s="23"/>
      <c r="ND105" s="23"/>
      <c r="NE105" s="23"/>
      <c r="NF105" s="23"/>
      <c r="NG105" s="23"/>
      <c r="NH105" s="23"/>
      <c r="NI105" s="23"/>
      <c r="NJ105" s="23"/>
      <c r="NK105" s="23"/>
      <c r="NL105" s="23"/>
      <c r="NM105" s="23"/>
      <c r="NN105" s="23"/>
    </row>
    <row r="106" spans="5:378" ht="15" customHeight="1"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  <c r="IZ106" s="23"/>
      <c r="JA106" s="23"/>
      <c r="JB106" s="23"/>
      <c r="JC106" s="23"/>
      <c r="JD106" s="23"/>
      <c r="JE106" s="23"/>
      <c r="JF106" s="23"/>
      <c r="JG106" s="23"/>
      <c r="JH106" s="23"/>
      <c r="JI106" s="23"/>
      <c r="JJ106" s="23"/>
      <c r="JK106" s="23"/>
      <c r="JL106" s="23"/>
      <c r="JM106" s="23"/>
      <c r="JN106" s="23"/>
      <c r="JO106" s="23"/>
      <c r="JP106" s="23"/>
      <c r="JQ106" s="23"/>
      <c r="JR106" s="23"/>
      <c r="JS106" s="23"/>
      <c r="JT106" s="23"/>
      <c r="JU106" s="23"/>
      <c r="JV106" s="23"/>
      <c r="JW106" s="23"/>
      <c r="JX106" s="23"/>
      <c r="JY106" s="23"/>
      <c r="JZ106" s="23"/>
      <c r="KA106" s="23"/>
      <c r="KB106" s="23"/>
      <c r="KC106" s="23"/>
      <c r="KD106" s="23"/>
      <c r="KE106" s="23"/>
      <c r="KF106" s="23"/>
      <c r="KG106" s="23"/>
      <c r="KH106" s="23"/>
      <c r="KI106" s="23"/>
      <c r="KJ106" s="23"/>
      <c r="KK106" s="23"/>
      <c r="KL106" s="23"/>
      <c r="KM106" s="23"/>
      <c r="KN106" s="23"/>
      <c r="KO106" s="23"/>
      <c r="KP106" s="23"/>
      <c r="KQ106" s="23"/>
      <c r="KR106" s="23"/>
      <c r="KS106" s="23"/>
      <c r="KT106" s="23"/>
      <c r="KU106" s="23"/>
      <c r="KV106" s="23"/>
      <c r="KW106" s="23"/>
      <c r="KX106" s="23"/>
      <c r="KY106" s="23"/>
      <c r="KZ106" s="23"/>
      <c r="LA106" s="23"/>
      <c r="LB106" s="23"/>
      <c r="LC106" s="23"/>
      <c r="LD106" s="23"/>
      <c r="LE106" s="23"/>
      <c r="LF106" s="23"/>
      <c r="LG106" s="23"/>
      <c r="LH106" s="23"/>
      <c r="LI106" s="23"/>
      <c r="LJ106" s="23"/>
      <c r="LK106" s="23"/>
      <c r="LL106" s="23"/>
      <c r="LM106" s="23"/>
      <c r="LN106" s="23"/>
      <c r="LO106" s="23"/>
      <c r="LP106" s="23"/>
      <c r="LQ106" s="23"/>
      <c r="LR106" s="23"/>
      <c r="LS106" s="23"/>
      <c r="LT106" s="23"/>
      <c r="LU106" s="23"/>
      <c r="LV106" s="23"/>
      <c r="LW106" s="23"/>
      <c r="LX106" s="23"/>
      <c r="LY106" s="23"/>
      <c r="LZ106" s="23"/>
      <c r="MA106" s="23"/>
      <c r="MB106" s="23"/>
      <c r="MC106" s="23"/>
      <c r="MD106" s="23"/>
      <c r="ME106" s="23"/>
      <c r="MF106" s="23"/>
      <c r="MG106" s="23"/>
      <c r="MH106" s="23"/>
      <c r="MI106" s="23"/>
      <c r="MJ106" s="23"/>
      <c r="MK106" s="23"/>
      <c r="ML106" s="23"/>
      <c r="MM106" s="23"/>
      <c r="MN106" s="23"/>
      <c r="MO106" s="23"/>
      <c r="MP106" s="23"/>
      <c r="MQ106" s="23"/>
      <c r="MR106" s="23"/>
      <c r="MS106" s="23"/>
      <c r="MT106" s="23"/>
      <c r="MU106" s="23"/>
      <c r="MV106" s="23"/>
      <c r="MW106" s="23"/>
      <c r="MX106" s="23"/>
      <c r="MY106" s="23"/>
      <c r="MZ106" s="23"/>
      <c r="NA106" s="23"/>
      <c r="NB106" s="23"/>
      <c r="NC106" s="23"/>
      <c r="ND106" s="23"/>
      <c r="NE106" s="23"/>
      <c r="NF106" s="23"/>
      <c r="NG106" s="23"/>
      <c r="NH106" s="23"/>
      <c r="NI106" s="23"/>
      <c r="NJ106" s="23"/>
      <c r="NK106" s="23"/>
      <c r="NL106" s="23"/>
      <c r="NM106" s="23"/>
      <c r="NN106" s="23"/>
    </row>
    <row r="107" spans="5:378" ht="15" customHeight="1"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  <c r="IZ107" s="23"/>
      <c r="JA107" s="23"/>
      <c r="JB107" s="23"/>
      <c r="JC107" s="23"/>
      <c r="JD107" s="23"/>
      <c r="JE107" s="23"/>
      <c r="JF107" s="23"/>
      <c r="JG107" s="23"/>
      <c r="JH107" s="23"/>
      <c r="JI107" s="23"/>
      <c r="JJ107" s="23"/>
      <c r="JK107" s="23"/>
      <c r="JL107" s="23"/>
      <c r="JM107" s="23"/>
      <c r="JN107" s="23"/>
      <c r="JO107" s="23"/>
      <c r="JP107" s="23"/>
      <c r="JQ107" s="23"/>
      <c r="JR107" s="23"/>
      <c r="JS107" s="23"/>
      <c r="JT107" s="23"/>
      <c r="JU107" s="23"/>
      <c r="JV107" s="23"/>
      <c r="JW107" s="23"/>
      <c r="JX107" s="23"/>
      <c r="JY107" s="23"/>
      <c r="JZ107" s="23"/>
      <c r="KA107" s="23"/>
      <c r="KB107" s="23"/>
      <c r="KC107" s="23"/>
      <c r="KD107" s="23"/>
      <c r="KE107" s="23"/>
      <c r="KF107" s="23"/>
      <c r="KG107" s="23"/>
      <c r="KH107" s="23"/>
      <c r="KI107" s="23"/>
      <c r="KJ107" s="23"/>
      <c r="KK107" s="23"/>
      <c r="KL107" s="23"/>
      <c r="KM107" s="23"/>
      <c r="KN107" s="23"/>
      <c r="KO107" s="23"/>
      <c r="KP107" s="23"/>
      <c r="KQ107" s="23"/>
      <c r="KR107" s="23"/>
      <c r="KS107" s="23"/>
      <c r="KT107" s="23"/>
      <c r="KU107" s="23"/>
      <c r="KV107" s="23"/>
      <c r="KW107" s="23"/>
      <c r="KX107" s="23"/>
      <c r="KY107" s="23"/>
      <c r="KZ107" s="23"/>
      <c r="LA107" s="23"/>
      <c r="LB107" s="23"/>
      <c r="LC107" s="23"/>
      <c r="LD107" s="23"/>
      <c r="LE107" s="23"/>
      <c r="LF107" s="23"/>
      <c r="LG107" s="23"/>
      <c r="LH107" s="23"/>
      <c r="LI107" s="23"/>
      <c r="LJ107" s="23"/>
      <c r="LK107" s="23"/>
      <c r="LL107" s="23"/>
      <c r="LM107" s="23"/>
      <c r="LN107" s="23"/>
      <c r="LO107" s="23"/>
      <c r="LP107" s="23"/>
      <c r="LQ107" s="23"/>
      <c r="LR107" s="23"/>
      <c r="LS107" s="23"/>
      <c r="LT107" s="23"/>
      <c r="LU107" s="23"/>
      <c r="LV107" s="23"/>
      <c r="LW107" s="23"/>
      <c r="LX107" s="23"/>
      <c r="LY107" s="23"/>
      <c r="LZ107" s="23"/>
      <c r="MA107" s="23"/>
      <c r="MB107" s="23"/>
      <c r="MC107" s="23"/>
      <c r="MD107" s="23"/>
      <c r="ME107" s="23"/>
      <c r="MF107" s="23"/>
      <c r="MG107" s="23"/>
      <c r="MH107" s="23"/>
      <c r="MI107" s="23"/>
      <c r="MJ107" s="23"/>
      <c r="MK107" s="23"/>
      <c r="ML107" s="23"/>
      <c r="MM107" s="23"/>
      <c r="MN107" s="23"/>
      <c r="MO107" s="23"/>
      <c r="MP107" s="23"/>
      <c r="MQ107" s="23"/>
      <c r="MR107" s="23"/>
      <c r="MS107" s="23"/>
      <c r="MT107" s="23"/>
      <c r="MU107" s="23"/>
      <c r="MV107" s="23"/>
      <c r="MW107" s="23"/>
      <c r="MX107" s="23"/>
      <c r="MY107" s="23"/>
      <c r="MZ107" s="23"/>
      <c r="NA107" s="23"/>
      <c r="NB107" s="23"/>
      <c r="NC107" s="23"/>
      <c r="ND107" s="23"/>
      <c r="NE107" s="23"/>
      <c r="NF107" s="23"/>
      <c r="NG107" s="23"/>
      <c r="NH107" s="23"/>
      <c r="NI107" s="23"/>
      <c r="NJ107" s="23"/>
      <c r="NK107" s="23"/>
      <c r="NL107" s="23"/>
      <c r="NM107" s="23"/>
      <c r="NN107" s="23"/>
    </row>
    <row r="108" spans="5:378" ht="15" customHeight="1"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  <c r="IZ108" s="23"/>
      <c r="JA108" s="23"/>
      <c r="JB108" s="23"/>
      <c r="JC108" s="23"/>
      <c r="JD108" s="23"/>
      <c r="JE108" s="23"/>
      <c r="JF108" s="23"/>
      <c r="JG108" s="23"/>
      <c r="JH108" s="23"/>
      <c r="JI108" s="23"/>
      <c r="JJ108" s="23"/>
      <c r="JK108" s="23"/>
      <c r="JL108" s="23"/>
      <c r="JM108" s="23"/>
      <c r="JN108" s="23"/>
      <c r="JO108" s="23"/>
      <c r="JP108" s="23"/>
      <c r="JQ108" s="23"/>
      <c r="JR108" s="23"/>
      <c r="JS108" s="23"/>
      <c r="JT108" s="23"/>
      <c r="JU108" s="23"/>
      <c r="JV108" s="23"/>
      <c r="JW108" s="23"/>
      <c r="JX108" s="23"/>
      <c r="JY108" s="23"/>
      <c r="JZ108" s="23"/>
      <c r="KA108" s="23"/>
      <c r="KB108" s="23"/>
      <c r="KC108" s="23"/>
      <c r="KD108" s="23"/>
      <c r="KE108" s="23"/>
      <c r="KF108" s="23"/>
      <c r="KG108" s="23"/>
      <c r="KH108" s="23"/>
      <c r="KI108" s="23"/>
      <c r="KJ108" s="23"/>
      <c r="KK108" s="23"/>
      <c r="KL108" s="23"/>
      <c r="KM108" s="23"/>
      <c r="KN108" s="23"/>
      <c r="KO108" s="23"/>
      <c r="KP108" s="23"/>
      <c r="KQ108" s="23"/>
      <c r="KR108" s="23"/>
      <c r="KS108" s="23"/>
      <c r="KT108" s="23"/>
      <c r="KU108" s="23"/>
      <c r="KV108" s="23"/>
      <c r="KW108" s="23"/>
      <c r="KX108" s="23"/>
      <c r="KY108" s="23"/>
      <c r="KZ108" s="23"/>
      <c r="LA108" s="23"/>
      <c r="LB108" s="23"/>
      <c r="LC108" s="23"/>
      <c r="LD108" s="23"/>
      <c r="LE108" s="23"/>
      <c r="LF108" s="23"/>
      <c r="LG108" s="23"/>
      <c r="LH108" s="23"/>
      <c r="LI108" s="23"/>
      <c r="LJ108" s="23"/>
      <c r="LK108" s="23"/>
      <c r="LL108" s="23"/>
      <c r="LM108" s="23"/>
      <c r="LN108" s="23"/>
      <c r="LO108" s="23"/>
      <c r="LP108" s="23"/>
      <c r="LQ108" s="23"/>
      <c r="LR108" s="23"/>
      <c r="LS108" s="23"/>
      <c r="LT108" s="23"/>
      <c r="LU108" s="23"/>
      <c r="LV108" s="23"/>
      <c r="LW108" s="23"/>
      <c r="LX108" s="23"/>
      <c r="LY108" s="23"/>
      <c r="LZ108" s="23"/>
      <c r="MA108" s="23"/>
      <c r="MB108" s="23"/>
      <c r="MC108" s="23"/>
      <c r="MD108" s="23"/>
      <c r="ME108" s="23"/>
      <c r="MF108" s="23"/>
      <c r="MG108" s="23"/>
      <c r="MH108" s="23"/>
      <c r="MI108" s="23"/>
      <c r="MJ108" s="23"/>
      <c r="MK108" s="23"/>
      <c r="ML108" s="23"/>
      <c r="MM108" s="23"/>
      <c r="MN108" s="23"/>
      <c r="MO108" s="23"/>
      <c r="MP108" s="23"/>
      <c r="MQ108" s="23"/>
      <c r="MR108" s="23"/>
      <c r="MS108" s="23"/>
      <c r="MT108" s="23"/>
      <c r="MU108" s="23"/>
      <c r="MV108" s="23"/>
      <c r="MW108" s="23"/>
      <c r="MX108" s="23"/>
      <c r="MY108" s="23"/>
      <c r="MZ108" s="23"/>
      <c r="NA108" s="23"/>
      <c r="NB108" s="23"/>
      <c r="NC108" s="23"/>
      <c r="ND108" s="23"/>
      <c r="NE108" s="23"/>
      <c r="NF108" s="23"/>
      <c r="NG108" s="23"/>
      <c r="NH108" s="23"/>
      <c r="NI108" s="23"/>
      <c r="NJ108" s="23"/>
      <c r="NK108" s="23"/>
      <c r="NL108" s="23"/>
      <c r="NM108" s="23"/>
      <c r="NN108" s="23"/>
    </row>
    <row r="109" spans="5:378" ht="15" customHeight="1"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  <c r="IZ109" s="23"/>
      <c r="JA109" s="23"/>
      <c r="JB109" s="23"/>
      <c r="JC109" s="23"/>
      <c r="JD109" s="23"/>
      <c r="JE109" s="23"/>
      <c r="JF109" s="23"/>
      <c r="JG109" s="23"/>
      <c r="JH109" s="23"/>
      <c r="JI109" s="23"/>
      <c r="JJ109" s="23"/>
      <c r="JK109" s="23"/>
      <c r="JL109" s="23"/>
      <c r="JM109" s="23"/>
      <c r="JN109" s="23"/>
      <c r="JO109" s="23"/>
      <c r="JP109" s="23"/>
      <c r="JQ109" s="23"/>
      <c r="JR109" s="23"/>
      <c r="JS109" s="23"/>
      <c r="JT109" s="23"/>
      <c r="JU109" s="23"/>
      <c r="JV109" s="23"/>
      <c r="JW109" s="23"/>
      <c r="JX109" s="23"/>
      <c r="JY109" s="23"/>
      <c r="JZ109" s="23"/>
      <c r="KA109" s="23"/>
      <c r="KB109" s="23"/>
      <c r="KC109" s="23"/>
      <c r="KD109" s="23"/>
      <c r="KE109" s="23"/>
      <c r="KF109" s="23"/>
      <c r="KG109" s="23"/>
      <c r="KH109" s="23"/>
      <c r="KI109" s="23"/>
      <c r="KJ109" s="23"/>
      <c r="KK109" s="23"/>
      <c r="KL109" s="23"/>
      <c r="KM109" s="23"/>
      <c r="KN109" s="23"/>
      <c r="KO109" s="23"/>
      <c r="KP109" s="23"/>
      <c r="KQ109" s="23"/>
      <c r="KR109" s="23"/>
      <c r="KS109" s="23"/>
      <c r="KT109" s="23"/>
      <c r="KU109" s="23"/>
      <c r="KV109" s="23"/>
      <c r="KW109" s="23"/>
      <c r="KX109" s="23"/>
      <c r="KY109" s="23"/>
      <c r="KZ109" s="23"/>
      <c r="LA109" s="23"/>
      <c r="LB109" s="23"/>
      <c r="LC109" s="23"/>
      <c r="LD109" s="23"/>
      <c r="LE109" s="23"/>
      <c r="LF109" s="23"/>
      <c r="LG109" s="23"/>
      <c r="LH109" s="23"/>
      <c r="LI109" s="23"/>
      <c r="LJ109" s="23"/>
      <c r="LK109" s="23"/>
      <c r="LL109" s="23"/>
      <c r="LM109" s="23"/>
      <c r="LN109" s="23"/>
      <c r="LO109" s="23"/>
      <c r="LP109" s="23"/>
      <c r="LQ109" s="23"/>
      <c r="LR109" s="23"/>
      <c r="LS109" s="23"/>
      <c r="LT109" s="23"/>
      <c r="LU109" s="23"/>
      <c r="LV109" s="23"/>
      <c r="LW109" s="23"/>
      <c r="LX109" s="23"/>
      <c r="LY109" s="23"/>
      <c r="LZ109" s="23"/>
      <c r="MA109" s="23"/>
      <c r="MB109" s="23"/>
      <c r="MC109" s="23"/>
      <c r="MD109" s="23"/>
      <c r="ME109" s="23"/>
      <c r="MF109" s="23"/>
      <c r="MG109" s="23"/>
      <c r="MH109" s="23"/>
      <c r="MI109" s="23"/>
      <c r="MJ109" s="23"/>
      <c r="MK109" s="23"/>
      <c r="ML109" s="23"/>
      <c r="MM109" s="23"/>
      <c r="MN109" s="23"/>
      <c r="MO109" s="23"/>
      <c r="MP109" s="23"/>
      <c r="MQ109" s="23"/>
      <c r="MR109" s="23"/>
      <c r="MS109" s="23"/>
      <c r="MT109" s="23"/>
      <c r="MU109" s="23"/>
      <c r="MV109" s="23"/>
      <c r="MW109" s="23"/>
      <c r="MX109" s="23"/>
      <c r="MY109" s="23"/>
      <c r="MZ109" s="23"/>
      <c r="NA109" s="23"/>
      <c r="NB109" s="23"/>
      <c r="NC109" s="23"/>
      <c r="ND109" s="23"/>
      <c r="NE109" s="23"/>
      <c r="NF109" s="23"/>
      <c r="NG109" s="23"/>
      <c r="NH109" s="23"/>
      <c r="NI109" s="23"/>
      <c r="NJ109" s="23"/>
      <c r="NK109" s="23"/>
      <c r="NL109" s="23"/>
      <c r="NM109" s="23"/>
      <c r="NN109" s="23"/>
    </row>
    <row r="110" spans="5:378" ht="15" customHeight="1"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  <c r="IZ110" s="23"/>
      <c r="JA110" s="23"/>
      <c r="JB110" s="23"/>
      <c r="JC110" s="23"/>
      <c r="JD110" s="23"/>
      <c r="JE110" s="23"/>
      <c r="JF110" s="23"/>
      <c r="JG110" s="23"/>
      <c r="JH110" s="23"/>
      <c r="JI110" s="23"/>
      <c r="JJ110" s="23"/>
      <c r="JK110" s="23"/>
      <c r="JL110" s="23"/>
      <c r="JM110" s="23"/>
      <c r="JN110" s="23"/>
      <c r="JO110" s="23"/>
      <c r="JP110" s="23"/>
      <c r="JQ110" s="23"/>
      <c r="JR110" s="23"/>
      <c r="JS110" s="23"/>
      <c r="JT110" s="23"/>
      <c r="JU110" s="23"/>
      <c r="JV110" s="23"/>
      <c r="JW110" s="23"/>
      <c r="JX110" s="23"/>
      <c r="JY110" s="23"/>
      <c r="JZ110" s="23"/>
      <c r="KA110" s="23"/>
      <c r="KB110" s="23"/>
      <c r="KC110" s="23"/>
      <c r="KD110" s="23"/>
      <c r="KE110" s="23"/>
      <c r="KF110" s="23"/>
      <c r="KG110" s="23"/>
      <c r="KH110" s="23"/>
      <c r="KI110" s="23"/>
      <c r="KJ110" s="23"/>
      <c r="KK110" s="23"/>
      <c r="KL110" s="23"/>
      <c r="KM110" s="23"/>
      <c r="KN110" s="23"/>
      <c r="KO110" s="23"/>
      <c r="KP110" s="23"/>
      <c r="KQ110" s="23"/>
      <c r="KR110" s="23"/>
      <c r="KS110" s="23"/>
      <c r="KT110" s="23"/>
      <c r="KU110" s="23"/>
      <c r="KV110" s="23"/>
      <c r="KW110" s="23"/>
      <c r="KX110" s="23"/>
      <c r="KY110" s="23"/>
      <c r="KZ110" s="23"/>
      <c r="LA110" s="23"/>
      <c r="LB110" s="23"/>
      <c r="LC110" s="23"/>
      <c r="LD110" s="23"/>
      <c r="LE110" s="23"/>
      <c r="LF110" s="23"/>
      <c r="LG110" s="23"/>
      <c r="LH110" s="23"/>
      <c r="LI110" s="23"/>
      <c r="LJ110" s="23"/>
      <c r="LK110" s="23"/>
      <c r="LL110" s="23"/>
      <c r="LM110" s="23"/>
      <c r="LN110" s="23"/>
      <c r="LO110" s="23"/>
      <c r="LP110" s="23"/>
      <c r="LQ110" s="23"/>
      <c r="LR110" s="23"/>
      <c r="LS110" s="23"/>
      <c r="LT110" s="23"/>
      <c r="LU110" s="23"/>
      <c r="LV110" s="23"/>
      <c r="LW110" s="23"/>
      <c r="LX110" s="23"/>
      <c r="LY110" s="23"/>
      <c r="LZ110" s="23"/>
      <c r="MA110" s="23"/>
      <c r="MB110" s="23"/>
      <c r="MC110" s="23"/>
      <c r="MD110" s="23"/>
      <c r="ME110" s="23"/>
      <c r="MF110" s="23"/>
      <c r="MG110" s="23"/>
      <c r="MH110" s="23"/>
      <c r="MI110" s="23"/>
      <c r="MJ110" s="23"/>
      <c r="MK110" s="23"/>
      <c r="ML110" s="23"/>
      <c r="MM110" s="23"/>
      <c r="MN110" s="23"/>
      <c r="MO110" s="23"/>
      <c r="MP110" s="23"/>
      <c r="MQ110" s="23"/>
      <c r="MR110" s="23"/>
      <c r="MS110" s="23"/>
      <c r="MT110" s="23"/>
      <c r="MU110" s="23"/>
      <c r="MV110" s="23"/>
      <c r="MW110" s="23"/>
      <c r="MX110" s="23"/>
      <c r="MY110" s="23"/>
      <c r="MZ110" s="23"/>
      <c r="NA110" s="23"/>
      <c r="NB110" s="23"/>
      <c r="NC110" s="23"/>
      <c r="ND110" s="23"/>
      <c r="NE110" s="23"/>
      <c r="NF110" s="23"/>
      <c r="NG110" s="23"/>
      <c r="NH110" s="23"/>
      <c r="NI110" s="23"/>
      <c r="NJ110" s="23"/>
      <c r="NK110" s="23"/>
      <c r="NL110" s="23"/>
      <c r="NM110" s="23"/>
      <c r="NN110" s="23"/>
    </row>
    <row r="111" spans="5:378" ht="15" customHeight="1"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  <c r="IZ111" s="23"/>
      <c r="JA111" s="23"/>
      <c r="JB111" s="23"/>
      <c r="JC111" s="23"/>
      <c r="JD111" s="23"/>
      <c r="JE111" s="23"/>
      <c r="JF111" s="23"/>
      <c r="JG111" s="23"/>
      <c r="JH111" s="23"/>
      <c r="JI111" s="23"/>
      <c r="JJ111" s="23"/>
      <c r="JK111" s="23"/>
      <c r="JL111" s="23"/>
      <c r="JM111" s="23"/>
      <c r="JN111" s="23"/>
      <c r="JO111" s="23"/>
      <c r="JP111" s="23"/>
      <c r="JQ111" s="23"/>
      <c r="JR111" s="23"/>
      <c r="JS111" s="23"/>
      <c r="JT111" s="23"/>
      <c r="JU111" s="23"/>
      <c r="JV111" s="23"/>
      <c r="JW111" s="23"/>
      <c r="JX111" s="23"/>
      <c r="JY111" s="23"/>
      <c r="JZ111" s="23"/>
      <c r="KA111" s="23"/>
      <c r="KB111" s="23"/>
      <c r="KC111" s="23"/>
      <c r="KD111" s="23"/>
      <c r="KE111" s="23"/>
      <c r="KF111" s="23"/>
      <c r="KG111" s="23"/>
      <c r="KH111" s="23"/>
      <c r="KI111" s="23"/>
      <c r="KJ111" s="23"/>
      <c r="KK111" s="23"/>
      <c r="KL111" s="23"/>
      <c r="KM111" s="23"/>
      <c r="KN111" s="23"/>
      <c r="KO111" s="23"/>
      <c r="KP111" s="23"/>
      <c r="KQ111" s="23"/>
      <c r="KR111" s="23"/>
      <c r="KS111" s="23"/>
      <c r="KT111" s="23"/>
      <c r="KU111" s="23"/>
      <c r="KV111" s="23"/>
      <c r="KW111" s="23"/>
      <c r="KX111" s="23"/>
      <c r="KY111" s="23"/>
      <c r="KZ111" s="23"/>
      <c r="LA111" s="23"/>
      <c r="LB111" s="23"/>
      <c r="LC111" s="23"/>
      <c r="LD111" s="23"/>
      <c r="LE111" s="23"/>
      <c r="LF111" s="23"/>
      <c r="LG111" s="23"/>
      <c r="LH111" s="23"/>
      <c r="LI111" s="23"/>
      <c r="LJ111" s="23"/>
      <c r="LK111" s="23"/>
      <c r="LL111" s="23"/>
      <c r="LM111" s="23"/>
      <c r="LN111" s="23"/>
      <c r="LO111" s="23"/>
      <c r="LP111" s="23"/>
      <c r="LQ111" s="23"/>
      <c r="LR111" s="23"/>
      <c r="LS111" s="23"/>
      <c r="LT111" s="23"/>
      <c r="LU111" s="23"/>
      <c r="LV111" s="23"/>
      <c r="LW111" s="23"/>
      <c r="LX111" s="23"/>
      <c r="LY111" s="23"/>
      <c r="LZ111" s="23"/>
      <c r="MA111" s="23"/>
      <c r="MB111" s="23"/>
      <c r="MC111" s="23"/>
      <c r="MD111" s="23"/>
      <c r="ME111" s="23"/>
      <c r="MF111" s="23"/>
      <c r="MG111" s="23"/>
      <c r="MH111" s="23"/>
      <c r="MI111" s="23"/>
      <c r="MJ111" s="23"/>
      <c r="MK111" s="23"/>
      <c r="ML111" s="23"/>
      <c r="MM111" s="23"/>
      <c r="MN111" s="23"/>
      <c r="MO111" s="23"/>
      <c r="MP111" s="23"/>
      <c r="MQ111" s="23"/>
      <c r="MR111" s="23"/>
      <c r="MS111" s="23"/>
      <c r="MT111" s="23"/>
      <c r="MU111" s="23"/>
      <c r="MV111" s="23"/>
      <c r="MW111" s="23"/>
      <c r="MX111" s="23"/>
      <c r="MY111" s="23"/>
      <c r="MZ111" s="23"/>
      <c r="NA111" s="23"/>
      <c r="NB111" s="23"/>
      <c r="NC111" s="23"/>
      <c r="ND111" s="23"/>
      <c r="NE111" s="23"/>
      <c r="NF111" s="23"/>
      <c r="NG111" s="23"/>
      <c r="NH111" s="23"/>
      <c r="NI111" s="23"/>
      <c r="NJ111" s="23"/>
      <c r="NK111" s="23"/>
      <c r="NL111" s="23"/>
      <c r="NM111" s="23"/>
      <c r="NN111" s="23"/>
    </row>
    <row r="112" spans="5:378" ht="15" customHeight="1"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  <c r="IZ112" s="23"/>
      <c r="JA112" s="23"/>
      <c r="JB112" s="23"/>
      <c r="JC112" s="23"/>
      <c r="JD112" s="23"/>
      <c r="JE112" s="23"/>
      <c r="JF112" s="23"/>
      <c r="JG112" s="23"/>
      <c r="JH112" s="23"/>
      <c r="JI112" s="23"/>
      <c r="JJ112" s="23"/>
      <c r="JK112" s="23"/>
      <c r="JL112" s="23"/>
      <c r="JM112" s="23"/>
      <c r="JN112" s="23"/>
      <c r="JO112" s="23"/>
      <c r="JP112" s="23"/>
      <c r="JQ112" s="23"/>
      <c r="JR112" s="23"/>
      <c r="JS112" s="23"/>
      <c r="JT112" s="23"/>
      <c r="JU112" s="23"/>
      <c r="JV112" s="23"/>
      <c r="JW112" s="23"/>
      <c r="JX112" s="23"/>
      <c r="JY112" s="23"/>
      <c r="JZ112" s="23"/>
      <c r="KA112" s="23"/>
      <c r="KB112" s="23"/>
      <c r="KC112" s="23"/>
      <c r="KD112" s="23"/>
      <c r="KE112" s="23"/>
      <c r="KF112" s="23"/>
      <c r="KG112" s="23"/>
      <c r="KH112" s="23"/>
      <c r="KI112" s="23"/>
      <c r="KJ112" s="23"/>
      <c r="KK112" s="23"/>
      <c r="KL112" s="23"/>
      <c r="KM112" s="23"/>
      <c r="KN112" s="23"/>
      <c r="KO112" s="23"/>
      <c r="KP112" s="23"/>
      <c r="KQ112" s="23"/>
      <c r="KR112" s="23"/>
      <c r="KS112" s="23"/>
      <c r="KT112" s="23"/>
      <c r="KU112" s="23"/>
      <c r="KV112" s="23"/>
      <c r="KW112" s="23"/>
      <c r="KX112" s="23"/>
      <c r="KY112" s="23"/>
      <c r="KZ112" s="23"/>
      <c r="LA112" s="23"/>
      <c r="LB112" s="23"/>
      <c r="LC112" s="23"/>
      <c r="LD112" s="23"/>
      <c r="LE112" s="23"/>
      <c r="LF112" s="23"/>
      <c r="LG112" s="23"/>
      <c r="LH112" s="23"/>
      <c r="LI112" s="23"/>
      <c r="LJ112" s="23"/>
      <c r="LK112" s="23"/>
      <c r="LL112" s="23"/>
      <c r="LM112" s="23"/>
      <c r="LN112" s="23"/>
      <c r="LO112" s="23"/>
      <c r="LP112" s="23"/>
      <c r="LQ112" s="23"/>
      <c r="LR112" s="23"/>
      <c r="LS112" s="23"/>
      <c r="LT112" s="23"/>
      <c r="LU112" s="23"/>
      <c r="LV112" s="23"/>
      <c r="LW112" s="23"/>
      <c r="LX112" s="23"/>
      <c r="LY112" s="23"/>
      <c r="LZ112" s="23"/>
      <c r="MA112" s="23"/>
      <c r="MB112" s="23"/>
      <c r="MC112" s="23"/>
      <c r="MD112" s="23"/>
      <c r="ME112" s="23"/>
      <c r="MF112" s="23"/>
      <c r="MG112" s="23"/>
      <c r="MH112" s="23"/>
      <c r="MI112" s="23"/>
      <c r="MJ112" s="23"/>
      <c r="MK112" s="23"/>
      <c r="ML112" s="23"/>
      <c r="MM112" s="23"/>
      <c r="MN112" s="23"/>
      <c r="MO112" s="23"/>
      <c r="MP112" s="23"/>
      <c r="MQ112" s="23"/>
      <c r="MR112" s="23"/>
      <c r="MS112" s="23"/>
      <c r="MT112" s="23"/>
      <c r="MU112" s="23"/>
      <c r="MV112" s="23"/>
      <c r="MW112" s="23"/>
      <c r="MX112" s="23"/>
      <c r="MY112" s="23"/>
      <c r="MZ112" s="23"/>
      <c r="NA112" s="23"/>
      <c r="NB112" s="23"/>
      <c r="NC112" s="23"/>
      <c r="ND112" s="23"/>
      <c r="NE112" s="23"/>
      <c r="NF112" s="23"/>
      <c r="NG112" s="23"/>
      <c r="NH112" s="23"/>
      <c r="NI112" s="23"/>
      <c r="NJ112" s="23"/>
      <c r="NK112" s="23"/>
      <c r="NL112" s="23"/>
      <c r="NM112" s="23"/>
      <c r="NN112" s="23"/>
    </row>
    <row r="113" spans="5:378" ht="15" customHeight="1"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  <c r="IZ113" s="23"/>
      <c r="JA113" s="23"/>
      <c r="JB113" s="23"/>
      <c r="JC113" s="23"/>
      <c r="JD113" s="23"/>
      <c r="JE113" s="23"/>
      <c r="JF113" s="23"/>
      <c r="JG113" s="23"/>
      <c r="JH113" s="23"/>
      <c r="JI113" s="23"/>
      <c r="JJ113" s="23"/>
      <c r="JK113" s="23"/>
      <c r="JL113" s="23"/>
      <c r="JM113" s="23"/>
      <c r="JN113" s="23"/>
      <c r="JO113" s="23"/>
      <c r="JP113" s="23"/>
      <c r="JQ113" s="23"/>
      <c r="JR113" s="23"/>
      <c r="JS113" s="23"/>
      <c r="JT113" s="23"/>
      <c r="JU113" s="23"/>
      <c r="JV113" s="23"/>
      <c r="JW113" s="23"/>
      <c r="JX113" s="23"/>
      <c r="JY113" s="23"/>
      <c r="JZ113" s="23"/>
      <c r="KA113" s="23"/>
      <c r="KB113" s="23"/>
      <c r="KC113" s="23"/>
      <c r="KD113" s="23"/>
      <c r="KE113" s="23"/>
      <c r="KF113" s="23"/>
      <c r="KG113" s="23"/>
      <c r="KH113" s="23"/>
      <c r="KI113" s="23"/>
      <c r="KJ113" s="23"/>
      <c r="KK113" s="23"/>
      <c r="KL113" s="23"/>
      <c r="KM113" s="23"/>
      <c r="KN113" s="23"/>
      <c r="KO113" s="23"/>
      <c r="KP113" s="23"/>
      <c r="KQ113" s="23"/>
      <c r="KR113" s="23"/>
      <c r="KS113" s="23"/>
      <c r="KT113" s="23"/>
      <c r="KU113" s="23"/>
      <c r="KV113" s="23"/>
      <c r="KW113" s="23"/>
      <c r="KX113" s="23"/>
      <c r="KY113" s="23"/>
      <c r="KZ113" s="23"/>
      <c r="LA113" s="23"/>
      <c r="LB113" s="23"/>
      <c r="LC113" s="23"/>
      <c r="LD113" s="23"/>
      <c r="LE113" s="23"/>
      <c r="LF113" s="23"/>
      <c r="LG113" s="23"/>
      <c r="LH113" s="23"/>
      <c r="LI113" s="23"/>
      <c r="LJ113" s="23"/>
      <c r="LK113" s="23"/>
      <c r="LL113" s="23"/>
      <c r="LM113" s="23"/>
      <c r="LN113" s="23"/>
      <c r="LO113" s="23"/>
      <c r="LP113" s="23"/>
      <c r="LQ113" s="23"/>
      <c r="LR113" s="23"/>
      <c r="LS113" s="23"/>
      <c r="LT113" s="23"/>
      <c r="LU113" s="23"/>
      <c r="LV113" s="23"/>
      <c r="LW113" s="23"/>
      <c r="LX113" s="23"/>
      <c r="LY113" s="23"/>
      <c r="LZ113" s="23"/>
      <c r="MA113" s="23"/>
      <c r="MB113" s="23"/>
      <c r="MC113" s="23"/>
      <c r="MD113" s="23"/>
      <c r="ME113" s="23"/>
      <c r="MF113" s="23"/>
      <c r="MG113" s="23"/>
      <c r="MH113" s="23"/>
      <c r="MI113" s="23"/>
      <c r="MJ113" s="23"/>
      <c r="MK113" s="23"/>
      <c r="ML113" s="23"/>
      <c r="MM113" s="23"/>
      <c r="MN113" s="23"/>
      <c r="MO113" s="23"/>
      <c r="MP113" s="23"/>
      <c r="MQ113" s="23"/>
      <c r="MR113" s="23"/>
      <c r="MS113" s="23"/>
      <c r="MT113" s="23"/>
      <c r="MU113" s="23"/>
      <c r="MV113" s="23"/>
      <c r="MW113" s="23"/>
      <c r="MX113" s="23"/>
      <c r="MY113" s="23"/>
      <c r="MZ113" s="23"/>
      <c r="NA113" s="23"/>
      <c r="NB113" s="23"/>
      <c r="NC113" s="23"/>
      <c r="ND113" s="23"/>
      <c r="NE113" s="23"/>
      <c r="NF113" s="23"/>
      <c r="NG113" s="23"/>
      <c r="NH113" s="23"/>
      <c r="NI113" s="23"/>
      <c r="NJ113" s="23"/>
      <c r="NK113" s="23"/>
      <c r="NL113" s="23"/>
      <c r="NM113" s="23"/>
      <c r="NN113" s="23"/>
    </row>
    <row r="114" spans="5:378" ht="15" customHeight="1"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  <c r="IZ114" s="23"/>
      <c r="JA114" s="23"/>
      <c r="JB114" s="23"/>
      <c r="JC114" s="23"/>
      <c r="JD114" s="23"/>
      <c r="JE114" s="23"/>
      <c r="JF114" s="23"/>
      <c r="JG114" s="23"/>
      <c r="JH114" s="23"/>
      <c r="JI114" s="23"/>
      <c r="JJ114" s="23"/>
      <c r="JK114" s="23"/>
      <c r="JL114" s="23"/>
      <c r="JM114" s="23"/>
      <c r="JN114" s="23"/>
      <c r="JO114" s="23"/>
      <c r="JP114" s="23"/>
      <c r="JQ114" s="23"/>
      <c r="JR114" s="23"/>
      <c r="JS114" s="23"/>
      <c r="JT114" s="23"/>
      <c r="JU114" s="23"/>
      <c r="JV114" s="23"/>
      <c r="JW114" s="23"/>
      <c r="JX114" s="23"/>
      <c r="JY114" s="23"/>
      <c r="JZ114" s="23"/>
      <c r="KA114" s="23"/>
      <c r="KB114" s="23"/>
      <c r="KC114" s="23"/>
      <c r="KD114" s="23"/>
      <c r="KE114" s="23"/>
      <c r="KF114" s="23"/>
      <c r="KG114" s="23"/>
      <c r="KH114" s="23"/>
      <c r="KI114" s="23"/>
      <c r="KJ114" s="23"/>
      <c r="KK114" s="23"/>
      <c r="KL114" s="23"/>
      <c r="KM114" s="23"/>
      <c r="KN114" s="23"/>
      <c r="KO114" s="23"/>
      <c r="KP114" s="23"/>
      <c r="KQ114" s="23"/>
      <c r="KR114" s="23"/>
      <c r="KS114" s="23"/>
      <c r="KT114" s="23"/>
      <c r="KU114" s="23"/>
      <c r="KV114" s="23"/>
      <c r="KW114" s="23"/>
      <c r="KX114" s="23"/>
      <c r="KY114" s="23"/>
      <c r="KZ114" s="23"/>
      <c r="LA114" s="23"/>
      <c r="LB114" s="23"/>
      <c r="LC114" s="23"/>
      <c r="LD114" s="23"/>
      <c r="LE114" s="23"/>
      <c r="LF114" s="23"/>
      <c r="LG114" s="23"/>
      <c r="LH114" s="23"/>
      <c r="LI114" s="23"/>
      <c r="LJ114" s="23"/>
      <c r="LK114" s="23"/>
      <c r="LL114" s="23"/>
      <c r="LM114" s="23"/>
      <c r="LN114" s="23"/>
      <c r="LO114" s="23"/>
      <c r="LP114" s="23"/>
      <c r="LQ114" s="23"/>
      <c r="LR114" s="23"/>
      <c r="LS114" s="23"/>
      <c r="LT114" s="23"/>
      <c r="LU114" s="23"/>
      <c r="LV114" s="23"/>
      <c r="LW114" s="23"/>
      <c r="LX114" s="23"/>
      <c r="LY114" s="23"/>
      <c r="LZ114" s="23"/>
      <c r="MA114" s="23"/>
      <c r="MB114" s="23"/>
      <c r="MC114" s="23"/>
      <c r="MD114" s="23"/>
      <c r="ME114" s="23"/>
      <c r="MF114" s="23"/>
      <c r="MG114" s="23"/>
      <c r="MH114" s="23"/>
      <c r="MI114" s="23"/>
      <c r="MJ114" s="23"/>
      <c r="MK114" s="23"/>
      <c r="ML114" s="23"/>
      <c r="MM114" s="23"/>
      <c r="MN114" s="23"/>
      <c r="MO114" s="23"/>
      <c r="MP114" s="23"/>
      <c r="MQ114" s="23"/>
      <c r="MR114" s="23"/>
      <c r="MS114" s="23"/>
      <c r="MT114" s="23"/>
      <c r="MU114" s="23"/>
      <c r="MV114" s="23"/>
      <c r="MW114" s="23"/>
      <c r="MX114" s="23"/>
      <c r="MY114" s="23"/>
      <c r="MZ114" s="23"/>
      <c r="NA114" s="23"/>
      <c r="NB114" s="23"/>
      <c r="NC114" s="23"/>
      <c r="ND114" s="23"/>
      <c r="NE114" s="23"/>
      <c r="NF114" s="23"/>
      <c r="NG114" s="23"/>
      <c r="NH114" s="23"/>
      <c r="NI114" s="23"/>
      <c r="NJ114" s="23"/>
      <c r="NK114" s="23"/>
      <c r="NL114" s="23"/>
      <c r="NM114" s="23"/>
      <c r="NN114" s="23"/>
    </row>
    <row r="115" spans="5:378" ht="15" customHeight="1"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  <c r="IZ115" s="23"/>
      <c r="JA115" s="23"/>
      <c r="JB115" s="23"/>
      <c r="JC115" s="23"/>
      <c r="JD115" s="23"/>
      <c r="JE115" s="23"/>
      <c r="JF115" s="23"/>
      <c r="JG115" s="23"/>
      <c r="JH115" s="23"/>
      <c r="JI115" s="23"/>
      <c r="JJ115" s="23"/>
      <c r="JK115" s="23"/>
      <c r="JL115" s="23"/>
      <c r="JM115" s="23"/>
      <c r="JN115" s="23"/>
      <c r="JO115" s="23"/>
      <c r="JP115" s="23"/>
      <c r="JQ115" s="23"/>
      <c r="JR115" s="23"/>
      <c r="JS115" s="23"/>
      <c r="JT115" s="23"/>
      <c r="JU115" s="23"/>
      <c r="JV115" s="23"/>
      <c r="JW115" s="23"/>
      <c r="JX115" s="23"/>
      <c r="JY115" s="23"/>
      <c r="JZ115" s="23"/>
      <c r="KA115" s="23"/>
      <c r="KB115" s="23"/>
      <c r="KC115" s="23"/>
      <c r="KD115" s="23"/>
      <c r="KE115" s="23"/>
      <c r="KF115" s="23"/>
      <c r="KG115" s="23"/>
      <c r="KH115" s="23"/>
      <c r="KI115" s="23"/>
      <c r="KJ115" s="23"/>
      <c r="KK115" s="23"/>
      <c r="KL115" s="23"/>
      <c r="KM115" s="23"/>
      <c r="KN115" s="23"/>
      <c r="KO115" s="23"/>
      <c r="KP115" s="23"/>
      <c r="KQ115" s="23"/>
      <c r="KR115" s="23"/>
      <c r="KS115" s="23"/>
      <c r="KT115" s="23"/>
      <c r="KU115" s="23"/>
      <c r="KV115" s="23"/>
      <c r="KW115" s="23"/>
      <c r="KX115" s="23"/>
      <c r="KY115" s="23"/>
      <c r="KZ115" s="23"/>
      <c r="LA115" s="23"/>
      <c r="LB115" s="23"/>
      <c r="LC115" s="23"/>
      <c r="LD115" s="23"/>
      <c r="LE115" s="23"/>
      <c r="LF115" s="23"/>
      <c r="LG115" s="23"/>
      <c r="LH115" s="23"/>
      <c r="LI115" s="23"/>
      <c r="LJ115" s="23"/>
      <c r="LK115" s="23"/>
      <c r="LL115" s="23"/>
      <c r="LM115" s="23"/>
      <c r="LN115" s="23"/>
      <c r="LO115" s="23"/>
      <c r="LP115" s="23"/>
      <c r="LQ115" s="23"/>
      <c r="LR115" s="23"/>
      <c r="LS115" s="23"/>
      <c r="LT115" s="23"/>
      <c r="LU115" s="23"/>
      <c r="LV115" s="23"/>
      <c r="LW115" s="23"/>
      <c r="LX115" s="23"/>
      <c r="LY115" s="23"/>
      <c r="LZ115" s="23"/>
      <c r="MA115" s="23"/>
      <c r="MB115" s="23"/>
      <c r="MC115" s="23"/>
      <c r="MD115" s="23"/>
      <c r="ME115" s="23"/>
      <c r="MF115" s="23"/>
      <c r="MG115" s="23"/>
      <c r="MH115" s="23"/>
      <c r="MI115" s="23"/>
      <c r="MJ115" s="23"/>
      <c r="MK115" s="23"/>
      <c r="ML115" s="23"/>
      <c r="MM115" s="23"/>
      <c r="MN115" s="23"/>
      <c r="MO115" s="23"/>
      <c r="MP115" s="23"/>
      <c r="MQ115" s="23"/>
      <c r="MR115" s="23"/>
      <c r="MS115" s="23"/>
      <c r="MT115" s="23"/>
      <c r="MU115" s="23"/>
      <c r="MV115" s="23"/>
      <c r="MW115" s="23"/>
      <c r="MX115" s="23"/>
      <c r="MY115" s="23"/>
      <c r="MZ115" s="23"/>
      <c r="NA115" s="23"/>
      <c r="NB115" s="23"/>
      <c r="NC115" s="23"/>
      <c r="ND115" s="23"/>
      <c r="NE115" s="23"/>
      <c r="NF115" s="23"/>
      <c r="NG115" s="23"/>
      <c r="NH115" s="23"/>
      <c r="NI115" s="23"/>
      <c r="NJ115" s="23"/>
      <c r="NK115" s="23"/>
      <c r="NL115" s="23"/>
      <c r="NM115" s="23"/>
      <c r="NN115" s="23"/>
    </row>
    <row r="116" spans="5:378" ht="15" customHeight="1"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  <c r="IY116" s="23"/>
      <c r="IZ116" s="23"/>
      <c r="JA116" s="23"/>
      <c r="JB116" s="23"/>
      <c r="JC116" s="23"/>
      <c r="JD116" s="23"/>
      <c r="JE116" s="23"/>
      <c r="JF116" s="23"/>
      <c r="JG116" s="23"/>
      <c r="JH116" s="23"/>
      <c r="JI116" s="23"/>
      <c r="JJ116" s="23"/>
      <c r="JK116" s="23"/>
      <c r="JL116" s="23"/>
      <c r="JM116" s="23"/>
      <c r="JN116" s="23"/>
      <c r="JO116" s="23"/>
      <c r="JP116" s="23"/>
      <c r="JQ116" s="23"/>
      <c r="JR116" s="23"/>
      <c r="JS116" s="23"/>
      <c r="JT116" s="23"/>
      <c r="JU116" s="23"/>
      <c r="JV116" s="23"/>
      <c r="JW116" s="23"/>
      <c r="JX116" s="23"/>
      <c r="JY116" s="23"/>
      <c r="JZ116" s="23"/>
      <c r="KA116" s="23"/>
      <c r="KB116" s="23"/>
      <c r="KC116" s="23"/>
      <c r="KD116" s="23"/>
      <c r="KE116" s="23"/>
      <c r="KF116" s="23"/>
      <c r="KG116" s="23"/>
      <c r="KH116" s="23"/>
      <c r="KI116" s="23"/>
      <c r="KJ116" s="23"/>
      <c r="KK116" s="23"/>
      <c r="KL116" s="23"/>
      <c r="KM116" s="23"/>
      <c r="KN116" s="23"/>
      <c r="KO116" s="23"/>
      <c r="KP116" s="23"/>
      <c r="KQ116" s="23"/>
      <c r="KR116" s="23"/>
      <c r="KS116" s="23"/>
      <c r="KT116" s="23"/>
      <c r="KU116" s="23"/>
      <c r="KV116" s="23"/>
      <c r="KW116" s="23"/>
      <c r="KX116" s="23"/>
      <c r="KY116" s="23"/>
      <c r="KZ116" s="23"/>
      <c r="LA116" s="23"/>
      <c r="LB116" s="23"/>
      <c r="LC116" s="23"/>
      <c r="LD116" s="23"/>
      <c r="LE116" s="23"/>
      <c r="LF116" s="23"/>
      <c r="LG116" s="23"/>
      <c r="LH116" s="23"/>
      <c r="LI116" s="23"/>
      <c r="LJ116" s="23"/>
      <c r="LK116" s="23"/>
      <c r="LL116" s="23"/>
      <c r="LM116" s="23"/>
      <c r="LN116" s="23"/>
      <c r="LO116" s="23"/>
      <c r="LP116" s="23"/>
      <c r="LQ116" s="23"/>
      <c r="LR116" s="23"/>
      <c r="LS116" s="23"/>
      <c r="LT116" s="23"/>
      <c r="LU116" s="23"/>
      <c r="LV116" s="23"/>
      <c r="LW116" s="23"/>
      <c r="LX116" s="23"/>
      <c r="LY116" s="23"/>
      <c r="LZ116" s="23"/>
      <c r="MA116" s="23"/>
      <c r="MB116" s="23"/>
      <c r="MC116" s="23"/>
      <c r="MD116" s="23"/>
      <c r="ME116" s="23"/>
      <c r="MF116" s="23"/>
      <c r="MG116" s="23"/>
      <c r="MH116" s="23"/>
      <c r="MI116" s="23"/>
      <c r="MJ116" s="23"/>
      <c r="MK116" s="23"/>
      <c r="ML116" s="23"/>
      <c r="MM116" s="23"/>
      <c r="MN116" s="23"/>
      <c r="MO116" s="23"/>
      <c r="MP116" s="23"/>
      <c r="MQ116" s="23"/>
      <c r="MR116" s="23"/>
      <c r="MS116" s="23"/>
      <c r="MT116" s="23"/>
      <c r="MU116" s="23"/>
      <c r="MV116" s="23"/>
      <c r="MW116" s="23"/>
      <c r="MX116" s="23"/>
      <c r="MY116" s="23"/>
      <c r="MZ116" s="23"/>
      <c r="NA116" s="23"/>
      <c r="NB116" s="23"/>
      <c r="NC116" s="23"/>
      <c r="ND116" s="23"/>
      <c r="NE116" s="23"/>
      <c r="NF116" s="23"/>
      <c r="NG116" s="23"/>
      <c r="NH116" s="23"/>
      <c r="NI116" s="23"/>
      <c r="NJ116" s="23"/>
      <c r="NK116" s="23"/>
      <c r="NL116" s="23"/>
      <c r="NM116" s="23"/>
      <c r="NN116" s="23"/>
    </row>
    <row r="117" spans="5:378" ht="15" customHeight="1"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  <c r="IZ117" s="23"/>
      <c r="JA117" s="23"/>
      <c r="JB117" s="23"/>
      <c r="JC117" s="23"/>
      <c r="JD117" s="23"/>
      <c r="JE117" s="23"/>
      <c r="JF117" s="23"/>
      <c r="JG117" s="23"/>
      <c r="JH117" s="23"/>
      <c r="JI117" s="23"/>
      <c r="JJ117" s="23"/>
      <c r="JK117" s="23"/>
      <c r="JL117" s="23"/>
      <c r="JM117" s="23"/>
      <c r="JN117" s="23"/>
      <c r="JO117" s="23"/>
      <c r="JP117" s="23"/>
      <c r="JQ117" s="23"/>
      <c r="JR117" s="23"/>
      <c r="JS117" s="23"/>
      <c r="JT117" s="23"/>
      <c r="JU117" s="23"/>
      <c r="JV117" s="23"/>
      <c r="JW117" s="23"/>
      <c r="JX117" s="23"/>
      <c r="JY117" s="23"/>
      <c r="JZ117" s="23"/>
      <c r="KA117" s="23"/>
      <c r="KB117" s="23"/>
      <c r="KC117" s="23"/>
      <c r="KD117" s="23"/>
      <c r="KE117" s="23"/>
      <c r="KF117" s="23"/>
      <c r="KG117" s="23"/>
      <c r="KH117" s="23"/>
      <c r="KI117" s="23"/>
      <c r="KJ117" s="23"/>
      <c r="KK117" s="23"/>
      <c r="KL117" s="23"/>
      <c r="KM117" s="23"/>
      <c r="KN117" s="23"/>
      <c r="KO117" s="23"/>
      <c r="KP117" s="23"/>
      <c r="KQ117" s="23"/>
      <c r="KR117" s="23"/>
      <c r="KS117" s="23"/>
      <c r="KT117" s="23"/>
      <c r="KU117" s="23"/>
      <c r="KV117" s="23"/>
      <c r="KW117" s="23"/>
      <c r="KX117" s="23"/>
      <c r="KY117" s="23"/>
      <c r="KZ117" s="23"/>
      <c r="LA117" s="23"/>
      <c r="LB117" s="23"/>
      <c r="LC117" s="23"/>
      <c r="LD117" s="23"/>
      <c r="LE117" s="23"/>
      <c r="LF117" s="23"/>
      <c r="LG117" s="23"/>
      <c r="LH117" s="23"/>
      <c r="LI117" s="23"/>
      <c r="LJ117" s="23"/>
      <c r="LK117" s="23"/>
      <c r="LL117" s="23"/>
      <c r="LM117" s="23"/>
      <c r="LN117" s="23"/>
      <c r="LO117" s="23"/>
      <c r="LP117" s="23"/>
      <c r="LQ117" s="23"/>
      <c r="LR117" s="23"/>
      <c r="LS117" s="23"/>
      <c r="LT117" s="23"/>
      <c r="LU117" s="23"/>
      <c r="LV117" s="23"/>
      <c r="LW117" s="23"/>
      <c r="LX117" s="23"/>
      <c r="LY117" s="23"/>
      <c r="LZ117" s="23"/>
      <c r="MA117" s="23"/>
      <c r="MB117" s="23"/>
      <c r="MC117" s="23"/>
      <c r="MD117" s="23"/>
      <c r="ME117" s="23"/>
      <c r="MF117" s="23"/>
      <c r="MG117" s="23"/>
      <c r="MH117" s="23"/>
      <c r="MI117" s="23"/>
      <c r="MJ117" s="23"/>
      <c r="MK117" s="23"/>
      <c r="ML117" s="23"/>
      <c r="MM117" s="23"/>
      <c r="MN117" s="23"/>
      <c r="MO117" s="23"/>
      <c r="MP117" s="23"/>
      <c r="MQ117" s="23"/>
      <c r="MR117" s="23"/>
      <c r="MS117" s="23"/>
      <c r="MT117" s="23"/>
      <c r="MU117" s="23"/>
      <c r="MV117" s="23"/>
      <c r="MW117" s="23"/>
      <c r="MX117" s="23"/>
      <c r="MY117" s="23"/>
      <c r="MZ117" s="23"/>
      <c r="NA117" s="23"/>
      <c r="NB117" s="23"/>
      <c r="NC117" s="23"/>
      <c r="ND117" s="23"/>
      <c r="NE117" s="23"/>
      <c r="NF117" s="23"/>
      <c r="NG117" s="23"/>
      <c r="NH117" s="23"/>
      <c r="NI117" s="23"/>
      <c r="NJ117" s="23"/>
      <c r="NK117" s="23"/>
      <c r="NL117" s="23"/>
      <c r="NM117" s="23"/>
      <c r="NN117" s="23"/>
    </row>
    <row r="118" spans="5:378" ht="15" customHeight="1"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  <c r="IZ118" s="23"/>
      <c r="JA118" s="23"/>
      <c r="JB118" s="23"/>
      <c r="JC118" s="23"/>
      <c r="JD118" s="23"/>
      <c r="JE118" s="23"/>
      <c r="JF118" s="23"/>
      <c r="JG118" s="23"/>
      <c r="JH118" s="23"/>
      <c r="JI118" s="23"/>
      <c r="JJ118" s="23"/>
      <c r="JK118" s="23"/>
      <c r="JL118" s="23"/>
      <c r="JM118" s="23"/>
      <c r="JN118" s="23"/>
      <c r="JO118" s="23"/>
      <c r="JP118" s="23"/>
      <c r="JQ118" s="23"/>
      <c r="JR118" s="23"/>
      <c r="JS118" s="23"/>
      <c r="JT118" s="23"/>
      <c r="JU118" s="23"/>
      <c r="JV118" s="23"/>
      <c r="JW118" s="23"/>
      <c r="JX118" s="23"/>
      <c r="JY118" s="23"/>
      <c r="JZ118" s="23"/>
      <c r="KA118" s="23"/>
      <c r="KB118" s="23"/>
      <c r="KC118" s="23"/>
      <c r="KD118" s="23"/>
      <c r="KE118" s="23"/>
      <c r="KF118" s="23"/>
      <c r="KG118" s="23"/>
      <c r="KH118" s="23"/>
      <c r="KI118" s="23"/>
      <c r="KJ118" s="23"/>
      <c r="KK118" s="23"/>
      <c r="KL118" s="23"/>
      <c r="KM118" s="23"/>
      <c r="KN118" s="23"/>
      <c r="KO118" s="23"/>
      <c r="KP118" s="23"/>
      <c r="KQ118" s="23"/>
      <c r="KR118" s="23"/>
      <c r="KS118" s="23"/>
      <c r="KT118" s="23"/>
      <c r="KU118" s="23"/>
      <c r="KV118" s="23"/>
      <c r="KW118" s="23"/>
      <c r="KX118" s="23"/>
      <c r="KY118" s="23"/>
      <c r="KZ118" s="23"/>
      <c r="LA118" s="23"/>
      <c r="LB118" s="23"/>
      <c r="LC118" s="23"/>
      <c r="LD118" s="23"/>
      <c r="LE118" s="23"/>
      <c r="LF118" s="23"/>
      <c r="LG118" s="23"/>
      <c r="LH118" s="23"/>
      <c r="LI118" s="23"/>
      <c r="LJ118" s="23"/>
      <c r="LK118" s="23"/>
      <c r="LL118" s="23"/>
      <c r="LM118" s="23"/>
      <c r="LN118" s="23"/>
      <c r="LO118" s="23"/>
      <c r="LP118" s="23"/>
      <c r="LQ118" s="23"/>
      <c r="LR118" s="23"/>
      <c r="LS118" s="23"/>
      <c r="LT118" s="23"/>
      <c r="LU118" s="23"/>
      <c r="LV118" s="23"/>
      <c r="LW118" s="23"/>
      <c r="LX118" s="23"/>
      <c r="LY118" s="23"/>
      <c r="LZ118" s="23"/>
      <c r="MA118" s="23"/>
      <c r="MB118" s="23"/>
      <c r="MC118" s="23"/>
      <c r="MD118" s="23"/>
      <c r="ME118" s="23"/>
      <c r="MF118" s="23"/>
      <c r="MG118" s="23"/>
      <c r="MH118" s="23"/>
      <c r="MI118" s="23"/>
      <c r="MJ118" s="23"/>
      <c r="MK118" s="23"/>
      <c r="ML118" s="23"/>
      <c r="MM118" s="23"/>
      <c r="MN118" s="23"/>
      <c r="MO118" s="23"/>
      <c r="MP118" s="23"/>
      <c r="MQ118" s="23"/>
      <c r="MR118" s="23"/>
      <c r="MS118" s="23"/>
      <c r="MT118" s="23"/>
      <c r="MU118" s="23"/>
      <c r="MV118" s="23"/>
      <c r="MW118" s="23"/>
      <c r="MX118" s="23"/>
      <c r="MY118" s="23"/>
      <c r="MZ118" s="23"/>
      <c r="NA118" s="23"/>
      <c r="NB118" s="23"/>
      <c r="NC118" s="23"/>
      <c r="ND118" s="23"/>
      <c r="NE118" s="23"/>
      <c r="NF118" s="23"/>
      <c r="NG118" s="23"/>
      <c r="NH118" s="23"/>
      <c r="NI118" s="23"/>
      <c r="NJ118" s="23"/>
      <c r="NK118" s="23"/>
      <c r="NL118" s="23"/>
      <c r="NM118" s="23"/>
      <c r="NN118" s="23"/>
    </row>
    <row r="119" spans="5:378" ht="15" customHeight="1"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  <c r="IY119" s="23"/>
      <c r="IZ119" s="23"/>
      <c r="JA119" s="23"/>
      <c r="JB119" s="23"/>
      <c r="JC119" s="23"/>
      <c r="JD119" s="23"/>
      <c r="JE119" s="23"/>
      <c r="JF119" s="23"/>
      <c r="JG119" s="23"/>
      <c r="JH119" s="23"/>
      <c r="JI119" s="23"/>
      <c r="JJ119" s="23"/>
      <c r="JK119" s="23"/>
      <c r="JL119" s="23"/>
      <c r="JM119" s="23"/>
      <c r="JN119" s="23"/>
      <c r="JO119" s="23"/>
      <c r="JP119" s="23"/>
      <c r="JQ119" s="23"/>
      <c r="JR119" s="23"/>
      <c r="JS119" s="23"/>
      <c r="JT119" s="23"/>
      <c r="JU119" s="23"/>
      <c r="JV119" s="23"/>
      <c r="JW119" s="23"/>
      <c r="JX119" s="23"/>
      <c r="JY119" s="23"/>
      <c r="JZ119" s="23"/>
      <c r="KA119" s="23"/>
      <c r="KB119" s="23"/>
      <c r="KC119" s="23"/>
      <c r="KD119" s="23"/>
      <c r="KE119" s="23"/>
      <c r="KF119" s="23"/>
      <c r="KG119" s="23"/>
      <c r="KH119" s="23"/>
      <c r="KI119" s="23"/>
      <c r="KJ119" s="23"/>
      <c r="KK119" s="23"/>
      <c r="KL119" s="23"/>
      <c r="KM119" s="23"/>
      <c r="KN119" s="23"/>
      <c r="KO119" s="23"/>
      <c r="KP119" s="23"/>
      <c r="KQ119" s="23"/>
      <c r="KR119" s="23"/>
      <c r="KS119" s="23"/>
      <c r="KT119" s="23"/>
      <c r="KU119" s="23"/>
      <c r="KV119" s="23"/>
      <c r="KW119" s="23"/>
      <c r="KX119" s="23"/>
      <c r="KY119" s="23"/>
      <c r="KZ119" s="23"/>
      <c r="LA119" s="23"/>
      <c r="LB119" s="23"/>
      <c r="LC119" s="23"/>
      <c r="LD119" s="23"/>
      <c r="LE119" s="23"/>
      <c r="LF119" s="23"/>
      <c r="LG119" s="23"/>
      <c r="LH119" s="23"/>
      <c r="LI119" s="23"/>
      <c r="LJ119" s="23"/>
      <c r="LK119" s="23"/>
      <c r="LL119" s="23"/>
      <c r="LM119" s="23"/>
      <c r="LN119" s="23"/>
      <c r="LO119" s="23"/>
      <c r="LP119" s="23"/>
      <c r="LQ119" s="23"/>
      <c r="LR119" s="23"/>
      <c r="LS119" s="23"/>
      <c r="LT119" s="23"/>
      <c r="LU119" s="23"/>
      <c r="LV119" s="23"/>
      <c r="LW119" s="23"/>
      <c r="LX119" s="23"/>
      <c r="LY119" s="23"/>
      <c r="LZ119" s="23"/>
      <c r="MA119" s="23"/>
      <c r="MB119" s="23"/>
      <c r="MC119" s="23"/>
      <c r="MD119" s="23"/>
      <c r="ME119" s="23"/>
      <c r="MF119" s="23"/>
      <c r="MG119" s="23"/>
      <c r="MH119" s="23"/>
      <c r="MI119" s="23"/>
      <c r="MJ119" s="23"/>
      <c r="MK119" s="23"/>
      <c r="ML119" s="23"/>
      <c r="MM119" s="23"/>
      <c r="MN119" s="23"/>
      <c r="MO119" s="23"/>
      <c r="MP119" s="23"/>
      <c r="MQ119" s="23"/>
      <c r="MR119" s="23"/>
      <c r="MS119" s="23"/>
      <c r="MT119" s="23"/>
      <c r="MU119" s="23"/>
      <c r="MV119" s="23"/>
      <c r="MW119" s="23"/>
      <c r="MX119" s="23"/>
      <c r="MY119" s="23"/>
      <c r="MZ119" s="23"/>
      <c r="NA119" s="23"/>
      <c r="NB119" s="23"/>
      <c r="NC119" s="23"/>
      <c r="ND119" s="23"/>
      <c r="NE119" s="23"/>
      <c r="NF119" s="23"/>
      <c r="NG119" s="23"/>
      <c r="NH119" s="23"/>
      <c r="NI119" s="23"/>
      <c r="NJ119" s="23"/>
      <c r="NK119" s="23"/>
      <c r="NL119" s="23"/>
      <c r="NM119" s="23"/>
      <c r="NN119" s="23"/>
    </row>
    <row r="120" spans="5:378" ht="15" customHeight="1"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  <c r="IY120" s="23"/>
      <c r="IZ120" s="23"/>
      <c r="JA120" s="23"/>
      <c r="JB120" s="23"/>
      <c r="JC120" s="23"/>
      <c r="JD120" s="23"/>
      <c r="JE120" s="23"/>
      <c r="JF120" s="23"/>
      <c r="JG120" s="23"/>
      <c r="JH120" s="23"/>
      <c r="JI120" s="23"/>
      <c r="JJ120" s="23"/>
      <c r="JK120" s="23"/>
      <c r="JL120" s="23"/>
      <c r="JM120" s="23"/>
      <c r="JN120" s="23"/>
      <c r="JO120" s="23"/>
      <c r="JP120" s="23"/>
      <c r="JQ120" s="23"/>
      <c r="JR120" s="23"/>
      <c r="JS120" s="23"/>
      <c r="JT120" s="23"/>
      <c r="JU120" s="23"/>
      <c r="JV120" s="23"/>
      <c r="JW120" s="23"/>
      <c r="JX120" s="23"/>
      <c r="JY120" s="23"/>
      <c r="JZ120" s="23"/>
      <c r="KA120" s="23"/>
      <c r="KB120" s="23"/>
      <c r="KC120" s="23"/>
      <c r="KD120" s="23"/>
      <c r="KE120" s="23"/>
      <c r="KF120" s="23"/>
      <c r="KG120" s="23"/>
      <c r="KH120" s="23"/>
      <c r="KI120" s="23"/>
      <c r="KJ120" s="23"/>
      <c r="KK120" s="23"/>
      <c r="KL120" s="23"/>
      <c r="KM120" s="23"/>
      <c r="KN120" s="23"/>
      <c r="KO120" s="23"/>
      <c r="KP120" s="23"/>
      <c r="KQ120" s="23"/>
      <c r="KR120" s="23"/>
      <c r="KS120" s="23"/>
      <c r="KT120" s="23"/>
      <c r="KU120" s="23"/>
      <c r="KV120" s="23"/>
      <c r="KW120" s="23"/>
      <c r="KX120" s="23"/>
      <c r="KY120" s="23"/>
      <c r="KZ120" s="23"/>
      <c r="LA120" s="23"/>
      <c r="LB120" s="23"/>
      <c r="LC120" s="23"/>
      <c r="LD120" s="23"/>
      <c r="LE120" s="23"/>
      <c r="LF120" s="23"/>
      <c r="LG120" s="23"/>
      <c r="LH120" s="23"/>
      <c r="LI120" s="23"/>
      <c r="LJ120" s="23"/>
      <c r="LK120" s="23"/>
      <c r="LL120" s="23"/>
      <c r="LM120" s="23"/>
      <c r="LN120" s="23"/>
      <c r="LO120" s="23"/>
      <c r="LP120" s="23"/>
      <c r="LQ120" s="23"/>
      <c r="LR120" s="23"/>
      <c r="LS120" s="23"/>
      <c r="LT120" s="23"/>
      <c r="LU120" s="23"/>
      <c r="LV120" s="23"/>
      <c r="LW120" s="23"/>
      <c r="LX120" s="23"/>
      <c r="LY120" s="23"/>
      <c r="LZ120" s="23"/>
      <c r="MA120" s="23"/>
      <c r="MB120" s="23"/>
      <c r="MC120" s="23"/>
      <c r="MD120" s="23"/>
      <c r="ME120" s="23"/>
      <c r="MF120" s="23"/>
      <c r="MG120" s="23"/>
      <c r="MH120" s="23"/>
      <c r="MI120" s="23"/>
      <c r="MJ120" s="23"/>
      <c r="MK120" s="23"/>
      <c r="ML120" s="23"/>
      <c r="MM120" s="23"/>
      <c r="MN120" s="23"/>
      <c r="MO120" s="23"/>
      <c r="MP120" s="23"/>
      <c r="MQ120" s="23"/>
      <c r="MR120" s="23"/>
      <c r="MS120" s="23"/>
      <c r="MT120" s="23"/>
      <c r="MU120" s="23"/>
      <c r="MV120" s="23"/>
      <c r="MW120" s="23"/>
      <c r="MX120" s="23"/>
      <c r="MY120" s="23"/>
      <c r="MZ120" s="23"/>
      <c r="NA120" s="23"/>
      <c r="NB120" s="23"/>
      <c r="NC120" s="23"/>
      <c r="ND120" s="23"/>
      <c r="NE120" s="23"/>
      <c r="NF120" s="23"/>
      <c r="NG120" s="23"/>
      <c r="NH120" s="23"/>
      <c r="NI120" s="23"/>
      <c r="NJ120" s="23"/>
      <c r="NK120" s="23"/>
      <c r="NL120" s="23"/>
      <c r="NM120" s="23"/>
      <c r="NN120" s="23"/>
    </row>
    <row r="121" spans="5:378" ht="15" customHeight="1"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  <c r="IY121" s="23"/>
      <c r="IZ121" s="23"/>
      <c r="JA121" s="23"/>
      <c r="JB121" s="23"/>
      <c r="JC121" s="23"/>
      <c r="JD121" s="23"/>
      <c r="JE121" s="23"/>
      <c r="JF121" s="23"/>
      <c r="JG121" s="23"/>
      <c r="JH121" s="23"/>
      <c r="JI121" s="23"/>
      <c r="JJ121" s="23"/>
      <c r="JK121" s="23"/>
      <c r="JL121" s="23"/>
      <c r="JM121" s="23"/>
      <c r="JN121" s="23"/>
      <c r="JO121" s="23"/>
      <c r="JP121" s="23"/>
      <c r="JQ121" s="23"/>
      <c r="JR121" s="23"/>
      <c r="JS121" s="23"/>
      <c r="JT121" s="23"/>
      <c r="JU121" s="23"/>
      <c r="JV121" s="23"/>
      <c r="JW121" s="23"/>
      <c r="JX121" s="23"/>
      <c r="JY121" s="23"/>
      <c r="JZ121" s="23"/>
      <c r="KA121" s="23"/>
      <c r="KB121" s="23"/>
      <c r="KC121" s="23"/>
      <c r="KD121" s="23"/>
      <c r="KE121" s="23"/>
      <c r="KF121" s="23"/>
      <c r="KG121" s="23"/>
      <c r="KH121" s="23"/>
      <c r="KI121" s="23"/>
      <c r="KJ121" s="23"/>
      <c r="KK121" s="23"/>
      <c r="KL121" s="23"/>
      <c r="KM121" s="23"/>
      <c r="KN121" s="23"/>
      <c r="KO121" s="23"/>
      <c r="KP121" s="23"/>
      <c r="KQ121" s="23"/>
      <c r="KR121" s="23"/>
      <c r="KS121" s="23"/>
      <c r="KT121" s="23"/>
      <c r="KU121" s="23"/>
      <c r="KV121" s="23"/>
      <c r="KW121" s="23"/>
      <c r="KX121" s="23"/>
      <c r="KY121" s="23"/>
      <c r="KZ121" s="23"/>
      <c r="LA121" s="23"/>
      <c r="LB121" s="23"/>
      <c r="LC121" s="23"/>
      <c r="LD121" s="23"/>
      <c r="LE121" s="23"/>
      <c r="LF121" s="23"/>
      <c r="LG121" s="23"/>
      <c r="LH121" s="23"/>
      <c r="LI121" s="23"/>
      <c r="LJ121" s="23"/>
      <c r="LK121" s="23"/>
      <c r="LL121" s="23"/>
      <c r="LM121" s="23"/>
      <c r="LN121" s="23"/>
      <c r="LO121" s="23"/>
      <c r="LP121" s="23"/>
      <c r="LQ121" s="23"/>
      <c r="LR121" s="23"/>
      <c r="LS121" s="23"/>
      <c r="LT121" s="23"/>
      <c r="LU121" s="23"/>
      <c r="LV121" s="23"/>
      <c r="LW121" s="23"/>
      <c r="LX121" s="23"/>
      <c r="LY121" s="23"/>
      <c r="LZ121" s="23"/>
      <c r="MA121" s="23"/>
      <c r="MB121" s="23"/>
      <c r="MC121" s="23"/>
      <c r="MD121" s="23"/>
      <c r="ME121" s="23"/>
      <c r="MF121" s="23"/>
      <c r="MG121" s="23"/>
      <c r="MH121" s="23"/>
      <c r="MI121" s="23"/>
      <c r="MJ121" s="23"/>
      <c r="MK121" s="23"/>
      <c r="ML121" s="23"/>
      <c r="MM121" s="23"/>
      <c r="MN121" s="23"/>
      <c r="MO121" s="23"/>
      <c r="MP121" s="23"/>
      <c r="MQ121" s="23"/>
      <c r="MR121" s="23"/>
      <c r="MS121" s="23"/>
      <c r="MT121" s="23"/>
      <c r="MU121" s="23"/>
      <c r="MV121" s="23"/>
      <c r="MW121" s="23"/>
      <c r="MX121" s="23"/>
      <c r="MY121" s="23"/>
      <c r="MZ121" s="23"/>
      <c r="NA121" s="23"/>
      <c r="NB121" s="23"/>
      <c r="NC121" s="23"/>
      <c r="ND121" s="23"/>
      <c r="NE121" s="23"/>
      <c r="NF121" s="23"/>
      <c r="NG121" s="23"/>
      <c r="NH121" s="23"/>
      <c r="NI121" s="23"/>
      <c r="NJ121" s="23"/>
      <c r="NK121" s="23"/>
      <c r="NL121" s="23"/>
      <c r="NM121" s="23"/>
      <c r="NN121" s="23"/>
    </row>
    <row r="122" spans="5:378" ht="15" customHeight="1"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  <c r="IY122" s="23"/>
      <c r="IZ122" s="23"/>
      <c r="JA122" s="23"/>
      <c r="JB122" s="23"/>
      <c r="JC122" s="23"/>
      <c r="JD122" s="23"/>
      <c r="JE122" s="23"/>
      <c r="JF122" s="23"/>
      <c r="JG122" s="23"/>
      <c r="JH122" s="23"/>
      <c r="JI122" s="23"/>
      <c r="JJ122" s="23"/>
      <c r="JK122" s="23"/>
      <c r="JL122" s="23"/>
      <c r="JM122" s="23"/>
      <c r="JN122" s="23"/>
      <c r="JO122" s="23"/>
      <c r="JP122" s="23"/>
      <c r="JQ122" s="23"/>
      <c r="JR122" s="23"/>
      <c r="JS122" s="23"/>
      <c r="JT122" s="23"/>
      <c r="JU122" s="23"/>
      <c r="JV122" s="23"/>
      <c r="JW122" s="23"/>
      <c r="JX122" s="23"/>
      <c r="JY122" s="23"/>
      <c r="JZ122" s="23"/>
      <c r="KA122" s="23"/>
      <c r="KB122" s="23"/>
      <c r="KC122" s="23"/>
      <c r="KD122" s="23"/>
      <c r="KE122" s="23"/>
      <c r="KF122" s="23"/>
      <c r="KG122" s="23"/>
      <c r="KH122" s="23"/>
      <c r="KI122" s="23"/>
      <c r="KJ122" s="23"/>
      <c r="KK122" s="23"/>
      <c r="KL122" s="23"/>
      <c r="KM122" s="23"/>
      <c r="KN122" s="23"/>
      <c r="KO122" s="23"/>
      <c r="KP122" s="23"/>
      <c r="KQ122" s="23"/>
      <c r="KR122" s="23"/>
      <c r="KS122" s="23"/>
      <c r="KT122" s="23"/>
      <c r="KU122" s="23"/>
      <c r="KV122" s="23"/>
      <c r="KW122" s="23"/>
      <c r="KX122" s="23"/>
      <c r="KY122" s="23"/>
      <c r="KZ122" s="23"/>
      <c r="LA122" s="23"/>
      <c r="LB122" s="23"/>
      <c r="LC122" s="23"/>
      <c r="LD122" s="23"/>
      <c r="LE122" s="23"/>
      <c r="LF122" s="23"/>
      <c r="LG122" s="23"/>
      <c r="LH122" s="23"/>
      <c r="LI122" s="23"/>
      <c r="LJ122" s="23"/>
      <c r="LK122" s="23"/>
      <c r="LL122" s="23"/>
      <c r="LM122" s="23"/>
      <c r="LN122" s="23"/>
      <c r="LO122" s="23"/>
      <c r="LP122" s="23"/>
      <c r="LQ122" s="23"/>
      <c r="LR122" s="23"/>
      <c r="LS122" s="23"/>
      <c r="LT122" s="23"/>
      <c r="LU122" s="23"/>
      <c r="LV122" s="23"/>
      <c r="LW122" s="23"/>
      <c r="LX122" s="23"/>
      <c r="LY122" s="23"/>
      <c r="LZ122" s="23"/>
      <c r="MA122" s="23"/>
      <c r="MB122" s="23"/>
      <c r="MC122" s="23"/>
      <c r="MD122" s="23"/>
      <c r="ME122" s="23"/>
      <c r="MF122" s="23"/>
      <c r="MG122" s="23"/>
      <c r="MH122" s="23"/>
      <c r="MI122" s="23"/>
      <c r="MJ122" s="23"/>
      <c r="MK122" s="23"/>
      <c r="ML122" s="23"/>
      <c r="MM122" s="23"/>
      <c r="MN122" s="23"/>
      <c r="MO122" s="23"/>
      <c r="MP122" s="23"/>
      <c r="MQ122" s="23"/>
      <c r="MR122" s="23"/>
      <c r="MS122" s="23"/>
      <c r="MT122" s="23"/>
      <c r="MU122" s="23"/>
      <c r="MV122" s="23"/>
      <c r="MW122" s="23"/>
      <c r="MX122" s="23"/>
      <c r="MY122" s="23"/>
      <c r="MZ122" s="23"/>
      <c r="NA122" s="23"/>
      <c r="NB122" s="23"/>
      <c r="NC122" s="23"/>
      <c r="ND122" s="23"/>
      <c r="NE122" s="23"/>
      <c r="NF122" s="23"/>
      <c r="NG122" s="23"/>
      <c r="NH122" s="23"/>
      <c r="NI122" s="23"/>
      <c r="NJ122" s="23"/>
      <c r="NK122" s="23"/>
      <c r="NL122" s="23"/>
      <c r="NM122" s="23"/>
      <c r="NN122" s="23"/>
    </row>
    <row r="123" spans="5:378" ht="15" customHeight="1"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  <c r="IY123" s="23"/>
      <c r="IZ123" s="23"/>
      <c r="JA123" s="23"/>
      <c r="JB123" s="23"/>
      <c r="JC123" s="23"/>
      <c r="JD123" s="23"/>
      <c r="JE123" s="23"/>
      <c r="JF123" s="23"/>
      <c r="JG123" s="23"/>
      <c r="JH123" s="23"/>
      <c r="JI123" s="23"/>
      <c r="JJ123" s="23"/>
      <c r="JK123" s="23"/>
      <c r="JL123" s="23"/>
      <c r="JM123" s="23"/>
      <c r="JN123" s="23"/>
      <c r="JO123" s="23"/>
      <c r="JP123" s="23"/>
      <c r="JQ123" s="23"/>
      <c r="JR123" s="23"/>
      <c r="JS123" s="23"/>
      <c r="JT123" s="23"/>
      <c r="JU123" s="23"/>
      <c r="JV123" s="23"/>
      <c r="JW123" s="23"/>
      <c r="JX123" s="23"/>
      <c r="JY123" s="23"/>
      <c r="JZ123" s="23"/>
      <c r="KA123" s="23"/>
      <c r="KB123" s="23"/>
      <c r="KC123" s="23"/>
      <c r="KD123" s="23"/>
      <c r="KE123" s="23"/>
      <c r="KF123" s="23"/>
      <c r="KG123" s="23"/>
      <c r="KH123" s="23"/>
      <c r="KI123" s="23"/>
      <c r="KJ123" s="23"/>
      <c r="KK123" s="23"/>
      <c r="KL123" s="23"/>
      <c r="KM123" s="23"/>
      <c r="KN123" s="23"/>
      <c r="KO123" s="23"/>
      <c r="KP123" s="23"/>
      <c r="KQ123" s="23"/>
      <c r="KR123" s="23"/>
      <c r="KS123" s="23"/>
      <c r="KT123" s="23"/>
      <c r="KU123" s="23"/>
      <c r="KV123" s="23"/>
      <c r="KW123" s="23"/>
      <c r="KX123" s="23"/>
      <c r="KY123" s="23"/>
      <c r="KZ123" s="23"/>
      <c r="LA123" s="23"/>
      <c r="LB123" s="23"/>
      <c r="LC123" s="23"/>
      <c r="LD123" s="23"/>
      <c r="LE123" s="23"/>
      <c r="LF123" s="23"/>
      <c r="LG123" s="23"/>
      <c r="LH123" s="23"/>
      <c r="LI123" s="23"/>
      <c r="LJ123" s="23"/>
      <c r="LK123" s="23"/>
      <c r="LL123" s="23"/>
      <c r="LM123" s="23"/>
      <c r="LN123" s="23"/>
      <c r="LO123" s="23"/>
      <c r="LP123" s="23"/>
      <c r="LQ123" s="23"/>
      <c r="LR123" s="23"/>
      <c r="LS123" s="23"/>
      <c r="LT123" s="23"/>
      <c r="LU123" s="23"/>
      <c r="LV123" s="23"/>
      <c r="LW123" s="23"/>
      <c r="LX123" s="23"/>
      <c r="LY123" s="23"/>
      <c r="LZ123" s="23"/>
      <c r="MA123" s="23"/>
      <c r="MB123" s="23"/>
      <c r="MC123" s="23"/>
      <c r="MD123" s="23"/>
      <c r="ME123" s="23"/>
      <c r="MF123" s="23"/>
      <c r="MG123" s="23"/>
      <c r="MH123" s="23"/>
      <c r="MI123" s="23"/>
      <c r="MJ123" s="23"/>
      <c r="MK123" s="23"/>
      <c r="ML123" s="23"/>
      <c r="MM123" s="23"/>
      <c r="MN123" s="23"/>
      <c r="MO123" s="23"/>
      <c r="MP123" s="23"/>
      <c r="MQ123" s="23"/>
      <c r="MR123" s="23"/>
      <c r="MS123" s="23"/>
      <c r="MT123" s="23"/>
      <c r="MU123" s="23"/>
      <c r="MV123" s="23"/>
      <c r="MW123" s="23"/>
      <c r="MX123" s="23"/>
      <c r="MY123" s="23"/>
      <c r="MZ123" s="23"/>
      <c r="NA123" s="23"/>
      <c r="NB123" s="23"/>
      <c r="NC123" s="23"/>
      <c r="ND123" s="23"/>
      <c r="NE123" s="23"/>
      <c r="NF123" s="23"/>
      <c r="NG123" s="23"/>
      <c r="NH123" s="23"/>
      <c r="NI123" s="23"/>
      <c r="NJ123" s="23"/>
      <c r="NK123" s="23"/>
      <c r="NL123" s="23"/>
      <c r="NM123" s="23"/>
      <c r="NN123" s="23"/>
    </row>
    <row r="124" spans="5:378" ht="15" customHeight="1"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  <c r="IY124" s="23"/>
      <c r="IZ124" s="23"/>
      <c r="JA124" s="23"/>
      <c r="JB124" s="23"/>
      <c r="JC124" s="23"/>
      <c r="JD124" s="23"/>
      <c r="JE124" s="23"/>
      <c r="JF124" s="23"/>
      <c r="JG124" s="23"/>
      <c r="JH124" s="23"/>
      <c r="JI124" s="23"/>
      <c r="JJ124" s="23"/>
      <c r="JK124" s="23"/>
      <c r="JL124" s="23"/>
      <c r="JM124" s="23"/>
      <c r="JN124" s="23"/>
      <c r="JO124" s="23"/>
      <c r="JP124" s="23"/>
      <c r="JQ124" s="23"/>
      <c r="JR124" s="23"/>
      <c r="JS124" s="23"/>
      <c r="JT124" s="23"/>
      <c r="JU124" s="23"/>
      <c r="JV124" s="23"/>
      <c r="JW124" s="23"/>
      <c r="JX124" s="23"/>
      <c r="JY124" s="23"/>
      <c r="JZ124" s="23"/>
      <c r="KA124" s="23"/>
      <c r="KB124" s="23"/>
      <c r="KC124" s="23"/>
      <c r="KD124" s="23"/>
      <c r="KE124" s="23"/>
      <c r="KF124" s="23"/>
      <c r="KG124" s="23"/>
      <c r="KH124" s="23"/>
      <c r="KI124" s="23"/>
      <c r="KJ124" s="23"/>
      <c r="KK124" s="23"/>
      <c r="KL124" s="23"/>
      <c r="KM124" s="23"/>
      <c r="KN124" s="23"/>
      <c r="KO124" s="23"/>
      <c r="KP124" s="23"/>
      <c r="KQ124" s="23"/>
      <c r="KR124" s="23"/>
      <c r="KS124" s="23"/>
      <c r="KT124" s="23"/>
      <c r="KU124" s="23"/>
      <c r="KV124" s="23"/>
      <c r="KW124" s="23"/>
      <c r="KX124" s="23"/>
      <c r="KY124" s="23"/>
      <c r="KZ124" s="23"/>
      <c r="LA124" s="23"/>
      <c r="LB124" s="23"/>
      <c r="LC124" s="23"/>
      <c r="LD124" s="23"/>
      <c r="LE124" s="23"/>
      <c r="LF124" s="23"/>
      <c r="LG124" s="23"/>
      <c r="LH124" s="23"/>
      <c r="LI124" s="23"/>
      <c r="LJ124" s="23"/>
      <c r="LK124" s="23"/>
      <c r="LL124" s="23"/>
      <c r="LM124" s="23"/>
      <c r="LN124" s="23"/>
      <c r="LO124" s="23"/>
      <c r="LP124" s="23"/>
      <c r="LQ124" s="23"/>
      <c r="LR124" s="23"/>
      <c r="LS124" s="23"/>
      <c r="LT124" s="23"/>
      <c r="LU124" s="23"/>
      <c r="LV124" s="23"/>
      <c r="LW124" s="23"/>
      <c r="LX124" s="23"/>
      <c r="LY124" s="23"/>
      <c r="LZ124" s="23"/>
      <c r="MA124" s="23"/>
      <c r="MB124" s="23"/>
      <c r="MC124" s="23"/>
      <c r="MD124" s="23"/>
      <c r="ME124" s="23"/>
      <c r="MF124" s="23"/>
      <c r="MG124" s="23"/>
      <c r="MH124" s="23"/>
      <c r="MI124" s="23"/>
      <c r="MJ124" s="23"/>
      <c r="MK124" s="23"/>
      <c r="ML124" s="23"/>
      <c r="MM124" s="23"/>
      <c r="MN124" s="23"/>
      <c r="MO124" s="23"/>
      <c r="MP124" s="23"/>
      <c r="MQ124" s="23"/>
      <c r="MR124" s="23"/>
      <c r="MS124" s="23"/>
      <c r="MT124" s="23"/>
      <c r="MU124" s="23"/>
      <c r="MV124" s="23"/>
      <c r="MW124" s="23"/>
      <c r="MX124" s="23"/>
      <c r="MY124" s="23"/>
      <c r="MZ124" s="23"/>
      <c r="NA124" s="23"/>
      <c r="NB124" s="23"/>
      <c r="NC124" s="23"/>
      <c r="ND124" s="23"/>
      <c r="NE124" s="23"/>
      <c r="NF124" s="23"/>
      <c r="NG124" s="23"/>
      <c r="NH124" s="23"/>
      <c r="NI124" s="23"/>
      <c r="NJ124" s="23"/>
      <c r="NK124" s="23"/>
      <c r="NL124" s="23"/>
      <c r="NM124" s="23"/>
      <c r="NN124" s="23"/>
    </row>
    <row r="125" spans="5:378" ht="15" customHeight="1"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  <c r="IY125" s="23"/>
      <c r="IZ125" s="23"/>
      <c r="JA125" s="23"/>
      <c r="JB125" s="23"/>
      <c r="JC125" s="23"/>
      <c r="JD125" s="23"/>
      <c r="JE125" s="23"/>
      <c r="JF125" s="23"/>
      <c r="JG125" s="23"/>
      <c r="JH125" s="23"/>
      <c r="JI125" s="23"/>
      <c r="JJ125" s="23"/>
      <c r="JK125" s="23"/>
      <c r="JL125" s="23"/>
      <c r="JM125" s="23"/>
      <c r="JN125" s="23"/>
      <c r="JO125" s="23"/>
      <c r="JP125" s="23"/>
      <c r="JQ125" s="23"/>
      <c r="JR125" s="23"/>
      <c r="JS125" s="23"/>
      <c r="JT125" s="23"/>
      <c r="JU125" s="23"/>
      <c r="JV125" s="23"/>
      <c r="JW125" s="23"/>
      <c r="JX125" s="23"/>
      <c r="JY125" s="23"/>
      <c r="JZ125" s="23"/>
      <c r="KA125" s="23"/>
      <c r="KB125" s="23"/>
      <c r="KC125" s="23"/>
      <c r="KD125" s="23"/>
      <c r="KE125" s="23"/>
      <c r="KF125" s="23"/>
      <c r="KG125" s="23"/>
      <c r="KH125" s="23"/>
      <c r="KI125" s="23"/>
      <c r="KJ125" s="23"/>
      <c r="KK125" s="23"/>
      <c r="KL125" s="23"/>
      <c r="KM125" s="23"/>
      <c r="KN125" s="23"/>
      <c r="KO125" s="23"/>
      <c r="KP125" s="23"/>
      <c r="KQ125" s="23"/>
      <c r="KR125" s="23"/>
      <c r="KS125" s="23"/>
      <c r="KT125" s="23"/>
      <c r="KU125" s="23"/>
      <c r="KV125" s="23"/>
      <c r="KW125" s="23"/>
      <c r="KX125" s="23"/>
      <c r="KY125" s="23"/>
      <c r="KZ125" s="23"/>
      <c r="LA125" s="23"/>
      <c r="LB125" s="23"/>
      <c r="LC125" s="23"/>
      <c r="LD125" s="23"/>
      <c r="LE125" s="23"/>
      <c r="LF125" s="23"/>
      <c r="LG125" s="23"/>
      <c r="LH125" s="23"/>
      <c r="LI125" s="23"/>
      <c r="LJ125" s="23"/>
      <c r="LK125" s="23"/>
      <c r="LL125" s="23"/>
      <c r="LM125" s="23"/>
      <c r="LN125" s="23"/>
      <c r="LO125" s="23"/>
      <c r="LP125" s="23"/>
      <c r="LQ125" s="23"/>
      <c r="LR125" s="23"/>
      <c r="LS125" s="23"/>
      <c r="LT125" s="23"/>
      <c r="LU125" s="23"/>
      <c r="LV125" s="23"/>
      <c r="LW125" s="23"/>
      <c r="LX125" s="23"/>
      <c r="LY125" s="23"/>
      <c r="LZ125" s="23"/>
      <c r="MA125" s="23"/>
      <c r="MB125" s="23"/>
      <c r="MC125" s="23"/>
      <c r="MD125" s="23"/>
      <c r="ME125" s="23"/>
      <c r="MF125" s="23"/>
      <c r="MG125" s="23"/>
      <c r="MH125" s="23"/>
      <c r="MI125" s="23"/>
      <c r="MJ125" s="23"/>
      <c r="MK125" s="23"/>
      <c r="ML125" s="23"/>
      <c r="MM125" s="23"/>
      <c r="MN125" s="23"/>
      <c r="MO125" s="23"/>
      <c r="MP125" s="23"/>
      <c r="MQ125" s="23"/>
      <c r="MR125" s="23"/>
      <c r="MS125" s="23"/>
      <c r="MT125" s="23"/>
      <c r="MU125" s="23"/>
      <c r="MV125" s="23"/>
      <c r="MW125" s="23"/>
      <c r="MX125" s="23"/>
      <c r="MY125" s="23"/>
      <c r="MZ125" s="23"/>
      <c r="NA125" s="23"/>
      <c r="NB125" s="23"/>
      <c r="NC125" s="23"/>
      <c r="ND125" s="23"/>
      <c r="NE125" s="23"/>
      <c r="NF125" s="23"/>
      <c r="NG125" s="23"/>
      <c r="NH125" s="23"/>
      <c r="NI125" s="23"/>
      <c r="NJ125" s="23"/>
      <c r="NK125" s="23"/>
      <c r="NL125" s="23"/>
      <c r="NM125" s="23"/>
      <c r="NN125" s="23"/>
    </row>
    <row r="126" spans="5:378" ht="15" customHeight="1"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  <c r="IY126" s="23"/>
      <c r="IZ126" s="23"/>
      <c r="JA126" s="23"/>
      <c r="JB126" s="23"/>
      <c r="JC126" s="23"/>
      <c r="JD126" s="23"/>
      <c r="JE126" s="23"/>
      <c r="JF126" s="23"/>
      <c r="JG126" s="23"/>
      <c r="JH126" s="23"/>
      <c r="JI126" s="23"/>
      <c r="JJ126" s="23"/>
      <c r="JK126" s="23"/>
      <c r="JL126" s="23"/>
      <c r="JM126" s="23"/>
      <c r="JN126" s="23"/>
      <c r="JO126" s="23"/>
      <c r="JP126" s="23"/>
      <c r="JQ126" s="23"/>
      <c r="JR126" s="23"/>
      <c r="JS126" s="23"/>
      <c r="JT126" s="23"/>
      <c r="JU126" s="23"/>
      <c r="JV126" s="23"/>
      <c r="JW126" s="23"/>
      <c r="JX126" s="23"/>
      <c r="JY126" s="23"/>
      <c r="JZ126" s="23"/>
      <c r="KA126" s="23"/>
      <c r="KB126" s="23"/>
      <c r="KC126" s="23"/>
      <c r="KD126" s="23"/>
      <c r="KE126" s="23"/>
      <c r="KF126" s="23"/>
      <c r="KG126" s="23"/>
      <c r="KH126" s="23"/>
      <c r="KI126" s="23"/>
      <c r="KJ126" s="23"/>
      <c r="KK126" s="23"/>
      <c r="KL126" s="23"/>
      <c r="KM126" s="23"/>
      <c r="KN126" s="23"/>
      <c r="KO126" s="23"/>
      <c r="KP126" s="23"/>
      <c r="KQ126" s="23"/>
      <c r="KR126" s="23"/>
      <c r="KS126" s="23"/>
      <c r="KT126" s="23"/>
      <c r="KU126" s="23"/>
      <c r="KV126" s="23"/>
      <c r="KW126" s="23"/>
      <c r="KX126" s="23"/>
      <c r="KY126" s="23"/>
      <c r="KZ126" s="23"/>
      <c r="LA126" s="23"/>
      <c r="LB126" s="23"/>
      <c r="LC126" s="23"/>
      <c r="LD126" s="23"/>
      <c r="LE126" s="23"/>
      <c r="LF126" s="23"/>
      <c r="LG126" s="23"/>
      <c r="LH126" s="23"/>
      <c r="LI126" s="23"/>
      <c r="LJ126" s="23"/>
      <c r="LK126" s="23"/>
      <c r="LL126" s="23"/>
      <c r="LM126" s="23"/>
      <c r="LN126" s="23"/>
      <c r="LO126" s="23"/>
      <c r="LP126" s="23"/>
      <c r="LQ126" s="23"/>
      <c r="LR126" s="23"/>
      <c r="LS126" s="23"/>
      <c r="LT126" s="23"/>
      <c r="LU126" s="23"/>
      <c r="LV126" s="23"/>
      <c r="LW126" s="23"/>
      <c r="LX126" s="23"/>
      <c r="LY126" s="23"/>
      <c r="LZ126" s="23"/>
      <c r="MA126" s="23"/>
      <c r="MB126" s="23"/>
      <c r="MC126" s="23"/>
      <c r="MD126" s="23"/>
      <c r="ME126" s="23"/>
      <c r="MF126" s="23"/>
      <c r="MG126" s="23"/>
      <c r="MH126" s="23"/>
      <c r="MI126" s="23"/>
      <c r="MJ126" s="23"/>
      <c r="MK126" s="23"/>
      <c r="ML126" s="23"/>
      <c r="MM126" s="23"/>
      <c r="MN126" s="23"/>
      <c r="MO126" s="23"/>
      <c r="MP126" s="23"/>
      <c r="MQ126" s="23"/>
      <c r="MR126" s="23"/>
      <c r="MS126" s="23"/>
      <c r="MT126" s="23"/>
      <c r="MU126" s="23"/>
      <c r="MV126" s="23"/>
      <c r="MW126" s="23"/>
      <c r="MX126" s="23"/>
      <c r="MY126" s="23"/>
      <c r="MZ126" s="23"/>
      <c r="NA126" s="23"/>
      <c r="NB126" s="23"/>
      <c r="NC126" s="23"/>
      <c r="ND126" s="23"/>
      <c r="NE126" s="23"/>
      <c r="NF126" s="23"/>
      <c r="NG126" s="23"/>
      <c r="NH126" s="23"/>
      <c r="NI126" s="23"/>
      <c r="NJ126" s="23"/>
      <c r="NK126" s="23"/>
      <c r="NL126" s="23"/>
      <c r="NM126" s="23"/>
      <c r="NN126" s="23"/>
    </row>
    <row r="127" spans="5:378" ht="15" customHeight="1"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  <c r="IZ127" s="23"/>
      <c r="JA127" s="23"/>
      <c r="JB127" s="23"/>
      <c r="JC127" s="23"/>
      <c r="JD127" s="23"/>
      <c r="JE127" s="23"/>
      <c r="JF127" s="23"/>
      <c r="JG127" s="23"/>
      <c r="JH127" s="23"/>
      <c r="JI127" s="23"/>
      <c r="JJ127" s="23"/>
      <c r="JK127" s="23"/>
      <c r="JL127" s="23"/>
      <c r="JM127" s="23"/>
      <c r="JN127" s="23"/>
      <c r="JO127" s="23"/>
      <c r="JP127" s="23"/>
      <c r="JQ127" s="23"/>
      <c r="JR127" s="23"/>
      <c r="JS127" s="23"/>
      <c r="JT127" s="23"/>
      <c r="JU127" s="23"/>
      <c r="JV127" s="23"/>
      <c r="JW127" s="23"/>
      <c r="JX127" s="23"/>
      <c r="JY127" s="23"/>
      <c r="JZ127" s="23"/>
      <c r="KA127" s="23"/>
      <c r="KB127" s="23"/>
      <c r="KC127" s="23"/>
      <c r="KD127" s="23"/>
      <c r="KE127" s="23"/>
      <c r="KF127" s="23"/>
      <c r="KG127" s="23"/>
      <c r="KH127" s="23"/>
      <c r="KI127" s="23"/>
      <c r="KJ127" s="23"/>
      <c r="KK127" s="23"/>
      <c r="KL127" s="23"/>
      <c r="KM127" s="23"/>
      <c r="KN127" s="23"/>
      <c r="KO127" s="23"/>
      <c r="KP127" s="23"/>
      <c r="KQ127" s="23"/>
      <c r="KR127" s="23"/>
      <c r="KS127" s="23"/>
      <c r="KT127" s="23"/>
      <c r="KU127" s="23"/>
      <c r="KV127" s="23"/>
      <c r="KW127" s="23"/>
      <c r="KX127" s="23"/>
      <c r="KY127" s="23"/>
      <c r="KZ127" s="23"/>
      <c r="LA127" s="23"/>
      <c r="LB127" s="23"/>
      <c r="LC127" s="23"/>
      <c r="LD127" s="23"/>
      <c r="LE127" s="23"/>
      <c r="LF127" s="23"/>
      <c r="LG127" s="23"/>
      <c r="LH127" s="23"/>
      <c r="LI127" s="23"/>
      <c r="LJ127" s="23"/>
      <c r="LK127" s="23"/>
      <c r="LL127" s="23"/>
      <c r="LM127" s="23"/>
      <c r="LN127" s="23"/>
      <c r="LO127" s="23"/>
      <c r="LP127" s="23"/>
      <c r="LQ127" s="23"/>
      <c r="LR127" s="23"/>
      <c r="LS127" s="23"/>
      <c r="LT127" s="23"/>
      <c r="LU127" s="23"/>
      <c r="LV127" s="23"/>
      <c r="LW127" s="23"/>
      <c r="LX127" s="23"/>
      <c r="LY127" s="23"/>
      <c r="LZ127" s="23"/>
      <c r="MA127" s="23"/>
      <c r="MB127" s="23"/>
      <c r="MC127" s="23"/>
      <c r="MD127" s="23"/>
      <c r="ME127" s="23"/>
      <c r="MF127" s="23"/>
      <c r="MG127" s="23"/>
      <c r="MH127" s="23"/>
      <c r="MI127" s="23"/>
      <c r="MJ127" s="23"/>
      <c r="MK127" s="23"/>
      <c r="ML127" s="23"/>
      <c r="MM127" s="23"/>
      <c r="MN127" s="23"/>
      <c r="MO127" s="23"/>
      <c r="MP127" s="23"/>
      <c r="MQ127" s="23"/>
      <c r="MR127" s="23"/>
      <c r="MS127" s="23"/>
      <c r="MT127" s="23"/>
      <c r="MU127" s="23"/>
      <c r="MV127" s="23"/>
      <c r="MW127" s="23"/>
      <c r="MX127" s="23"/>
      <c r="MY127" s="23"/>
      <c r="MZ127" s="23"/>
      <c r="NA127" s="23"/>
      <c r="NB127" s="23"/>
      <c r="NC127" s="23"/>
      <c r="ND127" s="23"/>
      <c r="NE127" s="23"/>
      <c r="NF127" s="23"/>
      <c r="NG127" s="23"/>
      <c r="NH127" s="23"/>
      <c r="NI127" s="23"/>
      <c r="NJ127" s="23"/>
      <c r="NK127" s="23"/>
      <c r="NL127" s="23"/>
      <c r="NM127" s="23"/>
      <c r="NN127" s="23"/>
    </row>
    <row r="128" spans="5:378" ht="15" customHeight="1"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  <c r="IZ128" s="23"/>
      <c r="JA128" s="23"/>
      <c r="JB128" s="23"/>
      <c r="JC128" s="23"/>
      <c r="JD128" s="23"/>
      <c r="JE128" s="23"/>
      <c r="JF128" s="23"/>
      <c r="JG128" s="23"/>
      <c r="JH128" s="23"/>
      <c r="JI128" s="23"/>
      <c r="JJ128" s="23"/>
      <c r="JK128" s="23"/>
      <c r="JL128" s="23"/>
      <c r="JM128" s="23"/>
      <c r="JN128" s="23"/>
      <c r="JO128" s="23"/>
      <c r="JP128" s="23"/>
      <c r="JQ128" s="23"/>
      <c r="JR128" s="23"/>
      <c r="JS128" s="23"/>
      <c r="JT128" s="23"/>
      <c r="JU128" s="23"/>
      <c r="JV128" s="23"/>
      <c r="JW128" s="23"/>
      <c r="JX128" s="23"/>
      <c r="JY128" s="23"/>
      <c r="JZ128" s="23"/>
      <c r="KA128" s="23"/>
      <c r="KB128" s="23"/>
      <c r="KC128" s="23"/>
      <c r="KD128" s="23"/>
      <c r="KE128" s="23"/>
      <c r="KF128" s="23"/>
      <c r="KG128" s="23"/>
      <c r="KH128" s="23"/>
      <c r="KI128" s="23"/>
      <c r="KJ128" s="23"/>
      <c r="KK128" s="23"/>
      <c r="KL128" s="23"/>
      <c r="KM128" s="23"/>
      <c r="KN128" s="23"/>
      <c r="KO128" s="23"/>
      <c r="KP128" s="23"/>
      <c r="KQ128" s="23"/>
      <c r="KR128" s="23"/>
      <c r="KS128" s="23"/>
      <c r="KT128" s="23"/>
      <c r="KU128" s="23"/>
      <c r="KV128" s="23"/>
      <c r="KW128" s="23"/>
      <c r="KX128" s="23"/>
      <c r="KY128" s="23"/>
      <c r="KZ128" s="23"/>
      <c r="LA128" s="23"/>
      <c r="LB128" s="23"/>
      <c r="LC128" s="23"/>
      <c r="LD128" s="23"/>
      <c r="LE128" s="23"/>
      <c r="LF128" s="23"/>
      <c r="LG128" s="23"/>
      <c r="LH128" s="23"/>
      <c r="LI128" s="23"/>
      <c r="LJ128" s="23"/>
      <c r="LK128" s="23"/>
      <c r="LL128" s="23"/>
      <c r="LM128" s="23"/>
      <c r="LN128" s="23"/>
      <c r="LO128" s="23"/>
      <c r="LP128" s="23"/>
      <c r="LQ128" s="23"/>
      <c r="LR128" s="23"/>
      <c r="LS128" s="23"/>
      <c r="LT128" s="23"/>
      <c r="LU128" s="23"/>
      <c r="LV128" s="23"/>
      <c r="LW128" s="23"/>
      <c r="LX128" s="23"/>
      <c r="LY128" s="23"/>
      <c r="LZ128" s="23"/>
      <c r="MA128" s="23"/>
      <c r="MB128" s="23"/>
      <c r="MC128" s="23"/>
      <c r="MD128" s="23"/>
      <c r="ME128" s="23"/>
      <c r="MF128" s="23"/>
      <c r="MG128" s="23"/>
      <c r="MH128" s="23"/>
      <c r="MI128" s="23"/>
      <c r="MJ128" s="23"/>
      <c r="MK128" s="23"/>
      <c r="ML128" s="23"/>
      <c r="MM128" s="23"/>
      <c r="MN128" s="23"/>
      <c r="MO128" s="23"/>
      <c r="MP128" s="23"/>
      <c r="MQ128" s="23"/>
      <c r="MR128" s="23"/>
      <c r="MS128" s="23"/>
      <c r="MT128" s="23"/>
      <c r="MU128" s="23"/>
      <c r="MV128" s="23"/>
      <c r="MW128" s="23"/>
      <c r="MX128" s="23"/>
      <c r="MY128" s="23"/>
      <c r="MZ128" s="23"/>
      <c r="NA128" s="23"/>
      <c r="NB128" s="23"/>
      <c r="NC128" s="23"/>
      <c r="ND128" s="23"/>
      <c r="NE128" s="23"/>
      <c r="NF128" s="23"/>
      <c r="NG128" s="23"/>
      <c r="NH128" s="23"/>
      <c r="NI128" s="23"/>
      <c r="NJ128" s="23"/>
      <c r="NK128" s="23"/>
      <c r="NL128" s="23"/>
      <c r="NM128" s="23"/>
      <c r="NN128" s="23"/>
    </row>
    <row r="129" spans="5:378" ht="15" customHeight="1"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  <c r="IZ129" s="23"/>
      <c r="JA129" s="23"/>
      <c r="JB129" s="23"/>
      <c r="JC129" s="23"/>
      <c r="JD129" s="23"/>
      <c r="JE129" s="23"/>
      <c r="JF129" s="23"/>
      <c r="JG129" s="23"/>
      <c r="JH129" s="23"/>
      <c r="JI129" s="23"/>
      <c r="JJ129" s="23"/>
      <c r="JK129" s="23"/>
      <c r="JL129" s="23"/>
      <c r="JM129" s="23"/>
      <c r="JN129" s="23"/>
      <c r="JO129" s="23"/>
      <c r="JP129" s="23"/>
      <c r="JQ129" s="23"/>
      <c r="JR129" s="23"/>
      <c r="JS129" s="23"/>
      <c r="JT129" s="23"/>
      <c r="JU129" s="23"/>
      <c r="JV129" s="23"/>
      <c r="JW129" s="23"/>
      <c r="JX129" s="23"/>
      <c r="JY129" s="23"/>
      <c r="JZ129" s="23"/>
      <c r="KA129" s="23"/>
      <c r="KB129" s="23"/>
      <c r="KC129" s="23"/>
      <c r="KD129" s="23"/>
      <c r="KE129" s="23"/>
      <c r="KF129" s="23"/>
      <c r="KG129" s="23"/>
      <c r="KH129" s="23"/>
      <c r="KI129" s="23"/>
      <c r="KJ129" s="23"/>
      <c r="KK129" s="23"/>
      <c r="KL129" s="23"/>
      <c r="KM129" s="23"/>
      <c r="KN129" s="23"/>
      <c r="KO129" s="23"/>
      <c r="KP129" s="23"/>
      <c r="KQ129" s="23"/>
      <c r="KR129" s="23"/>
      <c r="KS129" s="23"/>
      <c r="KT129" s="23"/>
      <c r="KU129" s="23"/>
      <c r="KV129" s="23"/>
      <c r="KW129" s="23"/>
      <c r="KX129" s="23"/>
      <c r="KY129" s="23"/>
      <c r="KZ129" s="23"/>
      <c r="LA129" s="23"/>
      <c r="LB129" s="23"/>
      <c r="LC129" s="23"/>
      <c r="LD129" s="23"/>
      <c r="LE129" s="23"/>
      <c r="LF129" s="23"/>
      <c r="LG129" s="23"/>
      <c r="LH129" s="23"/>
      <c r="LI129" s="23"/>
      <c r="LJ129" s="23"/>
      <c r="LK129" s="23"/>
      <c r="LL129" s="23"/>
      <c r="LM129" s="23"/>
      <c r="LN129" s="23"/>
      <c r="LO129" s="23"/>
      <c r="LP129" s="23"/>
      <c r="LQ129" s="23"/>
      <c r="LR129" s="23"/>
      <c r="LS129" s="23"/>
      <c r="LT129" s="23"/>
      <c r="LU129" s="23"/>
      <c r="LV129" s="23"/>
      <c r="LW129" s="23"/>
      <c r="LX129" s="23"/>
      <c r="LY129" s="23"/>
      <c r="LZ129" s="23"/>
      <c r="MA129" s="23"/>
      <c r="MB129" s="23"/>
      <c r="MC129" s="23"/>
      <c r="MD129" s="23"/>
      <c r="ME129" s="23"/>
      <c r="MF129" s="23"/>
      <c r="MG129" s="23"/>
      <c r="MH129" s="23"/>
      <c r="MI129" s="23"/>
      <c r="MJ129" s="23"/>
      <c r="MK129" s="23"/>
      <c r="ML129" s="23"/>
      <c r="MM129" s="23"/>
      <c r="MN129" s="23"/>
      <c r="MO129" s="23"/>
      <c r="MP129" s="23"/>
      <c r="MQ129" s="23"/>
      <c r="MR129" s="23"/>
      <c r="MS129" s="23"/>
      <c r="MT129" s="23"/>
      <c r="MU129" s="23"/>
      <c r="MV129" s="23"/>
      <c r="MW129" s="23"/>
      <c r="MX129" s="23"/>
      <c r="MY129" s="23"/>
      <c r="MZ129" s="23"/>
      <c r="NA129" s="23"/>
      <c r="NB129" s="23"/>
      <c r="NC129" s="23"/>
      <c r="ND129" s="23"/>
      <c r="NE129" s="23"/>
      <c r="NF129" s="23"/>
      <c r="NG129" s="23"/>
      <c r="NH129" s="23"/>
      <c r="NI129" s="23"/>
      <c r="NJ129" s="23"/>
      <c r="NK129" s="23"/>
      <c r="NL129" s="23"/>
      <c r="NM129" s="23"/>
      <c r="NN129" s="23"/>
    </row>
    <row r="130" spans="5:378" ht="15" customHeight="1"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  <c r="IZ130" s="23"/>
      <c r="JA130" s="23"/>
      <c r="JB130" s="23"/>
      <c r="JC130" s="23"/>
      <c r="JD130" s="23"/>
      <c r="JE130" s="23"/>
      <c r="JF130" s="23"/>
      <c r="JG130" s="23"/>
      <c r="JH130" s="23"/>
      <c r="JI130" s="23"/>
      <c r="JJ130" s="23"/>
      <c r="JK130" s="23"/>
      <c r="JL130" s="23"/>
      <c r="JM130" s="23"/>
      <c r="JN130" s="23"/>
      <c r="JO130" s="23"/>
      <c r="JP130" s="23"/>
      <c r="JQ130" s="23"/>
      <c r="JR130" s="23"/>
      <c r="JS130" s="23"/>
      <c r="JT130" s="23"/>
      <c r="JU130" s="23"/>
      <c r="JV130" s="23"/>
      <c r="JW130" s="23"/>
      <c r="JX130" s="23"/>
      <c r="JY130" s="23"/>
      <c r="JZ130" s="23"/>
      <c r="KA130" s="23"/>
      <c r="KB130" s="23"/>
      <c r="KC130" s="23"/>
      <c r="KD130" s="23"/>
      <c r="KE130" s="23"/>
      <c r="KF130" s="23"/>
      <c r="KG130" s="23"/>
      <c r="KH130" s="23"/>
      <c r="KI130" s="23"/>
      <c r="KJ130" s="23"/>
      <c r="KK130" s="23"/>
      <c r="KL130" s="23"/>
      <c r="KM130" s="23"/>
      <c r="KN130" s="23"/>
      <c r="KO130" s="23"/>
      <c r="KP130" s="23"/>
      <c r="KQ130" s="23"/>
      <c r="KR130" s="23"/>
      <c r="KS130" s="23"/>
      <c r="KT130" s="23"/>
      <c r="KU130" s="23"/>
      <c r="KV130" s="23"/>
      <c r="KW130" s="23"/>
      <c r="KX130" s="23"/>
      <c r="KY130" s="23"/>
      <c r="KZ130" s="23"/>
      <c r="LA130" s="23"/>
      <c r="LB130" s="23"/>
      <c r="LC130" s="23"/>
      <c r="LD130" s="23"/>
      <c r="LE130" s="23"/>
      <c r="LF130" s="23"/>
      <c r="LG130" s="23"/>
      <c r="LH130" s="23"/>
      <c r="LI130" s="23"/>
      <c r="LJ130" s="23"/>
      <c r="LK130" s="23"/>
      <c r="LL130" s="23"/>
      <c r="LM130" s="23"/>
      <c r="LN130" s="23"/>
      <c r="LO130" s="23"/>
      <c r="LP130" s="23"/>
      <c r="LQ130" s="23"/>
      <c r="LR130" s="23"/>
      <c r="LS130" s="23"/>
      <c r="LT130" s="23"/>
      <c r="LU130" s="23"/>
      <c r="LV130" s="23"/>
      <c r="LW130" s="23"/>
      <c r="LX130" s="23"/>
      <c r="LY130" s="23"/>
      <c r="LZ130" s="23"/>
      <c r="MA130" s="23"/>
      <c r="MB130" s="23"/>
      <c r="MC130" s="23"/>
      <c r="MD130" s="23"/>
      <c r="ME130" s="23"/>
      <c r="MF130" s="23"/>
      <c r="MG130" s="23"/>
      <c r="MH130" s="23"/>
      <c r="MI130" s="23"/>
      <c r="MJ130" s="23"/>
      <c r="MK130" s="23"/>
      <c r="ML130" s="23"/>
      <c r="MM130" s="23"/>
      <c r="MN130" s="23"/>
      <c r="MO130" s="23"/>
      <c r="MP130" s="23"/>
      <c r="MQ130" s="23"/>
      <c r="MR130" s="23"/>
      <c r="MS130" s="23"/>
      <c r="MT130" s="23"/>
      <c r="MU130" s="23"/>
      <c r="MV130" s="23"/>
      <c r="MW130" s="23"/>
      <c r="MX130" s="23"/>
      <c r="MY130" s="23"/>
      <c r="MZ130" s="23"/>
      <c r="NA130" s="23"/>
      <c r="NB130" s="23"/>
      <c r="NC130" s="23"/>
      <c r="ND130" s="23"/>
      <c r="NE130" s="23"/>
      <c r="NF130" s="23"/>
      <c r="NG130" s="23"/>
      <c r="NH130" s="23"/>
      <c r="NI130" s="23"/>
      <c r="NJ130" s="23"/>
      <c r="NK130" s="23"/>
      <c r="NL130" s="23"/>
      <c r="NM130" s="23"/>
      <c r="NN130" s="23"/>
    </row>
    <row r="131" spans="5:378" ht="15" customHeight="1"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  <c r="IZ131" s="23"/>
      <c r="JA131" s="23"/>
      <c r="JB131" s="23"/>
      <c r="JC131" s="23"/>
      <c r="JD131" s="23"/>
      <c r="JE131" s="23"/>
      <c r="JF131" s="23"/>
      <c r="JG131" s="23"/>
      <c r="JH131" s="23"/>
      <c r="JI131" s="23"/>
      <c r="JJ131" s="23"/>
      <c r="JK131" s="23"/>
      <c r="JL131" s="23"/>
      <c r="JM131" s="23"/>
      <c r="JN131" s="23"/>
      <c r="JO131" s="23"/>
      <c r="JP131" s="23"/>
      <c r="JQ131" s="23"/>
      <c r="JR131" s="23"/>
      <c r="JS131" s="23"/>
      <c r="JT131" s="23"/>
      <c r="JU131" s="23"/>
      <c r="JV131" s="23"/>
      <c r="JW131" s="23"/>
      <c r="JX131" s="23"/>
      <c r="JY131" s="23"/>
      <c r="JZ131" s="23"/>
      <c r="KA131" s="23"/>
      <c r="KB131" s="23"/>
      <c r="KC131" s="23"/>
      <c r="KD131" s="23"/>
      <c r="KE131" s="23"/>
      <c r="KF131" s="23"/>
      <c r="KG131" s="23"/>
      <c r="KH131" s="23"/>
      <c r="KI131" s="23"/>
      <c r="KJ131" s="23"/>
      <c r="KK131" s="23"/>
      <c r="KL131" s="23"/>
      <c r="KM131" s="23"/>
      <c r="KN131" s="23"/>
      <c r="KO131" s="23"/>
      <c r="KP131" s="23"/>
      <c r="KQ131" s="23"/>
      <c r="KR131" s="23"/>
      <c r="KS131" s="23"/>
      <c r="KT131" s="23"/>
      <c r="KU131" s="23"/>
      <c r="KV131" s="23"/>
      <c r="KW131" s="23"/>
      <c r="KX131" s="23"/>
      <c r="KY131" s="23"/>
      <c r="KZ131" s="23"/>
      <c r="LA131" s="23"/>
      <c r="LB131" s="23"/>
      <c r="LC131" s="23"/>
      <c r="LD131" s="23"/>
      <c r="LE131" s="23"/>
      <c r="LF131" s="23"/>
      <c r="LG131" s="23"/>
      <c r="LH131" s="23"/>
      <c r="LI131" s="23"/>
      <c r="LJ131" s="23"/>
      <c r="LK131" s="23"/>
      <c r="LL131" s="23"/>
      <c r="LM131" s="23"/>
      <c r="LN131" s="23"/>
      <c r="LO131" s="23"/>
      <c r="LP131" s="23"/>
      <c r="LQ131" s="23"/>
      <c r="LR131" s="23"/>
      <c r="LS131" s="23"/>
      <c r="LT131" s="23"/>
      <c r="LU131" s="23"/>
      <c r="LV131" s="23"/>
      <c r="LW131" s="23"/>
      <c r="LX131" s="23"/>
      <c r="LY131" s="23"/>
      <c r="LZ131" s="23"/>
      <c r="MA131" s="23"/>
      <c r="MB131" s="23"/>
      <c r="MC131" s="23"/>
      <c r="MD131" s="23"/>
      <c r="ME131" s="23"/>
      <c r="MF131" s="23"/>
      <c r="MG131" s="23"/>
      <c r="MH131" s="23"/>
      <c r="MI131" s="23"/>
      <c r="MJ131" s="23"/>
      <c r="MK131" s="23"/>
      <c r="ML131" s="23"/>
      <c r="MM131" s="23"/>
      <c r="MN131" s="23"/>
      <c r="MO131" s="23"/>
      <c r="MP131" s="23"/>
      <c r="MQ131" s="23"/>
      <c r="MR131" s="23"/>
      <c r="MS131" s="23"/>
      <c r="MT131" s="23"/>
      <c r="MU131" s="23"/>
      <c r="MV131" s="23"/>
      <c r="MW131" s="23"/>
      <c r="MX131" s="23"/>
      <c r="MY131" s="23"/>
      <c r="MZ131" s="23"/>
      <c r="NA131" s="23"/>
      <c r="NB131" s="23"/>
      <c r="NC131" s="23"/>
      <c r="ND131" s="23"/>
      <c r="NE131" s="23"/>
      <c r="NF131" s="23"/>
      <c r="NG131" s="23"/>
      <c r="NH131" s="23"/>
      <c r="NI131" s="23"/>
      <c r="NJ131" s="23"/>
      <c r="NK131" s="23"/>
      <c r="NL131" s="23"/>
      <c r="NM131" s="23"/>
      <c r="NN131" s="23"/>
    </row>
    <row r="132" spans="5:378" ht="15" customHeight="1"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  <c r="IY132" s="23"/>
      <c r="IZ132" s="23"/>
      <c r="JA132" s="23"/>
      <c r="JB132" s="23"/>
      <c r="JC132" s="23"/>
      <c r="JD132" s="23"/>
      <c r="JE132" s="23"/>
      <c r="JF132" s="23"/>
      <c r="JG132" s="23"/>
      <c r="JH132" s="23"/>
      <c r="JI132" s="23"/>
      <c r="JJ132" s="23"/>
      <c r="JK132" s="23"/>
      <c r="JL132" s="23"/>
      <c r="JM132" s="23"/>
      <c r="JN132" s="23"/>
      <c r="JO132" s="23"/>
      <c r="JP132" s="23"/>
      <c r="JQ132" s="23"/>
      <c r="JR132" s="23"/>
      <c r="JS132" s="23"/>
      <c r="JT132" s="23"/>
      <c r="JU132" s="23"/>
      <c r="JV132" s="23"/>
      <c r="JW132" s="23"/>
      <c r="JX132" s="23"/>
      <c r="JY132" s="23"/>
      <c r="JZ132" s="23"/>
      <c r="KA132" s="23"/>
      <c r="KB132" s="23"/>
      <c r="KC132" s="23"/>
      <c r="KD132" s="23"/>
      <c r="KE132" s="23"/>
      <c r="KF132" s="23"/>
      <c r="KG132" s="23"/>
      <c r="KH132" s="23"/>
      <c r="KI132" s="23"/>
      <c r="KJ132" s="23"/>
      <c r="KK132" s="23"/>
      <c r="KL132" s="23"/>
      <c r="KM132" s="23"/>
      <c r="KN132" s="23"/>
      <c r="KO132" s="23"/>
      <c r="KP132" s="23"/>
      <c r="KQ132" s="23"/>
      <c r="KR132" s="23"/>
      <c r="KS132" s="23"/>
      <c r="KT132" s="23"/>
      <c r="KU132" s="23"/>
      <c r="KV132" s="23"/>
      <c r="KW132" s="23"/>
      <c r="KX132" s="23"/>
      <c r="KY132" s="23"/>
      <c r="KZ132" s="23"/>
      <c r="LA132" s="23"/>
      <c r="LB132" s="23"/>
      <c r="LC132" s="23"/>
      <c r="LD132" s="23"/>
      <c r="LE132" s="23"/>
      <c r="LF132" s="23"/>
      <c r="LG132" s="23"/>
      <c r="LH132" s="23"/>
      <c r="LI132" s="23"/>
      <c r="LJ132" s="23"/>
      <c r="LK132" s="23"/>
      <c r="LL132" s="23"/>
      <c r="LM132" s="23"/>
      <c r="LN132" s="23"/>
      <c r="LO132" s="23"/>
      <c r="LP132" s="23"/>
      <c r="LQ132" s="23"/>
      <c r="LR132" s="23"/>
      <c r="LS132" s="23"/>
      <c r="LT132" s="23"/>
      <c r="LU132" s="23"/>
      <c r="LV132" s="23"/>
      <c r="LW132" s="23"/>
      <c r="LX132" s="23"/>
      <c r="LY132" s="23"/>
      <c r="LZ132" s="23"/>
      <c r="MA132" s="23"/>
      <c r="MB132" s="23"/>
      <c r="MC132" s="23"/>
      <c r="MD132" s="23"/>
      <c r="ME132" s="23"/>
      <c r="MF132" s="23"/>
      <c r="MG132" s="23"/>
      <c r="MH132" s="23"/>
      <c r="MI132" s="23"/>
      <c r="MJ132" s="23"/>
      <c r="MK132" s="23"/>
      <c r="ML132" s="23"/>
      <c r="MM132" s="23"/>
      <c r="MN132" s="23"/>
      <c r="MO132" s="23"/>
      <c r="MP132" s="23"/>
      <c r="MQ132" s="23"/>
      <c r="MR132" s="23"/>
      <c r="MS132" s="23"/>
      <c r="MT132" s="23"/>
      <c r="MU132" s="23"/>
      <c r="MV132" s="23"/>
      <c r="MW132" s="23"/>
      <c r="MX132" s="23"/>
      <c r="MY132" s="23"/>
      <c r="MZ132" s="23"/>
      <c r="NA132" s="23"/>
      <c r="NB132" s="23"/>
      <c r="NC132" s="23"/>
      <c r="ND132" s="23"/>
      <c r="NE132" s="23"/>
      <c r="NF132" s="23"/>
      <c r="NG132" s="23"/>
      <c r="NH132" s="23"/>
      <c r="NI132" s="23"/>
      <c r="NJ132" s="23"/>
      <c r="NK132" s="23"/>
      <c r="NL132" s="23"/>
      <c r="NM132" s="23"/>
      <c r="NN132" s="23"/>
    </row>
    <row r="133" spans="5:378" ht="15" customHeight="1"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  <c r="IY133" s="23"/>
      <c r="IZ133" s="23"/>
      <c r="JA133" s="23"/>
      <c r="JB133" s="23"/>
      <c r="JC133" s="23"/>
      <c r="JD133" s="23"/>
      <c r="JE133" s="23"/>
      <c r="JF133" s="23"/>
      <c r="JG133" s="23"/>
      <c r="JH133" s="23"/>
      <c r="JI133" s="23"/>
      <c r="JJ133" s="23"/>
      <c r="JK133" s="23"/>
      <c r="JL133" s="23"/>
      <c r="JM133" s="23"/>
      <c r="JN133" s="23"/>
      <c r="JO133" s="23"/>
      <c r="JP133" s="23"/>
      <c r="JQ133" s="23"/>
      <c r="JR133" s="23"/>
      <c r="JS133" s="23"/>
      <c r="JT133" s="23"/>
      <c r="JU133" s="23"/>
      <c r="JV133" s="23"/>
      <c r="JW133" s="23"/>
      <c r="JX133" s="23"/>
      <c r="JY133" s="23"/>
      <c r="JZ133" s="23"/>
      <c r="KA133" s="23"/>
      <c r="KB133" s="23"/>
      <c r="KC133" s="23"/>
      <c r="KD133" s="23"/>
      <c r="KE133" s="23"/>
      <c r="KF133" s="23"/>
      <c r="KG133" s="23"/>
      <c r="KH133" s="23"/>
      <c r="KI133" s="23"/>
      <c r="KJ133" s="23"/>
      <c r="KK133" s="23"/>
      <c r="KL133" s="23"/>
      <c r="KM133" s="23"/>
      <c r="KN133" s="23"/>
      <c r="KO133" s="23"/>
      <c r="KP133" s="23"/>
      <c r="KQ133" s="23"/>
      <c r="KR133" s="23"/>
      <c r="KS133" s="23"/>
      <c r="KT133" s="23"/>
      <c r="KU133" s="23"/>
      <c r="KV133" s="23"/>
      <c r="KW133" s="23"/>
      <c r="KX133" s="23"/>
      <c r="KY133" s="23"/>
      <c r="KZ133" s="23"/>
      <c r="LA133" s="23"/>
      <c r="LB133" s="23"/>
      <c r="LC133" s="23"/>
      <c r="LD133" s="23"/>
      <c r="LE133" s="23"/>
      <c r="LF133" s="23"/>
      <c r="LG133" s="23"/>
      <c r="LH133" s="23"/>
      <c r="LI133" s="23"/>
      <c r="LJ133" s="23"/>
      <c r="LK133" s="23"/>
      <c r="LL133" s="23"/>
      <c r="LM133" s="23"/>
      <c r="LN133" s="23"/>
      <c r="LO133" s="23"/>
      <c r="LP133" s="23"/>
      <c r="LQ133" s="23"/>
      <c r="LR133" s="23"/>
      <c r="LS133" s="23"/>
      <c r="LT133" s="23"/>
      <c r="LU133" s="23"/>
      <c r="LV133" s="23"/>
      <c r="LW133" s="23"/>
      <c r="LX133" s="23"/>
      <c r="LY133" s="23"/>
      <c r="LZ133" s="23"/>
      <c r="MA133" s="23"/>
      <c r="MB133" s="23"/>
      <c r="MC133" s="23"/>
      <c r="MD133" s="23"/>
      <c r="ME133" s="23"/>
      <c r="MF133" s="23"/>
      <c r="MG133" s="23"/>
      <c r="MH133" s="23"/>
      <c r="MI133" s="23"/>
      <c r="MJ133" s="23"/>
      <c r="MK133" s="23"/>
      <c r="ML133" s="23"/>
      <c r="MM133" s="23"/>
      <c r="MN133" s="23"/>
      <c r="MO133" s="23"/>
      <c r="MP133" s="23"/>
      <c r="MQ133" s="23"/>
      <c r="MR133" s="23"/>
      <c r="MS133" s="23"/>
      <c r="MT133" s="23"/>
      <c r="MU133" s="23"/>
      <c r="MV133" s="23"/>
      <c r="MW133" s="23"/>
      <c r="MX133" s="23"/>
      <c r="MY133" s="23"/>
      <c r="MZ133" s="23"/>
      <c r="NA133" s="23"/>
      <c r="NB133" s="23"/>
      <c r="NC133" s="23"/>
      <c r="ND133" s="23"/>
      <c r="NE133" s="23"/>
      <c r="NF133" s="23"/>
      <c r="NG133" s="23"/>
      <c r="NH133" s="23"/>
      <c r="NI133" s="23"/>
      <c r="NJ133" s="23"/>
      <c r="NK133" s="23"/>
      <c r="NL133" s="23"/>
      <c r="NM133" s="23"/>
      <c r="NN133" s="23"/>
    </row>
    <row r="134" spans="5:378" ht="15" customHeight="1"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  <c r="IZ134" s="23"/>
      <c r="JA134" s="23"/>
      <c r="JB134" s="23"/>
      <c r="JC134" s="23"/>
      <c r="JD134" s="23"/>
      <c r="JE134" s="23"/>
      <c r="JF134" s="23"/>
      <c r="JG134" s="23"/>
      <c r="JH134" s="23"/>
      <c r="JI134" s="23"/>
      <c r="JJ134" s="23"/>
      <c r="JK134" s="23"/>
      <c r="JL134" s="23"/>
      <c r="JM134" s="23"/>
      <c r="JN134" s="23"/>
      <c r="JO134" s="23"/>
      <c r="JP134" s="23"/>
      <c r="JQ134" s="23"/>
      <c r="JR134" s="23"/>
      <c r="JS134" s="23"/>
      <c r="JT134" s="23"/>
      <c r="JU134" s="23"/>
      <c r="JV134" s="23"/>
      <c r="JW134" s="23"/>
      <c r="JX134" s="23"/>
      <c r="JY134" s="23"/>
      <c r="JZ134" s="23"/>
      <c r="KA134" s="23"/>
      <c r="KB134" s="23"/>
      <c r="KC134" s="23"/>
      <c r="KD134" s="23"/>
      <c r="KE134" s="23"/>
      <c r="KF134" s="23"/>
      <c r="KG134" s="23"/>
      <c r="KH134" s="23"/>
      <c r="KI134" s="23"/>
      <c r="KJ134" s="23"/>
      <c r="KK134" s="23"/>
      <c r="KL134" s="23"/>
      <c r="KM134" s="23"/>
      <c r="KN134" s="23"/>
      <c r="KO134" s="23"/>
      <c r="KP134" s="23"/>
      <c r="KQ134" s="23"/>
      <c r="KR134" s="23"/>
      <c r="KS134" s="23"/>
      <c r="KT134" s="23"/>
      <c r="KU134" s="23"/>
      <c r="KV134" s="23"/>
      <c r="KW134" s="23"/>
      <c r="KX134" s="23"/>
      <c r="KY134" s="23"/>
      <c r="KZ134" s="23"/>
      <c r="LA134" s="23"/>
      <c r="LB134" s="23"/>
      <c r="LC134" s="23"/>
      <c r="LD134" s="23"/>
      <c r="LE134" s="23"/>
      <c r="LF134" s="23"/>
      <c r="LG134" s="23"/>
      <c r="LH134" s="23"/>
      <c r="LI134" s="23"/>
      <c r="LJ134" s="23"/>
      <c r="LK134" s="23"/>
      <c r="LL134" s="23"/>
      <c r="LM134" s="23"/>
      <c r="LN134" s="23"/>
      <c r="LO134" s="23"/>
      <c r="LP134" s="23"/>
      <c r="LQ134" s="23"/>
      <c r="LR134" s="23"/>
      <c r="LS134" s="23"/>
      <c r="LT134" s="23"/>
      <c r="LU134" s="23"/>
      <c r="LV134" s="23"/>
      <c r="LW134" s="23"/>
      <c r="LX134" s="23"/>
      <c r="LY134" s="23"/>
      <c r="LZ134" s="23"/>
      <c r="MA134" s="23"/>
      <c r="MB134" s="23"/>
      <c r="MC134" s="23"/>
      <c r="MD134" s="23"/>
      <c r="ME134" s="23"/>
      <c r="MF134" s="23"/>
      <c r="MG134" s="23"/>
      <c r="MH134" s="23"/>
      <c r="MI134" s="23"/>
      <c r="MJ134" s="23"/>
      <c r="MK134" s="23"/>
      <c r="ML134" s="23"/>
      <c r="MM134" s="23"/>
      <c r="MN134" s="23"/>
      <c r="MO134" s="23"/>
      <c r="MP134" s="23"/>
      <c r="MQ134" s="23"/>
      <c r="MR134" s="23"/>
      <c r="MS134" s="23"/>
      <c r="MT134" s="23"/>
      <c r="MU134" s="23"/>
      <c r="MV134" s="23"/>
      <c r="MW134" s="23"/>
      <c r="MX134" s="23"/>
      <c r="MY134" s="23"/>
      <c r="MZ134" s="23"/>
      <c r="NA134" s="23"/>
      <c r="NB134" s="23"/>
      <c r="NC134" s="23"/>
      <c r="ND134" s="23"/>
      <c r="NE134" s="23"/>
      <c r="NF134" s="23"/>
      <c r="NG134" s="23"/>
      <c r="NH134" s="23"/>
      <c r="NI134" s="23"/>
      <c r="NJ134" s="23"/>
      <c r="NK134" s="23"/>
      <c r="NL134" s="23"/>
      <c r="NM134" s="23"/>
      <c r="NN134" s="23"/>
    </row>
    <row r="135" spans="5:378" ht="15" customHeight="1"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  <c r="IZ135" s="23"/>
      <c r="JA135" s="23"/>
      <c r="JB135" s="23"/>
      <c r="JC135" s="23"/>
      <c r="JD135" s="23"/>
      <c r="JE135" s="23"/>
      <c r="JF135" s="23"/>
      <c r="JG135" s="23"/>
      <c r="JH135" s="23"/>
      <c r="JI135" s="23"/>
      <c r="JJ135" s="23"/>
      <c r="JK135" s="23"/>
      <c r="JL135" s="23"/>
      <c r="JM135" s="23"/>
      <c r="JN135" s="23"/>
      <c r="JO135" s="23"/>
      <c r="JP135" s="23"/>
      <c r="JQ135" s="23"/>
      <c r="JR135" s="23"/>
      <c r="JS135" s="23"/>
      <c r="JT135" s="23"/>
      <c r="JU135" s="23"/>
      <c r="JV135" s="23"/>
      <c r="JW135" s="23"/>
      <c r="JX135" s="23"/>
      <c r="JY135" s="23"/>
      <c r="JZ135" s="23"/>
      <c r="KA135" s="23"/>
      <c r="KB135" s="23"/>
      <c r="KC135" s="23"/>
      <c r="KD135" s="23"/>
      <c r="KE135" s="23"/>
      <c r="KF135" s="23"/>
      <c r="KG135" s="23"/>
      <c r="KH135" s="23"/>
      <c r="KI135" s="23"/>
      <c r="KJ135" s="23"/>
      <c r="KK135" s="23"/>
      <c r="KL135" s="23"/>
      <c r="KM135" s="23"/>
      <c r="KN135" s="23"/>
      <c r="KO135" s="23"/>
      <c r="KP135" s="23"/>
      <c r="KQ135" s="23"/>
      <c r="KR135" s="23"/>
      <c r="KS135" s="23"/>
      <c r="KT135" s="23"/>
      <c r="KU135" s="23"/>
      <c r="KV135" s="23"/>
      <c r="KW135" s="23"/>
      <c r="KX135" s="23"/>
      <c r="KY135" s="23"/>
      <c r="KZ135" s="23"/>
      <c r="LA135" s="23"/>
      <c r="LB135" s="23"/>
      <c r="LC135" s="23"/>
      <c r="LD135" s="23"/>
      <c r="LE135" s="23"/>
      <c r="LF135" s="23"/>
      <c r="LG135" s="23"/>
      <c r="LH135" s="23"/>
      <c r="LI135" s="23"/>
      <c r="LJ135" s="23"/>
      <c r="LK135" s="23"/>
      <c r="LL135" s="23"/>
      <c r="LM135" s="23"/>
      <c r="LN135" s="23"/>
      <c r="LO135" s="23"/>
      <c r="LP135" s="23"/>
      <c r="LQ135" s="23"/>
      <c r="LR135" s="23"/>
      <c r="LS135" s="23"/>
      <c r="LT135" s="23"/>
      <c r="LU135" s="23"/>
      <c r="LV135" s="23"/>
      <c r="LW135" s="23"/>
      <c r="LX135" s="23"/>
      <c r="LY135" s="23"/>
      <c r="LZ135" s="23"/>
      <c r="MA135" s="23"/>
      <c r="MB135" s="23"/>
      <c r="MC135" s="23"/>
      <c r="MD135" s="23"/>
      <c r="ME135" s="23"/>
      <c r="MF135" s="23"/>
      <c r="MG135" s="23"/>
      <c r="MH135" s="23"/>
      <c r="MI135" s="23"/>
      <c r="MJ135" s="23"/>
      <c r="MK135" s="23"/>
      <c r="ML135" s="23"/>
      <c r="MM135" s="23"/>
      <c r="MN135" s="23"/>
      <c r="MO135" s="23"/>
      <c r="MP135" s="23"/>
      <c r="MQ135" s="23"/>
      <c r="MR135" s="23"/>
      <c r="MS135" s="23"/>
      <c r="MT135" s="23"/>
      <c r="MU135" s="23"/>
      <c r="MV135" s="23"/>
      <c r="MW135" s="23"/>
      <c r="MX135" s="23"/>
      <c r="MY135" s="23"/>
      <c r="MZ135" s="23"/>
      <c r="NA135" s="23"/>
      <c r="NB135" s="23"/>
      <c r="NC135" s="23"/>
      <c r="ND135" s="23"/>
      <c r="NE135" s="23"/>
      <c r="NF135" s="23"/>
      <c r="NG135" s="23"/>
      <c r="NH135" s="23"/>
      <c r="NI135" s="23"/>
      <c r="NJ135" s="23"/>
      <c r="NK135" s="23"/>
      <c r="NL135" s="23"/>
      <c r="NM135" s="23"/>
      <c r="NN135" s="23"/>
    </row>
    <row r="136" spans="5:378" ht="15" customHeight="1"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  <c r="IZ136" s="23"/>
      <c r="JA136" s="23"/>
      <c r="JB136" s="23"/>
      <c r="JC136" s="23"/>
      <c r="JD136" s="23"/>
      <c r="JE136" s="23"/>
      <c r="JF136" s="23"/>
      <c r="JG136" s="23"/>
      <c r="JH136" s="23"/>
      <c r="JI136" s="23"/>
      <c r="JJ136" s="23"/>
      <c r="JK136" s="23"/>
      <c r="JL136" s="23"/>
      <c r="JM136" s="23"/>
      <c r="JN136" s="23"/>
      <c r="JO136" s="23"/>
      <c r="JP136" s="23"/>
      <c r="JQ136" s="23"/>
      <c r="JR136" s="23"/>
      <c r="JS136" s="23"/>
      <c r="JT136" s="23"/>
      <c r="JU136" s="23"/>
      <c r="JV136" s="23"/>
      <c r="JW136" s="23"/>
      <c r="JX136" s="23"/>
      <c r="JY136" s="23"/>
      <c r="JZ136" s="23"/>
      <c r="KA136" s="23"/>
      <c r="KB136" s="23"/>
      <c r="KC136" s="23"/>
      <c r="KD136" s="23"/>
      <c r="KE136" s="23"/>
      <c r="KF136" s="23"/>
      <c r="KG136" s="23"/>
      <c r="KH136" s="23"/>
      <c r="KI136" s="23"/>
      <c r="KJ136" s="23"/>
      <c r="KK136" s="23"/>
      <c r="KL136" s="23"/>
      <c r="KM136" s="23"/>
      <c r="KN136" s="23"/>
      <c r="KO136" s="23"/>
      <c r="KP136" s="23"/>
      <c r="KQ136" s="23"/>
      <c r="KR136" s="23"/>
      <c r="KS136" s="23"/>
      <c r="KT136" s="23"/>
      <c r="KU136" s="23"/>
      <c r="KV136" s="23"/>
      <c r="KW136" s="23"/>
      <c r="KX136" s="23"/>
      <c r="KY136" s="23"/>
      <c r="KZ136" s="23"/>
      <c r="LA136" s="23"/>
      <c r="LB136" s="23"/>
      <c r="LC136" s="23"/>
      <c r="LD136" s="23"/>
      <c r="LE136" s="23"/>
      <c r="LF136" s="23"/>
      <c r="LG136" s="23"/>
      <c r="LH136" s="23"/>
      <c r="LI136" s="23"/>
      <c r="LJ136" s="23"/>
      <c r="LK136" s="23"/>
      <c r="LL136" s="23"/>
      <c r="LM136" s="23"/>
      <c r="LN136" s="23"/>
      <c r="LO136" s="23"/>
      <c r="LP136" s="23"/>
      <c r="LQ136" s="23"/>
      <c r="LR136" s="23"/>
      <c r="LS136" s="23"/>
      <c r="LT136" s="23"/>
      <c r="LU136" s="23"/>
      <c r="LV136" s="23"/>
      <c r="LW136" s="23"/>
      <c r="LX136" s="23"/>
      <c r="LY136" s="23"/>
      <c r="LZ136" s="23"/>
      <c r="MA136" s="23"/>
      <c r="MB136" s="23"/>
      <c r="MC136" s="23"/>
      <c r="MD136" s="23"/>
      <c r="ME136" s="23"/>
      <c r="MF136" s="23"/>
      <c r="MG136" s="23"/>
      <c r="MH136" s="23"/>
      <c r="MI136" s="23"/>
      <c r="MJ136" s="23"/>
      <c r="MK136" s="23"/>
      <c r="ML136" s="23"/>
      <c r="MM136" s="23"/>
      <c r="MN136" s="23"/>
      <c r="MO136" s="23"/>
      <c r="MP136" s="23"/>
      <c r="MQ136" s="23"/>
      <c r="MR136" s="23"/>
      <c r="MS136" s="23"/>
      <c r="MT136" s="23"/>
      <c r="MU136" s="23"/>
      <c r="MV136" s="23"/>
      <c r="MW136" s="23"/>
      <c r="MX136" s="23"/>
      <c r="MY136" s="23"/>
      <c r="MZ136" s="23"/>
      <c r="NA136" s="23"/>
      <c r="NB136" s="23"/>
      <c r="NC136" s="23"/>
      <c r="ND136" s="23"/>
      <c r="NE136" s="23"/>
      <c r="NF136" s="23"/>
      <c r="NG136" s="23"/>
      <c r="NH136" s="23"/>
      <c r="NI136" s="23"/>
      <c r="NJ136" s="23"/>
      <c r="NK136" s="23"/>
      <c r="NL136" s="23"/>
      <c r="NM136" s="23"/>
      <c r="NN136" s="23"/>
    </row>
    <row r="137" spans="5:378" ht="15" customHeight="1"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  <c r="IZ137" s="23"/>
      <c r="JA137" s="23"/>
      <c r="JB137" s="23"/>
      <c r="JC137" s="23"/>
      <c r="JD137" s="23"/>
      <c r="JE137" s="23"/>
      <c r="JF137" s="23"/>
      <c r="JG137" s="23"/>
      <c r="JH137" s="23"/>
      <c r="JI137" s="23"/>
      <c r="JJ137" s="23"/>
      <c r="JK137" s="23"/>
      <c r="JL137" s="23"/>
      <c r="JM137" s="23"/>
      <c r="JN137" s="23"/>
      <c r="JO137" s="23"/>
      <c r="JP137" s="23"/>
      <c r="JQ137" s="23"/>
      <c r="JR137" s="23"/>
      <c r="JS137" s="23"/>
      <c r="JT137" s="23"/>
      <c r="JU137" s="23"/>
      <c r="JV137" s="23"/>
      <c r="JW137" s="23"/>
      <c r="JX137" s="23"/>
      <c r="JY137" s="23"/>
      <c r="JZ137" s="23"/>
      <c r="KA137" s="23"/>
      <c r="KB137" s="23"/>
      <c r="KC137" s="23"/>
      <c r="KD137" s="23"/>
      <c r="KE137" s="23"/>
      <c r="KF137" s="23"/>
      <c r="KG137" s="23"/>
      <c r="KH137" s="23"/>
      <c r="KI137" s="23"/>
      <c r="KJ137" s="23"/>
      <c r="KK137" s="23"/>
      <c r="KL137" s="23"/>
      <c r="KM137" s="23"/>
      <c r="KN137" s="23"/>
      <c r="KO137" s="23"/>
      <c r="KP137" s="23"/>
      <c r="KQ137" s="23"/>
      <c r="KR137" s="23"/>
      <c r="KS137" s="23"/>
      <c r="KT137" s="23"/>
      <c r="KU137" s="23"/>
      <c r="KV137" s="23"/>
      <c r="KW137" s="23"/>
      <c r="KX137" s="23"/>
      <c r="KY137" s="23"/>
      <c r="KZ137" s="23"/>
      <c r="LA137" s="23"/>
      <c r="LB137" s="23"/>
      <c r="LC137" s="23"/>
      <c r="LD137" s="23"/>
      <c r="LE137" s="23"/>
      <c r="LF137" s="23"/>
      <c r="LG137" s="23"/>
      <c r="LH137" s="23"/>
      <c r="LI137" s="23"/>
      <c r="LJ137" s="23"/>
      <c r="LK137" s="23"/>
      <c r="LL137" s="23"/>
      <c r="LM137" s="23"/>
      <c r="LN137" s="23"/>
      <c r="LO137" s="23"/>
      <c r="LP137" s="23"/>
      <c r="LQ137" s="23"/>
      <c r="LR137" s="23"/>
      <c r="LS137" s="23"/>
      <c r="LT137" s="23"/>
      <c r="LU137" s="23"/>
      <c r="LV137" s="23"/>
      <c r="LW137" s="23"/>
      <c r="LX137" s="23"/>
      <c r="LY137" s="23"/>
      <c r="LZ137" s="23"/>
      <c r="MA137" s="23"/>
      <c r="MB137" s="23"/>
      <c r="MC137" s="23"/>
      <c r="MD137" s="23"/>
      <c r="ME137" s="23"/>
      <c r="MF137" s="23"/>
      <c r="MG137" s="23"/>
      <c r="MH137" s="23"/>
      <c r="MI137" s="23"/>
      <c r="MJ137" s="23"/>
      <c r="MK137" s="23"/>
      <c r="ML137" s="23"/>
      <c r="MM137" s="23"/>
      <c r="MN137" s="23"/>
      <c r="MO137" s="23"/>
      <c r="MP137" s="23"/>
      <c r="MQ137" s="23"/>
      <c r="MR137" s="23"/>
      <c r="MS137" s="23"/>
      <c r="MT137" s="23"/>
      <c r="MU137" s="23"/>
      <c r="MV137" s="23"/>
      <c r="MW137" s="23"/>
      <c r="MX137" s="23"/>
      <c r="MY137" s="23"/>
      <c r="MZ137" s="23"/>
      <c r="NA137" s="23"/>
      <c r="NB137" s="23"/>
      <c r="NC137" s="23"/>
      <c r="ND137" s="23"/>
      <c r="NE137" s="23"/>
      <c r="NF137" s="23"/>
      <c r="NG137" s="23"/>
      <c r="NH137" s="23"/>
      <c r="NI137" s="23"/>
      <c r="NJ137" s="23"/>
      <c r="NK137" s="23"/>
      <c r="NL137" s="23"/>
      <c r="NM137" s="23"/>
      <c r="NN137" s="23"/>
    </row>
    <row r="138" spans="5:378" ht="15" customHeight="1"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  <c r="IZ138" s="23"/>
      <c r="JA138" s="23"/>
      <c r="JB138" s="23"/>
      <c r="JC138" s="23"/>
      <c r="JD138" s="23"/>
      <c r="JE138" s="23"/>
      <c r="JF138" s="23"/>
      <c r="JG138" s="23"/>
      <c r="JH138" s="23"/>
      <c r="JI138" s="23"/>
      <c r="JJ138" s="23"/>
      <c r="JK138" s="23"/>
      <c r="JL138" s="23"/>
      <c r="JM138" s="23"/>
      <c r="JN138" s="23"/>
      <c r="JO138" s="23"/>
      <c r="JP138" s="23"/>
      <c r="JQ138" s="23"/>
      <c r="JR138" s="23"/>
      <c r="JS138" s="23"/>
      <c r="JT138" s="23"/>
      <c r="JU138" s="23"/>
      <c r="JV138" s="23"/>
      <c r="JW138" s="23"/>
      <c r="JX138" s="23"/>
      <c r="JY138" s="23"/>
      <c r="JZ138" s="23"/>
      <c r="KA138" s="23"/>
      <c r="KB138" s="23"/>
      <c r="KC138" s="23"/>
      <c r="KD138" s="23"/>
      <c r="KE138" s="23"/>
      <c r="KF138" s="23"/>
      <c r="KG138" s="23"/>
      <c r="KH138" s="23"/>
      <c r="KI138" s="23"/>
      <c r="KJ138" s="23"/>
      <c r="KK138" s="23"/>
      <c r="KL138" s="23"/>
      <c r="KM138" s="23"/>
      <c r="KN138" s="23"/>
      <c r="KO138" s="23"/>
      <c r="KP138" s="23"/>
      <c r="KQ138" s="23"/>
      <c r="KR138" s="23"/>
      <c r="KS138" s="23"/>
      <c r="KT138" s="23"/>
      <c r="KU138" s="23"/>
      <c r="KV138" s="23"/>
      <c r="KW138" s="23"/>
      <c r="KX138" s="23"/>
      <c r="KY138" s="23"/>
      <c r="KZ138" s="23"/>
      <c r="LA138" s="23"/>
      <c r="LB138" s="23"/>
      <c r="LC138" s="23"/>
      <c r="LD138" s="23"/>
      <c r="LE138" s="23"/>
      <c r="LF138" s="23"/>
      <c r="LG138" s="23"/>
      <c r="LH138" s="23"/>
      <c r="LI138" s="23"/>
      <c r="LJ138" s="23"/>
      <c r="LK138" s="23"/>
      <c r="LL138" s="23"/>
      <c r="LM138" s="23"/>
      <c r="LN138" s="23"/>
      <c r="LO138" s="23"/>
      <c r="LP138" s="23"/>
      <c r="LQ138" s="23"/>
      <c r="LR138" s="23"/>
      <c r="LS138" s="23"/>
      <c r="LT138" s="23"/>
      <c r="LU138" s="23"/>
      <c r="LV138" s="23"/>
      <c r="LW138" s="23"/>
      <c r="LX138" s="23"/>
      <c r="LY138" s="23"/>
      <c r="LZ138" s="23"/>
      <c r="MA138" s="23"/>
      <c r="MB138" s="23"/>
      <c r="MC138" s="23"/>
      <c r="MD138" s="23"/>
      <c r="ME138" s="23"/>
      <c r="MF138" s="23"/>
      <c r="MG138" s="23"/>
      <c r="MH138" s="23"/>
      <c r="MI138" s="23"/>
      <c r="MJ138" s="23"/>
      <c r="MK138" s="23"/>
      <c r="ML138" s="23"/>
      <c r="MM138" s="23"/>
      <c r="MN138" s="23"/>
      <c r="MO138" s="23"/>
      <c r="MP138" s="23"/>
      <c r="MQ138" s="23"/>
      <c r="MR138" s="23"/>
      <c r="MS138" s="23"/>
      <c r="MT138" s="23"/>
      <c r="MU138" s="23"/>
      <c r="MV138" s="23"/>
      <c r="MW138" s="23"/>
      <c r="MX138" s="23"/>
      <c r="MY138" s="23"/>
      <c r="MZ138" s="23"/>
      <c r="NA138" s="23"/>
      <c r="NB138" s="23"/>
      <c r="NC138" s="23"/>
      <c r="ND138" s="23"/>
      <c r="NE138" s="23"/>
      <c r="NF138" s="23"/>
      <c r="NG138" s="23"/>
      <c r="NH138" s="23"/>
      <c r="NI138" s="23"/>
      <c r="NJ138" s="23"/>
      <c r="NK138" s="23"/>
      <c r="NL138" s="23"/>
      <c r="NM138" s="23"/>
      <c r="NN138" s="23"/>
    </row>
    <row r="139" spans="5:378" ht="15" customHeight="1"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  <c r="IZ139" s="23"/>
      <c r="JA139" s="23"/>
      <c r="JB139" s="23"/>
      <c r="JC139" s="23"/>
      <c r="JD139" s="23"/>
      <c r="JE139" s="23"/>
      <c r="JF139" s="23"/>
      <c r="JG139" s="23"/>
      <c r="JH139" s="23"/>
      <c r="JI139" s="23"/>
      <c r="JJ139" s="23"/>
      <c r="JK139" s="23"/>
      <c r="JL139" s="23"/>
      <c r="JM139" s="23"/>
      <c r="JN139" s="23"/>
      <c r="JO139" s="23"/>
      <c r="JP139" s="23"/>
      <c r="JQ139" s="23"/>
      <c r="JR139" s="23"/>
      <c r="JS139" s="23"/>
      <c r="JT139" s="23"/>
      <c r="JU139" s="23"/>
      <c r="JV139" s="23"/>
      <c r="JW139" s="23"/>
      <c r="JX139" s="23"/>
      <c r="JY139" s="23"/>
      <c r="JZ139" s="23"/>
      <c r="KA139" s="23"/>
      <c r="KB139" s="23"/>
      <c r="KC139" s="23"/>
      <c r="KD139" s="23"/>
      <c r="KE139" s="23"/>
      <c r="KF139" s="23"/>
      <c r="KG139" s="23"/>
      <c r="KH139" s="23"/>
      <c r="KI139" s="23"/>
      <c r="KJ139" s="23"/>
      <c r="KK139" s="23"/>
      <c r="KL139" s="23"/>
      <c r="KM139" s="23"/>
      <c r="KN139" s="23"/>
      <c r="KO139" s="23"/>
      <c r="KP139" s="23"/>
      <c r="KQ139" s="23"/>
      <c r="KR139" s="23"/>
      <c r="KS139" s="23"/>
      <c r="KT139" s="23"/>
      <c r="KU139" s="23"/>
      <c r="KV139" s="23"/>
      <c r="KW139" s="23"/>
      <c r="KX139" s="23"/>
      <c r="KY139" s="23"/>
      <c r="KZ139" s="23"/>
      <c r="LA139" s="23"/>
      <c r="LB139" s="23"/>
      <c r="LC139" s="23"/>
      <c r="LD139" s="23"/>
      <c r="LE139" s="23"/>
      <c r="LF139" s="23"/>
      <c r="LG139" s="23"/>
      <c r="LH139" s="23"/>
      <c r="LI139" s="23"/>
      <c r="LJ139" s="23"/>
      <c r="LK139" s="23"/>
      <c r="LL139" s="23"/>
      <c r="LM139" s="23"/>
      <c r="LN139" s="23"/>
      <c r="LO139" s="23"/>
      <c r="LP139" s="23"/>
      <c r="LQ139" s="23"/>
      <c r="LR139" s="23"/>
      <c r="LS139" s="23"/>
      <c r="LT139" s="23"/>
      <c r="LU139" s="23"/>
      <c r="LV139" s="23"/>
      <c r="LW139" s="23"/>
      <c r="LX139" s="23"/>
      <c r="LY139" s="23"/>
      <c r="LZ139" s="23"/>
      <c r="MA139" s="23"/>
      <c r="MB139" s="23"/>
      <c r="MC139" s="23"/>
      <c r="MD139" s="23"/>
      <c r="ME139" s="23"/>
      <c r="MF139" s="23"/>
      <c r="MG139" s="23"/>
      <c r="MH139" s="23"/>
      <c r="MI139" s="23"/>
      <c r="MJ139" s="23"/>
      <c r="MK139" s="23"/>
      <c r="ML139" s="23"/>
      <c r="MM139" s="23"/>
      <c r="MN139" s="23"/>
      <c r="MO139" s="23"/>
      <c r="MP139" s="23"/>
      <c r="MQ139" s="23"/>
      <c r="MR139" s="23"/>
      <c r="MS139" s="23"/>
      <c r="MT139" s="23"/>
      <c r="MU139" s="23"/>
      <c r="MV139" s="23"/>
      <c r="MW139" s="23"/>
      <c r="MX139" s="23"/>
      <c r="MY139" s="23"/>
      <c r="MZ139" s="23"/>
      <c r="NA139" s="23"/>
      <c r="NB139" s="23"/>
      <c r="NC139" s="23"/>
      <c r="ND139" s="23"/>
      <c r="NE139" s="23"/>
      <c r="NF139" s="23"/>
      <c r="NG139" s="23"/>
      <c r="NH139" s="23"/>
      <c r="NI139" s="23"/>
      <c r="NJ139" s="23"/>
      <c r="NK139" s="23"/>
      <c r="NL139" s="23"/>
      <c r="NM139" s="23"/>
      <c r="NN139" s="23"/>
    </row>
    <row r="140" spans="5:378" ht="15" customHeight="1"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  <c r="IZ140" s="23"/>
      <c r="JA140" s="23"/>
      <c r="JB140" s="23"/>
      <c r="JC140" s="23"/>
      <c r="JD140" s="23"/>
      <c r="JE140" s="23"/>
      <c r="JF140" s="23"/>
      <c r="JG140" s="23"/>
      <c r="JH140" s="23"/>
      <c r="JI140" s="23"/>
      <c r="JJ140" s="23"/>
      <c r="JK140" s="23"/>
      <c r="JL140" s="23"/>
      <c r="JM140" s="23"/>
      <c r="JN140" s="23"/>
      <c r="JO140" s="23"/>
      <c r="JP140" s="23"/>
      <c r="JQ140" s="23"/>
      <c r="JR140" s="23"/>
      <c r="JS140" s="23"/>
      <c r="JT140" s="23"/>
      <c r="JU140" s="23"/>
      <c r="JV140" s="23"/>
      <c r="JW140" s="23"/>
      <c r="JX140" s="23"/>
      <c r="JY140" s="23"/>
      <c r="JZ140" s="23"/>
      <c r="KA140" s="23"/>
      <c r="KB140" s="23"/>
      <c r="KC140" s="23"/>
      <c r="KD140" s="23"/>
      <c r="KE140" s="23"/>
      <c r="KF140" s="23"/>
      <c r="KG140" s="23"/>
      <c r="KH140" s="23"/>
      <c r="KI140" s="23"/>
      <c r="KJ140" s="23"/>
      <c r="KK140" s="23"/>
      <c r="KL140" s="23"/>
      <c r="KM140" s="23"/>
      <c r="KN140" s="23"/>
      <c r="KO140" s="23"/>
      <c r="KP140" s="23"/>
      <c r="KQ140" s="23"/>
      <c r="KR140" s="23"/>
      <c r="KS140" s="23"/>
      <c r="KT140" s="23"/>
      <c r="KU140" s="23"/>
      <c r="KV140" s="23"/>
      <c r="KW140" s="23"/>
      <c r="KX140" s="23"/>
      <c r="KY140" s="23"/>
      <c r="KZ140" s="23"/>
      <c r="LA140" s="23"/>
      <c r="LB140" s="23"/>
      <c r="LC140" s="23"/>
      <c r="LD140" s="23"/>
      <c r="LE140" s="23"/>
      <c r="LF140" s="23"/>
      <c r="LG140" s="23"/>
      <c r="LH140" s="23"/>
      <c r="LI140" s="23"/>
      <c r="LJ140" s="23"/>
      <c r="LK140" s="23"/>
      <c r="LL140" s="23"/>
      <c r="LM140" s="23"/>
      <c r="LN140" s="23"/>
      <c r="LO140" s="23"/>
      <c r="LP140" s="23"/>
      <c r="LQ140" s="23"/>
      <c r="LR140" s="23"/>
      <c r="LS140" s="23"/>
      <c r="LT140" s="23"/>
      <c r="LU140" s="23"/>
      <c r="LV140" s="23"/>
      <c r="LW140" s="23"/>
      <c r="LX140" s="23"/>
      <c r="LY140" s="23"/>
      <c r="LZ140" s="23"/>
      <c r="MA140" s="23"/>
      <c r="MB140" s="23"/>
      <c r="MC140" s="23"/>
      <c r="MD140" s="23"/>
      <c r="ME140" s="23"/>
      <c r="MF140" s="23"/>
      <c r="MG140" s="23"/>
      <c r="MH140" s="23"/>
      <c r="MI140" s="23"/>
      <c r="MJ140" s="23"/>
      <c r="MK140" s="23"/>
      <c r="ML140" s="23"/>
      <c r="MM140" s="23"/>
      <c r="MN140" s="23"/>
      <c r="MO140" s="23"/>
      <c r="MP140" s="23"/>
      <c r="MQ140" s="23"/>
      <c r="MR140" s="23"/>
      <c r="MS140" s="23"/>
      <c r="MT140" s="23"/>
      <c r="MU140" s="23"/>
      <c r="MV140" s="23"/>
      <c r="MW140" s="23"/>
      <c r="MX140" s="23"/>
      <c r="MY140" s="23"/>
      <c r="MZ140" s="23"/>
      <c r="NA140" s="23"/>
      <c r="NB140" s="23"/>
      <c r="NC140" s="23"/>
      <c r="ND140" s="23"/>
      <c r="NE140" s="23"/>
      <c r="NF140" s="23"/>
      <c r="NG140" s="23"/>
      <c r="NH140" s="23"/>
      <c r="NI140" s="23"/>
      <c r="NJ140" s="23"/>
      <c r="NK140" s="23"/>
      <c r="NL140" s="23"/>
      <c r="NM140" s="23"/>
      <c r="NN140" s="23"/>
    </row>
    <row r="141" spans="5:378" ht="15" customHeight="1"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  <c r="IY141" s="23"/>
      <c r="IZ141" s="23"/>
      <c r="JA141" s="23"/>
      <c r="JB141" s="23"/>
      <c r="JC141" s="23"/>
      <c r="JD141" s="23"/>
      <c r="JE141" s="23"/>
      <c r="JF141" s="23"/>
      <c r="JG141" s="23"/>
      <c r="JH141" s="23"/>
      <c r="JI141" s="23"/>
      <c r="JJ141" s="23"/>
      <c r="JK141" s="23"/>
      <c r="JL141" s="23"/>
      <c r="JM141" s="23"/>
      <c r="JN141" s="23"/>
      <c r="JO141" s="23"/>
      <c r="JP141" s="23"/>
      <c r="JQ141" s="23"/>
      <c r="JR141" s="23"/>
      <c r="JS141" s="23"/>
      <c r="JT141" s="23"/>
      <c r="JU141" s="23"/>
      <c r="JV141" s="23"/>
      <c r="JW141" s="23"/>
      <c r="JX141" s="23"/>
      <c r="JY141" s="23"/>
      <c r="JZ141" s="23"/>
      <c r="KA141" s="23"/>
      <c r="KB141" s="23"/>
      <c r="KC141" s="23"/>
      <c r="KD141" s="23"/>
      <c r="KE141" s="23"/>
      <c r="KF141" s="23"/>
      <c r="KG141" s="23"/>
      <c r="KH141" s="23"/>
      <c r="KI141" s="23"/>
      <c r="KJ141" s="23"/>
      <c r="KK141" s="23"/>
      <c r="KL141" s="23"/>
      <c r="KM141" s="23"/>
      <c r="KN141" s="23"/>
      <c r="KO141" s="23"/>
      <c r="KP141" s="23"/>
      <c r="KQ141" s="23"/>
      <c r="KR141" s="23"/>
      <c r="KS141" s="23"/>
      <c r="KT141" s="23"/>
      <c r="KU141" s="23"/>
      <c r="KV141" s="23"/>
      <c r="KW141" s="23"/>
      <c r="KX141" s="23"/>
      <c r="KY141" s="23"/>
      <c r="KZ141" s="23"/>
      <c r="LA141" s="23"/>
      <c r="LB141" s="23"/>
      <c r="LC141" s="23"/>
      <c r="LD141" s="23"/>
      <c r="LE141" s="23"/>
      <c r="LF141" s="23"/>
      <c r="LG141" s="23"/>
      <c r="LH141" s="23"/>
      <c r="LI141" s="23"/>
      <c r="LJ141" s="23"/>
      <c r="LK141" s="23"/>
      <c r="LL141" s="23"/>
      <c r="LM141" s="23"/>
      <c r="LN141" s="23"/>
      <c r="LO141" s="23"/>
      <c r="LP141" s="23"/>
      <c r="LQ141" s="23"/>
      <c r="LR141" s="23"/>
      <c r="LS141" s="23"/>
      <c r="LT141" s="23"/>
      <c r="LU141" s="23"/>
      <c r="LV141" s="23"/>
      <c r="LW141" s="23"/>
      <c r="LX141" s="23"/>
      <c r="LY141" s="23"/>
      <c r="LZ141" s="23"/>
      <c r="MA141" s="23"/>
      <c r="MB141" s="23"/>
      <c r="MC141" s="23"/>
      <c r="MD141" s="23"/>
      <c r="ME141" s="23"/>
      <c r="MF141" s="23"/>
      <c r="MG141" s="23"/>
      <c r="MH141" s="23"/>
      <c r="MI141" s="23"/>
      <c r="MJ141" s="23"/>
      <c r="MK141" s="23"/>
      <c r="ML141" s="23"/>
      <c r="MM141" s="23"/>
      <c r="MN141" s="23"/>
      <c r="MO141" s="23"/>
      <c r="MP141" s="23"/>
      <c r="MQ141" s="23"/>
      <c r="MR141" s="23"/>
      <c r="MS141" s="23"/>
      <c r="MT141" s="23"/>
      <c r="MU141" s="23"/>
      <c r="MV141" s="23"/>
      <c r="MW141" s="23"/>
      <c r="MX141" s="23"/>
      <c r="MY141" s="23"/>
      <c r="MZ141" s="23"/>
      <c r="NA141" s="23"/>
      <c r="NB141" s="23"/>
      <c r="NC141" s="23"/>
      <c r="ND141" s="23"/>
      <c r="NE141" s="23"/>
      <c r="NF141" s="23"/>
      <c r="NG141" s="23"/>
      <c r="NH141" s="23"/>
      <c r="NI141" s="23"/>
      <c r="NJ141" s="23"/>
      <c r="NK141" s="23"/>
      <c r="NL141" s="23"/>
      <c r="NM141" s="23"/>
      <c r="NN141" s="23"/>
    </row>
    <row r="142" spans="5:378" ht="15" customHeight="1"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  <c r="IZ142" s="23"/>
      <c r="JA142" s="23"/>
      <c r="JB142" s="23"/>
      <c r="JC142" s="23"/>
      <c r="JD142" s="23"/>
      <c r="JE142" s="23"/>
      <c r="JF142" s="23"/>
      <c r="JG142" s="23"/>
      <c r="JH142" s="23"/>
      <c r="JI142" s="23"/>
      <c r="JJ142" s="23"/>
      <c r="JK142" s="23"/>
      <c r="JL142" s="23"/>
      <c r="JM142" s="23"/>
      <c r="JN142" s="23"/>
      <c r="JO142" s="23"/>
      <c r="JP142" s="23"/>
      <c r="JQ142" s="23"/>
      <c r="JR142" s="23"/>
      <c r="JS142" s="23"/>
      <c r="JT142" s="23"/>
      <c r="JU142" s="23"/>
      <c r="JV142" s="23"/>
      <c r="JW142" s="23"/>
      <c r="JX142" s="23"/>
      <c r="JY142" s="23"/>
      <c r="JZ142" s="23"/>
      <c r="KA142" s="23"/>
      <c r="KB142" s="23"/>
      <c r="KC142" s="23"/>
      <c r="KD142" s="23"/>
      <c r="KE142" s="23"/>
      <c r="KF142" s="23"/>
      <c r="KG142" s="23"/>
      <c r="KH142" s="23"/>
      <c r="KI142" s="23"/>
      <c r="KJ142" s="23"/>
      <c r="KK142" s="23"/>
      <c r="KL142" s="23"/>
      <c r="KM142" s="23"/>
      <c r="KN142" s="23"/>
      <c r="KO142" s="23"/>
      <c r="KP142" s="23"/>
      <c r="KQ142" s="23"/>
      <c r="KR142" s="23"/>
      <c r="KS142" s="23"/>
      <c r="KT142" s="23"/>
      <c r="KU142" s="23"/>
      <c r="KV142" s="23"/>
      <c r="KW142" s="23"/>
      <c r="KX142" s="23"/>
      <c r="KY142" s="23"/>
      <c r="KZ142" s="23"/>
      <c r="LA142" s="23"/>
      <c r="LB142" s="23"/>
      <c r="LC142" s="23"/>
      <c r="LD142" s="23"/>
      <c r="LE142" s="23"/>
      <c r="LF142" s="23"/>
      <c r="LG142" s="23"/>
      <c r="LH142" s="23"/>
      <c r="LI142" s="23"/>
      <c r="LJ142" s="23"/>
      <c r="LK142" s="23"/>
      <c r="LL142" s="23"/>
      <c r="LM142" s="23"/>
      <c r="LN142" s="23"/>
      <c r="LO142" s="23"/>
      <c r="LP142" s="23"/>
      <c r="LQ142" s="23"/>
      <c r="LR142" s="23"/>
      <c r="LS142" s="23"/>
      <c r="LT142" s="23"/>
      <c r="LU142" s="23"/>
      <c r="LV142" s="23"/>
      <c r="LW142" s="23"/>
      <c r="LX142" s="23"/>
      <c r="LY142" s="23"/>
      <c r="LZ142" s="23"/>
      <c r="MA142" s="23"/>
      <c r="MB142" s="23"/>
      <c r="MC142" s="23"/>
      <c r="MD142" s="23"/>
      <c r="ME142" s="23"/>
      <c r="MF142" s="23"/>
      <c r="MG142" s="23"/>
      <c r="MH142" s="23"/>
      <c r="MI142" s="23"/>
      <c r="MJ142" s="23"/>
      <c r="MK142" s="23"/>
      <c r="ML142" s="23"/>
      <c r="MM142" s="23"/>
      <c r="MN142" s="23"/>
      <c r="MO142" s="23"/>
      <c r="MP142" s="23"/>
      <c r="MQ142" s="23"/>
      <c r="MR142" s="23"/>
      <c r="MS142" s="23"/>
      <c r="MT142" s="23"/>
      <c r="MU142" s="23"/>
      <c r="MV142" s="23"/>
      <c r="MW142" s="23"/>
      <c r="MX142" s="23"/>
      <c r="MY142" s="23"/>
      <c r="MZ142" s="23"/>
      <c r="NA142" s="23"/>
      <c r="NB142" s="23"/>
      <c r="NC142" s="23"/>
      <c r="ND142" s="23"/>
      <c r="NE142" s="23"/>
      <c r="NF142" s="23"/>
      <c r="NG142" s="23"/>
      <c r="NH142" s="23"/>
      <c r="NI142" s="23"/>
      <c r="NJ142" s="23"/>
      <c r="NK142" s="23"/>
      <c r="NL142" s="23"/>
      <c r="NM142" s="23"/>
      <c r="NN142" s="23"/>
    </row>
    <row r="143" spans="5:378" ht="15" customHeight="1"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  <c r="IY143" s="23"/>
      <c r="IZ143" s="23"/>
      <c r="JA143" s="23"/>
      <c r="JB143" s="23"/>
      <c r="JC143" s="23"/>
      <c r="JD143" s="23"/>
      <c r="JE143" s="23"/>
      <c r="JF143" s="23"/>
      <c r="JG143" s="23"/>
      <c r="JH143" s="23"/>
      <c r="JI143" s="23"/>
      <c r="JJ143" s="23"/>
      <c r="JK143" s="23"/>
      <c r="JL143" s="23"/>
      <c r="JM143" s="23"/>
      <c r="JN143" s="23"/>
      <c r="JO143" s="23"/>
      <c r="JP143" s="23"/>
      <c r="JQ143" s="23"/>
      <c r="JR143" s="23"/>
      <c r="JS143" s="23"/>
      <c r="JT143" s="23"/>
      <c r="JU143" s="23"/>
      <c r="JV143" s="23"/>
      <c r="JW143" s="23"/>
      <c r="JX143" s="23"/>
      <c r="JY143" s="23"/>
      <c r="JZ143" s="23"/>
      <c r="KA143" s="23"/>
      <c r="KB143" s="23"/>
      <c r="KC143" s="23"/>
      <c r="KD143" s="23"/>
      <c r="KE143" s="23"/>
      <c r="KF143" s="23"/>
      <c r="KG143" s="23"/>
      <c r="KH143" s="23"/>
      <c r="KI143" s="23"/>
      <c r="KJ143" s="23"/>
      <c r="KK143" s="23"/>
      <c r="KL143" s="23"/>
      <c r="KM143" s="23"/>
      <c r="KN143" s="23"/>
      <c r="KO143" s="23"/>
      <c r="KP143" s="23"/>
      <c r="KQ143" s="23"/>
      <c r="KR143" s="23"/>
      <c r="KS143" s="23"/>
      <c r="KT143" s="23"/>
      <c r="KU143" s="23"/>
      <c r="KV143" s="23"/>
      <c r="KW143" s="23"/>
      <c r="KX143" s="23"/>
      <c r="KY143" s="23"/>
      <c r="KZ143" s="23"/>
      <c r="LA143" s="23"/>
      <c r="LB143" s="23"/>
      <c r="LC143" s="23"/>
      <c r="LD143" s="23"/>
      <c r="LE143" s="23"/>
      <c r="LF143" s="23"/>
      <c r="LG143" s="23"/>
      <c r="LH143" s="23"/>
      <c r="LI143" s="23"/>
      <c r="LJ143" s="23"/>
      <c r="LK143" s="23"/>
      <c r="LL143" s="23"/>
      <c r="LM143" s="23"/>
      <c r="LN143" s="23"/>
      <c r="LO143" s="23"/>
      <c r="LP143" s="23"/>
      <c r="LQ143" s="23"/>
      <c r="LR143" s="23"/>
      <c r="LS143" s="23"/>
      <c r="LT143" s="23"/>
      <c r="LU143" s="23"/>
      <c r="LV143" s="23"/>
      <c r="LW143" s="23"/>
      <c r="LX143" s="23"/>
      <c r="LY143" s="23"/>
      <c r="LZ143" s="23"/>
      <c r="MA143" s="23"/>
      <c r="MB143" s="23"/>
      <c r="MC143" s="23"/>
      <c r="MD143" s="23"/>
      <c r="ME143" s="23"/>
      <c r="MF143" s="23"/>
      <c r="MG143" s="23"/>
      <c r="MH143" s="23"/>
      <c r="MI143" s="23"/>
      <c r="MJ143" s="23"/>
      <c r="MK143" s="23"/>
      <c r="ML143" s="23"/>
      <c r="MM143" s="23"/>
      <c r="MN143" s="23"/>
      <c r="MO143" s="23"/>
      <c r="MP143" s="23"/>
      <c r="MQ143" s="23"/>
      <c r="MR143" s="23"/>
      <c r="MS143" s="23"/>
      <c r="MT143" s="23"/>
      <c r="MU143" s="23"/>
      <c r="MV143" s="23"/>
      <c r="MW143" s="23"/>
      <c r="MX143" s="23"/>
      <c r="MY143" s="23"/>
      <c r="MZ143" s="23"/>
      <c r="NA143" s="23"/>
      <c r="NB143" s="23"/>
      <c r="NC143" s="23"/>
      <c r="ND143" s="23"/>
      <c r="NE143" s="23"/>
      <c r="NF143" s="23"/>
      <c r="NG143" s="23"/>
      <c r="NH143" s="23"/>
      <c r="NI143" s="23"/>
      <c r="NJ143" s="23"/>
      <c r="NK143" s="23"/>
      <c r="NL143" s="23"/>
      <c r="NM143" s="23"/>
      <c r="NN143" s="23"/>
    </row>
    <row r="144" spans="5:378" ht="15" customHeight="1"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  <c r="IZ144" s="23"/>
      <c r="JA144" s="23"/>
      <c r="JB144" s="23"/>
      <c r="JC144" s="23"/>
      <c r="JD144" s="23"/>
      <c r="JE144" s="23"/>
      <c r="JF144" s="23"/>
      <c r="JG144" s="23"/>
      <c r="JH144" s="23"/>
      <c r="JI144" s="23"/>
      <c r="JJ144" s="23"/>
      <c r="JK144" s="23"/>
      <c r="JL144" s="23"/>
      <c r="JM144" s="23"/>
      <c r="JN144" s="23"/>
      <c r="JO144" s="23"/>
      <c r="JP144" s="23"/>
      <c r="JQ144" s="23"/>
      <c r="JR144" s="23"/>
      <c r="JS144" s="23"/>
      <c r="JT144" s="23"/>
      <c r="JU144" s="23"/>
      <c r="JV144" s="23"/>
      <c r="JW144" s="23"/>
      <c r="JX144" s="23"/>
      <c r="JY144" s="23"/>
      <c r="JZ144" s="23"/>
      <c r="KA144" s="23"/>
      <c r="KB144" s="23"/>
      <c r="KC144" s="23"/>
      <c r="KD144" s="23"/>
      <c r="KE144" s="23"/>
      <c r="KF144" s="23"/>
      <c r="KG144" s="23"/>
      <c r="KH144" s="23"/>
      <c r="KI144" s="23"/>
      <c r="KJ144" s="23"/>
      <c r="KK144" s="23"/>
      <c r="KL144" s="23"/>
      <c r="KM144" s="23"/>
      <c r="KN144" s="23"/>
      <c r="KO144" s="23"/>
      <c r="KP144" s="23"/>
      <c r="KQ144" s="23"/>
      <c r="KR144" s="23"/>
      <c r="KS144" s="23"/>
      <c r="KT144" s="23"/>
      <c r="KU144" s="23"/>
      <c r="KV144" s="23"/>
      <c r="KW144" s="23"/>
      <c r="KX144" s="23"/>
      <c r="KY144" s="23"/>
      <c r="KZ144" s="23"/>
      <c r="LA144" s="23"/>
      <c r="LB144" s="23"/>
      <c r="LC144" s="23"/>
      <c r="LD144" s="23"/>
      <c r="LE144" s="23"/>
      <c r="LF144" s="23"/>
      <c r="LG144" s="23"/>
      <c r="LH144" s="23"/>
      <c r="LI144" s="23"/>
      <c r="LJ144" s="23"/>
      <c r="LK144" s="23"/>
      <c r="LL144" s="23"/>
      <c r="LM144" s="23"/>
      <c r="LN144" s="23"/>
      <c r="LO144" s="23"/>
      <c r="LP144" s="23"/>
      <c r="LQ144" s="23"/>
      <c r="LR144" s="23"/>
      <c r="LS144" s="23"/>
      <c r="LT144" s="23"/>
      <c r="LU144" s="23"/>
      <c r="LV144" s="23"/>
      <c r="LW144" s="23"/>
      <c r="LX144" s="23"/>
      <c r="LY144" s="23"/>
      <c r="LZ144" s="23"/>
      <c r="MA144" s="23"/>
      <c r="MB144" s="23"/>
      <c r="MC144" s="23"/>
      <c r="MD144" s="23"/>
      <c r="ME144" s="23"/>
      <c r="MF144" s="23"/>
      <c r="MG144" s="23"/>
      <c r="MH144" s="23"/>
      <c r="MI144" s="23"/>
      <c r="MJ144" s="23"/>
      <c r="MK144" s="23"/>
      <c r="ML144" s="23"/>
      <c r="MM144" s="23"/>
      <c r="MN144" s="23"/>
      <c r="MO144" s="23"/>
      <c r="MP144" s="23"/>
      <c r="MQ144" s="23"/>
      <c r="MR144" s="23"/>
      <c r="MS144" s="23"/>
      <c r="MT144" s="23"/>
      <c r="MU144" s="23"/>
      <c r="MV144" s="23"/>
      <c r="MW144" s="23"/>
      <c r="MX144" s="23"/>
      <c r="MY144" s="23"/>
      <c r="MZ144" s="23"/>
      <c r="NA144" s="23"/>
      <c r="NB144" s="23"/>
      <c r="NC144" s="23"/>
      <c r="ND144" s="23"/>
      <c r="NE144" s="23"/>
      <c r="NF144" s="23"/>
      <c r="NG144" s="23"/>
      <c r="NH144" s="23"/>
      <c r="NI144" s="23"/>
      <c r="NJ144" s="23"/>
      <c r="NK144" s="23"/>
      <c r="NL144" s="23"/>
      <c r="NM144" s="23"/>
      <c r="NN144" s="23"/>
    </row>
    <row r="145" spans="5:378" ht="15" customHeight="1"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  <c r="IZ145" s="23"/>
      <c r="JA145" s="23"/>
      <c r="JB145" s="23"/>
      <c r="JC145" s="23"/>
      <c r="JD145" s="23"/>
      <c r="JE145" s="23"/>
      <c r="JF145" s="23"/>
      <c r="JG145" s="23"/>
      <c r="JH145" s="23"/>
      <c r="JI145" s="23"/>
      <c r="JJ145" s="23"/>
      <c r="JK145" s="23"/>
      <c r="JL145" s="23"/>
      <c r="JM145" s="23"/>
      <c r="JN145" s="23"/>
      <c r="JO145" s="23"/>
      <c r="JP145" s="23"/>
      <c r="JQ145" s="23"/>
      <c r="JR145" s="23"/>
      <c r="JS145" s="23"/>
      <c r="JT145" s="23"/>
      <c r="JU145" s="23"/>
      <c r="JV145" s="23"/>
      <c r="JW145" s="23"/>
      <c r="JX145" s="23"/>
      <c r="JY145" s="23"/>
      <c r="JZ145" s="23"/>
      <c r="KA145" s="23"/>
      <c r="KB145" s="23"/>
      <c r="KC145" s="23"/>
      <c r="KD145" s="23"/>
      <c r="KE145" s="23"/>
      <c r="KF145" s="23"/>
      <c r="KG145" s="23"/>
      <c r="KH145" s="23"/>
      <c r="KI145" s="23"/>
      <c r="KJ145" s="23"/>
      <c r="KK145" s="23"/>
      <c r="KL145" s="23"/>
      <c r="KM145" s="23"/>
      <c r="KN145" s="23"/>
      <c r="KO145" s="23"/>
      <c r="KP145" s="23"/>
      <c r="KQ145" s="23"/>
      <c r="KR145" s="23"/>
      <c r="KS145" s="23"/>
      <c r="KT145" s="23"/>
      <c r="KU145" s="23"/>
      <c r="KV145" s="23"/>
      <c r="KW145" s="23"/>
      <c r="KX145" s="23"/>
      <c r="KY145" s="23"/>
      <c r="KZ145" s="23"/>
      <c r="LA145" s="23"/>
      <c r="LB145" s="23"/>
      <c r="LC145" s="23"/>
      <c r="LD145" s="23"/>
      <c r="LE145" s="23"/>
      <c r="LF145" s="23"/>
      <c r="LG145" s="23"/>
      <c r="LH145" s="23"/>
      <c r="LI145" s="23"/>
      <c r="LJ145" s="23"/>
      <c r="LK145" s="23"/>
      <c r="LL145" s="23"/>
      <c r="LM145" s="23"/>
      <c r="LN145" s="23"/>
      <c r="LO145" s="23"/>
      <c r="LP145" s="23"/>
      <c r="LQ145" s="23"/>
      <c r="LR145" s="23"/>
      <c r="LS145" s="23"/>
      <c r="LT145" s="23"/>
      <c r="LU145" s="23"/>
      <c r="LV145" s="23"/>
      <c r="LW145" s="23"/>
      <c r="LX145" s="23"/>
      <c r="LY145" s="23"/>
      <c r="LZ145" s="23"/>
      <c r="MA145" s="23"/>
      <c r="MB145" s="23"/>
      <c r="MC145" s="23"/>
      <c r="MD145" s="23"/>
      <c r="ME145" s="23"/>
      <c r="MF145" s="23"/>
      <c r="MG145" s="23"/>
      <c r="MH145" s="23"/>
      <c r="MI145" s="23"/>
      <c r="MJ145" s="23"/>
      <c r="MK145" s="23"/>
      <c r="ML145" s="23"/>
      <c r="MM145" s="23"/>
      <c r="MN145" s="23"/>
      <c r="MO145" s="23"/>
      <c r="MP145" s="23"/>
      <c r="MQ145" s="23"/>
      <c r="MR145" s="23"/>
      <c r="MS145" s="23"/>
      <c r="MT145" s="23"/>
      <c r="MU145" s="23"/>
      <c r="MV145" s="23"/>
      <c r="MW145" s="23"/>
      <c r="MX145" s="23"/>
      <c r="MY145" s="23"/>
      <c r="MZ145" s="23"/>
      <c r="NA145" s="23"/>
      <c r="NB145" s="23"/>
      <c r="NC145" s="23"/>
      <c r="ND145" s="23"/>
      <c r="NE145" s="23"/>
      <c r="NF145" s="23"/>
      <c r="NG145" s="23"/>
      <c r="NH145" s="23"/>
      <c r="NI145" s="23"/>
      <c r="NJ145" s="23"/>
      <c r="NK145" s="23"/>
      <c r="NL145" s="23"/>
      <c r="NM145" s="23"/>
      <c r="NN145" s="23"/>
    </row>
    <row r="146" spans="5:378" ht="15" customHeight="1"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  <c r="IZ146" s="23"/>
      <c r="JA146" s="23"/>
      <c r="JB146" s="23"/>
      <c r="JC146" s="23"/>
      <c r="JD146" s="23"/>
      <c r="JE146" s="23"/>
      <c r="JF146" s="23"/>
      <c r="JG146" s="23"/>
      <c r="JH146" s="23"/>
      <c r="JI146" s="23"/>
      <c r="JJ146" s="23"/>
      <c r="JK146" s="23"/>
      <c r="JL146" s="23"/>
      <c r="JM146" s="23"/>
      <c r="JN146" s="23"/>
      <c r="JO146" s="23"/>
      <c r="JP146" s="23"/>
      <c r="JQ146" s="23"/>
      <c r="JR146" s="23"/>
      <c r="JS146" s="23"/>
      <c r="JT146" s="23"/>
      <c r="JU146" s="23"/>
      <c r="JV146" s="23"/>
      <c r="JW146" s="23"/>
      <c r="JX146" s="23"/>
      <c r="JY146" s="23"/>
      <c r="JZ146" s="23"/>
      <c r="KA146" s="23"/>
      <c r="KB146" s="23"/>
      <c r="KC146" s="23"/>
      <c r="KD146" s="23"/>
      <c r="KE146" s="23"/>
      <c r="KF146" s="23"/>
      <c r="KG146" s="23"/>
      <c r="KH146" s="23"/>
      <c r="KI146" s="23"/>
      <c r="KJ146" s="23"/>
      <c r="KK146" s="23"/>
      <c r="KL146" s="23"/>
      <c r="KM146" s="23"/>
      <c r="KN146" s="23"/>
      <c r="KO146" s="23"/>
      <c r="KP146" s="23"/>
      <c r="KQ146" s="23"/>
      <c r="KR146" s="23"/>
      <c r="KS146" s="23"/>
      <c r="KT146" s="23"/>
      <c r="KU146" s="23"/>
      <c r="KV146" s="23"/>
      <c r="KW146" s="23"/>
      <c r="KX146" s="23"/>
      <c r="KY146" s="23"/>
      <c r="KZ146" s="23"/>
      <c r="LA146" s="23"/>
      <c r="LB146" s="23"/>
      <c r="LC146" s="23"/>
      <c r="LD146" s="23"/>
      <c r="LE146" s="23"/>
      <c r="LF146" s="23"/>
      <c r="LG146" s="23"/>
      <c r="LH146" s="23"/>
      <c r="LI146" s="23"/>
      <c r="LJ146" s="23"/>
      <c r="LK146" s="23"/>
      <c r="LL146" s="23"/>
      <c r="LM146" s="23"/>
      <c r="LN146" s="23"/>
      <c r="LO146" s="23"/>
      <c r="LP146" s="23"/>
      <c r="LQ146" s="23"/>
      <c r="LR146" s="23"/>
      <c r="LS146" s="23"/>
      <c r="LT146" s="23"/>
      <c r="LU146" s="23"/>
      <c r="LV146" s="23"/>
      <c r="LW146" s="23"/>
      <c r="LX146" s="23"/>
      <c r="LY146" s="23"/>
      <c r="LZ146" s="23"/>
      <c r="MA146" s="23"/>
      <c r="MB146" s="23"/>
      <c r="MC146" s="23"/>
      <c r="MD146" s="23"/>
      <c r="ME146" s="23"/>
      <c r="MF146" s="23"/>
      <c r="MG146" s="23"/>
      <c r="MH146" s="23"/>
      <c r="MI146" s="23"/>
      <c r="MJ146" s="23"/>
      <c r="MK146" s="23"/>
      <c r="ML146" s="23"/>
      <c r="MM146" s="23"/>
      <c r="MN146" s="23"/>
      <c r="MO146" s="23"/>
      <c r="MP146" s="23"/>
      <c r="MQ146" s="23"/>
      <c r="MR146" s="23"/>
      <c r="MS146" s="23"/>
      <c r="MT146" s="23"/>
      <c r="MU146" s="23"/>
      <c r="MV146" s="23"/>
      <c r="MW146" s="23"/>
      <c r="MX146" s="23"/>
      <c r="MY146" s="23"/>
      <c r="MZ146" s="23"/>
      <c r="NA146" s="23"/>
      <c r="NB146" s="23"/>
      <c r="NC146" s="23"/>
      <c r="ND146" s="23"/>
      <c r="NE146" s="23"/>
      <c r="NF146" s="23"/>
      <c r="NG146" s="23"/>
      <c r="NH146" s="23"/>
      <c r="NI146" s="23"/>
      <c r="NJ146" s="23"/>
      <c r="NK146" s="23"/>
      <c r="NL146" s="23"/>
      <c r="NM146" s="23"/>
      <c r="NN146" s="23"/>
    </row>
    <row r="147" spans="5:378" ht="15" customHeight="1"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  <c r="IY147" s="23"/>
      <c r="IZ147" s="23"/>
      <c r="JA147" s="23"/>
      <c r="JB147" s="23"/>
      <c r="JC147" s="23"/>
      <c r="JD147" s="23"/>
      <c r="JE147" s="23"/>
      <c r="JF147" s="23"/>
      <c r="JG147" s="23"/>
      <c r="JH147" s="23"/>
      <c r="JI147" s="23"/>
      <c r="JJ147" s="23"/>
      <c r="JK147" s="23"/>
      <c r="JL147" s="23"/>
      <c r="JM147" s="23"/>
      <c r="JN147" s="23"/>
      <c r="JO147" s="23"/>
      <c r="JP147" s="23"/>
      <c r="JQ147" s="23"/>
      <c r="JR147" s="23"/>
      <c r="JS147" s="23"/>
      <c r="JT147" s="23"/>
      <c r="JU147" s="23"/>
      <c r="JV147" s="23"/>
      <c r="JW147" s="23"/>
      <c r="JX147" s="23"/>
      <c r="JY147" s="23"/>
      <c r="JZ147" s="23"/>
      <c r="KA147" s="23"/>
      <c r="KB147" s="23"/>
      <c r="KC147" s="23"/>
      <c r="KD147" s="23"/>
      <c r="KE147" s="23"/>
      <c r="KF147" s="23"/>
      <c r="KG147" s="23"/>
      <c r="KH147" s="23"/>
      <c r="KI147" s="23"/>
      <c r="KJ147" s="23"/>
      <c r="KK147" s="23"/>
      <c r="KL147" s="23"/>
      <c r="KM147" s="23"/>
      <c r="KN147" s="23"/>
      <c r="KO147" s="23"/>
      <c r="KP147" s="23"/>
      <c r="KQ147" s="23"/>
      <c r="KR147" s="23"/>
      <c r="KS147" s="23"/>
      <c r="KT147" s="23"/>
      <c r="KU147" s="23"/>
      <c r="KV147" s="23"/>
      <c r="KW147" s="23"/>
      <c r="KX147" s="23"/>
      <c r="KY147" s="23"/>
      <c r="KZ147" s="23"/>
      <c r="LA147" s="23"/>
      <c r="LB147" s="23"/>
      <c r="LC147" s="23"/>
      <c r="LD147" s="23"/>
      <c r="LE147" s="23"/>
      <c r="LF147" s="23"/>
      <c r="LG147" s="23"/>
      <c r="LH147" s="23"/>
      <c r="LI147" s="23"/>
      <c r="LJ147" s="23"/>
      <c r="LK147" s="23"/>
      <c r="LL147" s="23"/>
      <c r="LM147" s="23"/>
      <c r="LN147" s="23"/>
      <c r="LO147" s="23"/>
      <c r="LP147" s="23"/>
      <c r="LQ147" s="23"/>
      <c r="LR147" s="23"/>
      <c r="LS147" s="23"/>
      <c r="LT147" s="23"/>
      <c r="LU147" s="23"/>
      <c r="LV147" s="23"/>
      <c r="LW147" s="23"/>
      <c r="LX147" s="23"/>
      <c r="LY147" s="23"/>
      <c r="LZ147" s="23"/>
      <c r="MA147" s="23"/>
      <c r="MB147" s="23"/>
      <c r="MC147" s="23"/>
      <c r="MD147" s="23"/>
      <c r="ME147" s="23"/>
      <c r="MF147" s="23"/>
      <c r="MG147" s="23"/>
      <c r="MH147" s="23"/>
      <c r="MI147" s="23"/>
      <c r="MJ147" s="23"/>
      <c r="MK147" s="23"/>
      <c r="ML147" s="23"/>
      <c r="MM147" s="23"/>
      <c r="MN147" s="23"/>
      <c r="MO147" s="23"/>
      <c r="MP147" s="23"/>
      <c r="MQ147" s="23"/>
      <c r="MR147" s="23"/>
      <c r="MS147" s="23"/>
      <c r="MT147" s="23"/>
      <c r="MU147" s="23"/>
      <c r="MV147" s="23"/>
      <c r="MW147" s="23"/>
      <c r="MX147" s="23"/>
      <c r="MY147" s="23"/>
      <c r="MZ147" s="23"/>
      <c r="NA147" s="23"/>
      <c r="NB147" s="23"/>
      <c r="NC147" s="23"/>
      <c r="ND147" s="23"/>
      <c r="NE147" s="23"/>
      <c r="NF147" s="23"/>
      <c r="NG147" s="23"/>
      <c r="NH147" s="23"/>
      <c r="NI147" s="23"/>
      <c r="NJ147" s="23"/>
      <c r="NK147" s="23"/>
      <c r="NL147" s="23"/>
      <c r="NM147" s="23"/>
      <c r="NN147" s="23"/>
    </row>
    <row r="148" spans="5:378" ht="15" customHeight="1"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  <c r="IZ148" s="23"/>
      <c r="JA148" s="23"/>
      <c r="JB148" s="23"/>
      <c r="JC148" s="23"/>
      <c r="JD148" s="23"/>
      <c r="JE148" s="23"/>
      <c r="JF148" s="23"/>
      <c r="JG148" s="23"/>
      <c r="JH148" s="23"/>
      <c r="JI148" s="23"/>
      <c r="JJ148" s="23"/>
      <c r="JK148" s="23"/>
      <c r="JL148" s="23"/>
      <c r="JM148" s="23"/>
      <c r="JN148" s="23"/>
      <c r="JO148" s="23"/>
      <c r="JP148" s="23"/>
      <c r="JQ148" s="23"/>
      <c r="JR148" s="23"/>
      <c r="JS148" s="23"/>
      <c r="JT148" s="23"/>
      <c r="JU148" s="23"/>
      <c r="JV148" s="23"/>
      <c r="JW148" s="23"/>
      <c r="JX148" s="23"/>
      <c r="JY148" s="23"/>
      <c r="JZ148" s="23"/>
      <c r="KA148" s="23"/>
      <c r="KB148" s="23"/>
      <c r="KC148" s="23"/>
      <c r="KD148" s="23"/>
      <c r="KE148" s="23"/>
      <c r="KF148" s="23"/>
      <c r="KG148" s="23"/>
      <c r="KH148" s="23"/>
      <c r="KI148" s="23"/>
      <c r="KJ148" s="23"/>
      <c r="KK148" s="23"/>
      <c r="KL148" s="23"/>
      <c r="KM148" s="23"/>
      <c r="KN148" s="23"/>
      <c r="KO148" s="23"/>
      <c r="KP148" s="23"/>
      <c r="KQ148" s="23"/>
      <c r="KR148" s="23"/>
      <c r="KS148" s="23"/>
      <c r="KT148" s="23"/>
      <c r="KU148" s="23"/>
      <c r="KV148" s="23"/>
      <c r="KW148" s="23"/>
      <c r="KX148" s="23"/>
      <c r="KY148" s="23"/>
      <c r="KZ148" s="23"/>
      <c r="LA148" s="23"/>
      <c r="LB148" s="23"/>
      <c r="LC148" s="23"/>
      <c r="LD148" s="23"/>
      <c r="LE148" s="23"/>
      <c r="LF148" s="23"/>
      <c r="LG148" s="23"/>
      <c r="LH148" s="23"/>
      <c r="LI148" s="23"/>
      <c r="LJ148" s="23"/>
      <c r="LK148" s="23"/>
      <c r="LL148" s="23"/>
      <c r="LM148" s="23"/>
      <c r="LN148" s="23"/>
      <c r="LO148" s="23"/>
      <c r="LP148" s="23"/>
      <c r="LQ148" s="23"/>
      <c r="LR148" s="23"/>
      <c r="LS148" s="23"/>
      <c r="LT148" s="23"/>
      <c r="LU148" s="23"/>
      <c r="LV148" s="23"/>
      <c r="LW148" s="23"/>
      <c r="LX148" s="23"/>
      <c r="LY148" s="23"/>
      <c r="LZ148" s="23"/>
      <c r="MA148" s="23"/>
      <c r="MB148" s="23"/>
      <c r="MC148" s="23"/>
      <c r="MD148" s="23"/>
      <c r="ME148" s="23"/>
      <c r="MF148" s="23"/>
      <c r="MG148" s="23"/>
      <c r="MH148" s="23"/>
      <c r="MI148" s="23"/>
      <c r="MJ148" s="23"/>
      <c r="MK148" s="23"/>
      <c r="ML148" s="23"/>
      <c r="MM148" s="23"/>
      <c r="MN148" s="23"/>
      <c r="MO148" s="23"/>
      <c r="MP148" s="23"/>
      <c r="MQ148" s="23"/>
      <c r="MR148" s="23"/>
      <c r="MS148" s="23"/>
      <c r="MT148" s="23"/>
      <c r="MU148" s="23"/>
      <c r="MV148" s="23"/>
      <c r="MW148" s="23"/>
      <c r="MX148" s="23"/>
      <c r="MY148" s="23"/>
      <c r="MZ148" s="23"/>
      <c r="NA148" s="23"/>
      <c r="NB148" s="23"/>
      <c r="NC148" s="23"/>
      <c r="ND148" s="23"/>
      <c r="NE148" s="23"/>
      <c r="NF148" s="23"/>
      <c r="NG148" s="23"/>
      <c r="NH148" s="23"/>
      <c r="NI148" s="23"/>
      <c r="NJ148" s="23"/>
      <c r="NK148" s="23"/>
      <c r="NL148" s="23"/>
      <c r="NM148" s="23"/>
      <c r="NN148" s="23"/>
    </row>
    <row r="149" spans="5:378" ht="15" customHeight="1"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  <c r="IY149" s="23"/>
      <c r="IZ149" s="23"/>
      <c r="JA149" s="23"/>
      <c r="JB149" s="23"/>
      <c r="JC149" s="23"/>
      <c r="JD149" s="23"/>
      <c r="JE149" s="23"/>
      <c r="JF149" s="23"/>
      <c r="JG149" s="23"/>
      <c r="JH149" s="23"/>
      <c r="JI149" s="23"/>
      <c r="JJ149" s="23"/>
      <c r="JK149" s="23"/>
      <c r="JL149" s="23"/>
      <c r="JM149" s="23"/>
      <c r="JN149" s="23"/>
      <c r="JO149" s="23"/>
      <c r="JP149" s="23"/>
      <c r="JQ149" s="23"/>
      <c r="JR149" s="23"/>
      <c r="JS149" s="23"/>
      <c r="JT149" s="23"/>
      <c r="JU149" s="23"/>
      <c r="JV149" s="23"/>
      <c r="JW149" s="23"/>
      <c r="JX149" s="23"/>
      <c r="JY149" s="23"/>
      <c r="JZ149" s="23"/>
      <c r="KA149" s="23"/>
      <c r="KB149" s="23"/>
      <c r="KC149" s="23"/>
      <c r="KD149" s="23"/>
      <c r="KE149" s="23"/>
      <c r="KF149" s="23"/>
      <c r="KG149" s="23"/>
      <c r="KH149" s="23"/>
      <c r="KI149" s="23"/>
      <c r="KJ149" s="23"/>
      <c r="KK149" s="23"/>
      <c r="KL149" s="23"/>
      <c r="KM149" s="23"/>
      <c r="KN149" s="23"/>
      <c r="KO149" s="23"/>
      <c r="KP149" s="23"/>
      <c r="KQ149" s="23"/>
      <c r="KR149" s="23"/>
      <c r="KS149" s="23"/>
      <c r="KT149" s="23"/>
      <c r="KU149" s="23"/>
      <c r="KV149" s="23"/>
      <c r="KW149" s="23"/>
      <c r="KX149" s="23"/>
      <c r="KY149" s="23"/>
      <c r="KZ149" s="23"/>
      <c r="LA149" s="23"/>
      <c r="LB149" s="23"/>
      <c r="LC149" s="23"/>
      <c r="LD149" s="23"/>
      <c r="LE149" s="23"/>
      <c r="LF149" s="23"/>
      <c r="LG149" s="23"/>
      <c r="LH149" s="23"/>
      <c r="LI149" s="23"/>
      <c r="LJ149" s="23"/>
      <c r="LK149" s="23"/>
      <c r="LL149" s="23"/>
      <c r="LM149" s="23"/>
      <c r="LN149" s="23"/>
      <c r="LO149" s="23"/>
      <c r="LP149" s="23"/>
      <c r="LQ149" s="23"/>
      <c r="LR149" s="23"/>
      <c r="LS149" s="23"/>
      <c r="LT149" s="23"/>
      <c r="LU149" s="23"/>
      <c r="LV149" s="23"/>
      <c r="LW149" s="23"/>
      <c r="LX149" s="23"/>
      <c r="LY149" s="23"/>
      <c r="LZ149" s="23"/>
      <c r="MA149" s="23"/>
      <c r="MB149" s="23"/>
      <c r="MC149" s="23"/>
      <c r="MD149" s="23"/>
      <c r="ME149" s="23"/>
      <c r="MF149" s="23"/>
      <c r="MG149" s="23"/>
      <c r="MH149" s="23"/>
      <c r="MI149" s="23"/>
      <c r="MJ149" s="23"/>
      <c r="MK149" s="23"/>
      <c r="ML149" s="23"/>
      <c r="MM149" s="23"/>
      <c r="MN149" s="23"/>
      <c r="MO149" s="23"/>
      <c r="MP149" s="23"/>
      <c r="MQ149" s="23"/>
      <c r="MR149" s="23"/>
      <c r="MS149" s="23"/>
      <c r="MT149" s="23"/>
      <c r="MU149" s="23"/>
      <c r="MV149" s="23"/>
      <c r="MW149" s="23"/>
      <c r="MX149" s="23"/>
      <c r="MY149" s="23"/>
      <c r="MZ149" s="23"/>
      <c r="NA149" s="23"/>
      <c r="NB149" s="23"/>
      <c r="NC149" s="23"/>
      <c r="ND149" s="23"/>
      <c r="NE149" s="23"/>
      <c r="NF149" s="23"/>
      <c r="NG149" s="23"/>
      <c r="NH149" s="23"/>
      <c r="NI149" s="23"/>
      <c r="NJ149" s="23"/>
      <c r="NK149" s="23"/>
      <c r="NL149" s="23"/>
      <c r="NM149" s="23"/>
      <c r="NN149" s="23"/>
    </row>
    <row r="150" spans="5:378" ht="15" customHeight="1"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  <c r="IZ150" s="23"/>
      <c r="JA150" s="23"/>
      <c r="JB150" s="23"/>
      <c r="JC150" s="23"/>
      <c r="JD150" s="23"/>
      <c r="JE150" s="23"/>
      <c r="JF150" s="23"/>
      <c r="JG150" s="23"/>
      <c r="JH150" s="23"/>
      <c r="JI150" s="23"/>
      <c r="JJ150" s="23"/>
      <c r="JK150" s="23"/>
      <c r="JL150" s="23"/>
      <c r="JM150" s="23"/>
      <c r="JN150" s="23"/>
      <c r="JO150" s="23"/>
      <c r="JP150" s="23"/>
      <c r="JQ150" s="23"/>
      <c r="JR150" s="23"/>
      <c r="JS150" s="23"/>
      <c r="JT150" s="23"/>
      <c r="JU150" s="23"/>
      <c r="JV150" s="23"/>
      <c r="JW150" s="23"/>
      <c r="JX150" s="23"/>
      <c r="JY150" s="23"/>
      <c r="JZ150" s="23"/>
      <c r="KA150" s="23"/>
      <c r="KB150" s="23"/>
      <c r="KC150" s="23"/>
      <c r="KD150" s="23"/>
      <c r="KE150" s="23"/>
      <c r="KF150" s="23"/>
      <c r="KG150" s="23"/>
      <c r="KH150" s="23"/>
      <c r="KI150" s="23"/>
      <c r="KJ150" s="23"/>
      <c r="KK150" s="23"/>
      <c r="KL150" s="23"/>
      <c r="KM150" s="23"/>
      <c r="KN150" s="23"/>
      <c r="KO150" s="23"/>
      <c r="KP150" s="23"/>
      <c r="KQ150" s="23"/>
      <c r="KR150" s="23"/>
      <c r="KS150" s="23"/>
      <c r="KT150" s="23"/>
      <c r="KU150" s="23"/>
      <c r="KV150" s="23"/>
      <c r="KW150" s="23"/>
      <c r="KX150" s="23"/>
      <c r="KY150" s="23"/>
      <c r="KZ150" s="23"/>
      <c r="LA150" s="23"/>
      <c r="LB150" s="23"/>
      <c r="LC150" s="23"/>
      <c r="LD150" s="23"/>
      <c r="LE150" s="23"/>
      <c r="LF150" s="23"/>
      <c r="LG150" s="23"/>
      <c r="LH150" s="23"/>
      <c r="LI150" s="23"/>
      <c r="LJ150" s="23"/>
      <c r="LK150" s="23"/>
      <c r="LL150" s="23"/>
      <c r="LM150" s="23"/>
      <c r="LN150" s="23"/>
      <c r="LO150" s="23"/>
      <c r="LP150" s="23"/>
      <c r="LQ150" s="23"/>
      <c r="LR150" s="23"/>
      <c r="LS150" s="23"/>
      <c r="LT150" s="23"/>
      <c r="LU150" s="23"/>
      <c r="LV150" s="23"/>
      <c r="LW150" s="23"/>
      <c r="LX150" s="23"/>
      <c r="LY150" s="23"/>
      <c r="LZ150" s="23"/>
      <c r="MA150" s="23"/>
      <c r="MB150" s="23"/>
      <c r="MC150" s="23"/>
      <c r="MD150" s="23"/>
      <c r="ME150" s="23"/>
      <c r="MF150" s="23"/>
      <c r="MG150" s="23"/>
      <c r="MH150" s="23"/>
      <c r="MI150" s="23"/>
      <c r="MJ150" s="23"/>
      <c r="MK150" s="23"/>
      <c r="ML150" s="23"/>
      <c r="MM150" s="23"/>
      <c r="MN150" s="23"/>
      <c r="MO150" s="23"/>
      <c r="MP150" s="23"/>
      <c r="MQ150" s="23"/>
      <c r="MR150" s="23"/>
      <c r="MS150" s="23"/>
      <c r="MT150" s="23"/>
      <c r="MU150" s="23"/>
      <c r="MV150" s="23"/>
      <c r="MW150" s="23"/>
      <c r="MX150" s="23"/>
      <c r="MY150" s="23"/>
      <c r="MZ150" s="23"/>
      <c r="NA150" s="23"/>
      <c r="NB150" s="23"/>
      <c r="NC150" s="23"/>
      <c r="ND150" s="23"/>
      <c r="NE150" s="23"/>
      <c r="NF150" s="23"/>
      <c r="NG150" s="23"/>
      <c r="NH150" s="23"/>
      <c r="NI150" s="23"/>
      <c r="NJ150" s="23"/>
      <c r="NK150" s="23"/>
      <c r="NL150" s="23"/>
      <c r="NM150" s="23"/>
      <c r="NN150" s="23"/>
    </row>
    <row r="151" spans="5:378" ht="15" customHeight="1"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  <c r="IZ151" s="23"/>
      <c r="JA151" s="23"/>
      <c r="JB151" s="23"/>
      <c r="JC151" s="23"/>
      <c r="JD151" s="23"/>
      <c r="JE151" s="23"/>
      <c r="JF151" s="23"/>
      <c r="JG151" s="23"/>
      <c r="JH151" s="23"/>
      <c r="JI151" s="23"/>
      <c r="JJ151" s="23"/>
      <c r="JK151" s="23"/>
      <c r="JL151" s="23"/>
      <c r="JM151" s="23"/>
      <c r="JN151" s="23"/>
      <c r="JO151" s="23"/>
      <c r="JP151" s="23"/>
      <c r="JQ151" s="23"/>
      <c r="JR151" s="23"/>
      <c r="JS151" s="23"/>
      <c r="JT151" s="23"/>
      <c r="JU151" s="23"/>
      <c r="JV151" s="23"/>
      <c r="JW151" s="23"/>
      <c r="JX151" s="23"/>
      <c r="JY151" s="23"/>
      <c r="JZ151" s="23"/>
      <c r="KA151" s="23"/>
      <c r="KB151" s="23"/>
      <c r="KC151" s="23"/>
      <c r="KD151" s="23"/>
      <c r="KE151" s="23"/>
      <c r="KF151" s="23"/>
      <c r="KG151" s="23"/>
      <c r="KH151" s="23"/>
      <c r="KI151" s="23"/>
      <c r="KJ151" s="23"/>
      <c r="KK151" s="23"/>
      <c r="KL151" s="23"/>
      <c r="KM151" s="23"/>
      <c r="KN151" s="23"/>
      <c r="KO151" s="23"/>
      <c r="KP151" s="23"/>
      <c r="KQ151" s="23"/>
      <c r="KR151" s="23"/>
      <c r="KS151" s="23"/>
      <c r="KT151" s="23"/>
      <c r="KU151" s="23"/>
      <c r="KV151" s="23"/>
      <c r="KW151" s="23"/>
      <c r="KX151" s="23"/>
      <c r="KY151" s="23"/>
      <c r="KZ151" s="23"/>
      <c r="LA151" s="23"/>
      <c r="LB151" s="23"/>
      <c r="LC151" s="23"/>
      <c r="LD151" s="23"/>
      <c r="LE151" s="23"/>
      <c r="LF151" s="23"/>
      <c r="LG151" s="23"/>
      <c r="LH151" s="23"/>
      <c r="LI151" s="23"/>
      <c r="LJ151" s="23"/>
      <c r="LK151" s="23"/>
      <c r="LL151" s="23"/>
      <c r="LM151" s="23"/>
      <c r="LN151" s="23"/>
      <c r="LO151" s="23"/>
      <c r="LP151" s="23"/>
      <c r="LQ151" s="23"/>
      <c r="LR151" s="23"/>
      <c r="LS151" s="23"/>
      <c r="LT151" s="23"/>
      <c r="LU151" s="23"/>
      <c r="LV151" s="23"/>
      <c r="LW151" s="23"/>
      <c r="LX151" s="23"/>
      <c r="LY151" s="23"/>
      <c r="LZ151" s="23"/>
      <c r="MA151" s="23"/>
      <c r="MB151" s="23"/>
      <c r="MC151" s="23"/>
      <c r="MD151" s="23"/>
      <c r="ME151" s="23"/>
      <c r="MF151" s="23"/>
      <c r="MG151" s="23"/>
      <c r="MH151" s="23"/>
      <c r="MI151" s="23"/>
      <c r="MJ151" s="23"/>
      <c r="MK151" s="23"/>
      <c r="ML151" s="23"/>
      <c r="MM151" s="23"/>
      <c r="MN151" s="23"/>
      <c r="MO151" s="23"/>
      <c r="MP151" s="23"/>
      <c r="MQ151" s="23"/>
      <c r="MR151" s="23"/>
      <c r="MS151" s="23"/>
      <c r="MT151" s="23"/>
      <c r="MU151" s="23"/>
      <c r="MV151" s="23"/>
      <c r="MW151" s="23"/>
      <c r="MX151" s="23"/>
      <c r="MY151" s="23"/>
      <c r="MZ151" s="23"/>
      <c r="NA151" s="23"/>
      <c r="NB151" s="23"/>
      <c r="NC151" s="23"/>
      <c r="ND151" s="23"/>
      <c r="NE151" s="23"/>
      <c r="NF151" s="23"/>
      <c r="NG151" s="23"/>
      <c r="NH151" s="23"/>
      <c r="NI151" s="23"/>
      <c r="NJ151" s="23"/>
      <c r="NK151" s="23"/>
      <c r="NL151" s="23"/>
      <c r="NM151" s="23"/>
      <c r="NN151" s="23"/>
    </row>
    <row r="152" spans="5:378" ht="15" customHeight="1"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  <c r="IZ152" s="23"/>
      <c r="JA152" s="23"/>
      <c r="JB152" s="23"/>
      <c r="JC152" s="23"/>
      <c r="JD152" s="23"/>
      <c r="JE152" s="23"/>
      <c r="JF152" s="23"/>
      <c r="JG152" s="23"/>
      <c r="JH152" s="23"/>
      <c r="JI152" s="23"/>
      <c r="JJ152" s="23"/>
      <c r="JK152" s="23"/>
      <c r="JL152" s="23"/>
      <c r="JM152" s="23"/>
      <c r="JN152" s="23"/>
      <c r="JO152" s="23"/>
      <c r="JP152" s="23"/>
      <c r="JQ152" s="23"/>
      <c r="JR152" s="23"/>
      <c r="JS152" s="23"/>
      <c r="JT152" s="23"/>
      <c r="JU152" s="23"/>
      <c r="JV152" s="23"/>
      <c r="JW152" s="23"/>
      <c r="JX152" s="23"/>
      <c r="JY152" s="23"/>
      <c r="JZ152" s="23"/>
      <c r="KA152" s="23"/>
      <c r="KB152" s="23"/>
      <c r="KC152" s="23"/>
      <c r="KD152" s="23"/>
      <c r="KE152" s="23"/>
      <c r="KF152" s="23"/>
      <c r="KG152" s="23"/>
      <c r="KH152" s="23"/>
      <c r="KI152" s="23"/>
      <c r="KJ152" s="23"/>
      <c r="KK152" s="23"/>
      <c r="KL152" s="23"/>
      <c r="KM152" s="23"/>
      <c r="KN152" s="23"/>
      <c r="KO152" s="23"/>
      <c r="KP152" s="23"/>
      <c r="KQ152" s="23"/>
      <c r="KR152" s="23"/>
      <c r="KS152" s="23"/>
      <c r="KT152" s="23"/>
      <c r="KU152" s="23"/>
      <c r="KV152" s="23"/>
      <c r="KW152" s="23"/>
      <c r="KX152" s="23"/>
      <c r="KY152" s="23"/>
      <c r="KZ152" s="23"/>
      <c r="LA152" s="23"/>
      <c r="LB152" s="23"/>
      <c r="LC152" s="23"/>
      <c r="LD152" s="23"/>
      <c r="LE152" s="23"/>
      <c r="LF152" s="23"/>
      <c r="LG152" s="23"/>
      <c r="LH152" s="23"/>
      <c r="LI152" s="23"/>
      <c r="LJ152" s="23"/>
      <c r="LK152" s="23"/>
      <c r="LL152" s="23"/>
      <c r="LM152" s="23"/>
      <c r="LN152" s="23"/>
      <c r="LO152" s="23"/>
      <c r="LP152" s="23"/>
      <c r="LQ152" s="23"/>
      <c r="LR152" s="23"/>
      <c r="LS152" s="23"/>
      <c r="LT152" s="23"/>
      <c r="LU152" s="23"/>
      <c r="LV152" s="23"/>
      <c r="LW152" s="23"/>
      <c r="LX152" s="23"/>
      <c r="LY152" s="23"/>
      <c r="LZ152" s="23"/>
      <c r="MA152" s="23"/>
      <c r="MB152" s="23"/>
      <c r="MC152" s="23"/>
      <c r="MD152" s="23"/>
      <c r="ME152" s="23"/>
      <c r="MF152" s="23"/>
      <c r="MG152" s="23"/>
      <c r="MH152" s="23"/>
      <c r="MI152" s="23"/>
      <c r="MJ152" s="23"/>
      <c r="MK152" s="23"/>
      <c r="ML152" s="23"/>
      <c r="MM152" s="23"/>
      <c r="MN152" s="23"/>
      <c r="MO152" s="23"/>
      <c r="MP152" s="23"/>
      <c r="MQ152" s="23"/>
      <c r="MR152" s="23"/>
      <c r="MS152" s="23"/>
      <c r="MT152" s="23"/>
      <c r="MU152" s="23"/>
      <c r="MV152" s="23"/>
      <c r="MW152" s="23"/>
      <c r="MX152" s="23"/>
      <c r="MY152" s="23"/>
      <c r="MZ152" s="23"/>
      <c r="NA152" s="23"/>
      <c r="NB152" s="23"/>
      <c r="NC152" s="23"/>
      <c r="ND152" s="23"/>
      <c r="NE152" s="23"/>
      <c r="NF152" s="23"/>
      <c r="NG152" s="23"/>
      <c r="NH152" s="23"/>
      <c r="NI152" s="23"/>
      <c r="NJ152" s="23"/>
      <c r="NK152" s="23"/>
      <c r="NL152" s="23"/>
      <c r="NM152" s="23"/>
      <c r="NN152" s="23"/>
    </row>
    <row r="153" spans="5:378" ht="15" customHeight="1"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  <c r="IZ153" s="23"/>
      <c r="JA153" s="23"/>
      <c r="JB153" s="23"/>
      <c r="JC153" s="23"/>
      <c r="JD153" s="23"/>
      <c r="JE153" s="23"/>
      <c r="JF153" s="23"/>
      <c r="JG153" s="23"/>
      <c r="JH153" s="23"/>
      <c r="JI153" s="23"/>
      <c r="JJ153" s="23"/>
      <c r="JK153" s="23"/>
      <c r="JL153" s="23"/>
      <c r="JM153" s="23"/>
      <c r="JN153" s="23"/>
      <c r="JO153" s="23"/>
      <c r="JP153" s="23"/>
      <c r="JQ153" s="23"/>
      <c r="JR153" s="23"/>
      <c r="JS153" s="23"/>
      <c r="JT153" s="23"/>
      <c r="JU153" s="23"/>
      <c r="JV153" s="23"/>
      <c r="JW153" s="23"/>
      <c r="JX153" s="23"/>
      <c r="JY153" s="23"/>
      <c r="JZ153" s="23"/>
      <c r="KA153" s="23"/>
      <c r="KB153" s="23"/>
      <c r="KC153" s="23"/>
      <c r="KD153" s="23"/>
      <c r="KE153" s="23"/>
      <c r="KF153" s="23"/>
      <c r="KG153" s="23"/>
      <c r="KH153" s="23"/>
      <c r="KI153" s="23"/>
      <c r="KJ153" s="23"/>
      <c r="KK153" s="23"/>
      <c r="KL153" s="23"/>
      <c r="KM153" s="23"/>
      <c r="KN153" s="23"/>
      <c r="KO153" s="23"/>
      <c r="KP153" s="23"/>
      <c r="KQ153" s="23"/>
      <c r="KR153" s="23"/>
      <c r="KS153" s="23"/>
      <c r="KT153" s="23"/>
      <c r="KU153" s="23"/>
      <c r="KV153" s="23"/>
      <c r="KW153" s="23"/>
      <c r="KX153" s="23"/>
      <c r="KY153" s="23"/>
      <c r="KZ153" s="23"/>
      <c r="LA153" s="23"/>
      <c r="LB153" s="23"/>
      <c r="LC153" s="23"/>
      <c r="LD153" s="23"/>
      <c r="LE153" s="23"/>
      <c r="LF153" s="23"/>
      <c r="LG153" s="23"/>
      <c r="LH153" s="23"/>
      <c r="LI153" s="23"/>
      <c r="LJ153" s="23"/>
      <c r="LK153" s="23"/>
      <c r="LL153" s="23"/>
      <c r="LM153" s="23"/>
      <c r="LN153" s="23"/>
      <c r="LO153" s="23"/>
      <c r="LP153" s="23"/>
      <c r="LQ153" s="23"/>
      <c r="LR153" s="23"/>
      <c r="LS153" s="23"/>
      <c r="LT153" s="23"/>
      <c r="LU153" s="23"/>
      <c r="LV153" s="23"/>
      <c r="LW153" s="23"/>
      <c r="LX153" s="23"/>
      <c r="LY153" s="23"/>
      <c r="LZ153" s="23"/>
      <c r="MA153" s="23"/>
      <c r="MB153" s="23"/>
      <c r="MC153" s="23"/>
      <c r="MD153" s="23"/>
      <c r="ME153" s="23"/>
      <c r="MF153" s="23"/>
      <c r="MG153" s="23"/>
      <c r="MH153" s="23"/>
      <c r="MI153" s="23"/>
      <c r="MJ153" s="23"/>
      <c r="MK153" s="23"/>
      <c r="ML153" s="23"/>
      <c r="MM153" s="23"/>
      <c r="MN153" s="23"/>
      <c r="MO153" s="23"/>
      <c r="MP153" s="23"/>
      <c r="MQ153" s="23"/>
      <c r="MR153" s="23"/>
      <c r="MS153" s="23"/>
      <c r="MT153" s="23"/>
      <c r="MU153" s="23"/>
      <c r="MV153" s="23"/>
      <c r="MW153" s="23"/>
      <c r="MX153" s="23"/>
      <c r="MY153" s="23"/>
      <c r="MZ153" s="23"/>
      <c r="NA153" s="23"/>
      <c r="NB153" s="23"/>
      <c r="NC153" s="23"/>
      <c r="ND153" s="23"/>
      <c r="NE153" s="23"/>
      <c r="NF153" s="23"/>
      <c r="NG153" s="23"/>
      <c r="NH153" s="23"/>
      <c r="NI153" s="23"/>
      <c r="NJ153" s="23"/>
      <c r="NK153" s="23"/>
      <c r="NL153" s="23"/>
      <c r="NM153" s="23"/>
      <c r="NN153" s="23"/>
    </row>
    <row r="154" spans="5:378" ht="15" customHeight="1"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  <c r="IZ154" s="23"/>
      <c r="JA154" s="23"/>
      <c r="JB154" s="23"/>
      <c r="JC154" s="23"/>
      <c r="JD154" s="23"/>
      <c r="JE154" s="23"/>
      <c r="JF154" s="23"/>
      <c r="JG154" s="23"/>
      <c r="JH154" s="23"/>
      <c r="JI154" s="23"/>
      <c r="JJ154" s="23"/>
      <c r="JK154" s="23"/>
      <c r="JL154" s="23"/>
      <c r="JM154" s="23"/>
      <c r="JN154" s="23"/>
      <c r="JO154" s="23"/>
      <c r="JP154" s="23"/>
      <c r="JQ154" s="23"/>
      <c r="JR154" s="23"/>
      <c r="JS154" s="23"/>
      <c r="JT154" s="23"/>
      <c r="JU154" s="23"/>
      <c r="JV154" s="23"/>
      <c r="JW154" s="23"/>
      <c r="JX154" s="23"/>
      <c r="JY154" s="23"/>
      <c r="JZ154" s="23"/>
      <c r="KA154" s="23"/>
      <c r="KB154" s="23"/>
      <c r="KC154" s="23"/>
      <c r="KD154" s="23"/>
      <c r="KE154" s="23"/>
      <c r="KF154" s="23"/>
      <c r="KG154" s="23"/>
      <c r="KH154" s="23"/>
      <c r="KI154" s="23"/>
      <c r="KJ154" s="23"/>
      <c r="KK154" s="23"/>
      <c r="KL154" s="23"/>
      <c r="KM154" s="23"/>
      <c r="KN154" s="23"/>
      <c r="KO154" s="23"/>
      <c r="KP154" s="23"/>
      <c r="KQ154" s="23"/>
      <c r="KR154" s="23"/>
      <c r="KS154" s="23"/>
      <c r="KT154" s="23"/>
      <c r="KU154" s="23"/>
      <c r="KV154" s="23"/>
      <c r="KW154" s="23"/>
      <c r="KX154" s="23"/>
      <c r="KY154" s="23"/>
      <c r="KZ154" s="23"/>
      <c r="LA154" s="23"/>
      <c r="LB154" s="23"/>
      <c r="LC154" s="23"/>
      <c r="LD154" s="23"/>
      <c r="LE154" s="23"/>
      <c r="LF154" s="23"/>
      <c r="LG154" s="23"/>
      <c r="LH154" s="23"/>
      <c r="LI154" s="23"/>
      <c r="LJ154" s="23"/>
      <c r="LK154" s="23"/>
      <c r="LL154" s="23"/>
      <c r="LM154" s="23"/>
      <c r="LN154" s="23"/>
      <c r="LO154" s="23"/>
      <c r="LP154" s="23"/>
      <c r="LQ154" s="23"/>
      <c r="LR154" s="23"/>
      <c r="LS154" s="23"/>
      <c r="LT154" s="23"/>
      <c r="LU154" s="23"/>
      <c r="LV154" s="23"/>
      <c r="LW154" s="23"/>
      <c r="LX154" s="23"/>
      <c r="LY154" s="23"/>
      <c r="LZ154" s="23"/>
      <c r="MA154" s="23"/>
      <c r="MB154" s="23"/>
      <c r="MC154" s="23"/>
      <c r="MD154" s="23"/>
      <c r="ME154" s="23"/>
      <c r="MF154" s="23"/>
      <c r="MG154" s="23"/>
      <c r="MH154" s="23"/>
      <c r="MI154" s="23"/>
      <c r="MJ154" s="23"/>
      <c r="MK154" s="23"/>
      <c r="ML154" s="23"/>
      <c r="MM154" s="23"/>
      <c r="MN154" s="23"/>
      <c r="MO154" s="23"/>
      <c r="MP154" s="23"/>
      <c r="MQ154" s="23"/>
      <c r="MR154" s="23"/>
      <c r="MS154" s="23"/>
      <c r="MT154" s="23"/>
      <c r="MU154" s="23"/>
      <c r="MV154" s="23"/>
      <c r="MW154" s="23"/>
      <c r="MX154" s="23"/>
      <c r="MY154" s="23"/>
      <c r="MZ154" s="23"/>
      <c r="NA154" s="23"/>
      <c r="NB154" s="23"/>
      <c r="NC154" s="23"/>
      <c r="ND154" s="23"/>
      <c r="NE154" s="23"/>
      <c r="NF154" s="23"/>
      <c r="NG154" s="23"/>
      <c r="NH154" s="23"/>
      <c r="NI154" s="23"/>
      <c r="NJ154" s="23"/>
      <c r="NK154" s="23"/>
      <c r="NL154" s="23"/>
      <c r="NM154" s="23"/>
      <c r="NN154" s="23"/>
    </row>
    <row r="155" spans="5:378" ht="15" customHeight="1"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/>
      <c r="JQ155" s="23"/>
      <c r="JR155" s="23"/>
      <c r="JS155" s="23"/>
      <c r="JT155" s="23"/>
      <c r="JU155" s="23"/>
      <c r="JV155" s="23"/>
      <c r="JW155" s="23"/>
      <c r="JX155" s="23"/>
      <c r="JY155" s="23"/>
      <c r="JZ155" s="23"/>
      <c r="KA155" s="23"/>
      <c r="KB155" s="23"/>
      <c r="KC155" s="23"/>
      <c r="KD155" s="23"/>
      <c r="KE155" s="23"/>
      <c r="KF155" s="23"/>
      <c r="KG155" s="23"/>
      <c r="KH155" s="23"/>
      <c r="KI155" s="23"/>
      <c r="KJ155" s="23"/>
      <c r="KK155" s="23"/>
      <c r="KL155" s="23"/>
      <c r="KM155" s="23"/>
      <c r="KN155" s="23"/>
      <c r="KO155" s="23"/>
      <c r="KP155" s="23"/>
      <c r="KQ155" s="23"/>
      <c r="KR155" s="23"/>
      <c r="KS155" s="23"/>
      <c r="KT155" s="23"/>
      <c r="KU155" s="23"/>
      <c r="KV155" s="23"/>
      <c r="KW155" s="23"/>
      <c r="KX155" s="23"/>
      <c r="KY155" s="23"/>
      <c r="KZ155" s="23"/>
      <c r="LA155" s="23"/>
      <c r="LB155" s="23"/>
      <c r="LC155" s="23"/>
      <c r="LD155" s="23"/>
      <c r="LE155" s="23"/>
      <c r="LF155" s="23"/>
      <c r="LG155" s="23"/>
      <c r="LH155" s="23"/>
      <c r="LI155" s="23"/>
      <c r="LJ155" s="23"/>
      <c r="LK155" s="23"/>
      <c r="LL155" s="23"/>
      <c r="LM155" s="23"/>
      <c r="LN155" s="23"/>
      <c r="LO155" s="23"/>
      <c r="LP155" s="23"/>
      <c r="LQ155" s="23"/>
      <c r="LR155" s="23"/>
      <c r="LS155" s="23"/>
      <c r="LT155" s="23"/>
      <c r="LU155" s="23"/>
      <c r="LV155" s="23"/>
      <c r="LW155" s="23"/>
      <c r="LX155" s="23"/>
      <c r="LY155" s="23"/>
      <c r="LZ155" s="23"/>
      <c r="MA155" s="23"/>
      <c r="MB155" s="23"/>
      <c r="MC155" s="23"/>
      <c r="MD155" s="23"/>
      <c r="ME155" s="23"/>
      <c r="MF155" s="23"/>
      <c r="MG155" s="23"/>
      <c r="MH155" s="23"/>
      <c r="MI155" s="23"/>
      <c r="MJ155" s="23"/>
      <c r="MK155" s="23"/>
      <c r="ML155" s="23"/>
      <c r="MM155" s="23"/>
      <c r="MN155" s="23"/>
      <c r="MO155" s="23"/>
      <c r="MP155" s="23"/>
      <c r="MQ155" s="23"/>
      <c r="MR155" s="23"/>
      <c r="MS155" s="23"/>
      <c r="MT155" s="23"/>
      <c r="MU155" s="23"/>
      <c r="MV155" s="23"/>
      <c r="MW155" s="23"/>
      <c r="MX155" s="23"/>
      <c r="MY155" s="23"/>
      <c r="MZ155" s="23"/>
      <c r="NA155" s="23"/>
      <c r="NB155" s="23"/>
      <c r="NC155" s="23"/>
      <c r="ND155" s="23"/>
      <c r="NE155" s="23"/>
      <c r="NF155" s="23"/>
      <c r="NG155" s="23"/>
      <c r="NH155" s="23"/>
      <c r="NI155" s="23"/>
      <c r="NJ155" s="23"/>
      <c r="NK155" s="23"/>
      <c r="NL155" s="23"/>
      <c r="NM155" s="23"/>
      <c r="NN155" s="23"/>
    </row>
    <row r="156" spans="5:378" ht="15" customHeight="1"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  <c r="IZ156" s="23"/>
      <c r="JA156" s="23"/>
      <c r="JB156" s="23"/>
      <c r="JC156" s="23"/>
      <c r="JD156" s="23"/>
      <c r="JE156" s="23"/>
      <c r="JF156" s="23"/>
      <c r="JG156" s="23"/>
      <c r="JH156" s="23"/>
      <c r="JI156" s="23"/>
      <c r="JJ156" s="23"/>
      <c r="JK156" s="23"/>
      <c r="JL156" s="23"/>
      <c r="JM156" s="23"/>
      <c r="JN156" s="23"/>
      <c r="JO156" s="23"/>
      <c r="JP156" s="23"/>
      <c r="JQ156" s="23"/>
      <c r="JR156" s="23"/>
      <c r="JS156" s="23"/>
      <c r="JT156" s="23"/>
      <c r="JU156" s="23"/>
      <c r="JV156" s="23"/>
      <c r="JW156" s="23"/>
      <c r="JX156" s="23"/>
      <c r="JY156" s="23"/>
      <c r="JZ156" s="23"/>
      <c r="KA156" s="23"/>
      <c r="KB156" s="23"/>
      <c r="KC156" s="23"/>
      <c r="KD156" s="23"/>
      <c r="KE156" s="23"/>
      <c r="KF156" s="23"/>
      <c r="KG156" s="23"/>
      <c r="KH156" s="23"/>
      <c r="KI156" s="23"/>
      <c r="KJ156" s="23"/>
      <c r="KK156" s="23"/>
      <c r="KL156" s="23"/>
      <c r="KM156" s="23"/>
      <c r="KN156" s="23"/>
      <c r="KO156" s="23"/>
      <c r="KP156" s="23"/>
      <c r="KQ156" s="23"/>
      <c r="KR156" s="23"/>
      <c r="KS156" s="23"/>
      <c r="KT156" s="23"/>
      <c r="KU156" s="23"/>
      <c r="KV156" s="23"/>
      <c r="KW156" s="23"/>
      <c r="KX156" s="23"/>
      <c r="KY156" s="23"/>
      <c r="KZ156" s="23"/>
      <c r="LA156" s="23"/>
      <c r="LB156" s="23"/>
      <c r="LC156" s="23"/>
      <c r="LD156" s="23"/>
      <c r="LE156" s="23"/>
      <c r="LF156" s="23"/>
      <c r="LG156" s="23"/>
      <c r="LH156" s="23"/>
      <c r="LI156" s="23"/>
      <c r="LJ156" s="23"/>
      <c r="LK156" s="23"/>
      <c r="LL156" s="23"/>
      <c r="LM156" s="23"/>
      <c r="LN156" s="23"/>
      <c r="LO156" s="23"/>
      <c r="LP156" s="23"/>
      <c r="LQ156" s="23"/>
      <c r="LR156" s="23"/>
      <c r="LS156" s="23"/>
      <c r="LT156" s="23"/>
      <c r="LU156" s="23"/>
      <c r="LV156" s="23"/>
      <c r="LW156" s="23"/>
      <c r="LX156" s="23"/>
      <c r="LY156" s="23"/>
      <c r="LZ156" s="23"/>
      <c r="MA156" s="23"/>
      <c r="MB156" s="23"/>
      <c r="MC156" s="23"/>
      <c r="MD156" s="23"/>
      <c r="ME156" s="23"/>
      <c r="MF156" s="23"/>
      <c r="MG156" s="23"/>
      <c r="MH156" s="23"/>
      <c r="MI156" s="23"/>
      <c r="MJ156" s="23"/>
      <c r="MK156" s="23"/>
      <c r="ML156" s="23"/>
      <c r="MM156" s="23"/>
      <c r="MN156" s="23"/>
      <c r="MO156" s="23"/>
      <c r="MP156" s="23"/>
      <c r="MQ156" s="23"/>
      <c r="MR156" s="23"/>
      <c r="MS156" s="23"/>
      <c r="MT156" s="23"/>
      <c r="MU156" s="23"/>
      <c r="MV156" s="23"/>
      <c r="MW156" s="23"/>
      <c r="MX156" s="23"/>
      <c r="MY156" s="23"/>
      <c r="MZ156" s="23"/>
      <c r="NA156" s="23"/>
      <c r="NB156" s="23"/>
      <c r="NC156" s="23"/>
      <c r="ND156" s="23"/>
      <c r="NE156" s="23"/>
      <c r="NF156" s="23"/>
      <c r="NG156" s="23"/>
      <c r="NH156" s="23"/>
      <c r="NI156" s="23"/>
      <c r="NJ156" s="23"/>
      <c r="NK156" s="23"/>
      <c r="NL156" s="23"/>
      <c r="NM156" s="23"/>
      <c r="NN156" s="23"/>
    </row>
    <row r="157" spans="5:378" ht="15" customHeight="1"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  <c r="IZ157" s="23"/>
      <c r="JA157" s="23"/>
      <c r="JB157" s="23"/>
      <c r="JC157" s="23"/>
      <c r="JD157" s="23"/>
      <c r="JE157" s="23"/>
      <c r="JF157" s="23"/>
      <c r="JG157" s="23"/>
      <c r="JH157" s="23"/>
      <c r="JI157" s="23"/>
      <c r="JJ157" s="23"/>
      <c r="JK157" s="23"/>
      <c r="JL157" s="23"/>
      <c r="JM157" s="23"/>
      <c r="JN157" s="23"/>
      <c r="JO157" s="23"/>
      <c r="JP157" s="23"/>
      <c r="JQ157" s="23"/>
      <c r="JR157" s="23"/>
      <c r="JS157" s="23"/>
      <c r="JT157" s="23"/>
      <c r="JU157" s="23"/>
      <c r="JV157" s="23"/>
      <c r="JW157" s="23"/>
      <c r="JX157" s="23"/>
      <c r="JY157" s="23"/>
      <c r="JZ157" s="23"/>
      <c r="KA157" s="23"/>
      <c r="KB157" s="23"/>
      <c r="KC157" s="23"/>
      <c r="KD157" s="23"/>
      <c r="KE157" s="23"/>
      <c r="KF157" s="23"/>
      <c r="KG157" s="23"/>
      <c r="KH157" s="23"/>
      <c r="KI157" s="23"/>
      <c r="KJ157" s="23"/>
      <c r="KK157" s="23"/>
      <c r="KL157" s="23"/>
      <c r="KM157" s="23"/>
      <c r="KN157" s="23"/>
      <c r="KO157" s="23"/>
      <c r="KP157" s="23"/>
      <c r="KQ157" s="23"/>
      <c r="KR157" s="23"/>
      <c r="KS157" s="23"/>
      <c r="KT157" s="23"/>
      <c r="KU157" s="23"/>
      <c r="KV157" s="23"/>
      <c r="KW157" s="23"/>
      <c r="KX157" s="23"/>
      <c r="KY157" s="23"/>
      <c r="KZ157" s="23"/>
      <c r="LA157" s="23"/>
      <c r="LB157" s="23"/>
      <c r="LC157" s="23"/>
      <c r="LD157" s="23"/>
      <c r="LE157" s="23"/>
      <c r="LF157" s="23"/>
      <c r="LG157" s="23"/>
      <c r="LH157" s="23"/>
      <c r="LI157" s="23"/>
      <c r="LJ157" s="23"/>
      <c r="LK157" s="23"/>
      <c r="LL157" s="23"/>
      <c r="LM157" s="23"/>
      <c r="LN157" s="23"/>
      <c r="LO157" s="23"/>
      <c r="LP157" s="23"/>
      <c r="LQ157" s="23"/>
      <c r="LR157" s="23"/>
      <c r="LS157" s="23"/>
      <c r="LT157" s="23"/>
      <c r="LU157" s="23"/>
      <c r="LV157" s="23"/>
      <c r="LW157" s="23"/>
      <c r="LX157" s="23"/>
      <c r="LY157" s="23"/>
      <c r="LZ157" s="23"/>
      <c r="MA157" s="23"/>
      <c r="MB157" s="23"/>
      <c r="MC157" s="23"/>
      <c r="MD157" s="23"/>
      <c r="ME157" s="23"/>
      <c r="MF157" s="23"/>
      <c r="MG157" s="23"/>
      <c r="MH157" s="23"/>
      <c r="MI157" s="23"/>
      <c r="MJ157" s="23"/>
      <c r="MK157" s="23"/>
      <c r="ML157" s="23"/>
      <c r="MM157" s="23"/>
      <c r="MN157" s="23"/>
      <c r="MO157" s="23"/>
      <c r="MP157" s="23"/>
      <c r="MQ157" s="23"/>
      <c r="MR157" s="23"/>
      <c r="MS157" s="23"/>
      <c r="MT157" s="23"/>
      <c r="MU157" s="23"/>
      <c r="MV157" s="23"/>
      <c r="MW157" s="23"/>
      <c r="MX157" s="23"/>
      <c r="MY157" s="23"/>
      <c r="MZ157" s="23"/>
      <c r="NA157" s="23"/>
      <c r="NB157" s="23"/>
      <c r="NC157" s="23"/>
      <c r="ND157" s="23"/>
      <c r="NE157" s="23"/>
      <c r="NF157" s="23"/>
      <c r="NG157" s="23"/>
      <c r="NH157" s="23"/>
      <c r="NI157" s="23"/>
      <c r="NJ157" s="23"/>
      <c r="NK157" s="23"/>
      <c r="NL157" s="23"/>
      <c r="NM157" s="23"/>
      <c r="NN157" s="23"/>
    </row>
    <row r="158" spans="5:378" ht="15" customHeight="1"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  <c r="IZ158" s="23"/>
      <c r="JA158" s="23"/>
      <c r="JB158" s="23"/>
      <c r="JC158" s="23"/>
      <c r="JD158" s="23"/>
      <c r="JE158" s="23"/>
      <c r="JF158" s="23"/>
      <c r="JG158" s="23"/>
      <c r="JH158" s="23"/>
      <c r="JI158" s="23"/>
      <c r="JJ158" s="23"/>
      <c r="JK158" s="23"/>
      <c r="JL158" s="23"/>
      <c r="JM158" s="23"/>
      <c r="JN158" s="23"/>
      <c r="JO158" s="23"/>
      <c r="JP158" s="23"/>
      <c r="JQ158" s="23"/>
      <c r="JR158" s="23"/>
      <c r="JS158" s="23"/>
      <c r="JT158" s="23"/>
      <c r="JU158" s="23"/>
      <c r="JV158" s="23"/>
      <c r="JW158" s="23"/>
      <c r="JX158" s="23"/>
      <c r="JY158" s="23"/>
      <c r="JZ158" s="23"/>
      <c r="KA158" s="23"/>
      <c r="KB158" s="23"/>
      <c r="KC158" s="23"/>
      <c r="KD158" s="23"/>
      <c r="KE158" s="23"/>
      <c r="KF158" s="23"/>
      <c r="KG158" s="23"/>
      <c r="KH158" s="23"/>
      <c r="KI158" s="23"/>
      <c r="KJ158" s="23"/>
      <c r="KK158" s="23"/>
      <c r="KL158" s="23"/>
      <c r="KM158" s="23"/>
      <c r="KN158" s="23"/>
      <c r="KO158" s="23"/>
      <c r="KP158" s="23"/>
      <c r="KQ158" s="23"/>
      <c r="KR158" s="23"/>
      <c r="KS158" s="23"/>
      <c r="KT158" s="23"/>
      <c r="KU158" s="23"/>
      <c r="KV158" s="23"/>
      <c r="KW158" s="23"/>
      <c r="KX158" s="23"/>
      <c r="KY158" s="23"/>
      <c r="KZ158" s="23"/>
      <c r="LA158" s="23"/>
      <c r="LB158" s="23"/>
      <c r="LC158" s="23"/>
      <c r="LD158" s="23"/>
      <c r="LE158" s="23"/>
      <c r="LF158" s="23"/>
      <c r="LG158" s="23"/>
      <c r="LH158" s="23"/>
      <c r="LI158" s="23"/>
      <c r="LJ158" s="23"/>
      <c r="LK158" s="23"/>
      <c r="LL158" s="23"/>
      <c r="LM158" s="23"/>
      <c r="LN158" s="23"/>
      <c r="LO158" s="23"/>
      <c r="LP158" s="23"/>
      <c r="LQ158" s="23"/>
      <c r="LR158" s="23"/>
      <c r="LS158" s="23"/>
      <c r="LT158" s="23"/>
      <c r="LU158" s="23"/>
      <c r="LV158" s="23"/>
      <c r="LW158" s="23"/>
      <c r="LX158" s="23"/>
      <c r="LY158" s="23"/>
      <c r="LZ158" s="23"/>
      <c r="MA158" s="23"/>
      <c r="MB158" s="23"/>
      <c r="MC158" s="23"/>
      <c r="MD158" s="23"/>
      <c r="ME158" s="23"/>
      <c r="MF158" s="23"/>
      <c r="MG158" s="23"/>
      <c r="MH158" s="23"/>
      <c r="MI158" s="23"/>
      <c r="MJ158" s="23"/>
      <c r="MK158" s="23"/>
      <c r="ML158" s="23"/>
      <c r="MM158" s="23"/>
      <c r="MN158" s="23"/>
      <c r="MO158" s="23"/>
      <c r="MP158" s="23"/>
      <c r="MQ158" s="23"/>
      <c r="MR158" s="23"/>
      <c r="MS158" s="23"/>
      <c r="MT158" s="23"/>
      <c r="MU158" s="23"/>
      <c r="MV158" s="23"/>
      <c r="MW158" s="23"/>
      <c r="MX158" s="23"/>
      <c r="MY158" s="23"/>
      <c r="MZ158" s="23"/>
      <c r="NA158" s="23"/>
      <c r="NB158" s="23"/>
      <c r="NC158" s="23"/>
      <c r="ND158" s="23"/>
      <c r="NE158" s="23"/>
      <c r="NF158" s="23"/>
      <c r="NG158" s="23"/>
      <c r="NH158" s="23"/>
      <c r="NI158" s="23"/>
      <c r="NJ158" s="23"/>
      <c r="NK158" s="23"/>
      <c r="NL158" s="23"/>
      <c r="NM158" s="23"/>
      <c r="NN158" s="23"/>
    </row>
    <row r="159" spans="5:378" ht="15" customHeight="1"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  <c r="IZ159" s="23"/>
      <c r="JA159" s="23"/>
      <c r="JB159" s="23"/>
      <c r="JC159" s="23"/>
      <c r="JD159" s="23"/>
      <c r="JE159" s="23"/>
      <c r="JF159" s="23"/>
      <c r="JG159" s="23"/>
      <c r="JH159" s="23"/>
      <c r="JI159" s="23"/>
      <c r="JJ159" s="23"/>
      <c r="JK159" s="23"/>
      <c r="JL159" s="23"/>
      <c r="JM159" s="23"/>
      <c r="JN159" s="23"/>
      <c r="JO159" s="23"/>
      <c r="JP159" s="23"/>
      <c r="JQ159" s="23"/>
      <c r="JR159" s="23"/>
      <c r="JS159" s="23"/>
      <c r="JT159" s="23"/>
      <c r="JU159" s="23"/>
      <c r="JV159" s="23"/>
      <c r="JW159" s="23"/>
      <c r="JX159" s="23"/>
      <c r="JY159" s="23"/>
      <c r="JZ159" s="23"/>
      <c r="KA159" s="23"/>
      <c r="KB159" s="23"/>
      <c r="KC159" s="23"/>
      <c r="KD159" s="23"/>
      <c r="KE159" s="23"/>
      <c r="KF159" s="23"/>
      <c r="KG159" s="23"/>
      <c r="KH159" s="23"/>
      <c r="KI159" s="23"/>
      <c r="KJ159" s="23"/>
      <c r="KK159" s="23"/>
      <c r="KL159" s="23"/>
      <c r="KM159" s="23"/>
      <c r="KN159" s="23"/>
      <c r="KO159" s="23"/>
      <c r="KP159" s="23"/>
      <c r="KQ159" s="23"/>
      <c r="KR159" s="23"/>
      <c r="KS159" s="23"/>
      <c r="KT159" s="23"/>
      <c r="KU159" s="23"/>
      <c r="KV159" s="23"/>
      <c r="KW159" s="23"/>
      <c r="KX159" s="23"/>
      <c r="KY159" s="23"/>
      <c r="KZ159" s="23"/>
      <c r="LA159" s="23"/>
      <c r="LB159" s="23"/>
      <c r="LC159" s="23"/>
      <c r="LD159" s="23"/>
      <c r="LE159" s="23"/>
      <c r="LF159" s="23"/>
      <c r="LG159" s="23"/>
      <c r="LH159" s="23"/>
      <c r="LI159" s="23"/>
      <c r="LJ159" s="23"/>
      <c r="LK159" s="23"/>
      <c r="LL159" s="23"/>
      <c r="LM159" s="23"/>
      <c r="LN159" s="23"/>
      <c r="LO159" s="23"/>
      <c r="LP159" s="23"/>
      <c r="LQ159" s="23"/>
      <c r="LR159" s="23"/>
      <c r="LS159" s="23"/>
      <c r="LT159" s="23"/>
      <c r="LU159" s="23"/>
      <c r="LV159" s="23"/>
      <c r="LW159" s="23"/>
      <c r="LX159" s="23"/>
      <c r="LY159" s="23"/>
      <c r="LZ159" s="23"/>
      <c r="MA159" s="23"/>
      <c r="MB159" s="23"/>
      <c r="MC159" s="23"/>
      <c r="MD159" s="23"/>
      <c r="ME159" s="23"/>
      <c r="MF159" s="23"/>
      <c r="MG159" s="23"/>
      <c r="MH159" s="23"/>
      <c r="MI159" s="23"/>
      <c r="MJ159" s="23"/>
      <c r="MK159" s="23"/>
      <c r="ML159" s="23"/>
      <c r="MM159" s="23"/>
      <c r="MN159" s="23"/>
      <c r="MO159" s="23"/>
      <c r="MP159" s="23"/>
      <c r="MQ159" s="23"/>
      <c r="MR159" s="23"/>
      <c r="MS159" s="23"/>
      <c r="MT159" s="23"/>
      <c r="MU159" s="23"/>
      <c r="MV159" s="23"/>
      <c r="MW159" s="23"/>
      <c r="MX159" s="23"/>
      <c r="MY159" s="23"/>
      <c r="MZ159" s="23"/>
      <c r="NA159" s="23"/>
      <c r="NB159" s="23"/>
      <c r="NC159" s="23"/>
      <c r="ND159" s="23"/>
      <c r="NE159" s="23"/>
      <c r="NF159" s="23"/>
      <c r="NG159" s="23"/>
      <c r="NH159" s="23"/>
      <c r="NI159" s="23"/>
      <c r="NJ159" s="23"/>
      <c r="NK159" s="23"/>
      <c r="NL159" s="23"/>
      <c r="NM159" s="23"/>
      <c r="NN159" s="23"/>
    </row>
    <row r="160" spans="5:378" ht="15" customHeight="1"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  <c r="IZ160" s="23"/>
      <c r="JA160" s="23"/>
      <c r="JB160" s="23"/>
      <c r="JC160" s="23"/>
      <c r="JD160" s="23"/>
      <c r="JE160" s="23"/>
      <c r="JF160" s="23"/>
      <c r="JG160" s="23"/>
      <c r="JH160" s="23"/>
      <c r="JI160" s="23"/>
      <c r="JJ160" s="23"/>
      <c r="JK160" s="23"/>
      <c r="JL160" s="23"/>
      <c r="JM160" s="23"/>
      <c r="JN160" s="23"/>
      <c r="JO160" s="23"/>
      <c r="JP160" s="23"/>
      <c r="JQ160" s="23"/>
      <c r="JR160" s="23"/>
      <c r="JS160" s="23"/>
      <c r="JT160" s="23"/>
      <c r="JU160" s="23"/>
      <c r="JV160" s="23"/>
      <c r="JW160" s="23"/>
      <c r="JX160" s="23"/>
      <c r="JY160" s="23"/>
      <c r="JZ160" s="23"/>
      <c r="KA160" s="23"/>
      <c r="KB160" s="23"/>
      <c r="KC160" s="23"/>
      <c r="KD160" s="23"/>
      <c r="KE160" s="23"/>
      <c r="KF160" s="23"/>
      <c r="KG160" s="23"/>
      <c r="KH160" s="23"/>
      <c r="KI160" s="23"/>
      <c r="KJ160" s="23"/>
      <c r="KK160" s="23"/>
      <c r="KL160" s="23"/>
      <c r="KM160" s="23"/>
      <c r="KN160" s="23"/>
      <c r="KO160" s="23"/>
      <c r="KP160" s="23"/>
      <c r="KQ160" s="23"/>
      <c r="KR160" s="23"/>
      <c r="KS160" s="23"/>
      <c r="KT160" s="23"/>
      <c r="KU160" s="23"/>
      <c r="KV160" s="23"/>
      <c r="KW160" s="23"/>
      <c r="KX160" s="23"/>
      <c r="KY160" s="23"/>
      <c r="KZ160" s="23"/>
      <c r="LA160" s="23"/>
      <c r="LB160" s="23"/>
      <c r="LC160" s="23"/>
      <c r="LD160" s="23"/>
      <c r="LE160" s="23"/>
      <c r="LF160" s="23"/>
      <c r="LG160" s="23"/>
      <c r="LH160" s="23"/>
      <c r="LI160" s="23"/>
      <c r="LJ160" s="23"/>
      <c r="LK160" s="23"/>
      <c r="LL160" s="23"/>
      <c r="LM160" s="23"/>
      <c r="LN160" s="23"/>
      <c r="LO160" s="23"/>
      <c r="LP160" s="23"/>
      <c r="LQ160" s="23"/>
      <c r="LR160" s="23"/>
      <c r="LS160" s="23"/>
      <c r="LT160" s="23"/>
      <c r="LU160" s="23"/>
      <c r="LV160" s="23"/>
      <c r="LW160" s="23"/>
      <c r="LX160" s="23"/>
      <c r="LY160" s="23"/>
      <c r="LZ160" s="23"/>
      <c r="MA160" s="23"/>
      <c r="MB160" s="23"/>
      <c r="MC160" s="23"/>
      <c r="MD160" s="23"/>
      <c r="ME160" s="23"/>
      <c r="MF160" s="23"/>
      <c r="MG160" s="23"/>
      <c r="MH160" s="23"/>
      <c r="MI160" s="23"/>
      <c r="MJ160" s="23"/>
      <c r="MK160" s="23"/>
      <c r="ML160" s="23"/>
      <c r="MM160" s="23"/>
      <c r="MN160" s="23"/>
      <c r="MO160" s="23"/>
      <c r="MP160" s="23"/>
      <c r="MQ160" s="23"/>
      <c r="MR160" s="23"/>
      <c r="MS160" s="23"/>
      <c r="MT160" s="23"/>
      <c r="MU160" s="23"/>
      <c r="MV160" s="23"/>
      <c r="MW160" s="23"/>
      <c r="MX160" s="23"/>
      <c r="MY160" s="23"/>
      <c r="MZ160" s="23"/>
      <c r="NA160" s="23"/>
      <c r="NB160" s="23"/>
      <c r="NC160" s="23"/>
      <c r="ND160" s="23"/>
      <c r="NE160" s="23"/>
      <c r="NF160" s="23"/>
      <c r="NG160" s="23"/>
      <c r="NH160" s="23"/>
      <c r="NI160" s="23"/>
      <c r="NJ160" s="23"/>
      <c r="NK160" s="23"/>
      <c r="NL160" s="23"/>
      <c r="NM160" s="23"/>
      <c r="NN160" s="23"/>
    </row>
    <row r="161" spans="5:378" ht="15" customHeight="1"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  <c r="IZ161" s="23"/>
      <c r="JA161" s="23"/>
      <c r="JB161" s="23"/>
      <c r="JC161" s="23"/>
      <c r="JD161" s="23"/>
      <c r="JE161" s="23"/>
      <c r="JF161" s="23"/>
      <c r="JG161" s="23"/>
      <c r="JH161" s="23"/>
      <c r="JI161" s="23"/>
      <c r="JJ161" s="23"/>
      <c r="JK161" s="23"/>
      <c r="JL161" s="23"/>
      <c r="JM161" s="23"/>
      <c r="JN161" s="23"/>
      <c r="JO161" s="23"/>
      <c r="JP161" s="23"/>
      <c r="JQ161" s="23"/>
      <c r="JR161" s="23"/>
      <c r="JS161" s="23"/>
      <c r="JT161" s="23"/>
      <c r="JU161" s="23"/>
      <c r="JV161" s="23"/>
      <c r="JW161" s="23"/>
      <c r="JX161" s="23"/>
      <c r="JY161" s="23"/>
      <c r="JZ161" s="23"/>
      <c r="KA161" s="23"/>
      <c r="KB161" s="23"/>
      <c r="KC161" s="23"/>
      <c r="KD161" s="23"/>
      <c r="KE161" s="23"/>
      <c r="KF161" s="23"/>
      <c r="KG161" s="23"/>
      <c r="KH161" s="23"/>
      <c r="KI161" s="23"/>
      <c r="KJ161" s="23"/>
      <c r="KK161" s="23"/>
      <c r="KL161" s="23"/>
      <c r="KM161" s="23"/>
      <c r="KN161" s="23"/>
      <c r="KO161" s="23"/>
      <c r="KP161" s="23"/>
      <c r="KQ161" s="23"/>
      <c r="KR161" s="23"/>
      <c r="KS161" s="23"/>
      <c r="KT161" s="23"/>
      <c r="KU161" s="23"/>
      <c r="KV161" s="23"/>
      <c r="KW161" s="23"/>
      <c r="KX161" s="23"/>
      <c r="KY161" s="23"/>
      <c r="KZ161" s="23"/>
      <c r="LA161" s="23"/>
      <c r="LB161" s="23"/>
      <c r="LC161" s="23"/>
      <c r="LD161" s="23"/>
      <c r="LE161" s="23"/>
      <c r="LF161" s="23"/>
      <c r="LG161" s="23"/>
      <c r="LH161" s="23"/>
      <c r="LI161" s="23"/>
      <c r="LJ161" s="23"/>
      <c r="LK161" s="23"/>
      <c r="LL161" s="23"/>
      <c r="LM161" s="23"/>
      <c r="LN161" s="23"/>
      <c r="LO161" s="23"/>
      <c r="LP161" s="23"/>
      <c r="LQ161" s="23"/>
      <c r="LR161" s="23"/>
      <c r="LS161" s="23"/>
      <c r="LT161" s="23"/>
      <c r="LU161" s="23"/>
      <c r="LV161" s="23"/>
      <c r="LW161" s="23"/>
      <c r="LX161" s="23"/>
      <c r="LY161" s="23"/>
      <c r="LZ161" s="23"/>
      <c r="MA161" s="23"/>
      <c r="MB161" s="23"/>
      <c r="MC161" s="23"/>
      <c r="MD161" s="23"/>
      <c r="ME161" s="23"/>
      <c r="MF161" s="23"/>
      <c r="MG161" s="23"/>
      <c r="MH161" s="23"/>
      <c r="MI161" s="23"/>
      <c r="MJ161" s="23"/>
      <c r="MK161" s="23"/>
      <c r="ML161" s="23"/>
      <c r="MM161" s="23"/>
      <c r="MN161" s="23"/>
      <c r="MO161" s="23"/>
      <c r="MP161" s="23"/>
      <c r="MQ161" s="23"/>
      <c r="MR161" s="23"/>
      <c r="MS161" s="23"/>
      <c r="MT161" s="23"/>
      <c r="MU161" s="23"/>
      <c r="MV161" s="23"/>
      <c r="MW161" s="23"/>
      <c r="MX161" s="23"/>
      <c r="MY161" s="23"/>
      <c r="MZ161" s="23"/>
      <c r="NA161" s="23"/>
      <c r="NB161" s="23"/>
      <c r="NC161" s="23"/>
      <c r="ND161" s="23"/>
      <c r="NE161" s="23"/>
      <c r="NF161" s="23"/>
      <c r="NG161" s="23"/>
      <c r="NH161" s="23"/>
      <c r="NI161" s="23"/>
      <c r="NJ161" s="23"/>
      <c r="NK161" s="23"/>
      <c r="NL161" s="23"/>
      <c r="NM161" s="23"/>
      <c r="NN161" s="23"/>
    </row>
    <row r="162" spans="5:378" ht="15" customHeight="1"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  <c r="IZ162" s="23"/>
      <c r="JA162" s="23"/>
      <c r="JB162" s="23"/>
      <c r="JC162" s="23"/>
      <c r="JD162" s="23"/>
      <c r="JE162" s="23"/>
      <c r="JF162" s="23"/>
      <c r="JG162" s="23"/>
      <c r="JH162" s="23"/>
      <c r="JI162" s="23"/>
      <c r="JJ162" s="23"/>
      <c r="JK162" s="23"/>
      <c r="JL162" s="23"/>
      <c r="JM162" s="23"/>
      <c r="JN162" s="23"/>
      <c r="JO162" s="23"/>
      <c r="JP162" s="23"/>
      <c r="JQ162" s="23"/>
      <c r="JR162" s="23"/>
      <c r="JS162" s="23"/>
      <c r="JT162" s="23"/>
      <c r="JU162" s="23"/>
      <c r="JV162" s="23"/>
      <c r="JW162" s="23"/>
      <c r="JX162" s="23"/>
      <c r="JY162" s="23"/>
      <c r="JZ162" s="23"/>
      <c r="KA162" s="23"/>
      <c r="KB162" s="23"/>
      <c r="KC162" s="23"/>
      <c r="KD162" s="23"/>
      <c r="KE162" s="23"/>
      <c r="KF162" s="23"/>
      <c r="KG162" s="23"/>
      <c r="KH162" s="23"/>
      <c r="KI162" s="23"/>
      <c r="KJ162" s="23"/>
      <c r="KK162" s="23"/>
      <c r="KL162" s="23"/>
      <c r="KM162" s="23"/>
      <c r="KN162" s="23"/>
      <c r="KO162" s="23"/>
      <c r="KP162" s="23"/>
      <c r="KQ162" s="23"/>
      <c r="KR162" s="23"/>
      <c r="KS162" s="23"/>
      <c r="KT162" s="23"/>
      <c r="KU162" s="23"/>
      <c r="KV162" s="23"/>
      <c r="KW162" s="23"/>
      <c r="KX162" s="23"/>
      <c r="KY162" s="23"/>
      <c r="KZ162" s="23"/>
      <c r="LA162" s="23"/>
      <c r="LB162" s="23"/>
      <c r="LC162" s="23"/>
      <c r="LD162" s="23"/>
      <c r="LE162" s="23"/>
      <c r="LF162" s="23"/>
      <c r="LG162" s="23"/>
      <c r="LH162" s="23"/>
      <c r="LI162" s="23"/>
      <c r="LJ162" s="23"/>
      <c r="LK162" s="23"/>
      <c r="LL162" s="23"/>
      <c r="LM162" s="23"/>
      <c r="LN162" s="23"/>
      <c r="LO162" s="23"/>
      <c r="LP162" s="23"/>
      <c r="LQ162" s="23"/>
      <c r="LR162" s="23"/>
      <c r="LS162" s="23"/>
      <c r="LT162" s="23"/>
      <c r="LU162" s="23"/>
      <c r="LV162" s="23"/>
      <c r="LW162" s="23"/>
      <c r="LX162" s="23"/>
      <c r="LY162" s="23"/>
      <c r="LZ162" s="23"/>
      <c r="MA162" s="23"/>
      <c r="MB162" s="23"/>
      <c r="MC162" s="23"/>
      <c r="MD162" s="23"/>
      <c r="ME162" s="23"/>
      <c r="MF162" s="23"/>
      <c r="MG162" s="23"/>
      <c r="MH162" s="23"/>
      <c r="MI162" s="23"/>
      <c r="MJ162" s="23"/>
      <c r="MK162" s="23"/>
      <c r="ML162" s="23"/>
      <c r="MM162" s="23"/>
      <c r="MN162" s="23"/>
      <c r="MO162" s="23"/>
      <c r="MP162" s="23"/>
      <c r="MQ162" s="23"/>
      <c r="MR162" s="23"/>
      <c r="MS162" s="23"/>
      <c r="MT162" s="23"/>
      <c r="MU162" s="23"/>
      <c r="MV162" s="23"/>
      <c r="MW162" s="23"/>
      <c r="MX162" s="23"/>
      <c r="MY162" s="23"/>
      <c r="MZ162" s="23"/>
      <c r="NA162" s="23"/>
      <c r="NB162" s="23"/>
      <c r="NC162" s="23"/>
      <c r="ND162" s="23"/>
      <c r="NE162" s="23"/>
      <c r="NF162" s="23"/>
      <c r="NG162" s="23"/>
      <c r="NH162" s="23"/>
      <c r="NI162" s="23"/>
      <c r="NJ162" s="23"/>
      <c r="NK162" s="23"/>
      <c r="NL162" s="23"/>
      <c r="NM162" s="23"/>
      <c r="NN162" s="23"/>
    </row>
    <row r="163" spans="5:378" ht="15" customHeight="1"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/>
      <c r="JQ163" s="23"/>
      <c r="JR163" s="23"/>
      <c r="JS163" s="23"/>
      <c r="JT163" s="23"/>
      <c r="JU163" s="23"/>
      <c r="JV163" s="23"/>
      <c r="JW163" s="23"/>
      <c r="JX163" s="23"/>
      <c r="JY163" s="23"/>
      <c r="JZ163" s="23"/>
      <c r="KA163" s="23"/>
      <c r="KB163" s="23"/>
      <c r="KC163" s="23"/>
      <c r="KD163" s="23"/>
      <c r="KE163" s="23"/>
      <c r="KF163" s="23"/>
      <c r="KG163" s="23"/>
      <c r="KH163" s="23"/>
      <c r="KI163" s="23"/>
      <c r="KJ163" s="23"/>
      <c r="KK163" s="23"/>
      <c r="KL163" s="23"/>
      <c r="KM163" s="23"/>
      <c r="KN163" s="23"/>
      <c r="KO163" s="23"/>
      <c r="KP163" s="23"/>
      <c r="KQ163" s="23"/>
      <c r="KR163" s="23"/>
      <c r="KS163" s="23"/>
      <c r="KT163" s="23"/>
      <c r="KU163" s="23"/>
      <c r="KV163" s="23"/>
      <c r="KW163" s="23"/>
      <c r="KX163" s="23"/>
      <c r="KY163" s="23"/>
      <c r="KZ163" s="23"/>
      <c r="LA163" s="23"/>
      <c r="LB163" s="23"/>
      <c r="LC163" s="23"/>
      <c r="LD163" s="23"/>
      <c r="LE163" s="23"/>
      <c r="LF163" s="23"/>
      <c r="LG163" s="23"/>
      <c r="LH163" s="23"/>
      <c r="LI163" s="23"/>
      <c r="LJ163" s="23"/>
      <c r="LK163" s="23"/>
      <c r="LL163" s="23"/>
      <c r="LM163" s="23"/>
      <c r="LN163" s="23"/>
      <c r="LO163" s="23"/>
      <c r="LP163" s="23"/>
      <c r="LQ163" s="23"/>
      <c r="LR163" s="23"/>
      <c r="LS163" s="23"/>
      <c r="LT163" s="23"/>
      <c r="LU163" s="23"/>
      <c r="LV163" s="23"/>
      <c r="LW163" s="23"/>
      <c r="LX163" s="23"/>
      <c r="LY163" s="23"/>
      <c r="LZ163" s="23"/>
      <c r="MA163" s="23"/>
      <c r="MB163" s="23"/>
      <c r="MC163" s="23"/>
      <c r="MD163" s="23"/>
      <c r="ME163" s="23"/>
      <c r="MF163" s="23"/>
      <c r="MG163" s="23"/>
      <c r="MH163" s="23"/>
      <c r="MI163" s="23"/>
      <c r="MJ163" s="23"/>
      <c r="MK163" s="23"/>
      <c r="ML163" s="23"/>
      <c r="MM163" s="23"/>
      <c r="MN163" s="23"/>
      <c r="MO163" s="23"/>
      <c r="MP163" s="23"/>
      <c r="MQ163" s="23"/>
      <c r="MR163" s="23"/>
      <c r="MS163" s="23"/>
      <c r="MT163" s="23"/>
      <c r="MU163" s="23"/>
      <c r="MV163" s="23"/>
      <c r="MW163" s="23"/>
      <c r="MX163" s="23"/>
      <c r="MY163" s="23"/>
      <c r="MZ163" s="23"/>
      <c r="NA163" s="23"/>
      <c r="NB163" s="23"/>
      <c r="NC163" s="23"/>
      <c r="ND163" s="23"/>
      <c r="NE163" s="23"/>
      <c r="NF163" s="23"/>
      <c r="NG163" s="23"/>
      <c r="NH163" s="23"/>
      <c r="NI163" s="23"/>
      <c r="NJ163" s="23"/>
      <c r="NK163" s="23"/>
      <c r="NL163" s="23"/>
      <c r="NM163" s="23"/>
      <c r="NN163" s="23"/>
    </row>
    <row r="164" spans="5:378" ht="15" customHeight="1"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  <c r="IZ164" s="23"/>
      <c r="JA164" s="23"/>
      <c r="JB164" s="23"/>
      <c r="JC164" s="23"/>
      <c r="JD164" s="23"/>
      <c r="JE164" s="23"/>
      <c r="JF164" s="23"/>
      <c r="JG164" s="23"/>
      <c r="JH164" s="23"/>
      <c r="JI164" s="23"/>
      <c r="JJ164" s="23"/>
      <c r="JK164" s="23"/>
      <c r="JL164" s="23"/>
      <c r="JM164" s="23"/>
      <c r="JN164" s="23"/>
      <c r="JO164" s="23"/>
      <c r="JP164" s="23"/>
      <c r="JQ164" s="23"/>
      <c r="JR164" s="23"/>
      <c r="JS164" s="23"/>
      <c r="JT164" s="23"/>
      <c r="JU164" s="23"/>
      <c r="JV164" s="23"/>
      <c r="JW164" s="23"/>
      <c r="JX164" s="23"/>
      <c r="JY164" s="23"/>
      <c r="JZ164" s="23"/>
      <c r="KA164" s="23"/>
      <c r="KB164" s="23"/>
      <c r="KC164" s="23"/>
      <c r="KD164" s="23"/>
      <c r="KE164" s="23"/>
      <c r="KF164" s="23"/>
      <c r="KG164" s="23"/>
      <c r="KH164" s="23"/>
      <c r="KI164" s="23"/>
      <c r="KJ164" s="23"/>
      <c r="KK164" s="23"/>
      <c r="KL164" s="23"/>
      <c r="KM164" s="23"/>
      <c r="KN164" s="23"/>
      <c r="KO164" s="23"/>
      <c r="KP164" s="23"/>
      <c r="KQ164" s="23"/>
      <c r="KR164" s="23"/>
      <c r="KS164" s="23"/>
      <c r="KT164" s="23"/>
      <c r="KU164" s="23"/>
      <c r="KV164" s="23"/>
      <c r="KW164" s="23"/>
      <c r="KX164" s="23"/>
      <c r="KY164" s="23"/>
      <c r="KZ164" s="23"/>
      <c r="LA164" s="23"/>
      <c r="LB164" s="23"/>
      <c r="LC164" s="23"/>
      <c r="LD164" s="23"/>
      <c r="LE164" s="23"/>
      <c r="LF164" s="23"/>
      <c r="LG164" s="23"/>
      <c r="LH164" s="23"/>
      <c r="LI164" s="23"/>
      <c r="LJ164" s="23"/>
      <c r="LK164" s="23"/>
      <c r="LL164" s="23"/>
      <c r="LM164" s="23"/>
      <c r="LN164" s="23"/>
      <c r="LO164" s="23"/>
      <c r="LP164" s="23"/>
      <c r="LQ164" s="23"/>
      <c r="LR164" s="23"/>
      <c r="LS164" s="23"/>
      <c r="LT164" s="23"/>
      <c r="LU164" s="23"/>
      <c r="LV164" s="23"/>
      <c r="LW164" s="23"/>
      <c r="LX164" s="23"/>
      <c r="LY164" s="23"/>
      <c r="LZ164" s="23"/>
      <c r="MA164" s="23"/>
      <c r="MB164" s="23"/>
      <c r="MC164" s="23"/>
      <c r="MD164" s="23"/>
      <c r="ME164" s="23"/>
      <c r="MF164" s="23"/>
      <c r="MG164" s="23"/>
      <c r="MH164" s="23"/>
      <c r="MI164" s="23"/>
      <c r="MJ164" s="23"/>
      <c r="MK164" s="23"/>
      <c r="ML164" s="23"/>
      <c r="MM164" s="23"/>
      <c r="MN164" s="23"/>
      <c r="MO164" s="23"/>
      <c r="MP164" s="23"/>
      <c r="MQ164" s="23"/>
      <c r="MR164" s="23"/>
      <c r="MS164" s="23"/>
      <c r="MT164" s="23"/>
      <c r="MU164" s="23"/>
      <c r="MV164" s="23"/>
      <c r="MW164" s="23"/>
      <c r="MX164" s="23"/>
      <c r="MY164" s="23"/>
      <c r="MZ164" s="23"/>
      <c r="NA164" s="23"/>
      <c r="NB164" s="23"/>
      <c r="NC164" s="23"/>
      <c r="ND164" s="23"/>
      <c r="NE164" s="23"/>
      <c r="NF164" s="23"/>
      <c r="NG164" s="23"/>
      <c r="NH164" s="23"/>
      <c r="NI164" s="23"/>
      <c r="NJ164" s="23"/>
      <c r="NK164" s="23"/>
      <c r="NL164" s="23"/>
      <c r="NM164" s="23"/>
      <c r="NN164" s="23"/>
    </row>
    <row r="165" spans="5:378" ht="15" customHeight="1"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  <c r="IZ165" s="23"/>
      <c r="JA165" s="23"/>
      <c r="JB165" s="23"/>
      <c r="JC165" s="23"/>
      <c r="JD165" s="23"/>
      <c r="JE165" s="23"/>
      <c r="JF165" s="23"/>
      <c r="JG165" s="23"/>
      <c r="JH165" s="23"/>
      <c r="JI165" s="23"/>
      <c r="JJ165" s="23"/>
      <c r="JK165" s="23"/>
      <c r="JL165" s="23"/>
      <c r="JM165" s="23"/>
      <c r="JN165" s="23"/>
      <c r="JO165" s="23"/>
      <c r="JP165" s="23"/>
      <c r="JQ165" s="23"/>
      <c r="JR165" s="23"/>
      <c r="JS165" s="23"/>
      <c r="JT165" s="23"/>
      <c r="JU165" s="23"/>
      <c r="JV165" s="23"/>
      <c r="JW165" s="23"/>
      <c r="JX165" s="23"/>
      <c r="JY165" s="23"/>
      <c r="JZ165" s="23"/>
      <c r="KA165" s="23"/>
      <c r="KB165" s="23"/>
      <c r="KC165" s="23"/>
      <c r="KD165" s="23"/>
      <c r="KE165" s="23"/>
      <c r="KF165" s="23"/>
      <c r="KG165" s="23"/>
      <c r="KH165" s="23"/>
      <c r="KI165" s="23"/>
      <c r="KJ165" s="23"/>
      <c r="KK165" s="23"/>
      <c r="KL165" s="23"/>
      <c r="KM165" s="23"/>
      <c r="KN165" s="23"/>
      <c r="KO165" s="23"/>
      <c r="KP165" s="23"/>
      <c r="KQ165" s="23"/>
      <c r="KR165" s="23"/>
      <c r="KS165" s="23"/>
      <c r="KT165" s="23"/>
      <c r="KU165" s="23"/>
      <c r="KV165" s="23"/>
      <c r="KW165" s="23"/>
      <c r="KX165" s="23"/>
      <c r="KY165" s="23"/>
      <c r="KZ165" s="23"/>
      <c r="LA165" s="23"/>
      <c r="LB165" s="23"/>
      <c r="LC165" s="23"/>
      <c r="LD165" s="23"/>
      <c r="LE165" s="23"/>
      <c r="LF165" s="23"/>
      <c r="LG165" s="23"/>
      <c r="LH165" s="23"/>
      <c r="LI165" s="23"/>
      <c r="LJ165" s="23"/>
      <c r="LK165" s="23"/>
      <c r="LL165" s="23"/>
      <c r="LM165" s="23"/>
      <c r="LN165" s="23"/>
      <c r="LO165" s="23"/>
      <c r="LP165" s="23"/>
      <c r="LQ165" s="23"/>
      <c r="LR165" s="23"/>
      <c r="LS165" s="23"/>
      <c r="LT165" s="23"/>
      <c r="LU165" s="23"/>
      <c r="LV165" s="23"/>
      <c r="LW165" s="23"/>
      <c r="LX165" s="23"/>
      <c r="LY165" s="23"/>
      <c r="LZ165" s="23"/>
      <c r="MA165" s="23"/>
      <c r="MB165" s="23"/>
      <c r="MC165" s="23"/>
      <c r="MD165" s="23"/>
      <c r="ME165" s="23"/>
      <c r="MF165" s="23"/>
      <c r="MG165" s="23"/>
      <c r="MH165" s="23"/>
      <c r="MI165" s="23"/>
      <c r="MJ165" s="23"/>
      <c r="MK165" s="23"/>
      <c r="ML165" s="23"/>
      <c r="MM165" s="23"/>
      <c r="MN165" s="23"/>
      <c r="MO165" s="23"/>
      <c r="MP165" s="23"/>
      <c r="MQ165" s="23"/>
      <c r="MR165" s="23"/>
      <c r="MS165" s="23"/>
      <c r="MT165" s="23"/>
      <c r="MU165" s="23"/>
      <c r="MV165" s="23"/>
      <c r="MW165" s="23"/>
      <c r="MX165" s="23"/>
      <c r="MY165" s="23"/>
      <c r="MZ165" s="23"/>
      <c r="NA165" s="23"/>
      <c r="NB165" s="23"/>
      <c r="NC165" s="23"/>
      <c r="ND165" s="23"/>
      <c r="NE165" s="23"/>
      <c r="NF165" s="23"/>
      <c r="NG165" s="23"/>
      <c r="NH165" s="23"/>
      <c r="NI165" s="23"/>
      <c r="NJ165" s="23"/>
      <c r="NK165" s="23"/>
      <c r="NL165" s="23"/>
      <c r="NM165" s="23"/>
      <c r="NN165" s="23"/>
    </row>
    <row r="166" spans="5:378" ht="15" customHeight="1"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  <c r="IZ166" s="23"/>
      <c r="JA166" s="23"/>
      <c r="JB166" s="23"/>
      <c r="JC166" s="23"/>
      <c r="JD166" s="23"/>
      <c r="JE166" s="23"/>
      <c r="JF166" s="23"/>
      <c r="JG166" s="23"/>
      <c r="JH166" s="23"/>
      <c r="JI166" s="23"/>
      <c r="JJ166" s="23"/>
      <c r="JK166" s="23"/>
      <c r="JL166" s="23"/>
      <c r="JM166" s="23"/>
      <c r="JN166" s="23"/>
      <c r="JO166" s="23"/>
      <c r="JP166" s="23"/>
      <c r="JQ166" s="23"/>
      <c r="JR166" s="23"/>
      <c r="JS166" s="23"/>
      <c r="JT166" s="23"/>
      <c r="JU166" s="23"/>
      <c r="JV166" s="23"/>
      <c r="JW166" s="23"/>
      <c r="JX166" s="23"/>
      <c r="JY166" s="23"/>
      <c r="JZ166" s="23"/>
      <c r="KA166" s="23"/>
      <c r="KB166" s="23"/>
      <c r="KC166" s="23"/>
      <c r="KD166" s="23"/>
      <c r="KE166" s="23"/>
      <c r="KF166" s="23"/>
      <c r="KG166" s="23"/>
      <c r="KH166" s="23"/>
      <c r="KI166" s="23"/>
      <c r="KJ166" s="23"/>
      <c r="KK166" s="23"/>
      <c r="KL166" s="23"/>
      <c r="KM166" s="23"/>
      <c r="KN166" s="23"/>
      <c r="KO166" s="23"/>
      <c r="KP166" s="23"/>
      <c r="KQ166" s="23"/>
      <c r="KR166" s="23"/>
      <c r="KS166" s="23"/>
      <c r="KT166" s="23"/>
      <c r="KU166" s="23"/>
      <c r="KV166" s="23"/>
      <c r="KW166" s="23"/>
      <c r="KX166" s="23"/>
      <c r="KY166" s="23"/>
      <c r="KZ166" s="23"/>
      <c r="LA166" s="23"/>
      <c r="LB166" s="23"/>
      <c r="LC166" s="23"/>
      <c r="LD166" s="23"/>
      <c r="LE166" s="23"/>
      <c r="LF166" s="23"/>
      <c r="LG166" s="23"/>
      <c r="LH166" s="23"/>
      <c r="LI166" s="23"/>
      <c r="LJ166" s="23"/>
      <c r="LK166" s="23"/>
      <c r="LL166" s="23"/>
      <c r="LM166" s="23"/>
      <c r="LN166" s="23"/>
      <c r="LO166" s="23"/>
      <c r="LP166" s="23"/>
      <c r="LQ166" s="23"/>
      <c r="LR166" s="23"/>
      <c r="LS166" s="23"/>
      <c r="LT166" s="23"/>
      <c r="LU166" s="23"/>
      <c r="LV166" s="23"/>
      <c r="LW166" s="23"/>
      <c r="LX166" s="23"/>
      <c r="LY166" s="23"/>
      <c r="LZ166" s="23"/>
      <c r="MA166" s="23"/>
      <c r="MB166" s="23"/>
      <c r="MC166" s="23"/>
      <c r="MD166" s="23"/>
      <c r="ME166" s="23"/>
      <c r="MF166" s="23"/>
      <c r="MG166" s="23"/>
      <c r="MH166" s="23"/>
      <c r="MI166" s="23"/>
      <c r="MJ166" s="23"/>
      <c r="MK166" s="23"/>
      <c r="ML166" s="23"/>
      <c r="MM166" s="23"/>
      <c r="MN166" s="23"/>
      <c r="MO166" s="23"/>
      <c r="MP166" s="23"/>
      <c r="MQ166" s="23"/>
      <c r="MR166" s="23"/>
      <c r="MS166" s="23"/>
      <c r="MT166" s="23"/>
      <c r="MU166" s="23"/>
      <c r="MV166" s="23"/>
      <c r="MW166" s="23"/>
      <c r="MX166" s="23"/>
      <c r="MY166" s="23"/>
      <c r="MZ166" s="23"/>
      <c r="NA166" s="23"/>
      <c r="NB166" s="23"/>
      <c r="NC166" s="23"/>
      <c r="ND166" s="23"/>
      <c r="NE166" s="23"/>
      <c r="NF166" s="23"/>
      <c r="NG166" s="23"/>
      <c r="NH166" s="23"/>
      <c r="NI166" s="23"/>
      <c r="NJ166" s="23"/>
      <c r="NK166" s="23"/>
      <c r="NL166" s="23"/>
      <c r="NM166" s="23"/>
      <c r="NN166" s="23"/>
    </row>
    <row r="167" spans="5:378" ht="15" customHeight="1"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  <c r="KG167" s="23"/>
      <c r="KH167" s="23"/>
      <c r="KI167" s="23"/>
      <c r="KJ167" s="23"/>
      <c r="KK167" s="23"/>
      <c r="KL167" s="23"/>
      <c r="KM167" s="23"/>
      <c r="KN167" s="23"/>
      <c r="KO167" s="23"/>
      <c r="KP167" s="23"/>
      <c r="KQ167" s="23"/>
      <c r="KR167" s="23"/>
      <c r="KS167" s="23"/>
      <c r="KT167" s="23"/>
      <c r="KU167" s="23"/>
      <c r="KV167" s="23"/>
      <c r="KW167" s="23"/>
      <c r="KX167" s="23"/>
      <c r="KY167" s="23"/>
      <c r="KZ167" s="23"/>
      <c r="LA167" s="23"/>
      <c r="LB167" s="23"/>
      <c r="LC167" s="23"/>
      <c r="LD167" s="23"/>
      <c r="LE167" s="23"/>
      <c r="LF167" s="23"/>
      <c r="LG167" s="23"/>
      <c r="LH167" s="23"/>
      <c r="LI167" s="23"/>
      <c r="LJ167" s="23"/>
      <c r="LK167" s="23"/>
      <c r="LL167" s="23"/>
      <c r="LM167" s="23"/>
      <c r="LN167" s="23"/>
      <c r="LO167" s="23"/>
      <c r="LP167" s="23"/>
      <c r="LQ167" s="23"/>
      <c r="LR167" s="23"/>
      <c r="LS167" s="23"/>
      <c r="LT167" s="23"/>
      <c r="LU167" s="23"/>
      <c r="LV167" s="23"/>
      <c r="LW167" s="23"/>
      <c r="LX167" s="23"/>
      <c r="LY167" s="23"/>
      <c r="LZ167" s="23"/>
      <c r="MA167" s="23"/>
      <c r="MB167" s="23"/>
      <c r="MC167" s="23"/>
      <c r="MD167" s="23"/>
      <c r="ME167" s="23"/>
      <c r="MF167" s="23"/>
      <c r="MG167" s="23"/>
      <c r="MH167" s="23"/>
      <c r="MI167" s="23"/>
      <c r="MJ167" s="23"/>
      <c r="MK167" s="23"/>
      <c r="ML167" s="23"/>
      <c r="MM167" s="23"/>
      <c r="MN167" s="23"/>
      <c r="MO167" s="23"/>
      <c r="MP167" s="23"/>
      <c r="MQ167" s="23"/>
      <c r="MR167" s="23"/>
      <c r="MS167" s="23"/>
      <c r="MT167" s="23"/>
      <c r="MU167" s="23"/>
      <c r="MV167" s="23"/>
      <c r="MW167" s="23"/>
      <c r="MX167" s="23"/>
      <c r="MY167" s="23"/>
      <c r="MZ167" s="23"/>
      <c r="NA167" s="23"/>
      <c r="NB167" s="23"/>
      <c r="NC167" s="23"/>
      <c r="ND167" s="23"/>
      <c r="NE167" s="23"/>
      <c r="NF167" s="23"/>
      <c r="NG167" s="23"/>
      <c r="NH167" s="23"/>
      <c r="NI167" s="23"/>
      <c r="NJ167" s="23"/>
      <c r="NK167" s="23"/>
      <c r="NL167" s="23"/>
      <c r="NM167" s="23"/>
      <c r="NN167" s="23"/>
    </row>
    <row r="168" spans="5:378" ht="15" customHeight="1"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  <c r="KG168" s="23"/>
      <c r="KH168" s="23"/>
      <c r="KI168" s="23"/>
      <c r="KJ168" s="23"/>
      <c r="KK168" s="23"/>
      <c r="KL168" s="23"/>
      <c r="KM168" s="23"/>
      <c r="KN168" s="23"/>
      <c r="KO168" s="23"/>
      <c r="KP168" s="23"/>
      <c r="KQ168" s="23"/>
      <c r="KR168" s="23"/>
      <c r="KS168" s="23"/>
      <c r="KT168" s="23"/>
      <c r="KU168" s="23"/>
      <c r="KV168" s="23"/>
      <c r="KW168" s="23"/>
      <c r="KX168" s="23"/>
      <c r="KY168" s="23"/>
      <c r="KZ168" s="23"/>
      <c r="LA168" s="23"/>
      <c r="LB168" s="23"/>
      <c r="LC168" s="23"/>
      <c r="LD168" s="23"/>
      <c r="LE168" s="23"/>
      <c r="LF168" s="23"/>
      <c r="LG168" s="23"/>
      <c r="LH168" s="23"/>
      <c r="LI168" s="23"/>
      <c r="LJ168" s="23"/>
      <c r="LK168" s="23"/>
      <c r="LL168" s="23"/>
      <c r="LM168" s="23"/>
      <c r="LN168" s="23"/>
      <c r="LO168" s="23"/>
      <c r="LP168" s="23"/>
      <c r="LQ168" s="23"/>
      <c r="LR168" s="23"/>
      <c r="LS168" s="23"/>
      <c r="LT168" s="23"/>
      <c r="LU168" s="23"/>
      <c r="LV168" s="23"/>
      <c r="LW168" s="23"/>
      <c r="LX168" s="23"/>
      <c r="LY168" s="23"/>
      <c r="LZ168" s="23"/>
      <c r="MA168" s="23"/>
      <c r="MB168" s="23"/>
      <c r="MC168" s="23"/>
      <c r="MD168" s="23"/>
      <c r="ME168" s="23"/>
      <c r="MF168" s="23"/>
      <c r="MG168" s="23"/>
      <c r="MH168" s="23"/>
      <c r="MI168" s="23"/>
      <c r="MJ168" s="23"/>
      <c r="MK168" s="23"/>
      <c r="ML168" s="23"/>
      <c r="MM168" s="23"/>
      <c r="MN168" s="23"/>
      <c r="MO168" s="23"/>
      <c r="MP168" s="23"/>
      <c r="MQ168" s="23"/>
      <c r="MR168" s="23"/>
      <c r="MS168" s="23"/>
      <c r="MT168" s="23"/>
      <c r="MU168" s="23"/>
      <c r="MV168" s="23"/>
      <c r="MW168" s="23"/>
      <c r="MX168" s="23"/>
      <c r="MY168" s="23"/>
      <c r="MZ168" s="23"/>
      <c r="NA168" s="23"/>
      <c r="NB168" s="23"/>
      <c r="NC168" s="23"/>
      <c r="ND168" s="23"/>
      <c r="NE168" s="23"/>
      <c r="NF168" s="23"/>
      <c r="NG168" s="23"/>
      <c r="NH168" s="23"/>
      <c r="NI168" s="23"/>
      <c r="NJ168" s="23"/>
      <c r="NK168" s="23"/>
      <c r="NL168" s="23"/>
      <c r="NM168" s="23"/>
      <c r="NN168" s="23"/>
    </row>
    <row r="169" spans="5:378" ht="15" customHeight="1"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  <c r="IZ169" s="23"/>
      <c r="JA169" s="23"/>
      <c r="JB169" s="23"/>
      <c r="JC169" s="23"/>
      <c r="JD169" s="23"/>
      <c r="JE169" s="23"/>
      <c r="JF169" s="23"/>
      <c r="JG169" s="23"/>
      <c r="JH169" s="23"/>
      <c r="JI169" s="23"/>
      <c r="JJ169" s="23"/>
      <c r="JK169" s="23"/>
      <c r="JL169" s="23"/>
      <c r="JM169" s="23"/>
      <c r="JN169" s="23"/>
      <c r="JO169" s="23"/>
      <c r="JP169" s="23"/>
      <c r="JQ169" s="23"/>
      <c r="JR169" s="23"/>
      <c r="JS169" s="23"/>
      <c r="JT169" s="23"/>
      <c r="JU169" s="23"/>
      <c r="JV169" s="23"/>
      <c r="JW169" s="23"/>
      <c r="JX169" s="23"/>
      <c r="JY169" s="23"/>
      <c r="JZ169" s="23"/>
      <c r="KA169" s="23"/>
      <c r="KB169" s="23"/>
      <c r="KC169" s="23"/>
      <c r="KD169" s="23"/>
      <c r="KE169" s="23"/>
      <c r="KF169" s="23"/>
      <c r="KG169" s="23"/>
      <c r="KH169" s="23"/>
      <c r="KI169" s="23"/>
      <c r="KJ169" s="23"/>
      <c r="KK169" s="23"/>
      <c r="KL169" s="23"/>
      <c r="KM169" s="23"/>
      <c r="KN169" s="23"/>
      <c r="KO169" s="23"/>
      <c r="KP169" s="23"/>
      <c r="KQ169" s="23"/>
      <c r="KR169" s="23"/>
      <c r="KS169" s="23"/>
      <c r="KT169" s="23"/>
      <c r="KU169" s="23"/>
      <c r="KV169" s="23"/>
      <c r="KW169" s="23"/>
      <c r="KX169" s="23"/>
      <c r="KY169" s="23"/>
      <c r="KZ169" s="23"/>
      <c r="LA169" s="23"/>
      <c r="LB169" s="23"/>
      <c r="LC169" s="23"/>
      <c r="LD169" s="23"/>
      <c r="LE169" s="23"/>
      <c r="LF169" s="23"/>
      <c r="LG169" s="23"/>
      <c r="LH169" s="23"/>
      <c r="LI169" s="23"/>
      <c r="LJ169" s="23"/>
      <c r="LK169" s="23"/>
      <c r="LL169" s="23"/>
      <c r="LM169" s="23"/>
      <c r="LN169" s="23"/>
      <c r="LO169" s="23"/>
      <c r="LP169" s="23"/>
      <c r="LQ169" s="23"/>
      <c r="LR169" s="23"/>
      <c r="LS169" s="23"/>
      <c r="LT169" s="23"/>
      <c r="LU169" s="23"/>
      <c r="LV169" s="23"/>
      <c r="LW169" s="23"/>
      <c r="LX169" s="23"/>
      <c r="LY169" s="23"/>
      <c r="LZ169" s="23"/>
      <c r="MA169" s="23"/>
      <c r="MB169" s="23"/>
      <c r="MC169" s="23"/>
      <c r="MD169" s="23"/>
      <c r="ME169" s="23"/>
      <c r="MF169" s="23"/>
      <c r="MG169" s="23"/>
      <c r="MH169" s="23"/>
      <c r="MI169" s="23"/>
      <c r="MJ169" s="23"/>
      <c r="MK169" s="23"/>
      <c r="ML169" s="23"/>
      <c r="MM169" s="23"/>
      <c r="MN169" s="23"/>
      <c r="MO169" s="23"/>
      <c r="MP169" s="23"/>
      <c r="MQ169" s="23"/>
      <c r="MR169" s="23"/>
      <c r="MS169" s="23"/>
      <c r="MT169" s="23"/>
      <c r="MU169" s="23"/>
      <c r="MV169" s="23"/>
      <c r="MW169" s="23"/>
      <c r="MX169" s="23"/>
      <c r="MY169" s="23"/>
      <c r="MZ169" s="23"/>
      <c r="NA169" s="23"/>
      <c r="NB169" s="23"/>
      <c r="NC169" s="23"/>
      <c r="ND169" s="23"/>
      <c r="NE169" s="23"/>
      <c r="NF169" s="23"/>
      <c r="NG169" s="23"/>
      <c r="NH169" s="23"/>
      <c r="NI169" s="23"/>
      <c r="NJ169" s="23"/>
      <c r="NK169" s="23"/>
      <c r="NL169" s="23"/>
      <c r="NM169" s="23"/>
      <c r="NN169" s="23"/>
    </row>
    <row r="170" spans="5:378" ht="15" customHeight="1"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  <c r="IZ170" s="23"/>
      <c r="JA170" s="23"/>
      <c r="JB170" s="23"/>
      <c r="JC170" s="23"/>
      <c r="JD170" s="23"/>
      <c r="JE170" s="23"/>
      <c r="JF170" s="23"/>
      <c r="JG170" s="23"/>
      <c r="JH170" s="23"/>
      <c r="JI170" s="23"/>
      <c r="JJ170" s="23"/>
      <c r="JK170" s="23"/>
      <c r="JL170" s="23"/>
      <c r="JM170" s="23"/>
      <c r="JN170" s="23"/>
      <c r="JO170" s="23"/>
      <c r="JP170" s="23"/>
      <c r="JQ170" s="23"/>
      <c r="JR170" s="23"/>
      <c r="JS170" s="23"/>
      <c r="JT170" s="23"/>
      <c r="JU170" s="23"/>
      <c r="JV170" s="23"/>
      <c r="JW170" s="23"/>
      <c r="JX170" s="23"/>
      <c r="JY170" s="23"/>
      <c r="JZ170" s="23"/>
      <c r="KA170" s="23"/>
      <c r="KB170" s="23"/>
      <c r="KC170" s="23"/>
      <c r="KD170" s="23"/>
      <c r="KE170" s="23"/>
      <c r="KF170" s="23"/>
      <c r="KG170" s="23"/>
      <c r="KH170" s="23"/>
      <c r="KI170" s="23"/>
      <c r="KJ170" s="23"/>
      <c r="KK170" s="23"/>
      <c r="KL170" s="23"/>
      <c r="KM170" s="23"/>
      <c r="KN170" s="23"/>
      <c r="KO170" s="23"/>
      <c r="KP170" s="23"/>
      <c r="KQ170" s="23"/>
      <c r="KR170" s="23"/>
      <c r="KS170" s="23"/>
      <c r="KT170" s="23"/>
      <c r="KU170" s="23"/>
      <c r="KV170" s="23"/>
      <c r="KW170" s="23"/>
      <c r="KX170" s="23"/>
      <c r="KY170" s="23"/>
      <c r="KZ170" s="23"/>
      <c r="LA170" s="23"/>
      <c r="LB170" s="23"/>
      <c r="LC170" s="23"/>
      <c r="LD170" s="23"/>
      <c r="LE170" s="23"/>
      <c r="LF170" s="23"/>
      <c r="LG170" s="23"/>
      <c r="LH170" s="23"/>
      <c r="LI170" s="23"/>
      <c r="LJ170" s="23"/>
      <c r="LK170" s="23"/>
      <c r="LL170" s="23"/>
      <c r="LM170" s="23"/>
      <c r="LN170" s="23"/>
      <c r="LO170" s="23"/>
      <c r="LP170" s="23"/>
      <c r="LQ170" s="23"/>
      <c r="LR170" s="23"/>
      <c r="LS170" s="23"/>
      <c r="LT170" s="23"/>
      <c r="LU170" s="23"/>
      <c r="LV170" s="23"/>
      <c r="LW170" s="23"/>
      <c r="LX170" s="23"/>
      <c r="LY170" s="23"/>
      <c r="LZ170" s="23"/>
      <c r="MA170" s="23"/>
      <c r="MB170" s="23"/>
      <c r="MC170" s="23"/>
      <c r="MD170" s="23"/>
      <c r="ME170" s="23"/>
      <c r="MF170" s="23"/>
      <c r="MG170" s="23"/>
      <c r="MH170" s="23"/>
      <c r="MI170" s="23"/>
      <c r="MJ170" s="23"/>
      <c r="MK170" s="23"/>
      <c r="ML170" s="23"/>
      <c r="MM170" s="23"/>
      <c r="MN170" s="23"/>
      <c r="MO170" s="23"/>
      <c r="MP170" s="23"/>
      <c r="MQ170" s="23"/>
      <c r="MR170" s="23"/>
      <c r="MS170" s="23"/>
      <c r="MT170" s="23"/>
      <c r="MU170" s="23"/>
      <c r="MV170" s="23"/>
      <c r="MW170" s="23"/>
      <c r="MX170" s="23"/>
      <c r="MY170" s="23"/>
      <c r="MZ170" s="23"/>
      <c r="NA170" s="23"/>
      <c r="NB170" s="23"/>
      <c r="NC170" s="23"/>
      <c r="ND170" s="23"/>
      <c r="NE170" s="23"/>
      <c r="NF170" s="23"/>
      <c r="NG170" s="23"/>
      <c r="NH170" s="23"/>
      <c r="NI170" s="23"/>
      <c r="NJ170" s="23"/>
      <c r="NK170" s="23"/>
      <c r="NL170" s="23"/>
      <c r="NM170" s="23"/>
      <c r="NN170" s="23"/>
    </row>
    <row r="171" spans="5:378" ht="15" customHeight="1"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  <c r="IZ171" s="23"/>
      <c r="JA171" s="23"/>
      <c r="JB171" s="23"/>
      <c r="JC171" s="23"/>
      <c r="JD171" s="23"/>
      <c r="JE171" s="23"/>
      <c r="JF171" s="23"/>
      <c r="JG171" s="23"/>
      <c r="JH171" s="23"/>
      <c r="JI171" s="23"/>
      <c r="JJ171" s="23"/>
      <c r="JK171" s="23"/>
      <c r="JL171" s="23"/>
      <c r="JM171" s="23"/>
      <c r="JN171" s="23"/>
      <c r="JO171" s="23"/>
      <c r="JP171" s="23"/>
      <c r="JQ171" s="23"/>
      <c r="JR171" s="23"/>
      <c r="JS171" s="23"/>
      <c r="JT171" s="23"/>
      <c r="JU171" s="23"/>
      <c r="JV171" s="23"/>
      <c r="JW171" s="23"/>
      <c r="JX171" s="23"/>
      <c r="JY171" s="23"/>
      <c r="JZ171" s="23"/>
      <c r="KA171" s="23"/>
      <c r="KB171" s="23"/>
      <c r="KC171" s="23"/>
      <c r="KD171" s="23"/>
      <c r="KE171" s="23"/>
      <c r="KF171" s="23"/>
      <c r="KG171" s="23"/>
      <c r="KH171" s="23"/>
      <c r="KI171" s="23"/>
      <c r="KJ171" s="23"/>
      <c r="KK171" s="23"/>
      <c r="KL171" s="23"/>
      <c r="KM171" s="23"/>
      <c r="KN171" s="23"/>
      <c r="KO171" s="23"/>
      <c r="KP171" s="23"/>
      <c r="KQ171" s="23"/>
      <c r="KR171" s="23"/>
      <c r="KS171" s="23"/>
      <c r="KT171" s="23"/>
      <c r="KU171" s="23"/>
      <c r="KV171" s="23"/>
      <c r="KW171" s="23"/>
      <c r="KX171" s="23"/>
      <c r="KY171" s="23"/>
      <c r="KZ171" s="23"/>
      <c r="LA171" s="23"/>
      <c r="LB171" s="23"/>
      <c r="LC171" s="23"/>
      <c r="LD171" s="23"/>
      <c r="LE171" s="23"/>
      <c r="LF171" s="23"/>
      <c r="LG171" s="23"/>
      <c r="LH171" s="23"/>
      <c r="LI171" s="23"/>
      <c r="LJ171" s="23"/>
      <c r="LK171" s="23"/>
      <c r="LL171" s="23"/>
      <c r="LM171" s="23"/>
      <c r="LN171" s="23"/>
      <c r="LO171" s="23"/>
      <c r="LP171" s="23"/>
      <c r="LQ171" s="23"/>
      <c r="LR171" s="23"/>
      <c r="LS171" s="23"/>
      <c r="LT171" s="23"/>
      <c r="LU171" s="23"/>
      <c r="LV171" s="23"/>
      <c r="LW171" s="23"/>
      <c r="LX171" s="23"/>
      <c r="LY171" s="23"/>
      <c r="LZ171" s="23"/>
      <c r="MA171" s="23"/>
      <c r="MB171" s="23"/>
      <c r="MC171" s="23"/>
      <c r="MD171" s="23"/>
      <c r="ME171" s="23"/>
      <c r="MF171" s="23"/>
      <c r="MG171" s="23"/>
      <c r="MH171" s="23"/>
      <c r="MI171" s="23"/>
      <c r="MJ171" s="23"/>
      <c r="MK171" s="23"/>
      <c r="ML171" s="23"/>
      <c r="MM171" s="23"/>
      <c r="MN171" s="23"/>
      <c r="MO171" s="23"/>
      <c r="MP171" s="23"/>
      <c r="MQ171" s="23"/>
      <c r="MR171" s="23"/>
      <c r="MS171" s="23"/>
      <c r="MT171" s="23"/>
      <c r="MU171" s="23"/>
      <c r="MV171" s="23"/>
      <c r="MW171" s="23"/>
      <c r="MX171" s="23"/>
      <c r="MY171" s="23"/>
      <c r="MZ171" s="23"/>
      <c r="NA171" s="23"/>
      <c r="NB171" s="23"/>
      <c r="NC171" s="23"/>
      <c r="ND171" s="23"/>
      <c r="NE171" s="23"/>
      <c r="NF171" s="23"/>
      <c r="NG171" s="23"/>
      <c r="NH171" s="23"/>
      <c r="NI171" s="23"/>
      <c r="NJ171" s="23"/>
      <c r="NK171" s="23"/>
      <c r="NL171" s="23"/>
      <c r="NM171" s="23"/>
      <c r="NN171" s="23"/>
    </row>
    <row r="172" spans="5:378" ht="15" customHeight="1"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  <c r="IZ172" s="23"/>
      <c r="JA172" s="23"/>
      <c r="JB172" s="23"/>
      <c r="JC172" s="23"/>
      <c r="JD172" s="23"/>
      <c r="JE172" s="23"/>
      <c r="JF172" s="23"/>
      <c r="JG172" s="23"/>
      <c r="JH172" s="23"/>
      <c r="JI172" s="23"/>
      <c r="JJ172" s="23"/>
      <c r="JK172" s="23"/>
      <c r="JL172" s="23"/>
      <c r="JM172" s="23"/>
      <c r="JN172" s="23"/>
      <c r="JO172" s="23"/>
      <c r="JP172" s="23"/>
      <c r="JQ172" s="23"/>
      <c r="JR172" s="23"/>
      <c r="JS172" s="23"/>
      <c r="JT172" s="23"/>
      <c r="JU172" s="23"/>
      <c r="JV172" s="23"/>
      <c r="JW172" s="23"/>
      <c r="JX172" s="23"/>
      <c r="JY172" s="23"/>
      <c r="JZ172" s="23"/>
      <c r="KA172" s="23"/>
      <c r="KB172" s="23"/>
      <c r="KC172" s="23"/>
      <c r="KD172" s="23"/>
      <c r="KE172" s="23"/>
      <c r="KF172" s="23"/>
      <c r="KG172" s="23"/>
      <c r="KH172" s="23"/>
      <c r="KI172" s="23"/>
      <c r="KJ172" s="23"/>
      <c r="KK172" s="23"/>
      <c r="KL172" s="23"/>
      <c r="KM172" s="23"/>
      <c r="KN172" s="23"/>
      <c r="KO172" s="23"/>
      <c r="KP172" s="23"/>
      <c r="KQ172" s="23"/>
      <c r="KR172" s="23"/>
      <c r="KS172" s="23"/>
      <c r="KT172" s="23"/>
      <c r="KU172" s="23"/>
      <c r="KV172" s="23"/>
      <c r="KW172" s="23"/>
      <c r="KX172" s="23"/>
      <c r="KY172" s="23"/>
      <c r="KZ172" s="23"/>
      <c r="LA172" s="23"/>
      <c r="LB172" s="23"/>
      <c r="LC172" s="23"/>
      <c r="LD172" s="23"/>
      <c r="LE172" s="23"/>
      <c r="LF172" s="23"/>
      <c r="LG172" s="23"/>
      <c r="LH172" s="23"/>
      <c r="LI172" s="23"/>
      <c r="LJ172" s="23"/>
      <c r="LK172" s="23"/>
      <c r="LL172" s="23"/>
      <c r="LM172" s="23"/>
      <c r="LN172" s="23"/>
      <c r="LO172" s="23"/>
      <c r="LP172" s="23"/>
      <c r="LQ172" s="23"/>
      <c r="LR172" s="23"/>
      <c r="LS172" s="23"/>
      <c r="LT172" s="23"/>
      <c r="LU172" s="23"/>
      <c r="LV172" s="23"/>
      <c r="LW172" s="23"/>
      <c r="LX172" s="23"/>
      <c r="LY172" s="23"/>
      <c r="LZ172" s="23"/>
      <c r="MA172" s="23"/>
      <c r="MB172" s="23"/>
      <c r="MC172" s="23"/>
      <c r="MD172" s="23"/>
      <c r="ME172" s="23"/>
      <c r="MF172" s="23"/>
      <c r="MG172" s="23"/>
      <c r="MH172" s="23"/>
      <c r="MI172" s="23"/>
      <c r="MJ172" s="23"/>
      <c r="MK172" s="23"/>
      <c r="ML172" s="23"/>
      <c r="MM172" s="23"/>
      <c r="MN172" s="23"/>
      <c r="MO172" s="23"/>
      <c r="MP172" s="23"/>
      <c r="MQ172" s="23"/>
      <c r="MR172" s="23"/>
      <c r="MS172" s="23"/>
      <c r="MT172" s="23"/>
      <c r="MU172" s="23"/>
      <c r="MV172" s="23"/>
      <c r="MW172" s="23"/>
      <c r="MX172" s="23"/>
      <c r="MY172" s="23"/>
      <c r="MZ172" s="23"/>
      <c r="NA172" s="23"/>
      <c r="NB172" s="23"/>
      <c r="NC172" s="23"/>
      <c r="ND172" s="23"/>
      <c r="NE172" s="23"/>
      <c r="NF172" s="23"/>
      <c r="NG172" s="23"/>
      <c r="NH172" s="23"/>
      <c r="NI172" s="23"/>
      <c r="NJ172" s="23"/>
      <c r="NK172" s="23"/>
      <c r="NL172" s="23"/>
      <c r="NM172" s="23"/>
      <c r="NN172" s="23"/>
    </row>
    <row r="173" spans="5:378" ht="15" customHeight="1"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  <c r="IZ173" s="23"/>
      <c r="JA173" s="23"/>
      <c r="JB173" s="23"/>
      <c r="JC173" s="23"/>
      <c r="JD173" s="23"/>
      <c r="JE173" s="23"/>
      <c r="JF173" s="23"/>
      <c r="JG173" s="23"/>
      <c r="JH173" s="23"/>
      <c r="JI173" s="23"/>
      <c r="JJ173" s="23"/>
      <c r="JK173" s="23"/>
      <c r="JL173" s="23"/>
      <c r="JM173" s="23"/>
      <c r="JN173" s="23"/>
      <c r="JO173" s="23"/>
      <c r="JP173" s="23"/>
      <c r="JQ173" s="23"/>
      <c r="JR173" s="23"/>
      <c r="JS173" s="23"/>
      <c r="JT173" s="23"/>
      <c r="JU173" s="23"/>
      <c r="JV173" s="23"/>
      <c r="JW173" s="23"/>
      <c r="JX173" s="23"/>
      <c r="JY173" s="23"/>
      <c r="JZ173" s="23"/>
      <c r="KA173" s="23"/>
      <c r="KB173" s="23"/>
      <c r="KC173" s="23"/>
      <c r="KD173" s="23"/>
      <c r="KE173" s="23"/>
      <c r="KF173" s="23"/>
      <c r="KG173" s="23"/>
      <c r="KH173" s="23"/>
      <c r="KI173" s="23"/>
      <c r="KJ173" s="23"/>
      <c r="KK173" s="23"/>
      <c r="KL173" s="23"/>
      <c r="KM173" s="23"/>
      <c r="KN173" s="23"/>
      <c r="KO173" s="23"/>
      <c r="KP173" s="23"/>
      <c r="KQ173" s="23"/>
      <c r="KR173" s="23"/>
      <c r="KS173" s="23"/>
      <c r="KT173" s="23"/>
      <c r="KU173" s="23"/>
      <c r="KV173" s="23"/>
      <c r="KW173" s="23"/>
      <c r="KX173" s="23"/>
      <c r="KY173" s="23"/>
      <c r="KZ173" s="23"/>
      <c r="LA173" s="23"/>
      <c r="LB173" s="23"/>
      <c r="LC173" s="23"/>
      <c r="LD173" s="23"/>
      <c r="LE173" s="23"/>
      <c r="LF173" s="23"/>
      <c r="LG173" s="23"/>
      <c r="LH173" s="23"/>
      <c r="LI173" s="23"/>
      <c r="LJ173" s="23"/>
      <c r="LK173" s="23"/>
      <c r="LL173" s="23"/>
      <c r="LM173" s="23"/>
      <c r="LN173" s="23"/>
      <c r="LO173" s="23"/>
      <c r="LP173" s="23"/>
      <c r="LQ173" s="23"/>
      <c r="LR173" s="23"/>
      <c r="LS173" s="23"/>
      <c r="LT173" s="23"/>
      <c r="LU173" s="23"/>
      <c r="LV173" s="23"/>
      <c r="LW173" s="23"/>
      <c r="LX173" s="23"/>
      <c r="LY173" s="23"/>
      <c r="LZ173" s="23"/>
      <c r="MA173" s="23"/>
      <c r="MB173" s="23"/>
      <c r="MC173" s="23"/>
      <c r="MD173" s="23"/>
      <c r="ME173" s="23"/>
      <c r="MF173" s="23"/>
      <c r="MG173" s="23"/>
      <c r="MH173" s="23"/>
      <c r="MI173" s="23"/>
      <c r="MJ173" s="23"/>
      <c r="MK173" s="23"/>
      <c r="ML173" s="23"/>
      <c r="MM173" s="23"/>
      <c r="MN173" s="23"/>
      <c r="MO173" s="23"/>
      <c r="MP173" s="23"/>
      <c r="MQ173" s="23"/>
      <c r="MR173" s="23"/>
      <c r="MS173" s="23"/>
      <c r="MT173" s="23"/>
      <c r="MU173" s="23"/>
      <c r="MV173" s="23"/>
      <c r="MW173" s="23"/>
      <c r="MX173" s="23"/>
      <c r="MY173" s="23"/>
      <c r="MZ173" s="23"/>
      <c r="NA173" s="23"/>
      <c r="NB173" s="23"/>
      <c r="NC173" s="23"/>
      <c r="ND173" s="23"/>
      <c r="NE173" s="23"/>
      <c r="NF173" s="23"/>
      <c r="NG173" s="23"/>
      <c r="NH173" s="23"/>
      <c r="NI173" s="23"/>
      <c r="NJ173" s="23"/>
      <c r="NK173" s="23"/>
      <c r="NL173" s="23"/>
      <c r="NM173" s="23"/>
      <c r="NN173" s="23"/>
    </row>
    <row r="174" spans="5:378" ht="15" customHeight="1"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  <c r="IZ174" s="23"/>
      <c r="JA174" s="23"/>
      <c r="JB174" s="23"/>
      <c r="JC174" s="23"/>
      <c r="JD174" s="23"/>
      <c r="JE174" s="23"/>
      <c r="JF174" s="23"/>
      <c r="JG174" s="23"/>
      <c r="JH174" s="23"/>
      <c r="JI174" s="23"/>
      <c r="JJ174" s="23"/>
      <c r="JK174" s="23"/>
      <c r="JL174" s="23"/>
      <c r="JM174" s="23"/>
      <c r="JN174" s="23"/>
      <c r="JO174" s="23"/>
      <c r="JP174" s="23"/>
      <c r="JQ174" s="23"/>
      <c r="JR174" s="23"/>
      <c r="JS174" s="23"/>
      <c r="JT174" s="23"/>
      <c r="JU174" s="23"/>
      <c r="JV174" s="23"/>
      <c r="JW174" s="23"/>
      <c r="JX174" s="23"/>
      <c r="JY174" s="23"/>
      <c r="JZ174" s="23"/>
      <c r="KA174" s="23"/>
      <c r="KB174" s="23"/>
      <c r="KC174" s="23"/>
      <c r="KD174" s="23"/>
      <c r="KE174" s="23"/>
      <c r="KF174" s="23"/>
      <c r="KG174" s="23"/>
      <c r="KH174" s="23"/>
      <c r="KI174" s="23"/>
      <c r="KJ174" s="23"/>
      <c r="KK174" s="23"/>
      <c r="KL174" s="23"/>
      <c r="KM174" s="23"/>
      <c r="KN174" s="23"/>
      <c r="KO174" s="23"/>
      <c r="KP174" s="23"/>
      <c r="KQ174" s="23"/>
      <c r="KR174" s="23"/>
      <c r="KS174" s="23"/>
      <c r="KT174" s="23"/>
      <c r="KU174" s="23"/>
      <c r="KV174" s="23"/>
      <c r="KW174" s="23"/>
      <c r="KX174" s="23"/>
      <c r="KY174" s="23"/>
      <c r="KZ174" s="23"/>
      <c r="LA174" s="23"/>
      <c r="LB174" s="23"/>
      <c r="LC174" s="23"/>
      <c r="LD174" s="23"/>
      <c r="LE174" s="23"/>
      <c r="LF174" s="23"/>
      <c r="LG174" s="23"/>
      <c r="LH174" s="23"/>
      <c r="LI174" s="23"/>
      <c r="LJ174" s="23"/>
      <c r="LK174" s="23"/>
      <c r="LL174" s="23"/>
      <c r="LM174" s="23"/>
      <c r="LN174" s="23"/>
      <c r="LO174" s="23"/>
      <c r="LP174" s="23"/>
      <c r="LQ174" s="23"/>
      <c r="LR174" s="23"/>
      <c r="LS174" s="23"/>
      <c r="LT174" s="23"/>
      <c r="LU174" s="23"/>
      <c r="LV174" s="23"/>
      <c r="LW174" s="23"/>
      <c r="LX174" s="23"/>
      <c r="LY174" s="23"/>
      <c r="LZ174" s="23"/>
      <c r="MA174" s="23"/>
      <c r="MB174" s="23"/>
      <c r="MC174" s="23"/>
      <c r="MD174" s="23"/>
      <c r="ME174" s="23"/>
      <c r="MF174" s="23"/>
      <c r="MG174" s="23"/>
      <c r="MH174" s="23"/>
      <c r="MI174" s="23"/>
      <c r="MJ174" s="23"/>
      <c r="MK174" s="23"/>
      <c r="ML174" s="23"/>
      <c r="MM174" s="23"/>
      <c r="MN174" s="23"/>
      <c r="MO174" s="23"/>
      <c r="MP174" s="23"/>
      <c r="MQ174" s="23"/>
      <c r="MR174" s="23"/>
      <c r="MS174" s="23"/>
      <c r="MT174" s="23"/>
      <c r="MU174" s="23"/>
      <c r="MV174" s="23"/>
      <c r="MW174" s="23"/>
      <c r="MX174" s="23"/>
      <c r="MY174" s="23"/>
      <c r="MZ174" s="23"/>
      <c r="NA174" s="23"/>
      <c r="NB174" s="23"/>
      <c r="NC174" s="23"/>
      <c r="ND174" s="23"/>
      <c r="NE174" s="23"/>
      <c r="NF174" s="23"/>
      <c r="NG174" s="23"/>
      <c r="NH174" s="23"/>
      <c r="NI174" s="23"/>
      <c r="NJ174" s="23"/>
      <c r="NK174" s="23"/>
      <c r="NL174" s="23"/>
      <c r="NM174" s="23"/>
      <c r="NN174" s="23"/>
    </row>
    <row r="175" spans="5:378" ht="15" customHeight="1"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  <c r="IZ175" s="23"/>
      <c r="JA175" s="23"/>
      <c r="JB175" s="23"/>
      <c r="JC175" s="23"/>
      <c r="JD175" s="23"/>
      <c r="JE175" s="23"/>
      <c r="JF175" s="23"/>
      <c r="JG175" s="23"/>
      <c r="JH175" s="23"/>
      <c r="JI175" s="23"/>
      <c r="JJ175" s="23"/>
      <c r="JK175" s="23"/>
      <c r="JL175" s="23"/>
      <c r="JM175" s="23"/>
      <c r="JN175" s="23"/>
      <c r="JO175" s="23"/>
      <c r="JP175" s="23"/>
      <c r="JQ175" s="23"/>
      <c r="JR175" s="23"/>
      <c r="JS175" s="23"/>
      <c r="JT175" s="23"/>
      <c r="JU175" s="23"/>
      <c r="JV175" s="23"/>
      <c r="JW175" s="23"/>
      <c r="JX175" s="23"/>
      <c r="JY175" s="23"/>
      <c r="JZ175" s="23"/>
      <c r="KA175" s="23"/>
      <c r="KB175" s="23"/>
      <c r="KC175" s="23"/>
      <c r="KD175" s="23"/>
      <c r="KE175" s="23"/>
      <c r="KF175" s="23"/>
      <c r="KG175" s="23"/>
      <c r="KH175" s="23"/>
      <c r="KI175" s="23"/>
      <c r="KJ175" s="23"/>
      <c r="KK175" s="23"/>
      <c r="KL175" s="23"/>
      <c r="KM175" s="23"/>
      <c r="KN175" s="23"/>
      <c r="KO175" s="23"/>
      <c r="KP175" s="23"/>
      <c r="KQ175" s="23"/>
      <c r="KR175" s="23"/>
      <c r="KS175" s="23"/>
      <c r="KT175" s="23"/>
      <c r="KU175" s="23"/>
      <c r="KV175" s="23"/>
      <c r="KW175" s="23"/>
      <c r="KX175" s="23"/>
      <c r="KY175" s="23"/>
      <c r="KZ175" s="23"/>
      <c r="LA175" s="23"/>
      <c r="LB175" s="23"/>
      <c r="LC175" s="23"/>
      <c r="LD175" s="23"/>
      <c r="LE175" s="23"/>
      <c r="LF175" s="23"/>
      <c r="LG175" s="23"/>
      <c r="LH175" s="23"/>
      <c r="LI175" s="23"/>
      <c r="LJ175" s="23"/>
      <c r="LK175" s="23"/>
      <c r="LL175" s="23"/>
      <c r="LM175" s="23"/>
      <c r="LN175" s="23"/>
      <c r="LO175" s="23"/>
      <c r="LP175" s="23"/>
      <c r="LQ175" s="23"/>
      <c r="LR175" s="23"/>
      <c r="LS175" s="23"/>
      <c r="LT175" s="23"/>
      <c r="LU175" s="23"/>
      <c r="LV175" s="23"/>
      <c r="LW175" s="23"/>
      <c r="LX175" s="23"/>
      <c r="LY175" s="23"/>
      <c r="LZ175" s="23"/>
      <c r="MA175" s="23"/>
      <c r="MB175" s="23"/>
      <c r="MC175" s="23"/>
      <c r="MD175" s="23"/>
      <c r="ME175" s="23"/>
      <c r="MF175" s="23"/>
      <c r="MG175" s="23"/>
      <c r="MH175" s="23"/>
      <c r="MI175" s="23"/>
      <c r="MJ175" s="23"/>
      <c r="MK175" s="23"/>
      <c r="ML175" s="23"/>
      <c r="MM175" s="23"/>
      <c r="MN175" s="23"/>
      <c r="MO175" s="23"/>
      <c r="MP175" s="23"/>
      <c r="MQ175" s="23"/>
      <c r="MR175" s="23"/>
      <c r="MS175" s="23"/>
      <c r="MT175" s="23"/>
      <c r="MU175" s="23"/>
      <c r="MV175" s="23"/>
      <c r="MW175" s="23"/>
      <c r="MX175" s="23"/>
      <c r="MY175" s="23"/>
      <c r="MZ175" s="23"/>
      <c r="NA175" s="23"/>
      <c r="NB175" s="23"/>
      <c r="NC175" s="23"/>
      <c r="ND175" s="23"/>
      <c r="NE175" s="23"/>
      <c r="NF175" s="23"/>
      <c r="NG175" s="23"/>
      <c r="NH175" s="23"/>
      <c r="NI175" s="23"/>
      <c r="NJ175" s="23"/>
      <c r="NK175" s="23"/>
      <c r="NL175" s="23"/>
      <c r="NM175" s="23"/>
      <c r="NN175" s="23"/>
    </row>
    <row r="176" spans="5:378" ht="15" customHeight="1"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  <c r="IZ176" s="23"/>
      <c r="JA176" s="23"/>
      <c r="JB176" s="23"/>
      <c r="JC176" s="23"/>
      <c r="JD176" s="23"/>
      <c r="JE176" s="23"/>
      <c r="JF176" s="23"/>
      <c r="JG176" s="23"/>
      <c r="JH176" s="23"/>
      <c r="JI176" s="23"/>
      <c r="JJ176" s="23"/>
      <c r="JK176" s="23"/>
      <c r="JL176" s="23"/>
      <c r="JM176" s="23"/>
      <c r="JN176" s="23"/>
      <c r="JO176" s="23"/>
      <c r="JP176" s="23"/>
      <c r="JQ176" s="23"/>
      <c r="JR176" s="23"/>
      <c r="JS176" s="23"/>
      <c r="JT176" s="23"/>
      <c r="JU176" s="23"/>
      <c r="JV176" s="23"/>
      <c r="JW176" s="23"/>
      <c r="JX176" s="23"/>
      <c r="JY176" s="23"/>
      <c r="JZ176" s="23"/>
      <c r="KA176" s="23"/>
      <c r="KB176" s="23"/>
      <c r="KC176" s="23"/>
      <c r="KD176" s="23"/>
      <c r="KE176" s="23"/>
      <c r="KF176" s="23"/>
      <c r="KG176" s="23"/>
      <c r="KH176" s="23"/>
      <c r="KI176" s="23"/>
      <c r="KJ176" s="23"/>
      <c r="KK176" s="23"/>
      <c r="KL176" s="23"/>
      <c r="KM176" s="23"/>
      <c r="KN176" s="23"/>
      <c r="KO176" s="23"/>
      <c r="KP176" s="23"/>
      <c r="KQ176" s="23"/>
      <c r="KR176" s="23"/>
      <c r="KS176" s="23"/>
      <c r="KT176" s="23"/>
      <c r="KU176" s="23"/>
      <c r="KV176" s="23"/>
      <c r="KW176" s="23"/>
      <c r="KX176" s="23"/>
      <c r="KY176" s="23"/>
      <c r="KZ176" s="23"/>
      <c r="LA176" s="23"/>
      <c r="LB176" s="23"/>
      <c r="LC176" s="23"/>
      <c r="LD176" s="23"/>
      <c r="LE176" s="23"/>
      <c r="LF176" s="23"/>
      <c r="LG176" s="23"/>
      <c r="LH176" s="23"/>
      <c r="LI176" s="23"/>
      <c r="LJ176" s="23"/>
      <c r="LK176" s="23"/>
      <c r="LL176" s="23"/>
      <c r="LM176" s="23"/>
      <c r="LN176" s="23"/>
      <c r="LO176" s="23"/>
      <c r="LP176" s="23"/>
      <c r="LQ176" s="23"/>
      <c r="LR176" s="23"/>
      <c r="LS176" s="23"/>
      <c r="LT176" s="23"/>
      <c r="LU176" s="23"/>
      <c r="LV176" s="23"/>
      <c r="LW176" s="23"/>
      <c r="LX176" s="23"/>
      <c r="LY176" s="23"/>
      <c r="LZ176" s="23"/>
      <c r="MA176" s="23"/>
      <c r="MB176" s="23"/>
      <c r="MC176" s="23"/>
      <c r="MD176" s="23"/>
      <c r="ME176" s="23"/>
      <c r="MF176" s="23"/>
      <c r="MG176" s="23"/>
      <c r="MH176" s="23"/>
      <c r="MI176" s="23"/>
      <c r="MJ176" s="23"/>
      <c r="MK176" s="23"/>
      <c r="ML176" s="23"/>
      <c r="MM176" s="23"/>
      <c r="MN176" s="23"/>
      <c r="MO176" s="23"/>
      <c r="MP176" s="23"/>
      <c r="MQ176" s="23"/>
      <c r="MR176" s="23"/>
      <c r="MS176" s="23"/>
      <c r="MT176" s="23"/>
      <c r="MU176" s="23"/>
      <c r="MV176" s="23"/>
      <c r="MW176" s="23"/>
      <c r="MX176" s="23"/>
      <c r="MY176" s="23"/>
      <c r="MZ176" s="23"/>
      <c r="NA176" s="23"/>
      <c r="NB176" s="23"/>
      <c r="NC176" s="23"/>
      <c r="ND176" s="23"/>
      <c r="NE176" s="23"/>
      <c r="NF176" s="23"/>
      <c r="NG176" s="23"/>
      <c r="NH176" s="23"/>
      <c r="NI176" s="23"/>
      <c r="NJ176" s="23"/>
      <c r="NK176" s="23"/>
      <c r="NL176" s="23"/>
      <c r="NM176" s="23"/>
      <c r="NN176" s="23"/>
    </row>
    <row r="177" spans="5:378" ht="15" customHeight="1"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  <c r="IZ177" s="23"/>
      <c r="JA177" s="23"/>
      <c r="JB177" s="23"/>
      <c r="JC177" s="23"/>
      <c r="JD177" s="23"/>
      <c r="JE177" s="23"/>
      <c r="JF177" s="23"/>
      <c r="JG177" s="23"/>
      <c r="JH177" s="23"/>
      <c r="JI177" s="23"/>
      <c r="JJ177" s="23"/>
      <c r="JK177" s="23"/>
      <c r="JL177" s="23"/>
      <c r="JM177" s="23"/>
      <c r="JN177" s="23"/>
      <c r="JO177" s="23"/>
      <c r="JP177" s="23"/>
      <c r="JQ177" s="23"/>
      <c r="JR177" s="23"/>
      <c r="JS177" s="23"/>
      <c r="JT177" s="23"/>
      <c r="JU177" s="23"/>
      <c r="JV177" s="23"/>
      <c r="JW177" s="23"/>
      <c r="JX177" s="23"/>
      <c r="JY177" s="23"/>
      <c r="JZ177" s="23"/>
      <c r="KA177" s="23"/>
      <c r="KB177" s="23"/>
      <c r="KC177" s="23"/>
      <c r="KD177" s="23"/>
      <c r="KE177" s="23"/>
      <c r="KF177" s="23"/>
      <c r="KG177" s="23"/>
      <c r="KH177" s="23"/>
      <c r="KI177" s="23"/>
      <c r="KJ177" s="23"/>
      <c r="KK177" s="23"/>
      <c r="KL177" s="23"/>
      <c r="KM177" s="23"/>
      <c r="KN177" s="23"/>
      <c r="KO177" s="23"/>
      <c r="KP177" s="23"/>
      <c r="KQ177" s="23"/>
      <c r="KR177" s="23"/>
      <c r="KS177" s="23"/>
      <c r="KT177" s="23"/>
      <c r="KU177" s="23"/>
      <c r="KV177" s="23"/>
      <c r="KW177" s="23"/>
      <c r="KX177" s="23"/>
      <c r="KY177" s="23"/>
      <c r="KZ177" s="23"/>
      <c r="LA177" s="23"/>
      <c r="LB177" s="23"/>
      <c r="LC177" s="23"/>
      <c r="LD177" s="23"/>
      <c r="LE177" s="23"/>
      <c r="LF177" s="23"/>
      <c r="LG177" s="23"/>
      <c r="LH177" s="23"/>
      <c r="LI177" s="23"/>
      <c r="LJ177" s="23"/>
      <c r="LK177" s="23"/>
      <c r="LL177" s="23"/>
      <c r="LM177" s="23"/>
      <c r="LN177" s="23"/>
      <c r="LO177" s="23"/>
      <c r="LP177" s="23"/>
      <c r="LQ177" s="23"/>
      <c r="LR177" s="23"/>
      <c r="LS177" s="23"/>
      <c r="LT177" s="23"/>
      <c r="LU177" s="23"/>
      <c r="LV177" s="23"/>
      <c r="LW177" s="23"/>
      <c r="LX177" s="23"/>
      <c r="LY177" s="23"/>
      <c r="LZ177" s="23"/>
      <c r="MA177" s="23"/>
      <c r="MB177" s="23"/>
      <c r="MC177" s="23"/>
      <c r="MD177" s="23"/>
      <c r="ME177" s="23"/>
      <c r="MF177" s="23"/>
      <c r="MG177" s="23"/>
      <c r="MH177" s="23"/>
      <c r="MI177" s="23"/>
      <c r="MJ177" s="23"/>
      <c r="MK177" s="23"/>
      <c r="ML177" s="23"/>
      <c r="MM177" s="23"/>
      <c r="MN177" s="23"/>
      <c r="MO177" s="23"/>
      <c r="MP177" s="23"/>
      <c r="MQ177" s="23"/>
      <c r="MR177" s="23"/>
      <c r="MS177" s="23"/>
      <c r="MT177" s="23"/>
      <c r="MU177" s="23"/>
      <c r="MV177" s="23"/>
      <c r="MW177" s="23"/>
      <c r="MX177" s="23"/>
      <c r="MY177" s="23"/>
      <c r="MZ177" s="23"/>
      <c r="NA177" s="23"/>
      <c r="NB177" s="23"/>
      <c r="NC177" s="23"/>
      <c r="ND177" s="23"/>
      <c r="NE177" s="23"/>
      <c r="NF177" s="23"/>
      <c r="NG177" s="23"/>
      <c r="NH177" s="23"/>
      <c r="NI177" s="23"/>
      <c r="NJ177" s="23"/>
      <c r="NK177" s="23"/>
      <c r="NL177" s="23"/>
      <c r="NM177" s="23"/>
      <c r="NN177" s="23"/>
    </row>
    <row r="178" spans="5:378" ht="15" customHeight="1"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  <c r="IZ178" s="23"/>
      <c r="JA178" s="23"/>
      <c r="JB178" s="23"/>
      <c r="JC178" s="23"/>
      <c r="JD178" s="23"/>
      <c r="JE178" s="23"/>
      <c r="JF178" s="23"/>
      <c r="JG178" s="23"/>
      <c r="JH178" s="23"/>
      <c r="JI178" s="23"/>
      <c r="JJ178" s="23"/>
      <c r="JK178" s="23"/>
      <c r="JL178" s="23"/>
      <c r="JM178" s="23"/>
      <c r="JN178" s="23"/>
      <c r="JO178" s="23"/>
      <c r="JP178" s="23"/>
      <c r="JQ178" s="23"/>
      <c r="JR178" s="23"/>
      <c r="JS178" s="23"/>
      <c r="JT178" s="23"/>
      <c r="JU178" s="23"/>
      <c r="JV178" s="23"/>
      <c r="JW178" s="23"/>
      <c r="JX178" s="23"/>
      <c r="JY178" s="23"/>
      <c r="JZ178" s="23"/>
      <c r="KA178" s="23"/>
      <c r="KB178" s="23"/>
      <c r="KC178" s="23"/>
      <c r="KD178" s="23"/>
      <c r="KE178" s="23"/>
      <c r="KF178" s="23"/>
      <c r="KG178" s="23"/>
      <c r="KH178" s="23"/>
      <c r="KI178" s="23"/>
      <c r="KJ178" s="23"/>
      <c r="KK178" s="23"/>
      <c r="KL178" s="23"/>
      <c r="KM178" s="23"/>
      <c r="KN178" s="23"/>
      <c r="KO178" s="23"/>
      <c r="KP178" s="23"/>
      <c r="KQ178" s="23"/>
      <c r="KR178" s="23"/>
      <c r="KS178" s="23"/>
      <c r="KT178" s="23"/>
      <c r="KU178" s="23"/>
      <c r="KV178" s="23"/>
      <c r="KW178" s="23"/>
      <c r="KX178" s="23"/>
      <c r="KY178" s="23"/>
      <c r="KZ178" s="23"/>
      <c r="LA178" s="23"/>
      <c r="LB178" s="23"/>
      <c r="LC178" s="23"/>
      <c r="LD178" s="23"/>
      <c r="LE178" s="23"/>
      <c r="LF178" s="23"/>
      <c r="LG178" s="23"/>
      <c r="LH178" s="23"/>
      <c r="LI178" s="23"/>
      <c r="LJ178" s="23"/>
      <c r="LK178" s="23"/>
      <c r="LL178" s="23"/>
      <c r="LM178" s="23"/>
      <c r="LN178" s="23"/>
      <c r="LO178" s="23"/>
      <c r="LP178" s="23"/>
      <c r="LQ178" s="23"/>
      <c r="LR178" s="23"/>
      <c r="LS178" s="23"/>
      <c r="LT178" s="23"/>
      <c r="LU178" s="23"/>
      <c r="LV178" s="23"/>
      <c r="LW178" s="23"/>
      <c r="LX178" s="23"/>
      <c r="LY178" s="23"/>
      <c r="LZ178" s="23"/>
      <c r="MA178" s="23"/>
      <c r="MB178" s="23"/>
      <c r="MC178" s="23"/>
      <c r="MD178" s="23"/>
      <c r="ME178" s="23"/>
      <c r="MF178" s="23"/>
      <c r="MG178" s="23"/>
      <c r="MH178" s="23"/>
      <c r="MI178" s="23"/>
      <c r="MJ178" s="23"/>
      <c r="MK178" s="23"/>
      <c r="ML178" s="23"/>
      <c r="MM178" s="23"/>
      <c r="MN178" s="23"/>
      <c r="MO178" s="23"/>
      <c r="MP178" s="23"/>
      <c r="MQ178" s="23"/>
      <c r="MR178" s="23"/>
      <c r="MS178" s="23"/>
      <c r="MT178" s="23"/>
      <c r="MU178" s="23"/>
      <c r="MV178" s="23"/>
      <c r="MW178" s="23"/>
      <c r="MX178" s="23"/>
      <c r="MY178" s="23"/>
      <c r="MZ178" s="23"/>
      <c r="NA178" s="23"/>
      <c r="NB178" s="23"/>
      <c r="NC178" s="23"/>
      <c r="ND178" s="23"/>
      <c r="NE178" s="23"/>
      <c r="NF178" s="23"/>
      <c r="NG178" s="23"/>
      <c r="NH178" s="23"/>
      <c r="NI178" s="23"/>
      <c r="NJ178" s="23"/>
      <c r="NK178" s="23"/>
      <c r="NL178" s="23"/>
      <c r="NM178" s="23"/>
      <c r="NN178" s="23"/>
    </row>
    <row r="179" spans="5:378" ht="15" customHeight="1"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  <c r="IZ179" s="23"/>
      <c r="JA179" s="23"/>
      <c r="JB179" s="23"/>
      <c r="JC179" s="23"/>
      <c r="JD179" s="23"/>
      <c r="JE179" s="23"/>
      <c r="JF179" s="23"/>
      <c r="JG179" s="23"/>
      <c r="JH179" s="23"/>
      <c r="JI179" s="23"/>
      <c r="JJ179" s="23"/>
      <c r="JK179" s="23"/>
      <c r="JL179" s="23"/>
      <c r="JM179" s="23"/>
      <c r="JN179" s="23"/>
      <c r="JO179" s="23"/>
      <c r="JP179" s="23"/>
      <c r="JQ179" s="23"/>
      <c r="JR179" s="23"/>
      <c r="JS179" s="23"/>
      <c r="JT179" s="23"/>
      <c r="JU179" s="23"/>
      <c r="JV179" s="23"/>
      <c r="JW179" s="23"/>
      <c r="JX179" s="23"/>
      <c r="JY179" s="23"/>
      <c r="JZ179" s="23"/>
      <c r="KA179" s="23"/>
      <c r="KB179" s="23"/>
      <c r="KC179" s="23"/>
      <c r="KD179" s="23"/>
      <c r="KE179" s="23"/>
      <c r="KF179" s="23"/>
      <c r="KG179" s="23"/>
      <c r="KH179" s="23"/>
      <c r="KI179" s="23"/>
      <c r="KJ179" s="23"/>
      <c r="KK179" s="23"/>
      <c r="KL179" s="23"/>
      <c r="KM179" s="23"/>
      <c r="KN179" s="23"/>
      <c r="KO179" s="23"/>
      <c r="KP179" s="23"/>
      <c r="KQ179" s="23"/>
      <c r="KR179" s="23"/>
      <c r="KS179" s="23"/>
      <c r="KT179" s="23"/>
      <c r="KU179" s="23"/>
      <c r="KV179" s="23"/>
      <c r="KW179" s="23"/>
      <c r="KX179" s="23"/>
      <c r="KY179" s="23"/>
      <c r="KZ179" s="23"/>
      <c r="LA179" s="23"/>
      <c r="LB179" s="23"/>
      <c r="LC179" s="23"/>
      <c r="LD179" s="23"/>
      <c r="LE179" s="23"/>
      <c r="LF179" s="23"/>
      <c r="LG179" s="23"/>
      <c r="LH179" s="23"/>
      <c r="LI179" s="23"/>
      <c r="LJ179" s="23"/>
      <c r="LK179" s="23"/>
      <c r="LL179" s="23"/>
      <c r="LM179" s="23"/>
      <c r="LN179" s="23"/>
      <c r="LO179" s="23"/>
      <c r="LP179" s="23"/>
      <c r="LQ179" s="23"/>
      <c r="LR179" s="23"/>
      <c r="LS179" s="23"/>
      <c r="LT179" s="23"/>
      <c r="LU179" s="23"/>
      <c r="LV179" s="23"/>
      <c r="LW179" s="23"/>
      <c r="LX179" s="23"/>
      <c r="LY179" s="23"/>
      <c r="LZ179" s="23"/>
      <c r="MA179" s="23"/>
      <c r="MB179" s="23"/>
      <c r="MC179" s="23"/>
      <c r="MD179" s="23"/>
      <c r="ME179" s="23"/>
      <c r="MF179" s="23"/>
      <c r="MG179" s="23"/>
      <c r="MH179" s="23"/>
      <c r="MI179" s="23"/>
      <c r="MJ179" s="23"/>
      <c r="MK179" s="23"/>
      <c r="ML179" s="23"/>
      <c r="MM179" s="23"/>
      <c r="MN179" s="23"/>
      <c r="MO179" s="23"/>
      <c r="MP179" s="23"/>
      <c r="MQ179" s="23"/>
      <c r="MR179" s="23"/>
      <c r="MS179" s="23"/>
      <c r="MT179" s="23"/>
      <c r="MU179" s="23"/>
      <c r="MV179" s="23"/>
      <c r="MW179" s="23"/>
      <c r="MX179" s="23"/>
      <c r="MY179" s="23"/>
      <c r="MZ179" s="23"/>
      <c r="NA179" s="23"/>
      <c r="NB179" s="23"/>
      <c r="NC179" s="23"/>
      <c r="ND179" s="23"/>
      <c r="NE179" s="23"/>
      <c r="NF179" s="23"/>
      <c r="NG179" s="23"/>
      <c r="NH179" s="23"/>
      <c r="NI179" s="23"/>
      <c r="NJ179" s="23"/>
      <c r="NK179" s="23"/>
      <c r="NL179" s="23"/>
      <c r="NM179" s="23"/>
      <c r="NN179" s="23"/>
    </row>
    <row r="180" spans="5:378" ht="15" customHeight="1"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  <c r="IZ180" s="23"/>
      <c r="JA180" s="23"/>
      <c r="JB180" s="23"/>
      <c r="JC180" s="23"/>
      <c r="JD180" s="23"/>
      <c r="JE180" s="23"/>
      <c r="JF180" s="23"/>
      <c r="JG180" s="23"/>
      <c r="JH180" s="23"/>
      <c r="JI180" s="23"/>
      <c r="JJ180" s="23"/>
      <c r="JK180" s="23"/>
      <c r="JL180" s="23"/>
      <c r="JM180" s="23"/>
      <c r="JN180" s="23"/>
      <c r="JO180" s="23"/>
      <c r="JP180" s="23"/>
      <c r="JQ180" s="23"/>
      <c r="JR180" s="23"/>
      <c r="JS180" s="23"/>
      <c r="JT180" s="23"/>
      <c r="JU180" s="23"/>
      <c r="JV180" s="23"/>
      <c r="JW180" s="23"/>
      <c r="JX180" s="23"/>
      <c r="JY180" s="23"/>
      <c r="JZ180" s="23"/>
      <c r="KA180" s="23"/>
      <c r="KB180" s="23"/>
      <c r="KC180" s="23"/>
      <c r="KD180" s="23"/>
      <c r="KE180" s="23"/>
      <c r="KF180" s="23"/>
      <c r="KG180" s="23"/>
      <c r="KH180" s="23"/>
      <c r="KI180" s="23"/>
      <c r="KJ180" s="23"/>
      <c r="KK180" s="23"/>
      <c r="KL180" s="23"/>
      <c r="KM180" s="23"/>
      <c r="KN180" s="23"/>
      <c r="KO180" s="23"/>
      <c r="KP180" s="23"/>
      <c r="KQ180" s="23"/>
      <c r="KR180" s="23"/>
      <c r="KS180" s="23"/>
      <c r="KT180" s="23"/>
      <c r="KU180" s="23"/>
      <c r="KV180" s="23"/>
      <c r="KW180" s="23"/>
      <c r="KX180" s="23"/>
      <c r="KY180" s="23"/>
      <c r="KZ180" s="23"/>
      <c r="LA180" s="23"/>
      <c r="LB180" s="23"/>
      <c r="LC180" s="23"/>
      <c r="LD180" s="23"/>
      <c r="LE180" s="23"/>
      <c r="LF180" s="23"/>
      <c r="LG180" s="23"/>
      <c r="LH180" s="23"/>
      <c r="LI180" s="23"/>
      <c r="LJ180" s="23"/>
      <c r="LK180" s="23"/>
      <c r="LL180" s="23"/>
      <c r="LM180" s="23"/>
      <c r="LN180" s="23"/>
      <c r="LO180" s="23"/>
      <c r="LP180" s="23"/>
      <c r="LQ180" s="23"/>
      <c r="LR180" s="23"/>
      <c r="LS180" s="23"/>
      <c r="LT180" s="23"/>
      <c r="LU180" s="23"/>
      <c r="LV180" s="23"/>
      <c r="LW180" s="23"/>
      <c r="LX180" s="23"/>
      <c r="LY180" s="23"/>
      <c r="LZ180" s="23"/>
      <c r="MA180" s="23"/>
      <c r="MB180" s="23"/>
      <c r="MC180" s="23"/>
      <c r="MD180" s="23"/>
      <c r="ME180" s="23"/>
      <c r="MF180" s="23"/>
      <c r="MG180" s="23"/>
      <c r="MH180" s="23"/>
      <c r="MI180" s="23"/>
      <c r="MJ180" s="23"/>
      <c r="MK180" s="23"/>
      <c r="ML180" s="23"/>
      <c r="MM180" s="23"/>
      <c r="MN180" s="23"/>
      <c r="MO180" s="23"/>
      <c r="MP180" s="23"/>
      <c r="MQ180" s="23"/>
      <c r="MR180" s="23"/>
      <c r="MS180" s="23"/>
      <c r="MT180" s="23"/>
      <c r="MU180" s="23"/>
      <c r="MV180" s="23"/>
      <c r="MW180" s="23"/>
      <c r="MX180" s="23"/>
      <c r="MY180" s="23"/>
      <c r="MZ180" s="23"/>
      <c r="NA180" s="23"/>
      <c r="NB180" s="23"/>
      <c r="NC180" s="23"/>
      <c r="ND180" s="23"/>
      <c r="NE180" s="23"/>
      <c r="NF180" s="23"/>
      <c r="NG180" s="23"/>
      <c r="NH180" s="23"/>
      <c r="NI180" s="23"/>
      <c r="NJ180" s="23"/>
      <c r="NK180" s="23"/>
      <c r="NL180" s="23"/>
      <c r="NM180" s="23"/>
      <c r="NN180" s="23"/>
    </row>
    <row r="181" spans="5:378" ht="15" customHeight="1"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  <c r="IZ181" s="23"/>
      <c r="JA181" s="23"/>
      <c r="JB181" s="23"/>
      <c r="JC181" s="23"/>
      <c r="JD181" s="23"/>
      <c r="JE181" s="23"/>
      <c r="JF181" s="23"/>
      <c r="JG181" s="23"/>
      <c r="JH181" s="23"/>
      <c r="JI181" s="23"/>
      <c r="JJ181" s="23"/>
      <c r="JK181" s="23"/>
      <c r="JL181" s="23"/>
      <c r="JM181" s="23"/>
      <c r="JN181" s="23"/>
      <c r="JO181" s="23"/>
      <c r="JP181" s="23"/>
      <c r="JQ181" s="23"/>
      <c r="JR181" s="23"/>
      <c r="JS181" s="23"/>
      <c r="JT181" s="23"/>
      <c r="JU181" s="23"/>
      <c r="JV181" s="23"/>
      <c r="JW181" s="23"/>
      <c r="JX181" s="23"/>
      <c r="JY181" s="23"/>
      <c r="JZ181" s="23"/>
      <c r="KA181" s="23"/>
      <c r="KB181" s="23"/>
      <c r="KC181" s="23"/>
      <c r="KD181" s="23"/>
      <c r="KE181" s="23"/>
      <c r="KF181" s="23"/>
      <c r="KG181" s="23"/>
      <c r="KH181" s="23"/>
      <c r="KI181" s="23"/>
      <c r="KJ181" s="23"/>
      <c r="KK181" s="23"/>
      <c r="KL181" s="23"/>
      <c r="KM181" s="23"/>
      <c r="KN181" s="23"/>
      <c r="KO181" s="23"/>
      <c r="KP181" s="23"/>
      <c r="KQ181" s="23"/>
      <c r="KR181" s="23"/>
      <c r="KS181" s="23"/>
      <c r="KT181" s="23"/>
      <c r="KU181" s="23"/>
      <c r="KV181" s="23"/>
      <c r="KW181" s="23"/>
      <c r="KX181" s="23"/>
      <c r="KY181" s="23"/>
      <c r="KZ181" s="23"/>
      <c r="LA181" s="23"/>
      <c r="LB181" s="23"/>
      <c r="LC181" s="23"/>
      <c r="LD181" s="23"/>
      <c r="LE181" s="23"/>
      <c r="LF181" s="23"/>
      <c r="LG181" s="23"/>
      <c r="LH181" s="23"/>
      <c r="LI181" s="23"/>
      <c r="LJ181" s="23"/>
      <c r="LK181" s="23"/>
      <c r="LL181" s="23"/>
      <c r="LM181" s="23"/>
      <c r="LN181" s="23"/>
      <c r="LO181" s="23"/>
      <c r="LP181" s="23"/>
      <c r="LQ181" s="23"/>
      <c r="LR181" s="23"/>
      <c r="LS181" s="23"/>
      <c r="LT181" s="23"/>
      <c r="LU181" s="23"/>
      <c r="LV181" s="23"/>
      <c r="LW181" s="23"/>
      <c r="LX181" s="23"/>
      <c r="LY181" s="23"/>
      <c r="LZ181" s="23"/>
      <c r="MA181" s="23"/>
      <c r="MB181" s="23"/>
      <c r="MC181" s="23"/>
      <c r="MD181" s="23"/>
      <c r="ME181" s="23"/>
      <c r="MF181" s="23"/>
      <c r="MG181" s="23"/>
      <c r="MH181" s="23"/>
      <c r="MI181" s="23"/>
      <c r="MJ181" s="23"/>
      <c r="MK181" s="23"/>
      <c r="ML181" s="23"/>
      <c r="MM181" s="23"/>
      <c r="MN181" s="23"/>
      <c r="MO181" s="23"/>
      <c r="MP181" s="23"/>
      <c r="MQ181" s="23"/>
      <c r="MR181" s="23"/>
      <c r="MS181" s="23"/>
      <c r="MT181" s="23"/>
      <c r="MU181" s="23"/>
      <c r="MV181" s="23"/>
      <c r="MW181" s="23"/>
      <c r="MX181" s="23"/>
      <c r="MY181" s="23"/>
      <c r="MZ181" s="23"/>
      <c r="NA181" s="23"/>
      <c r="NB181" s="23"/>
      <c r="NC181" s="23"/>
      <c r="ND181" s="23"/>
      <c r="NE181" s="23"/>
      <c r="NF181" s="23"/>
      <c r="NG181" s="23"/>
      <c r="NH181" s="23"/>
      <c r="NI181" s="23"/>
      <c r="NJ181" s="23"/>
      <c r="NK181" s="23"/>
      <c r="NL181" s="23"/>
      <c r="NM181" s="23"/>
      <c r="NN181" s="23"/>
    </row>
    <row r="182" spans="5:378" ht="15" customHeight="1"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  <c r="IZ182" s="23"/>
      <c r="JA182" s="23"/>
      <c r="JB182" s="23"/>
      <c r="JC182" s="23"/>
      <c r="JD182" s="23"/>
      <c r="JE182" s="23"/>
      <c r="JF182" s="23"/>
      <c r="JG182" s="23"/>
      <c r="JH182" s="23"/>
      <c r="JI182" s="23"/>
      <c r="JJ182" s="23"/>
      <c r="JK182" s="23"/>
      <c r="JL182" s="23"/>
      <c r="JM182" s="23"/>
      <c r="JN182" s="23"/>
      <c r="JO182" s="23"/>
      <c r="JP182" s="23"/>
      <c r="JQ182" s="23"/>
      <c r="JR182" s="23"/>
      <c r="JS182" s="23"/>
      <c r="JT182" s="23"/>
      <c r="JU182" s="23"/>
      <c r="JV182" s="23"/>
      <c r="JW182" s="23"/>
      <c r="JX182" s="23"/>
      <c r="JY182" s="23"/>
      <c r="JZ182" s="23"/>
      <c r="KA182" s="23"/>
      <c r="KB182" s="23"/>
      <c r="KC182" s="23"/>
      <c r="KD182" s="23"/>
      <c r="KE182" s="23"/>
      <c r="KF182" s="23"/>
      <c r="KG182" s="23"/>
      <c r="KH182" s="23"/>
      <c r="KI182" s="23"/>
      <c r="KJ182" s="23"/>
      <c r="KK182" s="23"/>
      <c r="KL182" s="23"/>
      <c r="KM182" s="23"/>
      <c r="KN182" s="23"/>
      <c r="KO182" s="23"/>
      <c r="KP182" s="23"/>
      <c r="KQ182" s="23"/>
      <c r="KR182" s="23"/>
      <c r="KS182" s="23"/>
      <c r="KT182" s="23"/>
      <c r="KU182" s="23"/>
      <c r="KV182" s="23"/>
      <c r="KW182" s="23"/>
      <c r="KX182" s="23"/>
      <c r="KY182" s="23"/>
      <c r="KZ182" s="23"/>
      <c r="LA182" s="23"/>
      <c r="LB182" s="23"/>
      <c r="LC182" s="23"/>
      <c r="LD182" s="23"/>
      <c r="LE182" s="23"/>
      <c r="LF182" s="23"/>
      <c r="LG182" s="23"/>
      <c r="LH182" s="23"/>
      <c r="LI182" s="23"/>
      <c r="LJ182" s="23"/>
      <c r="LK182" s="23"/>
      <c r="LL182" s="23"/>
      <c r="LM182" s="23"/>
      <c r="LN182" s="23"/>
      <c r="LO182" s="23"/>
      <c r="LP182" s="23"/>
      <c r="LQ182" s="23"/>
      <c r="LR182" s="23"/>
      <c r="LS182" s="23"/>
      <c r="LT182" s="23"/>
      <c r="LU182" s="23"/>
      <c r="LV182" s="23"/>
      <c r="LW182" s="23"/>
      <c r="LX182" s="23"/>
      <c r="LY182" s="23"/>
      <c r="LZ182" s="23"/>
      <c r="MA182" s="23"/>
      <c r="MB182" s="23"/>
      <c r="MC182" s="23"/>
      <c r="MD182" s="23"/>
      <c r="ME182" s="23"/>
      <c r="MF182" s="23"/>
      <c r="MG182" s="23"/>
      <c r="MH182" s="23"/>
      <c r="MI182" s="23"/>
      <c r="MJ182" s="23"/>
      <c r="MK182" s="23"/>
      <c r="ML182" s="23"/>
      <c r="MM182" s="23"/>
      <c r="MN182" s="23"/>
      <c r="MO182" s="23"/>
      <c r="MP182" s="23"/>
      <c r="MQ182" s="23"/>
      <c r="MR182" s="23"/>
      <c r="MS182" s="23"/>
      <c r="MT182" s="23"/>
      <c r="MU182" s="23"/>
      <c r="MV182" s="23"/>
      <c r="MW182" s="23"/>
      <c r="MX182" s="23"/>
      <c r="MY182" s="23"/>
      <c r="MZ182" s="23"/>
      <c r="NA182" s="23"/>
      <c r="NB182" s="23"/>
      <c r="NC182" s="23"/>
      <c r="ND182" s="23"/>
      <c r="NE182" s="23"/>
      <c r="NF182" s="23"/>
      <c r="NG182" s="23"/>
      <c r="NH182" s="23"/>
      <c r="NI182" s="23"/>
      <c r="NJ182" s="23"/>
      <c r="NK182" s="23"/>
      <c r="NL182" s="23"/>
      <c r="NM182" s="23"/>
      <c r="NN182" s="23"/>
    </row>
    <row r="183" spans="5:378" ht="15" customHeight="1"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  <c r="IZ183" s="23"/>
      <c r="JA183" s="23"/>
      <c r="JB183" s="23"/>
      <c r="JC183" s="23"/>
      <c r="JD183" s="23"/>
      <c r="JE183" s="23"/>
      <c r="JF183" s="23"/>
      <c r="JG183" s="23"/>
      <c r="JH183" s="23"/>
      <c r="JI183" s="23"/>
      <c r="JJ183" s="23"/>
      <c r="JK183" s="23"/>
      <c r="JL183" s="23"/>
      <c r="JM183" s="23"/>
      <c r="JN183" s="23"/>
      <c r="JO183" s="23"/>
      <c r="JP183" s="23"/>
      <c r="JQ183" s="23"/>
      <c r="JR183" s="23"/>
      <c r="JS183" s="23"/>
      <c r="JT183" s="23"/>
      <c r="JU183" s="23"/>
      <c r="JV183" s="23"/>
      <c r="JW183" s="23"/>
      <c r="JX183" s="23"/>
      <c r="JY183" s="23"/>
      <c r="JZ183" s="23"/>
      <c r="KA183" s="23"/>
      <c r="KB183" s="23"/>
      <c r="KC183" s="23"/>
      <c r="KD183" s="23"/>
      <c r="KE183" s="23"/>
      <c r="KF183" s="23"/>
      <c r="KG183" s="23"/>
      <c r="KH183" s="23"/>
      <c r="KI183" s="23"/>
      <c r="KJ183" s="23"/>
      <c r="KK183" s="23"/>
      <c r="KL183" s="23"/>
      <c r="KM183" s="23"/>
      <c r="KN183" s="23"/>
      <c r="KO183" s="23"/>
      <c r="KP183" s="23"/>
      <c r="KQ183" s="23"/>
      <c r="KR183" s="23"/>
      <c r="KS183" s="23"/>
      <c r="KT183" s="23"/>
      <c r="KU183" s="23"/>
      <c r="KV183" s="23"/>
      <c r="KW183" s="23"/>
      <c r="KX183" s="23"/>
      <c r="KY183" s="23"/>
      <c r="KZ183" s="23"/>
      <c r="LA183" s="23"/>
      <c r="LB183" s="23"/>
      <c r="LC183" s="23"/>
      <c r="LD183" s="23"/>
      <c r="LE183" s="23"/>
      <c r="LF183" s="23"/>
      <c r="LG183" s="23"/>
      <c r="LH183" s="23"/>
      <c r="LI183" s="23"/>
      <c r="LJ183" s="23"/>
      <c r="LK183" s="23"/>
      <c r="LL183" s="23"/>
      <c r="LM183" s="23"/>
      <c r="LN183" s="23"/>
      <c r="LO183" s="23"/>
      <c r="LP183" s="23"/>
      <c r="LQ183" s="23"/>
      <c r="LR183" s="23"/>
      <c r="LS183" s="23"/>
      <c r="LT183" s="23"/>
      <c r="LU183" s="23"/>
      <c r="LV183" s="23"/>
      <c r="LW183" s="23"/>
      <c r="LX183" s="23"/>
      <c r="LY183" s="23"/>
      <c r="LZ183" s="23"/>
      <c r="MA183" s="23"/>
      <c r="MB183" s="23"/>
      <c r="MC183" s="23"/>
      <c r="MD183" s="23"/>
      <c r="ME183" s="23"/>
      <c r="MF183" s="23"/>
      <c r="MG183" s="23"/>
      <c r="MH183" s="23"/>
      <c r="MI183" s="23"/>
      <c r="MJ183" s="23"/>
      <c r="MK183" s="23"/>
      <c r="ML183" s="23"/>
      <c r="MM183" s="23"/>
      <c r="MN183" s="23"/>
      <c r="MO183" s="23"/>
      <c r="MP183" s="23"/>
      <c r="MQ183" s="23"/>
      <c r="MR183" s="23"/>
      <c r="MS183" s="23"/>
      <c r="MT183" s="23"/>
      <c r="MU183" s="23"/>
      <c r="MV183" s="23"/>
      <c r="MW183" s="23"/>
      <c r="MX183" s="23"/>
      <c r="MY183" s="23"/>
      <c r="MZ183" s="23"/>
      <c r="NA183" s="23"/>
      <c r="NB183" s="23"/>
      <c r="NC183" s="23"/>
      <c r="ND183" s="23"/>
      <c r="NE183" s="23"/>
      <c r="NF183" s="23"/>
      <c r="NG183" s="23"/>
      <c r="NH183" s="23"/>
      <c r="NI183" s="23"/>
      <c r="NJ183" s="23"/>
      <c r="NK183" s="23"/>
      <c r="NL183" s="23"/>
      <c r="NM183" s="23"/>
      <c r="NN183" s="23"/>
    </row>
    <row r="184" spans="5:378" ht="15" customHeight="1"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  <c r="IZ184" s="23"/>
      <c r="JA184" s="23"/>
      <c r="JB184" s="23"/>
      <c r="JC184" s="23"/>
      <c r="JD184" s="23"/>
      <c r="JE184" s="23"/>
      <c r="JF184" s="23"/>
      <c r="JG184" s="23"/>
      <c r="JH184" s="23"/>
      <c r="JI184" s="23"/>
      <c r="JJ184" s="23"/>
      <c r="JK184" s="23"/>
      <c r="JL184" s="23"/>
      <c r="JM184" s="23"/>
      <c r="JN184" s="23"/>
      <c r="JO184" s="23"/>
      <c r="JP184" s="23"/>
      <c r="JQ184" s="23"/>
      <c r="JR184" s="23"/>
      <c r="JS184" s="23"/>
      <c r="JT184" s="23"/>
      <c r="JU184" s="23"/>
      <c r="JV184" s="23"/>
      <c r="JW184" s="23"/>
      <c r="JX184" s="23"/>
      <c r="JY184" s="23"/>
      <c r="JZ184" s="23"/>
      <c r="KA184" s="23"/>
      <c r="KB184" s="23"/>
      <c r="KC184" s="23"/>
      <c r="KD184" s="23"/>
      <c r="KE184" s="23"/>
      <c r="KF184" s="23"/>
      <c r="KG184" s="23"/>
      <c r="KH184" s="23"/>
      <c r="KI184" s="23"/>
      <c r="KJ184" s="23"/>
      <c r="KK184" s="23"/>
      <c r="KL184" s="23"/>
      <c r="KM184" s="23"/>
      <c r="KN184" s="23"/>
      <c r="KO184" s="23"/>
      <c r="KP184" s="23"/>
      <c r="KQ184" s="23"/>
      <c r="KR184" s="23"/>
      <c r="KS184" s="23"/>
      <c r="KT184" s="23"/>
      <c r="KU184" s="23"/>
      <c r="KV184" s="23"/>
      <c r="KW184" s="23"/>
      <c r="KX184" s="23"/>
      <c r="KY184" s="23"/>
      <c r="KZ184" s="23"/>
      <c r="LA184" s="23"/>
      <c r="LB184" s="23"/>
      <c r="LC184" s="23"/>
      <c r="LD184" s="23"/>
      <c r="LE184" s="23"/>
      <c r="LF184" s="23"/>
      <c r="LG184" s="23"/>
      <c r="LH184" s="23"/>
      <c r="LI184" s="23"/>
      <c r="LJ184" s="23"/>
      <c r="LK184" s="23"/>
      <c r="LL184" s="23"/>
      <c r="LM184" s="23"/>
      <c r="LN184" s="23"/>
      <c r="LO184" s="23"/>
      <c r="LP184" s="23"/>
      <c r="LQ184" s="23"/>
      <c r="LR184" s="23"/>
      <c r="LS184" s="23"/>
      <c r="LT184" s="23"/>
      <c r="LU184" s="23"/>
      <c r="LV184" s="23"/>
      <c r="LW184" s="23"/>
      <c r="LX184" s="23"/>
      <c r="LY184" s="23"/>
      <c r="LZ184" s="23"/>
      <c r="MA184" s="23"/>
      <c r="MB184" s="23"/>
      <c r="MC184" s="23"/>
      <c r="MD184" s="23"/>
      <c r="ME184" s="23"/>
      <c r="MF184" s="23"/>
      <c r="MG184" s="23"/>
      <c r="MH184" s="23"/>
      <c r="MI184" s="23"/>
      <c r="MJ184" s="23"/>
      <c r="MK184" s="23"/>
      <c r="ML184" s="23"/>
      <c r="MM184" s="23"/>
      <c r="MN184" s="23"/>
      <c r="MO184" s="23"/>
      <c r="MP184" s="23"/>
      <c r="MQ184" s="23"/>
      <c r="MR184" s="23"/>
      <c r="MS184" s="23"/>
      <c r="MT184" s="23"/>
      <c r="MU184" s="23"/>
      <c r="MV184" s="23"/>
      <c r="MW184" s="23"/>
      <c r="MX184" s="23"/>
      <c r="MY184" s="23"/>
      <c r="MZ184" s="23"/>
      <c r="NA184" s="23"/>
      <c r="NB184" s="23"/>
      <c r="NC184" s="23"/>
      <c r="ND184" s="23"/>
      <c r="NE184" s="23"/>
      <c r="NF184" s="23"/>
      <c r="NG184" s="23"/>
      <c r="NH184" s="23"/>
      <c r="NI184" s="23"/>
      <c r="NJ184" s="23"/>
      <c r="NK184" s="23"/>
      <c r="NL184" s="23"/>
      <c r="NM184" s="23"/>
      <c r="NN184" s="23"/>
    </row>
    <row r="185" spans="5:378" ht="15" customHeight="1"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  <c r="IZ185" s="23"/>
      <c r="JA185" s="23"/>
      <c r="JB185" s="23"/>
      <c r="JC185" s="23"/>
      <c r="JD185" s="23"/>
      <c r="JE185" s="23"/>
      <c r="JF185" s="23"/>
      <c r="JG185" s="23"/>
      <c r="JH185" s="23"/>
      <c r="JI185" s="23"/>
      <c r="JJ185" s="23"/>
      <c r="JK185" s="23"/>
      <c r="JL185" s="23"/>
      <c r="JM185" s="23"/>
      <c r="JN185" s="23"/>
      <c r="JO185" s="23"/>
      <c r="JP185" s="23"/>
      <c r="JQ185" s="23"/>
      <c r="JR185" s="23"/>
      <c r="JS185" s="23"/>
      <c r="JT185" s="23"/>
      <c r="JU185" s="23"/>
      <c r="JV185" s="23"/>
      <c r="JW185" s="23"/>
      <c r="JX185" s="23"/>
      <c r="JY185" s="23"/>
      <c r="JZ185" s="23"/>
      <c r="KA185" s="23"/>
      <c r="KB185" s="23"/>
      <c r="KC185" s="23"/>
      <c r="KD185" s="23"/>
      <c r="KE185" s="23"/>
      <c r="KF185" s="23"/>
      <c r="KG185" s="23"/>
      <c r="KH185" s="23"/>
      <c r="KI185" s="23"/>
      <c r="KJ185" s="23"/>
      <c r="KK185" s="23"/>
      <c r="KL185" s="23"/>
      <c r="KM185" s="23"/>
      <c r="KN185" s="23"/>
      <c r="KO185" s="23"/>
      <c r="KP185" s="23"/>
      <c r="KQ185" s="23"/>
      <c r="KR185" s="23"/>
      <c r="KS185" s="23"/>
      <c r="KT185" s="23"/>
      <c r="KU185" s="23"/>
      <c r="KV185" s="23"/>
      <c r="KW185" s="23"/>
      <c r="KX185" s="23"/>
      <c r="KY185" s="23"/>
      <c r="KZ185" s="23"/>
      <c r="LA185" s="23"/>
      <c r="LB185" s="23"/>
      <c r="LC185" s="23"/>
      <c r="LD185" s="23"/>
      <c r="LE185" s="23"/>
      <c r="LF185" s="23"/>
      <c r="LG185" s="23"/>
      <c r="LH185" s="23"/>
      <c r="LI185" s="23"/>
      <c r="LJ185" s="23"/>
      <c r="LK185" s="23"/>
      <c r="LL185" s="23"/>
      <c r="LM185" s="23"/>
      <c r="LN185" s="23"/>
      <c r="LO185" s="23"/>
      <c r="LP185" s="23"/>
      <c r="LQ185" s="23"/>
      <c r="LR185" s="23"/>
      <c r="LS185" s="23"/>
      <c r="LT185" s="23"/>
      <c r="LU185" s="23"/>
      <c r="LV185" s="23"/>
      <c r="LW185" s="23"/>
      <c r="LX185" s="23"/>
      <c r="LY185" s="23"/>
      <c r="LZ185" s="23"/>
      <c r="MA185" s="23"/>
      <c r="MB185" s="23"/>
      <c r="MC185" s="23"/>
      <c r="MD185" s="23"/>
      <c r="ME185" s="23"/>
      <c r="MF185" s="23"/>
      <c r="MG185" s="23"/>
      <c r="MH185" s="23"/>
      <c r="MI185" s="23"/>
      <c r="MJ185" s="23"/>
      <c r="MK185" s="23"/>
      <c r="ML185" s="23"/>
      <c r="MM185" s="23"/>
      <c r="MN185" s="23"/>
      <c r="MO185" s="23"/>
      <c r="MP185" s="23"/>
      <c r="MQ185" s="23"/>
      <c r="MR185" s="23"/>
      <c r="MS185" s="23"/>
      <c r="MT185" s="23"/>
      <c r="MU185" s="23"/>
      <c r="MV185" s="23"/>
      <c r="MW185" s="23"/>
      <c r="MX185" s="23"/>
      <c r="MY185" s="23"/>
      <c r="MZ185" s="23"/>
      <c r="NA185" s="23"/>
      <c r="NB185" s="23"/>
      <c r="NC185" s="23"/>
      <c r="ND185" s="23"/>
      <c r="NE185" s="23"/>
      <c r="NF185" s="23"/>
      <c r="NG185" s="23"/>
      <c r="NH185" s="23"/>
      <c r="NI185" s="23"/>
      <c r="NJ185" s="23"/>
      <c r="NK185" s="23"/>
      <c r="NL185" s="23"/>
      <c r="NM185" s="23"/>
      <c r="NN185" s="23"/>
    </row>
    <row r="186" spans="5:378" ht="15" customHeight="1"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  <c r="IZ186" s="23"/>
      <c r="JA186" s="23"/>
      <c r="JB186" s="23"/>
      <c r="JC186" s="23"/>
      <c r="JD186" s="23"/>
      <c r="JE186" s="23"/>
      <c r="JF186" s="23"/>
      <c r="JG186" s="23"/>
      <c r="JH186" s="23"/>
      <c r="JI186" s="23"/>
      <c r="JJ186" s="23"/>
      <c r="JK186" s="23"/>
      <c r="JL186" s="23"/>
      <c r="JM186" s="23"/>
      <c r="JN186" s="23"/>
      <c r="JO186" s="23"/>
      <c r="JP186" s="23"/>
      <c r="JQ186" s="23"/>
      <c r="JR186" s="23"/>
      <c r="JS186" s="23"/>
      <c r="JT186" s="23"/>
      <c r="JU186" s="23"/>
      <c r="JV186" s="23"/>
      <c r="JW186" s="23"/>
      <c r="JX186" s="23"/>
      <c r="JY186" s="23"/>
      <c r="JZ186" s="23"/>
      <c r="KA186" s="23"/>
      <c r="KB186" s="23"/>
      <c r="KC186" s="23"/>
      <c r="KD186" s="23"/>
      <c r="KE186" s="23"/>
      <c r="KF186" s="23"/>
      <c r="KG186" s="23"/>
      <c r="KH186" s="23"/>
      <c r="KI186" s="23"/>
      <c r="KJ186" s="23"/>
      <c r="KK186" s="23"/>
      <c r="KL186" s="23"/>
      <c r="KM186" s="23"/>
      <c r="KN186" s="23"/>
      <c r="KO186" s="23"/>
      <c r="KP186" s="23"/>
      <c r="KQ186" s="23"/>
      <c r="KR186" s="23"/>
      <c r="KS186" s="23"/>
      <c r="KT186" s="23"/>
      <c r="KU186" s="23"/>
      <c r="KV186" s="23"/>
      <c r="KW186" s="23"/>
      <c r="KX186" s="23"/>
      <c r="KY186" s="23"/>
      <c r="KZ186" s="23"/>
      <c r="LA186" s="23"/>
      <c r="LB186" s="23"/>
      <c r="LC186" s="23"/>
      <c r="LD186" s="23"/>
      <c r="LE186" s="23"/>
      <c r="LF186" s="23"/>
      <c r="LG186" s="23"/>
      <c r="LH186" s="23"/>
      <c r="LI186" s="23"/>
      <c r="LJ186" s="23"/>
      <c r="LK186" s="23"/>
      <c r="LL186" s="23"/>
      <c r="LM186" s="23"/>
      <c r="LN186" s="23"/>
      <c r="LO186" s="23"/>
      <c r="LP186" s="23"/>
      <c r="LQ186" s="23"/>
      <c r="LR186" s="23"/>
      <c r="LS186" s="23"/>
      <c r="LT186" s="23"/>
      <c r="LU186" s="23"/>
      <c r="LV186" s="23"/>
      <c r="LW186" s="23"/>
      <c r="LX186" s="23"/>
      <c r="LY186" s="23"/>
      <c r="LZ186" s="23"/>
      <c r="MA186" s="23"/>
      <c r="MB186" s="23"/>
      <c r="MC186" s="23"/>
      <c r="MD186" s="23"/>
      <c r="ME186" s="23"/>
      <c r="MF186" s="23"/>
      <c r="MG186" s="23"/>
      <c r="MH186" s="23"/>
      <c r="MI186" s="23"/>
      <c r="MJ186" s="23"/>
      <c r="MK186" s="23"/>
      <c r="ML186" s="23"/>
      <c r="MM186" s="23"/>
      <c r="MN186" s="23"/>
      <c r="MO186" s="23"/>
      <c r="MP186" s="23"/>
      <c r="MQ186" s="23"/>
      <c r="MR186" s="23"/>
      <c r="MS186" s="23"/>
      <c r="MT186" s="23"/>
      <c r="MU186" s="23"/>
      <c r="MV186" s="23"/>
      <c r="MW186" s="23"/>
      <c r="MX186" s="23"/>
      <c r="MY186" s="23"/>
      <c r="MZ186" s="23"/>
      <c r="NA186" s="23"/>
      <c r="NB186" s="23"/>
      <c r="NC186" s="23"/>
      <c r="ND186" s="23"/>
      <c r="NE186" s="23"/>
      <c r="NF186" s="23"/>
      <c r="NG186" s="23"/>
      <c r="NH186" s="23"/>
      <c r="NI186" s="23"/>
      <c r="NJ186" s="23"/>
      <c r="NK186" s="23"/>
      <c r="NL186" s="23"/>
      <c r="NM186" s="23"/>
      <c r="NN186" s="23"/>
    </row>
    <row r="187" spans="5:378" ht="15" customHeight="1"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  <c r="IZ187" s="23"/>
      <c r="JA187" s="23"/>
      <c r="JB187" s="23"/>
      <c r="JC187" s="23"/>
      <c r="JD187" s="23"/>
      <c r="JE187" s="23"/>
      <c r="JF187" s="23"/>
      <c r="JG187" s="23"/>
      <c r="JH187" s="23"/>
      <c r="JI187" s="23"/>
      <c r="JJ187" s="23"/>
      <c r="JK187" s="23"/>
      <c r="JL187" s="23"/>
      <c r="JM187" s="23"/>
      <c r="JN187" s="23"/>
      <c r="JO187" s="23"/>
      <c r="JP187" s="23"/>
      <c r="JQ187" s="23"/>
      <c r="JR187" s="23"/>
      <c r="JS187" s="23"/>
      <c r="JT187" s="23"/>
      <c r="JU187" s="23"/>
      <c r="JV187" s="23"/>
      <c r="JW187" s="23"/>
      <c r="JX187" s="23"/>
      <c r="JY187" s="23"/>
      <c r="JZ187" s="23"/>
      <c r="KA187" s="23"/>
      <c r="KB187" s="23"/>
      <c r="KC187" s="23"/>
      <c r="KD187" s="23"/>
      <c r="KE187" s="23"/>
      <c r="KF187" s="23"/>
      <c r="KG187" s="23"/>
      <c r="KH187" s="23"/>
      <c r="KI187" s="23"/>
      <c r="KJ187" s="23"/>
      <c r="KK187" s="23"/>
      <c r="KL187" s="23"/>
      <c r="KM187" s="23"/>
      <c r="KN187" s="23"/>
      <c r="KO187" s="23"/>
      <c r="KP187" s="23"/>
      <c r="KQ187" s="23"/>
      <c r="KR187" s="23"/>
      <c r="KS187" s="23"/>
      <c r="KT187" s="23"/>
      <c r="KU187" s="23"/>
      <c r="KV187" s="23"/>
      <c r="KW187" s="23"/>
      <c r="KX187" s="23"/>
      <c r="KY187" s="23"/>
      <c r="KZ187" s="23"/>
      <c r="LA187" s="23"/>
      <c r="LB187" s="23"/>
      <c r="LC187" s="23"/>
      <c r="LD187" s="23"/>
      <c r="LE187" s="23"/>
      <c r="LF187" s="23"/>
      <c r="LG187" s="23"/>
      <c r="LH187" s="23"/>
      <c r="LI187" s="23"/>
      <c r="LJ187" s="23"/>
      <c r="LK187" s="23"/>
      <c r="LL187" s="23"/>
      <c r="LM187" s="23"/>
      <c r="LN187" s="23"/>
      <c r="LO187" s="23"/>
      <c r="LP187" s="23"/>
      <c r="LQ187" s="23"/>
      <c r="LR187" s="23"/>
      <c r="LS187" s="23"/>
      <c r="LT187" s="23"/>
      <c r="LU187" s="23"/>
      <c r="LV187" s="23"/>
      <c r="LW187" s="23"/>
      <c r="LX187" s="23"/>
      <c r="LY187" s="23"/>
      <c r="LZ187" s="23"/>
      <c r="MA187" s="23"/>
      <c r="MB187" s="23"/>
      <c r="MC187" s="23"/>
      <c r="MD187" s="23"/>
      <c r="ME187" s="23"/>
      <c r="MF187" s="23"/>
      <c r="MG187" s="23"/>
      <c r="MH187" s="23"/>
      <c r="MI187" s="23"/>
      <c r="MJ187" s="23"/>
      <c r="MK187" s="23"/>
      <c r="ML187" s="23"/>
      <c r="MM187" s="23"/>
      <c r="MN187" s="23"/>
      <c r="MO187" s="23"/>
      <c r="MP187" s="23"/>
      <c r="MQ187" s="23"/>
      <c r="MR187" s="23"/>
      <c r="MS187" s="23"/>
      <c r="MT187" s="23"/>
      <c r="MU187" s="23"/>
      <c r="MV187" s="23"/>
      <c r="MW187" s="23"/>
      <c r="MX187" s="23"/>
      <c r="MY187" s="23"/>
      <c r="MZ187" s="23"/>
      <c r="NA187" s="23"/>
      <c r="NB187" s="23"/>
      <c r="NC187" s="23"/>
      <c r="ND187" s="23"/>
      <c r="NE187" s="23"/>
      <c r="NF187" s="23"/>
      <c r="NG187" s="23"/>
      <c r="NH187" s="23"/>
      <c r="NI187" s="23"/>
      <c r="NJ187" s="23"/>
      <c r="NK187" s="23"/>
      <c r="NL187" s="23"/>
      <c r="NM187" s="23"/>
      <c r="NN187" s="23"/>
    </row>
    <row r="188" spans="5:378" ht="15" customHeight="1"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  <c r="IZ188" s="23"/>
      <c r="JA188" s="23"/>
      <c r="JB188" s="23"/>
      <c r="JC188" s="23"/>
      <c r="JD188" s="23"/>
      <c r="JE188" s="23"/>
      <c r="JF188" s="23"/>
      <c r="JG188" s="23"/>
      <c r="JH188" s="23"/>
      <c r="JI188" s="23"/>
      <c r="JJ188" s="23"/>
      <c r="JK188" s="23"/>
      <c r="JL188" s="23"/>
      <c r="JM188" s="23"/>
      <c r="JN188" s="23"/>
      <c r="JO188" s="23"/>
      <c r="JP188" s="23"/>
      <c r="JQ188" s="23"/>
      <c r="JR188" s="23"/>
      <c r="JS188" s="23"/>
      <c r="JT188" s="23"/>
      <c r="JU188" s="23"/>
      <c r="JV188" s="23"/>
      <c r="JW188" s="23"/>
      <c r="JX188" s="23"/>
      <c r="JY188" s="23"/>
      <c r="JZ188" s="23"/>
      <c r="KA188" s="23"/>
      <c r="KB188" s="23"/>
      <c r="KC188" s="23"/>
      <c r="KD188" s="23"/>
      <c r="KE188" s="23"/>
      <c r="KF188" s="23"/>
      <c r="KG188" s="23"/>
      <c r="KH188" s="23"/>
      <c r="KI188" s="23"/>
      <c r="KJ188" s="23"/>
      <c r="KK188" s="23"/>
      <c r="KL188" s="23"/>
      <c r="KM188" s="23"/>
      <c r="KN188" s="23"/>
      <c r="KO188" s="23"/>
      <c r="KP188" s="23"/>
      <c r="KQ188" s="23"/>
      <c r="KR188" s="23"/>
      <c r="KS188" s="23"/>
      <c r="KT188" s="23"/>
      <c r="KU188" s="23"/>
      <c r="KV188" s="23"/>
      <c r="KW188" s="23"/>
      <c r="KX188" s="23"/>
      <c r="KY188" s="23"/>
      <c r="KZ188" s="23"/>
      <c r="LA188" s="23"/>
      <c r="LB188" s="23"/>
      <c r="LC188" s="23"/>
      <c r="LD188" s="23"/>
      <c r="LE188" s="23"/>
      <c r="LF188" s="23"/>
      <c r="LG188" s="23"/>
      <c r="LH188" s="23"/>
      <c r="LI188" s="23"/>
      <c r="LJ188" s="23"/>
      <c r="LK188" s="23"/>
      <c r="LL188" s="23"/>
      <c r="LM188" s="23"/>
      <c r="LN188" s="23"/>
      <c r="LO188" s="23"/>
      <c r="LP188" s="23"/>
      <c r="LQ188" s="23"/>
      <c r="LR188" s="23"/>
      <c r="LS188" s="23"/>
      <c r="LT188" s="23"/>
      <c r="LU188" s="23"/>
      <c r="LV188" s="23"/>
      <c r="LW188" s="23"/>
      <c r="LX188" s="23"/>
      <c r="LY188" s="23"/>
      <c r="LZ188" s="23"/>
      <c r="MA188" s="23"/>
      <c r="MB188" s="23"/>
      <c r="MC188" s="23"/>
      <c r="MD188" s="23"/>
      <c r="ME188" s="23"/>
      <c r="MF188" s="23"/>
      <c r="MG188" s="23"/>
      <c r="MH188" s="23"/>
      <c r="MI188" s="23"/>
      <c r="MJ188" s="23"/>
      <c r="MK188" s="23"/>
      <c r="ML188" s="23"/>
      <c r="MM188" s="23"/>
      <c r="MN188" s="23"/>
      <c r="MO188" s="23"/>
      <c r="MP188" s="23"/>
      <c r="MQ188" s="23"/>
      <c r="MR188" s="23"/>
      <c r="MS188" s="23"/>
      <c r="MT188" s="23"/>
      <c r="MU188" s="23"/>
      <c r="MV188" s="23"/>
      <c r="MW188" s="23"/>
      <c r="MX188" s="23"/>
      <c r="MY188" s="23"/>
      <c r="MZ188" s="23"/>
      <c r="NA188" s="23"/>
      <c r="NB188" s="23"/>
      <c r="NC188" s="23"/>
      <c r="ND188" s="23"/>
      <c r="NE188" s="23"/>
      <c r="NF188" s="23"/>
      <c r="NG188" s="23"/>
      <c r="NH188" s="23"/>
      <c r="NI188" s="23"/>
      <c r="NJ188" s="23"/>
      <c r="NK188" s="23"/>
      <c r="NL188" s="23"/>
      <c r="NM188" s="23"/>
      <c r="NN188" s="23"/>
    </row>
    <row r="189" spans="5:378" ht="15" customHeight="1"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  <c r="IZ189" s="23"/>
      <c r="JA189" s="23"/>
      <c r="JB189" s="23"/>
      <c r="JC189" s="23"/>
      <c r="JD189" s="23"/>
      <c r="JE189" s="23"/>
      <c r="JF189" s="23"/>
      <c r="JG189" s="23"/>
      <c r="JH189" s="23"/>
      <c r="JI189" s="23"/>
      <c r="JJ189" s="23"/>
      <c r="JK189" s="23"/>
      <c r="JL189" s="23"/>
      <c r="JM189" s="23"/>
      <c r="JN189" s="23"/>
      <c r="JO189" s="23"/>
      <c r="JP189" s="23"/>
      <c r="JQ189" s="23"/>
      <c r="JR189" s="23"/>
      <c r="JS189" s="23"/>
      <c r="JT189" s="23"/>
      <c r="JU189" s="23"/>
      <c r="JV189" s="23"/>
      <c r="JW189" s="23"/>
      <c r="JX189" s="23"/>
      <c r="JY189" s="23"/>
      <c r="JZ189" s="23"/>
      <c r="KA189" s="23"/>
      <c r="KB189" s="23"/>
      <c r="KC189" s="23"/>
      <c r="KD189" s="23"/>
      <c r="KE189" s="23"/>
      <c r="KF189" s="23"/>
      <c r="KG189" s="23"/>
      <c r="KH189" s="23"/>
      <c r="KI189" s="23"/>
      <c r="KJ189" s="23"/>
      <c r="KK189" s="23"/>
      <c r="KL189" s="23"/>
      <c r="KM189" s="23"/>
      <c r="KN189" s="23"/>
      <c r="KO189" s="23"/>
      <c r="KP189" s="23"/>
      <c r="KQ189" s="23"/>
      <c r="KR189" s="23"/>
      <c r="KS189" s="23"/>
      <c r="KT189" s="23"/>
      <c r="KU189" s="23"/>
      <c r="KV189" s="23"/>
      <c r="KW189" s="23"/>
      <c r="KX189" s="23"/>
      <c r="KY189" s="23"/>
      <c r="KZ189" s="23"/>
      <c r="LA189" s="23"/>
      <c r="LB189" s="23"/>
      <c r="LC189" s="23"/>
      <c r="LD189" s="23"/>
      <c r="LE189" s="23"/>
      <c r="LF189" s="23"/>
      <c r="LG189" s="23"/>
      <c r="LH189" s="23"/>
      <c r="LI189" s="23"/>
      <c r="LJ189" s="23"/>
      <c r="LK189" s="23"/>
      <c r="LL189" s="23"/>
      <c r="LM189" s="23"/>
      <c r="LN189" s="23"/>
      <c r="LO189" s="23"/>
      <c r="LP189" s="23"/>
      <c r="LQ189" s="23"/>
      <c r="LR189" s="23"/>
      <c r="LS189" s="23"/>
      <c r="LT189" s="23"/>
      <c r="LU189" s="23"/>
      <c r="LV189" s="23"/>
      <c r="LW189" s="23"/>
      <c r="LX189" s="23"/>
      <c r="LY189" s="23"/>
      <c r="LZ189" s="23"/>
      <c r="MA189" s="23"/>
      <c r="MB189" s="23"/>
      <c r="MC189" s="23"/>
      <c r="MD189" s="23"/>
      <c r="ME189" s="23"/>
      <c r="MF189" s="23"/>
      <c r="MG189" s="23"/>
      <c r="MH189" s="23"/>
      <c r="MI189" s="23"/>
      <c r="MJ189" s="23"/>
      <c r="MK189" s="23"/>
      <c r="ML189" s="23"/>
      <c r="MM189" s="23"/>
      <c r="MN189" s="23"/>
      <c r="MO189" s="23"/>
      <c r="MP189" s="23"/>
      <c r="MQ189" s="23"/>
      <c r="MR189" s="23"/>
      <c r="MS189" s="23"/>
      <c r="MT189" s="23"/>
      <c r="MU189" s="23"/>
      <c r="MV189" s="23"/>
      <c r="MW189" s="23"/>
      <c r="MX189" s="23"/>
      <c r="MY189" s="23"/>
      <c r="MZ189" s="23"/>
      <c r="NA189" s="23"/>
      <c r="NB189" s="23"/>
      <c r="NC189" s="23"/>
      <c r="ND189" s="23"/>
      <c r="NE189" s="23"/>
      <c r="NF189" s="23"/>
      <c r="NG189" s="23"/>
      <c r="NH189" s="23"/>
      <c r="NI189" s="23"/>
      <c r="NJ189" s="23"/>
      <c r="NK189" s="23"/>
      <c r="NL189" s="23"/>
      <c r="NM189" s="23"/>
      <c r="NN189" s="23"/>
    </row>
    <row r="190" spans="5:378" ht="15" customHeight="1"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  <c r="IZ190" s="23"/>
      <c r="JA190" s="23"/>
      <c r="JB190" s="23"/>
      <c r="JC190" s="23"/>
      <c r="JD190" s="23"/>
      <c r="JE190" s="23"/>
      <c r="JF190" s="23"/>
      <c r="JG190" s="23"/>
      <c r="JH190" s="23"/>
      <c r="JI190" s="23"/>
      <c r="JJ190" s="23"/>
      <c r="JK190" s="23"/>
      <c r="JL190" s="23"/>
      <c r="JM190" s="23"/>
      <c r="JN190" s="23"/>
      <c r="JO190" s="23"/>
      <c r="JP190" s="23"/>
      <c r="JQ190" s="23"/>
      <c r="JR190" s="23"/>
      <c r="JS190" s="23"/>
      <c r="JT190" s="23"/>
      <c r="JU190" s="23"/>
      <c r="JV190" s="23"/>
      <c r="JW190" s="23"/>
      <c r="JX190" s="23"/>
      <c r="JY190" s="23"/>
      <c r="JZ190" s="23"/>
      <c r="KA190" s="23"/>
      <c r="KB190" s="23"/>
      <c r="KC190" s="23"/>
      <c r="KD190" s="23"/>
      <c r="KE190" s="23"/>
      <c r="KF190" s="23"/>
      <c r="KG190" s="23"/>
      <c r="KH190" s="23"/>
      <c r="KI190" s="23"/>
      <c r="KJ190" s="23"/>
      <c r="KK190" s="23"/>
      <c r="KL190" s="23"/>
      <c r="KM190" s="23"/>
      <c r="KN190" s="23"/>
      <c r="KO190" s="23"/>
      <c r="KP190" s="23"/>
      <c r="KQ190" s="23"/>
      <c r="KR190" s="23"/>
      <c r="KS190" s="23"/>
      <c r="KT190" s="23"/>
      <c r="KU190" s="23"/>
      <c r="KV190" s="23"/>
      <c r="KW190" s="23"/>
      <c r="KX190" s="23"/>
      <c r="KY190" s="23"/>
      <c r="KZ190" s="23"/>
      <c r="LA190" s="23"/>
      <c r="LB190" s="23"/>
      <c r="LC190" s="23"/>
      <c r="LD190" s="23"/>
      <c r="LE190" s="23"/>
      <c r="LF190" s="23"/>
      <c r="LG190" s="23"/>
      <c r="LH190" s="23"/>
      <c r="LI190" s="23"/>
      <c r="LJ190" s="23"/>
      <c r="LK190" s="23"/>
      <c r="LL190" s="23"/>
      <c r="LM190" s="23"/>
      <c r="LN190" s="23"/>
      <c r="LO190" s="23"/>
      <c r="LP190" s="23"/>
      <c r="LQ190" s="23"/>
      <c r="LR190" s="23"/>
      <c r="LS190" s="23"/>
      <c r="LT190" s="23"/>
      <c r="LU190" s="23"/>
      <c r="LV190" s="23"/>
      <c r="LW190" s="23"/>
      <c r="LX190" s="23"/>
      <c r="LY190" s="23"/>
      <c r="LZ190" s="23"/>
      <c r="MA190" s="23"/>
      <c r="MB190" s="23"/>
      <c r="MC190" s="23"/>
      <c r="MD190" s="23"/>
      <c r="ME190" s="23"/>
      <c r="MF190" s="23"/>
      <c r="MG190" s="23"/>
      <c r="MH190" s="23"/>
      <c r="MI190" s="23"/>
      <c r="MJ190" s="23"/>
      <c r="MK190" s="23"/>
      <c r="ML190" s="23"/>
      <c r="MM190" s="23"/>
      <c r="MN190" s="23"/>
      <c r="MO190" s="23"/>
      <c r="MP190" s="23"/>
      <c r="MQ190" s="23"/>
      <c r="MR190" s="23"/>
      <c r="MS190" s="23"/>
      <c r="MT190" s="23"/>
      <c r="MU190" s="23"/>
      <c r="MV190" s="23"/>
      <c r="MW190" s="23"/>
      <c r="MX190" s="23"/>
      <c r="MY190" s="23"/>
      <c r="MZ190" s="23"/>
      <c r="NA190" s="23"/>
      <c r="NB190" s="23"/>
      <c r="NC190" s="23"/>
      <c r="ND190" s="23"/>
      <c r="NE190" s="23"/>
      <c r="NF190" s="23"/>
      <c r="NG190" s="23"/>
      <c r="NH190" s="23"/>
      <c r="NI190" s="23"/>
      <c r="NJ190" s="23"/>
      <c r="NK190" s="23"/>
      <c r="NL190" s="23"/>
      <c r="NM190" s="23"/>
      <c r="NN190" s="23"/>
    </row>
    <row r="191" spans="5:378" ht="15" customHeight="1"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  <c r="IZ191" s="23"/>
      <c r="JA191" s="23"/>
      <c r="JB191" s="23"/>
      <c r="JC191" s="23"/>
      <c r="JD191" s="23"/>
      <c r="JE191" s="23"/>
      <c r="JF191" s="23"/>
      <c r="JG191" s="23"/>
      <c r="JH191" s="23"/>
      <c r="JI191" s="23"/>
      <c r="JJ191" s="23"/>
      <c r="JK191" s="23"/>
      <c r="JL191" s="23"/>
      <c r="JM191" s="23"/>
      <c r="JN191" s="23"/>
      <c r="JO191" s="23"/>
      <c r="JP191" s="23"/>
      <c r="JQ191" s="23"/>
      <c r="JR191" s="23"/>
      <c r="JS191" s="23"/>
      <c r="JT191" s="23"/>
      <c r="JU191" s="23"/>
      <c r="JV191" s="23"/>
      <c r="JW191" s="23"/>
      <c r="JX191" s="23"/>
      <c r="JY191" s="23"/>
      <c r="JZ191" s="23"/>
      <c r="KA191" s="23"/>
      <c r="KB191" s="23"/>
      <c r="KC191" s="23"/>
      <c r="KD191" s="23"/>
      <c r="KE191" s="23"/>
      <c r="KF191" s="23"/>
      <c r="KG191" s="23"/>
      <c r="KH191" s="23"/>
      <c r="KI191" s="23"/>
      <c r="KJ191" s="23"/>
      <c r="KK191" s="23"/>
      <c r="KL191" s="23"/>
      <c r="KM191" s="23"/>
      <c r="KN191" s="23"/>
      <c r="KO191" s="23"/>
      <c r="KP191" s="23"/>
      <c r="KQ191" s="23"/>
      <c r="KR191" s="23"/>
      <c r="KS191" s="23"/>
      <c r="KT191" s="23"/>
      <c r="KU191" s="23"/>
      <c r="KV191" s="23"/>
      <c r="KW191" s="23"/>
      <c r="KX191" s="23"/>
      <c r="KY191" s="23"/>
      <c r="KZ191" s="23"/>
      <c r="LA191" s="23"/>
      <c r="LB191" s="23"/>
      <c r="LC191" s="23"/>
      <c r="LD191" s="23"/>
      <c r="LE191" s="23"/>
      <c r="LF191" s="23"/>
      <c r="LG191" s="23"/>
      <c r="LH191" s="23"/>
      <c r="LI191" s="23"/>
      <c r="LJ191" s="23"/>
      <c r="LK191" s="23"/>
      <c r="LL191" s="23"/>
      <c r="LM191" s="23"/>
      <c r="LN191" s="23"/>
      <c r="LO191" s="23"/>
      <c r="LP191" s="23"/>
      <c r="LQ191" s="23"/>
      <c r="LR191" s="23"/>
      <c r="LS191" s="23"/>
      <c r="LT191" s="23"/>
      <c r="LU191" s="23"/>
      <c r="LV191" s="23"/>
      <c r="LW191" s="23"/>
      <c r="LX191" s="23"/>
      <c r="LY191" s="23"/>
      <c r="LZ191" s="23"/>
      <c r="MA191" s="23"/>
      <c r="MB191" s="23"/>
      <c r="MC191" s="23"/>
      <c r="MD191" s="23"/>
      <c r="ME191" s="23"/>
      <c r="MF191" s="23"/>
      <c r="MG191" s="23"/>
      <c r="MH191" s="23"/>
      <c r="MI191" s="23"/>
      <c r="MJ191" s="23"/>
      <c r="MK191" s="23"/>
      <c r="ML191" s="23"/>
      <c r="MM191" s="23"/>
      <c r="MN191" s="23"/>
      <c r="MO191" s="23"/>
      <c r="MP191" s="23"/>
      <c r="MQ191" s="23"/>
      <c r="MR191" s="23"/>
      <c r="MS191" s="23"/>
      <c r="MT191" s="23"/>
      <c r="MU191" s="23"/>
      <c r="MV191" s="23"/>
      <c r="MW191" s="23"/>
      <c r="MX191" s="23"/>
      <c r="MY191" s="23"/>
      <c r="MZ191" s="23"/>
      <c r="NA191" s="23"/>
      <c r="NB191" s="23"/>
      <c r="NC191" s="23"/>
      <c r="ND191" s="23"/>
      <c r="NE191" s="23"/>
      <c r="NF191" s="23"/>
      <c r="NG191" s="23"/>
      <c r="NH191" s="23"/>
      <c r="NI191" s="23"/>
      <c r="NJ191" s="23"/>
      <c r="NK191" s="23"/>
      <c r="NL191" s="23"/>
      <c r="NM191" s="23"/>
      <c r="NN191" s="23"/>
    </row>
    <row r="192" spans="5:378" ht="15" customHeight="1"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  <c r="IZ192" s="23"/>
      <c r="JA192" s="23"/>
      <c r="JB192" s="23"/>
      <c r="JC192" s="23"/>
      <c r="JD192" s="23"/>
      <c r="JE192" s="23"/>
      <c r="JF192" s="23"/>
      <c r="JG192" s="23"/>
      <c r="JH192" s="23"/>
      <c r="JI192" s="23"/>
      <c r="JJ192" s="23"/>
      <c r="JK192" s="23"/>
      <c r="JL192" s="23"/>
      <c r="JM192" s="23"/>
      <c r="JN192" s="23"/>
      <c r="JO192" s="23"/>
      <c r="JP192" s="23"/>
      <c r="JQ192" s="23"/>
      <c r="JR192" s="23"/>
      <c r="JS192" s="23"/>
      <c r="JT192" s="23"/>
      <c r="JU192" s="23"/>
      <c r="JV192" s="23"/>
      <c r="JW192" s="23"/>
      <c r="JX192" s="23"/>
      <c r="JY192" s="23"/>
      <c r="JZ192" s="23"/>
      <c r="KA192" s="23"/>
      <c r="KB192" s="23"/>
      <c r="KC192" s="23"/>
      <c r="KD192" s="23"/>
      <c r="KE192" s="23"/>
      <c r="KF192" s="23"/>
      <c r="KG192" s="23"/>
      <c r="KH192" s="23"/>
      <c r="KI192" s="23"/>
      <c r="KJ192" s="23"/>
      <c r="KK192" s="23"/>
      <c r="KL192" s="23"/>
      <c r="KM192" s="23"/>
      <c r="KN192" s="23"/>
      <c r="KO192" s="23"/>
      <c r="KP192" s="23"/>
      <c r="KQ192" s="23"/>
      <c r="KR192" s="23"/>
      <c r="KS192" s="23"/>
      <c r="KT192" s="23"/>
      <c r="KU192" s="23"/>
      <c r="KV192" s="23"/>
      <c r="KW192" s="23"/>
      <c r="KX192" s="23"/>
      <c r="KY192" s="23"/>
      <c r="KZ192" s="23"/>
      <c r="LA192" s="23"/>
      <c r="LB192" s="23"/>
      <c r="LC192" s="23"/>
      <c r="LD192" s="23"/>
      <c r="LE192" s="23"/>
      <c r="LF192" s="23"/>
      <c r="LG192" s="23"/>
      <c r="LH192" s="23"/>
      <c r="LI192" s="23"/>
      <c r="LJ192" s="23"/>
      <c r="LK192" s="23"/>
      <c r="LL192" s="23"/>
      <c r="LM192" s="23"/>
      <c r="LN192" s="23"/>
      <c r="LO192" s="23"/>
      <c r="LP192" s="23"/>
      <c r="LQ192" s="23"/>
      <c r="LR192" s="23"/>
      <c r="LS192" s="23"/>
      <c r="LT192" s="23"/>
      <c r="LU192" s="23"/>
      <c r="LV192" s="23"/>
      <c r="LW192" s="23"/>
      <c r="LX192" s="23"/>
      <c r="LY192" s="23"/>
      <c r="LZ192" s="23"/>
      <c r="MA192" s="23"/>
      <c r="MB192" s="23"/>
      <c r="MC192" s="23"/>
      <c r="MD192" s="23"/>
      <c r="ME192" s="23"/>
      <c r="MF192" s="23"/>
      <c r="MG192" s="23"/>
      <c r="MH192" s="23"/>
      <c r="MI192" s="23"/>
      <c r="MJ192" s="23"/>
      <c r="MK192" s="23"/>
      <c r="ML192" s="23"/>
      <c r="MM192" s="23"/>
      <c r="MN192" s="23"/>
      <c r="MO192" s="23"/>
      <c r="MP192" s="23"/>
      <c r="MQ192" s="23"/>
      <c r="MR192" s="23"/>
      <c r="MS192" s="23"/>
      <c r="MT192" s="23"/>
      <c r="MU192" s="23"/>
      <c r="MV192" s="23"/>
      <c r="MW192" s="23"/>
      <c r="MX192" s="23"/>
      <c r="MY192" s="23"/>
      <c r="MZ192" s="23"/>
      <c r="NA192" s="23"/>
      <c r="NB192" s="23"/>
      <c r="NC192" s="23"/>
      <c r="ND192" s="23"/>
      <c r="NE192" s="23"/>
      <c r="NF192" s="23"/>
      <c r="NG192" s="23"/>
      <c r="NH192" s="23"/>
      <c r="NI192" s="23"/>
      <c r="NJ192" s="23"/>
      <c r="NK192" s="23"/>
      <c r="NL192" s="23"/>
      <c r="NM192" s="23"/>
      <c r="NN192" s="23"/>
    </row>
    <row r="193" spans="5:378" ht="15" customHeight="1"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  <c r="IZ193" s="23"/>
      <c r="JA193" s="23"/>
      <c r="JB193" s="23"/>
      <c r="JC193" s="23"/>
      <c r="JD193" s="23"/>
      <c r="JE193" s="23"/>
      <c r="JF193" s="23"/>
      <c r="JG193" s="23"/>
      <c r="JH193" s="23"/>
      <c r="JI193" s="23"/>
      <c r="JJ193" s="23"/>
      <c r="JK193" s="23"/>
      <c r="JL193" s="23"/>
      <c r="JM193" s="23"/>
      <c r="JN193" s="23"/>
      <c r="JO193" s="23"/>
      <c r="JP193" s="23"/>
      <c r="JQ193" s="23"/>
      <c r="JR193" s="23"/>
      <c r="JS193" s="23"/>
      <c r="JT193" s="23"/>
      <c r="JU193" s="23"/>
      <c r="JV193" s="23"/>
      <c r="JW193" s="23"/>
      <c r="JX193" s="23"/>
      <c r="JY193" s="23"/>
      <c r="JZ193" s="23"/>
      <c r="KA193" s="23"/>
      <c r="KB193" s="23"/>
      <c r="KC193" s="23"/>
      <c r="KD193" s="23"/>
      <c r="KE193" s="23"/>
      <c r="KF193" s="23"/>
      <c r="KG193" s="23"/>
      <c r="KH193" s="23"/>
      <c r="KI193" s="23"/>
      <c r="KJ193" s="23"/>
      <c r="KK193" s="23"/>
      <c r="KL193" s="23"/>
      <c r="KM193" s="23"/>
      <c r="KN193" s="23"/>
      <c r="KO193" s="23"/>
      <c r="KP193" s="23"/>
      <c r="KQ193" s="23"/>
      <c r="KR193" s="23"/>
      <c r="KS193" s="23"/>
      <c r="KT193" s="23"/>
      <c r="KU193" s="23"/>
      <c r="KV193" s="23"/>
      <c r="KW193" s="23"/>
      <c r="KX193" s="23"/>
      <c r="KY193" s="23"/>
      <c r="KZ193" s="23"/>
      <c r="LA193" s="23"/>
      <c r="LB193" s="23"/>
      <c r="LC193" s="23"/>
      <c r="LD193" s="23"/>
      <c r="LE193" s="23"/>
      <c r="LF193" s="23"/>
      <c r="LG193" s="23"/>
      <c r="LH193" s="23"/>
      <c r="LI193" s="23"/>
      <c r="LJ193" s="23"/>
      <c r="LK193" s="23"/>
      <c r="LL193" s="23"/>
      <c r="LM193" s="23"/>
      <c r="LN193" s="23"/>
      <c r="LO193" s="23"/>
      <c r="LP193" s="23"/>
      <c r="LQ193" s="23"/>
      <c r="LR193" s="23"/>
      <c r="LS193" s="23"/>
      <c r="LT193" s="23"/>
      <c r="LU193" s="23"/>
      <c r="LV193" s="23"/>
      <c r="LW193" s="23"/>
      <c r="LX193" s="23"/>
      <c r="LY193" s="23"/>
      <c r="LZ193" s="23"/>
      <c r="MA193" s="23"/>
      <c r="MB193" s="23"/>
      <c r="MC193" s="23"/>
      <c r="MD193" s="23"/>
      <c r="ME193" s="23"/>
      <c r="MF193" s="23"/>
      <c r="MG193" s="23"/>
      <c r="MH193" s="23"/>
      <c r="MI193" s="23"/>
      <c r="MJ193" s="23"/>
      <c r="MK193" s="23"/>
      <c r="ML193" s="23"/>
      <c r="MM193" s="23"/>
      <c r="MN193" s="23"/>
      <c r="MO193" s="23"/>
      <c r="MP193" s="23"/>
      <c r="MQ193" s="23"/>
      <c r="MR193" s="23"/>
      <c r="MS193" s="23"/>
      <c r="MT193" s="23"/>
      <c r="MU193" s="23"/>
      <c r="MV193" s="23"/>
      <c r="MW193" s="23"/>
      <c r="MX193" s="23"/>
      <c r="MY193" s="23"/>
      <c r="MZ193" s="23"/>
      <c r="NA193" s="23"/>
      <c r="NB193" s="23"/>
      <c r="NC193" s="23"/>
      <c r="ND193" s="23"/>
      <c r="NE193" s="23"/>
      <c r="NF193" s="23"/>
      <c r="NG193" s="23"/>
      <c r="NH193" s="23"/>
      <c r="NI193" s="23"/>
      <c r="NJ193" s="23"/>
      <c r="NK193" s="23"/>
      <c r="NL193" s="23"/>
      <c r="NM193" s="23"/>
      <c r="NN193" s="23"/>
    </row>
    <row r="194" spans="5:378" ht="15" customHeight="1"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  <c r="IZ194" s="23"/>
      <c r="JA194" s="23"/>
      <c r="JB194" s="23"/>
      <c r="JC194" s="23"/>
      <c r="JD194" s="23"/>
      <c r="JE194" s="23"/>
      <c r="JF194" s="23"/>
      <c r="JG194" s="23"/>
      <c r="JH194" s="23"/>
      <c r="JI194" s="23"/>
      <c r="JJ194" s="23"/>
      <c r="JK194" s="23"/>
      <c r="JL194" s="23"/>
      <c r="JM194" s="23"/>
      <c r="JN194" s="23"/>
      <c r="JO194" s="23"/>
      <c r="JP194" s="23"/>
      <c r="JQ194" s="23"/>
      <c r="JR194" s="23"/>
      <c r="JS194" s="23"/>
      <c r="JT194" s="23"/>
      <c r="JU194" s="23"/>
      <c r="JV194" s="23"/>
      <c r="JW194" s="23"/>
      <c r="JX194" s="23"/>
      <c r="JY194" s="23"/>
      <c r="JZ194" s="23"/>
      <c r="KA194" s="23"/>
      <c r="KB194" s="23"/>
      <c r="KC194" s="23"/>
      <c r="KD194" s="23"/>
      <c r="KE194" s="23"/>
      <c r="KF194" s="23"/>
      <c r="KG194" s="23"/>
      <c r="KH194" s="23"/>
      <c r="KI194" s="23"/>
      <c r="KJ194" s="23"/>
      <c r="KK194" s="23"/>
      <c r="KL194" s="23"/>
      <c r="KM194" s="23"/>
      <c r="KN194" s="23"/>
      <c r="KO194" s="23"/>
      <c r="KP194" s="23"/>
      <c r="KQ194" s="23"/>
      <c r="KR194" s="23"/>
      <c r="KS194" s="23"/>
      <c r="KT194" s="23"/>
      <c r="KU194" s="23"/>
      <c r="KV194" s="23"/>
      <c r="KW194" s="23"/>
      <c r="KX194" s="23"/>
      <c r="KY194" s="23"/>
      <c r="KZ194" s="23"/>
      <c r="LA194" s="23"/>
      <c r="LB194" s="23"/>
      <c r="LC194" s="23"/>
      <c r="LD194" s="23"/>
      <c r="LE194" s="23"/>
      <c r="LF194" s="23"/>
      <c r="LG194" s="23"/>
      <c r="LH194" s="23"/>
      <c r="LI194" s="23"/>
      <c r="LJ194" s="23"/>
      <c r="LK194" s="23"/>
      <c r="LL194" s="23"/>
      <c r="LM194" s="23"/>
      <c r="LN194" s="23"/>
      <c r="LO194" s="23"/>
      <c r="LP194" s="23"/>
      <c r="LQ194" s="23"/>
      <c r="LR194" s="23"/>
      <c r="LS194" s="23"/>
      <c r="LT194" s="23"/>
      <c r="LU194" s="23"/>
      <c r="LV194" s="23"/>
      <c r="LW194" s="23"/>
      <c r="LX194" s="23"/>
      <c r="LY194" s="23"/>
      <c r="LZ194" s="23"/>
      <c r="MA194" s="23"/>
      <c r="MB194" s="23"/>
      <c r="MC194" s="23"/>
      <c r="MD194" s="23"/>
      <c r="ME194" s="23"/>
      <c r="MF194" s="23"/>
      <c r="MG194" s="23"/>
      <c r="MH194" s="23"/>
      <c r="MI194" s="23"/>
      <c r="MJ194" s="23"/>
      <c r="MK194" s="23"/>
      <c r="ML194" s="23"/>
      <c r="MM194" s="23"/>
      <c r="MN194" s="23"/>
      <c r="MO194" s="23"/>
      <c r="MP194" s="23"/>
      <c r="MQ194" s="23"/>
      <c r="MR194" s="23"/>
      <c r="MS194" s="23"/>
      <c r="MT194" s="23"/>
      <c r="MU194" s="23"/>
      <c r="MV194" s="23"/>
      <c r="MW194" s="23"/>
      <c r="MX194" s="23"/>
      <c r="MY194" s="23"/>
      <c r="MZ194" s="23"/>
      <c r="NA194" s="23"/>
      <c r="NB194" s="23"/>
      <c r="NC194" s="23"/>
      <c r="ND194" s="23"/>
      <c r="NE194" s="23"/>
      <c r="NF194" s="23"/>
      <c r="NG194" s="23"/>
      <c r="NH194" s="23"/>
      <c r="NI194" s="23"/>
      <c r="NJ194" s="23"/>
      <c r="NK194" s="23"/>
      <c r="NL194" s="23"/>
      <c r="NM194" s="23"/>
      <c r="NN194" s="23"/>
    </row>
    <row r="195" spans="5:378" ht="15" customHeight="1"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  <c r="IZ195" s="23"/>
      <c r="JA195" s="23"/>
      <c r="JB195" s="23"/>
      <c r="JC195" s="23"/>
      <c r="JD195" s="23"/>
      <c r="JE195" s="23"/>
      <c r="JF195" s="23"/>
      <c r="JG195" s="23"/>
      <c r="JH195" s="23"/>
      <c r="JI195" s="23"/>
      <c r="JJ195" s="23"/>
      <c r="JK195" s="23"/>
      <c r="JL195" s="23"/>
      <c r="JM195" s="23"/>
      <c r="JN195" s="23"/>
      <c r="JO195" s="23"/>
      <c r="JP195" s="23"/>
      <c r="JQ195" s="23"/>
      <c r="JR195" s="23"/>
      <c r="JS195" s="23"/>
      <c r="JT195" s="23"/>
      <c r="JU195" s="23"/>
      <c r="JV195" s="23"/>
      <c r="JW195" s="23"/>
      <c r="JX195" s="23"/>
      <c r="JY195" s="23"/>
      <c r="JZ195" s="23"/>
      <c r="KA195" s="23"/>
      <c r="KB195" s="23"/>
      <c r="KC195" s="23"/>
      <c r="KD195" s="23"/>
      <c r="KE195" s="23"/>
      <c r="KF195" s="23"/>
      <c r="KG195" s="23"/>
      <c r="KH195" s="23"/>
      <c r="KI195" s="23"/>
      <c r="KJ195" s="23"/>
      <c r="KK195" s="23"/>
      <c r="KL195" s="23"/>
      <c r="KM195" s="23"/>
      <c r="KN195" s="23"/>
      <c r="KO195" s="23"/>
      <c r="KP195" s="23"/>
      <c r="KQ195" s="23"/>
      <c r="KR195" s="23"/>
      <c r="KS195" s="23"/>
      <c r="KT195" s="23"/>
      <c r="KU195" s="23"/>
      <c r="KV195" s="23"/>
      <c r="KW195" s="23"/>
      <c r="KX195" s="23"/>
      <c r="KY195" s="23"/>
      <c r="KZ195" s="23"/>
      <c r="LA195" s="23"/>
      <c r="LB195" s="23"/>
      <c r="LC195" s="23"/>
      <c r="LD195" s="23"/>
      <c r="LE195" s="23"/>
      <c r="LF195" s="23"/>
      <c r="LG195" s="23"/>
      <c r="LH195" s="23"/>
      <c r="LI195" s="23"/>
      <c r="LJ195" s="23"/>
      <c r="LK195" s="23"/>
      <c r="LL195" s="23"/>
      <c r="LM195" s="23"/>
      <c r="LN195" s="23"/>
      <c r="LO195" s="23"/>
      <c r="LP195" s="23"/>
      <c r="LQ195" s="23"/>
      <c r="LR195" s="23"/>
      <c r="LS195" s="23"/>
      <c r="LT195" s="23"/>
      <c r="LU195" s="23"/>
      <c r="LV195" s="23"/>
      <c r="LW195" s="23"/>
      <c r="LX195" s="23"/>
      <c r="LY195" s="23"/>
      <c r="LZ195" s="23"/>
      <c r="MA195" s="23"/>
      <c r="MB195" s="23"/>
      <c r="MC195" s="23"/>
      <c r="MD195" s="23"/>
      <c r="ME195" s="23"/>
      <c r="MF195" s="23"/>
      <c r="MG195" s="23"/>
      <c r="MH195" s="23"/>
      <c r="MI195" s="23"/>
      <c r="MJ195" s="23"/>
      <c r="MK195" s="23"/>
      <c r="ML195" s="23"/>
      <c r="MM195" s="23"/>
      <c r="MN195" s="23"/>
      <c r="MO195" s="23"/>
      <c r="MP195" s="23"/>
      <c r="MQ195" s="23"/>
      <c r="MR195" s="23"/>
      <c r="MS195" s="23"/>
      <c r="MT195" s="23"/>
      <c r="MU195" s="23"/>
      <c r="MV195" s="23"/>
      <c r="MW195" s="23"/>
      <c r="MX195" s="23"/>
      <c r="MY195" s="23"/>
      <c r="MZ195" s="23"/>
      <c r="NA195" s="23"/>
      <c r="NB195" s="23"/>
      <c r="NC195" s="23"/>
      <c r="ND195" s="23"/>
      <c r="NE195" s="23"/>
      <c r="NF195" s="23"/>
      <c r="NG195" s="23"/>
      <c r="NH195" s="23"/>
      <c r="NI195" s="23"/>
      <c r="NJ195" s="23"/>
      <c r="NK195" s="23"/>
      <c r="NL195" s="23"/>
      <c r="NM195" s="23"/>
      <c r="NN195" s="23"/>
    </row>
    <row r="196" spans="5:378" ht="15" customHeight="1"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  <c r="IZ196" s="23"/>
      <c r="JA196" s="23"/>
      <c r="JB196" s="23"/>
      <c r="JC196" s="23"/>
      <c r="JD196" s="23"/>
      <c r="JE196" s="23"/>
      <c r="JF196" s="23"/>
      <c r="JG196" s="23"/>
      <c r="JH196" s="23"/>
      <c r="JI196" s="23"/>
      <c r="JJ196" s="23"/>
      <c r="JK196" s="23"/>
      <c r="JL196" s="23"/>
      <c r="JM196" s="23"/>
      <c r="JN196" s="23"/>
      <c r="JO196" s="23"/>
      <c r="JP196" s="23"/>
      <c r="JQ196" s="23"/>
      <c r="JR196" s="23"/>
      <c r="JS196" s="23"/>
      <c r="JT196" s="23"/>
      <c r="JU196" s="23"/>
      <c r="JV196" s="23"/>
      <c r="JW196" s="23"/>
      <c r="JX196" s="23"/>
      <c r="JY196" s="23"/>
      <c r="JZ196" s="23"/>
      <c r="KA196" s="23"/>
      <c r="KB196" s="23"/>
      <c r="KC196" s="23"/>
      <c r="KD196" s="23"/>
      <c r="KE196" s="23"/>
      <c r="KF196" s="23"/>
      <c r="KG196" s="23"/>
      <c r="KH196" s="23"/>
      <c r="KI196" s="23"/>
      <c r="KJ196" s="23"/>
      <c r="KK196" s="23"/>
      <c r="KL196" s="23"/>
      <c r="KM196" s="23"/>
      <c r="KN196" s="23"/>
      <c r="KO196" s="23"/>
      <c r="KP196" s="23"/>
      <c r="KQ196" s="23"/>
      <c r="KR196" s="23"/>
      <c r="KS196" s="23"/>
      <c r="KT196" s="23"/>
      <c r="KU196" s="23"/>
      <c r="KV196" s="23"/>
      <c r="KW196" s="23"/>
      <c r="KX196" s="23"/>
      <c r="KY196" s="23"/>
      <c r="KZ196" s="23"/>
      <c r="LA196" s="23"/>
      <c r="LB196" s="23"/>
      <c r="LC196" s="23"/>
      <c r="LD196" s="23"/>
      <c r="LE196" s="23"/>
      <c r="LF196" s="23"/>
      <c r="LG196" s="23"/>
      <c r="LH196" s="23"/>
      <c r="LI196" s="23"/>
      <c r="LJ196" s="23"/>
      <c r="LK196" s="23"/>
      <c r="LL196" s="23"/>
      <c r="LM196" s="23"/>
      <c r="LN196" s="23"/>
      <c r="LO196" s="23"/>
      <c r="LP196" s="23"/>
      <c r="LQ196" s="23"/>
      <c r="LR196" s="23"/>
      <c r="LS196" s="23"/>
      <c r="LT196" s="23"/>
      <c r="LU196" s="23"/>
      <c r="LV196" s="23"/>
      <c r="LW196" s="23"/>
      <c r="LX196" s="23"/>
      <c r="LY196" s="23"/>
      <c r="LZ196" s="23"/>
      <c r="MA196" s="23"/>
      <c r="MB196" s="23"/>
      <c r="MC196" s="23"/>
      <c r="MD196" s="23"/>
      <c r="ME196" s="23"/>
      <c r="MF196" s="23"/>
      <c r="MG196" s="23"/>
      <c r="MH196" s="23"/>
      <c r="MI196" s="23"/>
      <c r="MJ196" s="23"/>
      <c r="MK196" s="23"/>
      <c r="ML196" s="23"/>
      <c r="MM196" s="23"/>
      <c r="MN196" s="23"/>
      <c r="MO196" s="23"/>
      <c r="MP196" s="23"/>
      <c r="MQ196" s="23"/>
      <c r="MR196" s="23"/>
      <c r="MS196" s="23"/>
      <c r="MT196" s="23"/>
      <c r="MU196" s="23"/>
      <c r="MV196" s="23"/>
      <c r="MW196" s="23"/>
      <c r="MX196" s="23"/>
      <c r="MY196" s="23"/>
      <c r="MZ196" s="23"/>
      <c r="NA196" s="23"/>
      <c r="NB196" s="23"/>
      <c r="NC196" s="23"/>
      <c r="ND196" s="23"/>
      <c r="NE196" s="23"/>
      <c r="NF196" s="23"/>
      <c r="NG196" s="23"/>
      <c r="NH196" s="23"/>
      <c r="NI196" s="23"/>
      <c r="NJ196" s="23"/>
      <c r="NK196" s="23"/>
      <c r="NL196" s="23"/>
      <c r="NM196" s="23"/>
      <c r="NN196" s="23"/>
    </row>
    <row r="197" spans="5:378" ht="15" customHeight="1"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  <c r="IZ197" s="23"/>
      <c r="JA197" s="23"/>
      <c r="JB197" s="23"/>
      <c r="JC197" s="23"/>
      <c r="JD197" s="23"/>
      <c r="JE197" s="23"/>
      <c r="JF197" s="23"/>
      <c r="JG197" s="23"/>
      <c r="JH197" s="23"/>
      <c r="JI197" s="23"/>
      <c r="JJ197" s="23"/>
      <c r="JK197" s="23"/>
      <c r="JL197" s="23"/>
      <c r="JM197" s="23"/>
      <c r="JN197" s="23"/>
      <c r="JO197" s="23"/>
      <c r="JP197" s="23"/>
      <c r="JQ197" s="23"/>
      <c r="JR197" s="23"/>
      <c r="JS197" s="23"/>
      <c r="JT197" s="23"/>
      <c r="JU197" s="23"/>
      <c r="JV197" s="23"/>
      <c r="JW197" s="23"/>
      <c r="JX197" s="23"/>
      <c r="JY197" s="23"/>
      <c r="JZ197" s="23"/>
      <c r="KA197" s="23"/>
      <c r="KB197" s="23"/>
      <c r="KC197" s="23"/>
      <c r="KD197" s="23"/>
      <c r="KE197" s="23"/>
      <c r="KF197" s="23"/>
      <c r="KG197" s="23"/>
      <c r="KH197" s="23"/>
      <c r="KI197" s="23"/>
      <c r="KJ197" s="23"/>
      <c r="KK197" s="23"/>
      <c r="KL197" s="23"/>
      <c r="KM197" s="23"/>
      <c r="KN197" s="23"/>
      <c r="KO197" s="23"/>
      <c r="KP197" s="23"/>
      <c r="KQ197" s="23"/>
      <c r="KR197" s="23"/>
      <c r="KS197" s="23"/>
      <c r="KT197" s="23"/>
      <c r="KU197" s="23"/>
      <c r="KV197" s="23"/>
      <c r="KW197" s="23"/>
      <c r="KX197" s="23"/>
      <c r="KY197" s="23"/>
      <c r="KZ197" s="23"/>
      <c r="LA197" s="23"/>
      <c r="LB197" s="23"/>
      <c r="LC197" s="23"/>
      <c r="LD197" s="23"/>
      <c r="LE197" s="23"/>
      <c r="LF197" s="23"/>
      <c r="LG197" s="23"/>
      <c r="LH197" s="23"/>
      <c r="LI197" s="23"/>
      <c r="LJ197" s="23"/>
      <c r="LK197" s="23"/>
      <c r="LL197" s="23"/>
      <c r="LM197" s="23"/>
      <c r="LN197" s="23"/>
      <c r="LO197" s="23"/>
      <c r="LP197" s="23"/>
      <c r="LQ197" s="23"/>
      <c r="LR197" s="23"/>
      <c r="LS197" s="23"/>
      <c r="LT197" s="23"/>
      <c r="LU197" s="23"/>
      <c r="LV197" s="23"/>
      <c r="LW197" s="23"/>
      <c r="LX197" s="23"/>
      <c r="LY197" s="23"/>
      <c r="LZ197" s="23"/>
      <c r="MA197" s="23"/>
      <c r="MB197" s="23"/>
      <c r="MC197" s="23"/>
      <c r="MD197" s="23"/>
      <c r="ME197" s="23"/>
      <c r="MF197" s="23"/>
      <c r="MG197" s="23"/>
      <c r="MH197" s="23"/>
      <c r="MI197" s="23"/>
      <c r="MJ197" s="23"/>
      <c r="MK197" s="23"/>
      <c r="ML197" s="23"/>
      <c r="MM197" s="23"/>
      <c r="MN197" s="23"/>
      <c r="MO197" s="23"/>
      <c r="MP197" s="23"/>
      <c r="MQ197" s="23"/>
      <c r="MR197" s="23"/>
      <c r="MS197" s="23"/>
      <c r="MT197" s="23"/>
      <c r="MU197" s="23"/>
      <c r="MV197" s="23"/>
      <c r="MW197" s="23"/>
      <c r="MX197" s="23"/>
      <c r="MY197" s="23"/>
      <c r="MZ197" s="23"/>
      <c r="NA197" s="23"/>
      <c r="NB197" s="23"/>
      <c r="NC197" s="23"/>
      <c r="ND197" s="23"/>
      <c r="NE197" s="23"/>
      <c r="NF197" s="23"/>
      <c r="NG197" s="23"/>
      <c r="NH197" s="23"/>
      <c r="NI197" s="23"/>
      <c r="NJ197" s="23"/>
      <c r="NK197" s="23"/>
      <c r="NL197" s="23"/>
      <c r="NM197" s="23"/>
      <c r="NN197" s="23"/>
    </row>
    <row r="198" spans="5:378" ht="15" customHeight="1"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  <c r="IZ198" s="23"/>
      <c r="JA198" s="23"/>
      <c r="JB198" s="23"/>
      <c r="JC198" s="23"/>
      <c r="JD198" s="23"/>
      <c r="JE198" s="23"/>
      <c r="JF198" s="23"/>
      <c r="JG198" s="23"/>
      <c r="JH198" s="23"/>
      <c r="JI198" s="23"/>
      <c r="JJ198" s="23"/>
      <c r="JK198" s="23"/>
      <c r="JL198" s="23"/>
      <c r="JM198" s="23"/>
      <c r="JN198" s="23"/>
      <c r="JO198" s="23"/>
      <c r="JP198" s="23"/>
      <c r="JQ198" s="23"/>
      <c r="JR198" s="23"/>
      <c r="JS198" s="23"/>
      <c r="JT198" s="23"/>
      <c r="JU198" s="23"/>
      <c r="JV198" s="23"/>
      <c r="JW198" s="23"/>
      <c r="JX198" s="23"/>
      <c r="JY198" s="23"/>
      <c r="JZ198" s="23"/>
      <c r="KA198" s="23"/>
      <c r="KB198" s="23"/>
      <c r="KC198" s="23"/>
      <c r="KD198" s="23"/>
      <c r="KE198" s="23"/>
      <c r="KF198" s="23"/>
      <c r="KG198" s="23"/>
      <c r="KH198" s="23"/>
      <c r="KI198" s="23"/>
      <c r="KJ198" s="23"/>
      <c r="KK198" s="23"/>
      <c r="KL198" s="23"/>
      <c r="KM198" s="23"/>
      <c r="KN198" s="23"/>
      <c r="KO198" s="23"/>
      <c r="KP198" s="23"/>
      <c r="KQ198" s="23"/>
      <c r="KR198" s="23"/>
      <c r="KS198" s="23"/>
      <c r="KT198" s="23"/>
      <c r="KU198" s="23"/>
      <c r="KV198" s="23"/>
      <c r="KW198" s="23"/>
      <c r="KX198" s="23"/>
      <c r="KY198" s="23"/>
      <c r="KZ198" s="23"/>
      <c r="LA198" s="23"/>
      <c r="LB198" s="23"/>
      <c r="LC198" s="23"/>
      <c r="LD198" s="23"/>
      <c r="LE198" s="23"/>
      <c r="LF198" s="23"/>
      <c r="LG198" s="23"/>
      <c r="LH198" s="23"/>
      <c r="LI198" s="23"/>
      <c r="LJ198" s="23"/>
      <c r="LK198" s="23"/>
      <c r="LL198" s="23"/>
      <c r="LM198" s="23"/>
      <c r="LN198" s="23"/>
      <c r="LO198" s="23"/>
      <c r="LP198" s="23"/>
      <c r="LQ198" s="23"/>
      <c r="LR198" s="23"/>
      <c r="LS198" s="23"/>
      <c r="LT198" s="23"/>
      <c r="LU198" s="23"/>
      <c r="LV198" s="23"/>
      <c r="LW198" s="23"/>
      <c r="LX198" s="23"/>
      <c r="LY198" s="23"/>
      <c r="LZ198" s="23"/>
      <c r="MA198" s="23"/>
      <c r="MB198" s="23"/>
      <c r="MC198" s="23"/>
      <c r="MD198" s="23"/>
      <c r="ME198" s="23"/>
      <c r="MF198" s="23"/>
      <c r="MG198" s="23"/>
      <c r="MH198" s="23"/>
      <c r="MI198" s="23"/>
      <c r="MJ198" s="23"/>
      <c r="MK198" s="23"/>
      <c r="ML198" s="23"/>
      <c r="MM198" s="23"/>
      <c r="MN198" s="23"/>
      <c r="MO198" s="23"/>
      <c r="MP198" s="23"/>
      <c r="MQ198" s="23"/>
      <c r="MR198" s="23"/>
      <c r="MS198" s="23"/>
      <c r="MT198" s="23"/>
      <c r="MU198" s="23"/>
      <c r="MV198" s="23"/>
      <c r="MW198" s="23"/>
      <c r="MX198" s="23"/>
      <c r="MY198" s="23"/>
      <c r="MZ198" s="23"/>
      <c r="NA198" s="23"/>
      <c r="NB198" s="23"/>
      <c r="NC198" s="23"/>
      <c r="ND198" s="23"/>
      <c r="NE198" s="23"/>
      <c r="NF198" s="23"/>
      <c r="NG198" s="23"/>
      <c r="NH198" s="23"/>
      <c r="NI198" s="23"/>
      <c r="NJ198" s="23"/>
      <c r="NK198" s="23"/>
      <c r="NL198" s="23"/>
      <c r="NM198" s="23"/>
      <c r="NN198" s="23"/>
    </row>
    <row r="199" spans="5:378" ht="15" customHeight="1"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  <c r="IZ199" s="23"/>
      <c r="JA199" s="23"/>
      <c r="JB199" s="23"/>
      <c r="JC199" s="23"/>
      <c r="JD199" s="23"/>
      <c r="JE199" s="23"/>
      <c r="JF199" s="23"/>
      <c r="JG199" s="23"/>
      <c r="JH199" s="23"/>
      <c r="JI199" s="23"/>
      <c r="JJ199" s="23"/>
      <c r="JK199" s="23"/>
      <c r="JL199" s="23"/>
      <c r="JM199" s="23"/>
      <c r="JN199" s="23"/>
      <c r="JO199" s="23"/>
      <c r="JP199" s="23"/>
      <c r="JQ199" s="23"/>
      <c r="JR199" s="23"/>
      <c r="JS199" s="23"/>
      <c r="JT199" s="23"/>
      <c r="JU199" s="23"/>
      <c r="JV199" s="23"/>
      <c r="JW199" s="23"/>
      <c r="JX199" s="23"/>
      <c r="JY199" s="23"/>
      <c r="JZ199" s="23"/>
      <c r="KA199" s="23"/>
      <c r="KB199" s="23"/>
      <c r="KC199" s="23"/>
      <c r="KD199" s="23"/>
      <c r="KE199" s="23"/>
      <c r="KF199" s="23"/>
      <c r="KG199" s="23"/>
      <c r="KH199" s="23"/>
      <c r="KI199" s="23"/>
      <c r="KJ199" s="23"/>
      <c r="KK199" s="23"/>
      <c r="KL199" s="23"/>
      <c r="KM199" s="23"/>
      <c r="KN199" s="23"/>
      <c r="KO199" s="23"/>
      <c r="KP199" s="23"/>
      <c r="KQ199" s="23"/>
      <c r="KR199" s="23"/>
      <c r="KS199" s="23"/>
      <c r="KT199" s="23"/>
      <c r="KU199" s="23"/>
      <c r="KV199" s="23"/>
      <c r="KW199" s="23"/>
      <c r="KX199" s="23"/>
      <c r="KY199" s="23"/>
      <c r="KZ199" s="23"/>
      <c r="LA199" s="23"/>
      <c r="LB199" s="23"/>
      <c r="LC199" s="23"/>
      <c r="LD199" s="23"/>
      <c r="LE199" s="23"/>
      <c r="LF199" s="23"/>
      <c r="LG199" s="23"/>
      <c r="LH199" s="23"/>
      <c r="LI199" s="23"/>
      <c r="LJ199" s="23"/>
      <c r="LK199" s="23"/>
      <c r="LL199" s="23"/>
      <c r="LM199" s="23"/>
      <c r="LN199" s="23"/>
      <c r="LO199" s="23"/>
      <c r="LP199" s="23"/>
      <c r="LQ199" s="23"/>
      <c r="LR199" s="23"/>
      <c r="LS199" s="23"/>
      <c r="LT199" s="23"/>
      <c r="LU199" s="23"/>
      <c r="LV199" s="23"/>
      <c r="LW199" s="23"/>
      <c r="LX199" s="23"/>
      <c r="LY199" s="23"/>
      <c r="LZ199" s="23"/>
      <c r="MA199" s="23"/>
      <c r="MB199" s="23"/>
      <c r="MC199" s="23"/>
      <c r="MD199" s="23"/>
      <c r="ME199" s="23"/>
      <c r="MF199" s="23"/>
      <c r="MG199" s="23"/>
      <c r="MH199" s="23"/>
      <c r="MI199" s="23"/>
      <c r="MJ199" s="23"/>
      <c r="MK199" s="23"/>
      <c r="ML199" s="23"/>
      <c r="MM199" s="23"/>
      <c r="MN199" s="23"/>
      <c r="MO199" s="23"/>
      <c r="MP199" s="23"/>
      <c r="MQ199" s="23"/>
      <c r="MR199" s="23"/>
      <c r="MS199" s="23"/>
      <c r="MT199" s="23"/>
      <c r="MU199" s="23"/>
      <c r="MV199" s="23"/>
      <c r="MW199" s="23"/>
      <c r="MX199" s="23"/>
      <c r="MY199" s="23"/>
      <c r="MZ199" s="23"/>
      <c r="NA199" s="23"/>
      <c r="NB199" s="23"/>
      <c r="NC199" s="23"/>
      <c r="ND199" s="23"/>
      <c r="NE199" s="23"/>
      <c r="NF199" s="23"/>
      <c r="NG199" s="23"/>
      <c r="NH199" s="23"/>
      <c r="NI199" s="23"/>
      <c r="NJ199" s="23"/>
      <c r="NK199" s="23"/>
      <c r="NL199" s="23"/>
      <c r="NM199" s="23"/>
      <c r="NN199" s="23"/>
    </row>
    <row r="200" spans="5:378" ht="15" customHeight="1"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  <c r="IZ200" s="23"/>
      <c r="JA200" s="23"/>
      <c r="JB200" s="23"/>
      <c r="JC200" s="23"/>
      <c r="JD200" s="23"/>
      <c r="JE200" s="23"/>
      <c r="JF200" s="23"/>
      <c r="JG200" s="23"/>
      <c r="JH200" s="23"/>
      <c r="JI200" s="23"/>
      <c r="JJ200" s="23"/>
      <c r="JK200" s="23"/>
      <c r="JL200" s="23"/>
      <c r="JM200" s="23"/>
      <c r="JN200" s="23"/>
      <c r="JO200" s="23"/>
      <c r="JP200" s="23"/>
      <c r="JQ200" s="23"/>
      <c r="JR200" s="23"/>
      <c r="JS200" s="23"/>
      <c r="JT200" s="23"/>
      <c r="JU200" s="23"/>
      <c r="JV200" s="23"/>
      <c r="JW200" s="23"/>
      <c r="JX200" s="23"/>
      <c r="JY200" s="23"/>
      <c r="JZ200" s="23"/>
      <c r="KA200" s="23"/>
      <c r="KB200" s="23"/>
      <c r="KC200" s="23"/>
      <c r="KD200" s="23"/>
      <c r="KE200" s="23"/>
      <c r="KF200" s="23"/>
      <c r="KG200" s="23"/>
      <c r="KH200" s="23"/>
      <c r="KI200" s="23"/>
      <c r="KJ200" s="23"/>
      <c r="KK200" s="23"/>
      <c r="KL200" s="23"/>
      <c r="KM200" s="23"/>
      <c r="KN200" s="23"/>
      <c r="KO200" s="23"/>
      <c r="KP200" s="23"/>
      <c r="KQ200" s="23"/>
      <c r="KR200" s="23"/>
      <c r="KS200" s="23"/>
      <c r="KT200" s="23"/>
      <c r="KU200" s="23"/>
      <c r="KV200" s="23"/>
      <c r="KW200" s="23"/>
      <c r="KX200" s="23"/>
      <c r="KY200" s="23"/>
      <c r="KZ200" s="23"/>
      <c r="LA200" s="23"/>
      <c r="LB200" s="23"/>
      <c r="LC200" s="23"/>
      <c r="LD200" s="23"/>
      <c r="LE200" s="23"/>
      <c r="LF200" s="23"/>
      <c r="LG200" s="23"/>
      <c r="LH200" s="23"/>
      <c r="LI200" s="23"/>
      <c r="LJ200" s="23"/>
      <c r="LK200" s="23"/>
      <c r="LL200" s="23"/>
      <c r="LM200" s="23"/>
      <c r="LN200" s="23"/>
      <c r="LO200" s="23"/>
      <c r="LP200" s="23"/>
      <c r="LQ200" s="23"/>
      <c r="LR200" s="23"/>
      <c r="LS200" s="23"/>
      <c r="LT200" s="23"/>
      <c r="LU200" s="23"/>
      <c r="LV200" s="23"/>
      <c r="LW200" s="23"/>
      <c r="LX200" s="23"/>
      <c r="LY200" s="23"/>
      <c r="LZ200" s="23"/>
      <c r="MA200" s="23"/>
      <c r="MB200" s="23"/>
      <c r="MC200" s="23"/>
      <c r="MD200" s="23"/>
      <c r="ME200" s="23"/>
      <c r="MF200" s="23"/>
      <c r="MG200" s="23"/>
      <c r="MH200" s="23"/>
      <c r="MI200" s="23"/>
      <c r="MJ200" s="23"/>
      <c r="MK200" s="23"/>
      <c r="ML200" s="23"/>
      <c r="MM200" s="23"/>
      <c r="MN200" s="23"/>
      <c r="MO200" s="23"/>
      <c r="MP200" s="23"/>
      <c r="MQ200" s="23"/>
      <c r="MR200" s="23"/>
      <c r="MS200" s="23"/>
      <c r="MT200" s="23"/>
      <c r="MU200" s="23"/>
      <c r="MV200" s="23"/>
      <c r="MW200" s="23"/>
      <c r="MX200" s="23"/>
      <c r="MY200" s="23"/>
      <c r="MZ200" s="23"/>
      <c r="NA200" s="23"/>
      <c r="NB200" s="23"/>
      <c r="NC200" s="23"/>
      <c r="ND200" s="23"/>
      <c r="NE200" s="23"/>
      <c r="NF200" s="23"/>
      <c r="NG200" s="23"/>
      <c r="NH200" s="23"/>
      <c r="NI200" s="23"/>
      <c r="NJ200" s="23"/>
      <c r="NK200" s="23"/>
      <c r="NL200" s="23"/>
      <c r="NM200" s="23"/>
      <c r="NN200" s="23"/>
    </row>
    <row r="201" spans="5:378" ht="15" customHeight="1"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  <c r="IZ201" s="23"/>
      <c r="JA201" s="23"/>
      <c r="JB201" s="23"/>
      <c r="JC201" s="23"/>
      <c r="JD201" s="23"/>
      <c r="JE201" s="23"/>
      <c r="JF201" s="23"/>
      <c r="JG201" s="23"/>
      <c r="JH201" s="23"/>
      <c r="JI201" s="23"/>
      <c r="JJ201" s="23"/>
      <c r="JK201" s="23"/>
      <c r="JL201" s="23"/>
      <c r="JM201" s="23"/>
      <c r="JN201" s="23"/>
      <c r="JO201" s="23"/>
      <c r="JP201" s="23"/>
      <c r="JQ201" s="23"/>
      <c r="JR201" s="23"/>
      <c r="JS201" s="23"/>
      <c r="JT201" s="23"/>
      <c r="JU201" s="23"/>
      <c r="JV201" s="23"/>
      <c r="JW201" s="23"/>
      <c r="JX201" s="23"/>
      <c r="JY201" s="23"/>
      <c r="JZ201" s="23"/>
      <c r="KA201" s="23"/>
      <c r="KB201" s="23"/>
      <c r="KC201" s="23"/>
      <c r="KD201" s="23"/>
      <c r="KE201" s="23"/>
      <c r="KF201" s="23"/>
      <c r="KG201" s="23"/>
      <c r="KH201" s="23"/>
      <c r="KI201" s="23"/>
      <c r="KJ201" s="23"/>
      <c r="KK201" s="23"/>
      <c r="KL201" s="23"/>
      <c r="KM201" s="23"/>
      <c r="KN201" s="23"/>
      <c r="KO201" s="23"/>
      <c r="KP201" s="23"/>
      <c r="KQ201" s="23"/>
      <c r="KR201" s="23"/>
      <c r="KS201" s="23"/>
      <c r="KT201" s="23"/>
      <c r="KU201" s="23"/>
      <c r="KV201" s="23"/>
      <c r="KW201" s="23"/>
      <c r="KX201" s="23"/>
      <c r="KY201" s="23"/>
      <c r="KZ201" s="23"/>
      <c r="LA201" s="23"/>
      <c r="LB201" s="23"/>
      <c r="LC201" s="23"/>
      <c r="LD201" s="23"/>
      <c r="LE201" s="23"/>
      <c r="LF201" s="23"/>
      <c r="LG201" s="23"/>
      <c r="LH201" s="23"/>
      <c r="LI201" s="23"/>
      <c r="LJ201" s="23"/>
      <c r="LK201" s="23"/>
      <c r="LL201" s="23"/>
      <c r="LM201" s="23"/>
      <c r="LN201" s="23"/>
      <c r="LO201" s="23"/>
      <c r="LP201" s="23"/>
      <c r="LQ201" s="23"/>
      <c r="LR201" s="23"/>
      <c r="LS201" s="23"/>
      <c r="LT201" s="23"/>
      <c r="LU201" s="23"/>
      <c r="LV201" s="23"/>
      <c r="LW201" s="23"/>
      <c r="LX201" s="23"/>
      <c r="LY201" s="23"/>
      <c r="LZ201" s="23"/>
      <c r="MA201" s="23"/>
      <c r="MB201" s="23"/>
      <c r="MC201" s="23"/>
      <c r="MD201" s="23"/>
      <c r="ME201" s="23"/>
      <c r="MF201" s="23"/>
      <c r="MG201" s="23"/>
      <c r="MH201" s="23"/>
      <c r="MI201" s="23"/>
      <c r="MJ201" s="23"/>
      <c r="MK201" s="23"/>
      <c r="ML201" s="23"/>
      <c r="MM201" s="23"/>
      <c r="MN201" s="23"/>
      <c r="MO201" s="23"/>
      <c r="MP201" s="23"/>
      <c r="MQ201" s="23"/>
      <c r="MR201" s="23"/>
      <c r="MS201" s="23"/>
      <c r="MT201" s="23"/>
      <c r="MU201" s="23"/>
      <c r="MV201" s="23"/>
      <c r="MW201" s="23"/>
      <c r="MX201" s="23"/>
      <c r="MY201" s="23"/>
      <c r="MZ201" s="23"/>
      <c r="NA201" s="23"/>
      <c r="NB201" s="23"/>
      <c r="NC201" s="23"/>
      <c r="ND201" s="23"/>
      <c r="NE201" s="23"/>
      <c r="NF201" s="23"/>
      <c r="NG201" s="23"/>
      <c r="NH201" s="23"/>
      <c r="NI201" s="23"/>
      <c r="NJ201" s="23"/>
      <c r="NK201" s="23"/>
      <c r="NL201" s="23"/>
      <c r="NM201" s="23"/>
      <c r="NN201" s="23"/>
    </row>
    <row r="202" spans="5:378" ht="15" customHeight="1"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  <c r="IZ202" s="23"/>
      <c r="JA202" s="23"/>
      <c r="JB202" s="23"/>
      <c r="JC202" s="23"/>
      <c r="JD202" s="23"/>
      <c r="JE202" s="23"/>
      <c r="JF202" s="23"/>
      <c r="JG202" s="23"/>
      <c r="JH202" s="23"/>
      <c r="JI202" s="23"/>
      <c r="JJ202" s="23"/>
      <c r="JK202" s="23"/>
      <c r="JL202" s="23"/>
      <c r="JM202" s="23"/>
      <c r="JN202" s="23"/>
      <c r="JO202" s="23"/>
      <c r="JP202" s="23"/>
      <c r="JQ202" s="23"/>
      <c r="JR202" s="23"/>
      <c r="JS202" s="23"/>
      <c r="JT202" s="23"/>
      <c r="JU202" s="23"/>
      <c r="JV202" s="23"/>
      <c r="JW202" s="23"/>
      <c r="JX202" s="23"/>
      <c r="JY202" s="23"/>
      <c r="JZ202" s="23"/>
      <c r="KA202" s="23"/>
      <c r="KB202" s="23"/>
      <c r="KC202" s="23"/>
      <c r="KD202" s="23"/>
      <c r="KE202" s="23"/>
      <c r="KF202" s="23"/>
      <c r="KG202" s="23"/>
      <c r="KH202" s="23"/>
      <c r="KI202" s="23"/>
      <c r="KJ202" s="23"/>
      <c r="KK202" s="23"/>
      <c r="KL202" s="23"/>
      <c r="KM202" s="23"/>
      <c r="KN202" s="23"/>
      <c r="KO202" s="23"/>
      <c r="KP202" s="23"/>
      <c r="KQ202" s="23"/>
      <c r="KR202" s="23"/>
      <c r="KS202" s="23"/>
      <c r="KT202" s="23"/>
      <c r="KU202" s="23"/>
      <c r="KV202" s="23"/>
      <c r="KW202" s="23"/>
      <c r="KX202" s="23"/>
      <c r="KY202" s="23"/>
      <c r="KZ202" s="23"/>
      <c r="LA202" s="23"/>
      <c r="LB202" s="23"/>
      <c r="LC202" s="23"/>
      <c r="LD202" s="23"/>
      <c r="LE202" s="23"/>
      <c r="LF202" s="23"/>
      <c r="LG202" s="23"/>
      <c r="LH202" s="23"/>
      <c r="LI202" s="23"/>
      <c r="LJ202" s="23"/>
      <c r="LK202" s="23"/>
      <c r="LL202" s="23"/>
      <c r="LM202" s="23"/>
      <c r="LN202" s="23"/>
      <c r="LO202" s="23"/>
      <c r="LP202" s="23"/>
      <c r="LQ202" s="23"/>
      <c r="LR202" s="23"/>
      <c r="LS202" s="23"/>
      <c r="LT202" s="23"/>
      <c r="LU202" s="23"/>
      <c r="LV202" s="23"/>
      <c r="LW202" s="23"/>
      <c r="LX202" s="23"/>
      <c r="LY202" s="23"/>
      <c r="LZ202" s="23"/>
      <c r="MA202" s="23"/>
      <c r="MB202" s="23"/>
      <c r="MC202" s="23"/>
      <c r="MD202" s="23"/>
      <c r="ME202" s="23"/>
      <c r="MF202" s="23"/>
      <c r="MG202" s="23"/>
      <c r="MH202" s="23"/>
      <c r="MI202" s="23"/>
      <c r="MJ202" s="23"/>
      <c r="MK202" s="23"/>
      <c r="ML202" s="23"/>
      <c r="MM202" s="23"/>
      <c r="MN202" s="23"/>
      <c r="MO202" s="23"/>
      <c r="MP202" s="23"/>
      <c r="MQ202" s="23"/>
      <c r="MR202" s="23"/>
      <c r="MS202" s="23"/>
      <c r="MT202" s="23"/>
      <c r="MU202" s="23"/>
      <c r="MV202" s="23"/>
      <c r="MW202" s="23"/>
      <c r="MX202" s="23"/>
      <c r="MY202" s="23"/>
      <c r="MZ202" s="23"/>
      <c r="NA202" s="23"/>
      <c r="NB202" s="23"/>
      <c r="NC202" s="23"/>
      <c r="ND202" s="23"/>
      <c r="NE202" s="23"/>
      <c r="NF202" s="23"/>
      <c r="NG202" s="23"/>
      <c r="NH202" s="23"/>
      <c r="NI202" s="23"/>
      <c r="NJ202" s="23"/>
      <c r="NK202" s="23"/>
      <c r="NL202" s="23"/>
      <c r="NM202" s="23"/>
      <c r="NN202" s="23"/>
    </row>
    <row r="203" spans="5:378" ht="15" customHeight="1"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  <c r="IZ203" s="23"/>
      <c r="JA203" s="23"/>
      <c r="JB203" s="23"/>
      <c r="JC203" s="23"/>
      <c r="JD203" s="23"/>
      <c r="JE203" s="23"/>
      <c r="JF203" s="23"/>
      <c r="JG203" s="23"/>
      <c r="JH203" s="23"/>
      <c r="JI203" s="23"/>
      <c r="JJ203" s="23"/>
      <c r="JK203" s="23"/>
      <c r="JL203" s="23"/>
      <c r="JM203" s="23"/>
      <c r="JN203" s="23"/>
      <c r="JO203" s="23"/>
      <c r="JP203" s="23"/>
      <c r="JQ203" s="23"/>
      <c r="JR203" s="23"/>
      <c r="JS203" s="23"/>
      <c r="JT203" s="23"/>
      <c r="JU203" s="23"/>
      <c r="JV203" s="23"/>
      <c r="JW203" s="23"/>
      <c r="JX203" s="23"/>
      <c r="JY203" s="23"/>
      <c r="JZ203" s="23"/>
      <c r="KA203" s="23"/>
      <c r="KB203" s="23"/>
      <c r="KC203" s="23"/>
      <c r="KD203" s="23"/>
      <c r="KE203" s="23"/>
      <c r="KF203" s="23"/>
      <c r="KG203" s="23"/>
      <c r="KH203" s="23"/>
      <c r="KI203" s="23"/>
      <c r="KJ203" s="23"/>
      <c r="KK203" s="23"/>
      <c r="KL203" s="23"/>
      <c r="KM203" s="23"/>
      <c r="KN203" s="23"/>
      <c r="KO203" s="23"/>
      <c r="KP203" s="23"/>
      <c r="KQ203" s="23"/>
      <c r="KR203" s="23"/>
      <c r="KS203" s="23"/>
      <c r="KT203" s="23"/>
      <c r="KU203" s="23"/>
      <c r="KV203" s="23"/>
      <c r="KW203" s="23"/>
      <c r="KX203" s="23"/>
      <c r="KY203" s="23"/>
      <c r="KZ203" s="23"/>
      <c r="LA203" s="23"/>
      <c r="LB203" s="23"/>
      <c r="LC203" s="23"/>
      <c r="LD203" s="23"/>
      <c r="LE203" s="23"/>
      <c r="LF203" s="23"/>
      <c r="LG203" s="23"/>
      <c r="LH203" s="23"/>
      <c r="LI203" s="23"/>
      <c r="LJ203" s="23"/>
      <c r="LK203" s="23"/>
      <c r="LL203" s="23"/>
      <c r="LM203" s="23"/>
      <c r="LN203" s="23"/>
      <c r="LO203" s="23"/>
      <c r="LP203" s="23"/>
      <c r="LQ203" s="23"/>
      <c r="LR203" s="23"/>
      <c r="LS203" s="23"/>
      <c r="LT203" s="23"/>
      <c r="LU203" s="23"/>
      <c r="LV203" s="23"/>
      <c r="LW203" s="23"/>
      <c r="LX203" s="23"/>
      <c r="LY203" s="23"/>
      <c r="LZ203" s="23"/>
      <c r="MA203" s="23"/>
      <c r="MB203" s="23"/>
      <c r="MC203" s="23"/>
      <c r="MD203" s="23"/>
      <c r="ME203" s="23"/>
      <c r="MF203" s="23"/>
      <c r="MG203" s="23"/>
      <c r="MH203" s="23"/>
      <c r="MI203" s="23"/>
      <c r="MJ203" s="23"/>
      <c r="MK203" s="23"/>
      <c r="ML203" s="23"/>
      <c r="MM203" s="23"/>
      <c r="MN203" s="23"/>
      <c r="MO203" s="23"/>
      <c r="MP203" s="23"/>
      <c r="MQ203" s="23"/>
      <c r="MR203" s="23"/>
      <c r="MS203" s="23"/>
      <c r="MT203" s="23"/>
      <c r="MU203" s="23"/>
      <c r="MV203" s="23"/>
      <c r="MW203" s="23"/>
      <c r="MX203" s="23"/>
      <c r="MY203" s="23"/>
      <c r="MZ203" s="23"/>
      <c r="NA203" s="23"/>
      <c r="NB203" s="23"/>
      <c r="NC203" s="23"/>
      <c r="ND203" s="23"/>
      <c r="NE203" s="23"/>
      <c r="NF203" s="23"/>
      <c r="NG203" s="23"/>
      <c r="NH203" s="23"/>
      <c r="NI203" s="23"/>
      <c r="NJ203" s="23"/>
      <c r="NK203" s="23"/>
      <c r="NL203" s="23"/>
      <c r="NM203" s="23"/>
      <c r="NN203" s="23"/>
    </row>
    <row r="204" spans="5:378" ht="15" customHeight="1"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  <c r="IZ204" s="23"/>
      <c r="JA204" s="23"/>
      <c r="JB204" s="23"/>
      <c r="JC204" s="23"/>
      <c r="JD204" s="23"/>
      <c r="JE204" s="23"/>
      <c r="JF204" s="23"/>
      <c r="JG204" s="23"/>
      <c r="JH204" s="23"/>
      <c r="JI204" s="23"/>
      <c r="JJ204" s="23"/>
      <c r="JK204" s="23"/>
      <c r="JL204" s="23"/>
      <c r="JM204" s="23"/>
      <c r="JN204" s="23"/>
      <c r="JO204" s="23"/>
      <c r="JP204" s="23"/>
      <c r="JQ204" s="23"/>
      <c r="JR204" s="23"/>
      <c r="JS204" s="23"/>
      <c r="JT204" s="23"/>
      <c r="JU204" s="23"/>
      <c r="JV204" s="23"/>
      <c r="JW204" s="23"/>
      <c r="JX204" s="23"/>
      <c r="JY204" s="23"/>
      <c r="JZ204" s="23"/>
      <c r="KA204" s="23"/>
      <c r="KB204" s="23"/>
      <c r="KC204" s="23"/>
      <c r="KD204" s="23"/>
      <c r="KE204" s="23"/>
      <c r="KF204" s="23"/>
      <c r="KG204" s="23"/>
      <c r="KH204" s="23"/>
      <c r="KI204" s="23"/>
      <c r="KJ204" s="23"/>
      <c r="KK204" s="23"/>
      <c r="KL204" s="23"/>
      <c r="KM204" s="23"/>
      <c r="KN204" s="23"/>
      <c r="KO204" s="23"/>
      <c r="KP204" s="23"/>
      <c r="KQ204" s="23"/>
      <c r="KR204" s="23"/>
      <c r="KS204" s="23"/>
      <c r="KT204" s="23"/>
      <c r="KU204" s="23"/>
      <c r="KV204" s="23"/>
      <c r="KW204" s="23"/>
      <c r="KX204" s="23"/>
      <c r="KY204" s="23"/>
      <c r="KZ204" s="23"/>
      <c r="LA204" s="23"/>
      <c r="LB204" s="23"/>
      <c r="LC204" s="23"/>
      <c r="LD204" s="23"/>
      <c r="LE204" s="23"/>
      <c r="LF204" s="23"/>
      <c r="LG204" s="23"/>
      <c r="LH204" s="23"/>
      <c r="LI204" s="23"/>
      <c r="LJ204" s="23"/>
      <c r="LK204" s="23"/>
      <c r="LL204" s="23"/>
      <c r="LM204" s="23"/>
      <c r="LN204" s="23"/>
      <c r="LO204" s="23"/>
      <c r="LP204" s="23"/>
      <c r="LQ204" s="23"/>
      <c r="LR204" s="23"/>
      <c r="LS204" s="23"/>
      <c r="LT204" s="23"/>
      <c r="LU204" s="23"/>
      <c r="LV204" s="23"/>
      <c r="LW204" s="23"/>
      <c r="LX204" s="23"/>
      <c r="LY204" s="23"/>
      <c r="LZ204" s="23"/>
      <c r="MA204" s="23"/>
      <c r="MB204" s="23"/>
      <c r="MC204" s="23"/>
      <c r="MD204" s="23"/>
      <c r="ME204" s="23"/>
      <c r="MF204" s="23"/>
      <c r="MG204" s="23"/>
      <c r="MH204" s="23"/>
      <c r="MI204" s="23"/>
      <c r="MJ204" s="23"/>
      <c r="MK204" s="23"/>
      <c r="ML204" s="23"/>
      <c r="MM204" s="23"/>
      <c r="MN204" s="23"/>
      <c r="MO204" s="23"/>
      <c r="MP204" s="23"/>
      <c r="MQ204" s="23"/>
      <c r="MR204" s="23"/>
      <c r="MS204" s="23"/>
      <c r="MT204" s="23"/>
      <c r="MU204" s="23"/>
      <c r="MV204" s="23"/>
      <c r="MW204" s="23"/>
      <c r="MX204" s="23"/>
      <c r="MY204" s="23"/>
      <c r="MZ204" s="23"/>
      <c r="NA204" s="23"/>
      <c r="NB204" s="23"/>
      <c r="NC204" s="23"/>
      <c r="ND204" s="23"/>
      <c r="NE204" s="23"/>
      <c r="NF204" s="23"/>
      <c r="NG204" s="23"/>
      <c r="NH204" s="23"/>
      <c r="NI204" s="23"/>
      <c r="NJ204" s="23"/>
      <c r="NK204" s="23"/>
      <c r="NL204" s="23"/>
      <c r="NM204" s="23"/>
      <c r="NN204" s="23"/>
    </row>
    <row r="205" spans="5:378" ht="15" customHeight="1"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  <c r="IZ205" s="23"/>
      <c r="JA205" s="23"/>
      <c r="JB205" s="23"/>
      <c r="JC205" s="23"/>
      <c r="JD205" s="23"/>
      <c r="JE205" s="23"/>
      <c r="JF205" s="23"/>
      <c r="JG205" s="23"/>
      <c r="JH205" s="23"/>
      <c r="JI205" s="23"/>
      <c r="JJ205" s="23"/>
      <c r="JK205" s="23"/>
      <c r="JL205" s="23"/>
      <c r="JM205" s="23"/>
      <c r="JN205" s="23"/>
      <c r="JO205" s="23"/>
      <c r="JP205" s="23"/>
      <c r="JQ205" s="23"/>
      <c r="JR205" s="23"/>
      <c r="JS205" s="23"/>
      <c r="JT205" s="23"/>
      <c r="JU205" s="23"/>
      <c r="JV205" s="23"/>
      <c r="JW205" s="23"/>
      <c r="JX205" s="23"/>
      <c r="JY205" s="23"/>
      <c r="JZ205" s="23"/>
      <c r="KA205" s="23"/>
      <c r="KB205" s="23"/>
      <c r="KC205" s="23"/>
      <c r="KD205" s="23"/>
      <c r="KE205" s="23"/>
      <c r="KF205" s="23"/>
      <c r="KG205" s="23"/>
      <c r="KH205" s="23"/>
      <c r="KI205" s="23"/>
      <c r="KJ205" s="23"/>
      <c r="KK205" s="23"/>
      <c r="KL205" s="23"/>
      <c r="KM205" s="23"/>
      <c r="KN205" s="23"/>
      <c r="KO205" s="23"/>
      <c r="KP205" s="23"/>
      <c r="KQ205" s="23"/>
      <c r="KR205" s="23"/>
      <c r="KS205" s="23"/>
      <c r="KT205" s="23"/>
      <c r="KU205" s="23"/>
      <c r="KV205" s="23"/>
      <c r="KW205" s="23"/>
      <c r="KX205" s="23"/>
      <c r="KY205" s="23"/>
      <c r="KZ205" s="23"/>
      <c r="LA205" s="23"/>
      <c r="LB205" s="23"/>
      <c r="LC205" s="23"/>
      <c r="LD205" s="23"/>
      <c r="LE205" s="23"/>
      <c r="LF205" s="23"/>
      <c r="LG205" s="23"/>
      <c r="LH205" s="23"/>
      <c r="LI205" s="23"/>
      <c r="LJ205" s="23"/>
      <c r="LK205" s="23"/>
      <c r="LL205" s="23"/>
      <c r="LM205" s="23"/>
      <c r="LN205" s="23"/>
      <c r="LO205" s="23"/>
      <c r="LP205" s="23"/>
      <c r="LQ205" s="23"/>
      <c r="LR205" s="23"/>
      <c r="LS205" s="23"/>
      <c r="LT205" s="23"/>
      <c r="LU205" s="23"/>
      <c r="LV205" s="23"/>
      <c r="LW205" s="23"/>
      <c r="LX205" s="23"/>
      <c r="LY205" s="23"/>
      <c r="LZ205" s="23"/>
      <c r="MA205" s="23"/>
      <c r="MB205" s="23"/>
      <c r="MC205" s="23"/>
      <c r="MD205" s="23"/>
      <c r="ME205" s="23"/>
      <c r="MF205" s="23"/>
      <c r="MG205" s="23"/>
      <c r="MH205" s="23"/>
      <c r="MI205" s="23"/>
      <c r="MJ205" s="23"/>
      <c r="MK205" s="23"/>
      <c r="ML205" s="23"/>
      <c r="MM205" s="23"/>
      <c r="MN205" s="23"/>
      <c r="MO205" s="23"/>
      <c r="MP205" s="23"/>
      <c r="MQ205" s="23"/>
      <c r="MR205" s="23"/>
      <c r="MS205" s="23"/>
      <c r="MT205" s="23"/>
      <c r="MU205" s="23"/>
      <c r="MV205" s="23"/>
      <c r="MW205" s="23"/>
      <c r="MX205" s="23"/>
      <c r="MY205" s="23"/>
      <c r="MZ205" s="23"/>
      <c r="NA205" s="23"/>
      <c r="NB205" s="23"/>
      <c r="NC205" s="23"/>
      <c r="ND205" s="23"/>
      <c r="NE205" s="23"/>
      <c r="NF205" s="23"/>
      <c r="NG205" s="23"/>
      <c r="NH205" s="23"/>
      <c r="NI205" s="23"/>
      <c r="NJ205" s="23"/>
      <c r="NK205" s="23"/>
      <c r="NL205" s="23"/>
      <c r="NM205" s="23"/>
      <c r="NN205" s="23"/>
    </row>
    <row r="206" spans="5:378" ht="15" customHeight="1"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  <c r="IZ206" s="23"/>
      <c r="JA206" s="23"/>
      <c r="JB206" s="23"/>
      <c r="JC206" s="23"/>
      <c r="JD206" s="23"/>
      <c r="JE206" s="23"/>
      <c r="JF206" s="23"/>
      <c r="JG206" s="23"/>
      <c r="JH206" s="23"/>
      <c r="JI206" s="23"/>
      <c r="JJ206" s="23"/>
      <c r="JK206" s="23"/>
      <c r="JL206" s="23"/>
      <c r="JM206" s="23"/>
      <c r="JN206" s="23"/>
      <c r="JO206" s="23"/>
      <c r="JP206" s="23"/>
      <c r="JQ206" s="23"/>
      <c r="JR206" s="23"/>
      <c r="JS206" s="23"/>
      <c r="JT206" s="23"/>
      <c r="JU206" s="23"/>
      <c r="JV206" s="23"/>
      <c r="JW206" s="23"/>
      <c r="JX206" s="23"/>
      <c r="JY206" s="23"/>
      <c r="JZ206" s="23"/>
      <c r="KA206" s="23"/>
      <c r="KB206" s="23"/>
      <c r="KC206" s="23"/>
      <c r="KD206" s="23"/>
      <c r="KE206" s="23"/>
      <c r="KF206" s="23"/>
      <c r="KG206" s="23"/>
      <c r="KH206" s="23"/>
      <c r="KI206" s="23"/>
      <c r="KJ206" s="23"/>
      <c r="KK206" s="23"/>
      <c r="KL206" s="23"/>
      <c r="KM206" s="23"/>
      <c r="KN206" s="23"/>
      <c r="KO206" s="23"/>
      <c r="KP206" s="23"/>
      <c r="KQ206" s="23"/>
      <c r="KR206" s="23"/>
      <c r="KS206" s="23"/>
      <c r="KT206" s="23"/>
      <c r="KU206" s="23"/>
      <c r="KV206" s="23"/>
      <c r="KW206" s="23"/>
      <c r="KX206" s="23"/>
      <c r="KY206" s="23"/>
      <c r="KZ206" s="23"/>
      <c r="LA206" s="23"/>
      <c r="LB206" s="23"/>
      <c r="LC206" s="23"/>
      <c r="LD206" s="23"/>
      <c r="LE206" s="23"/>
      <c r="LF206" s="23"/>
      <c r="LG206" s="23"/>
      <c r="LH206" s="23"/>
      <c r="LI206" s="23"/>
      <c r="LJ206" s="23"/>
      <c r="LK206" s="23"/>
      <c r="LL206" s="23"/>
      <c r="LM206" s="23"/>
      <c r="LN206" s="23"/>
      <c r="LO206" s="23"/>
      <c r="LP206" s="23"/>
      <c r="LQ206" s="23"/>
      <c r="LR206" s="23"/>
      <c r="LS206" s="23"/>
      <c r="LT206" s="23"/>
      <c r="LU206" s="23"/>
      <c r="LV206" s="23"/>
      <c r="LW206" s="23"/>
      <c r="LX206" s="23"/>
      <c r="LY206" s="23"/>
      <c r="LZ206" s="23"/>
      <c r="MA206" s="23"/>
      <c r="MB206" s="23"/>
      <c r="MC206" s="23"/>
      <c r="MD206" s="23"/>
      <c r="ME206" s="23"/>
      <c r="MF206" s="23"/>
      <c r="MG206" s="23"/>
      <c r="MH206" s="23"/>
      <c r="MI206" s="23"/>
      <c r="MJ206" s="23"/>
      <c r="MK206" s="23"/>
      <c r="ML206" s="23"/>
      <c r="MM206" s="23"/>
      <c r="MN206" s="23"/>
      <c r="MO206" s="23"/>
      <c r="MP206" s="23"/>
      <c r="MQ206" s="23"/>
      <c r="MR206" s="23"/>
      <c r="MS206" s="23"/>
      <c r="MT206" s="23"/>
      <c r="MU206" s="23"/>
      <c r="MV206" s="23"/>
      <c r="MW206" s="23"/>
      <c r="MX206" s="23"/>
      <c r="MY206" s="23"/>
      <c r="MZ206" s="23"/>
      <c r="NA206" s="23"/>
      <c r="NB206" s="23"/>
      <c r="NC206" s="23"/>
      <c r="ND206" s="23"/>
      <c r="NE206" s="23"/>
      <c r="NF206" s="23"/>
      <c r="NG206" s="23"/>
      <c r="NH206" s="23"/>
      <c r="NI206" s="23"/>
      <c r="NJ206" s="23"/>
      <c r="NK206" s="23"/>
      <c r="NL206" s="23"/>
      <c r="NM206" s="23"/>
      <c r="NN206" s="23"/>
    </row>
    <row r="207" spans="5:378" ht="15" customHeight="1"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  <c r="IZ207" s="23"/>
      <c r="JA207" s="23"/>
      <c r="JB207" s="23"/>
      <c r="JC207" s="23"/>
      <c r="JD207" s="23"/>
      <c r="JE207" s="23"/>
      <c r="JF207" s="23"/>
      <c r="JG207" s="23"/>
      <c r="JH207" s="23"/>
      <c r="JI207" s="23"/>
      <c r="JJ207" s="23"/>
      <c r="JK207" s="23"/>
      <c r="JL207" s="23"/>
      <c r="JM207" s="23"/>
      <c r="JN207" s="23"/>
      <c r="JO207" s="23"/>
      <c r="JP207" s="23"/>
      <c r="JQ207" s="23"/>
      <c r="JR207" s="23"/>
      <c r="JS207" s="23"/>
      <c r="JT207" s="23"/>
      <c r="JU207" s="23"/>
      <c r="JV207" s="23"/>
      <c r="JW207" s="23"/>
      <c r="JX207" s="23"/>
      <c r="JY207" s="23"/>
      <c r="JZ207" s="23"/>
      <c r="KA207" s="23"/>
      <c r="KB207" s="23"/>
      <c r="KC207" s="23"/>
      <c r="KD207" s="23"/>
      <c r="KE207" s="23"/>
      <c r="KF207" s="23"/>
      <c r="KG207" s="23"/>
      <c r="KH207" s="23"/>
      <c r="KI207" s="23"/>
      <c r="KJ207" s="23"/>
      <c r="KK207" s="23"/>
      <c r="KL207" s="23"/>
      <c r="KM207" s="23"/>
      <c r="KN207" s="23"/>
      <c r="KO207" s="23"/>
      <c r="KP207" s="23"/>
      <c r="KQ207" s="23"/>
      <c r="KR207" s="23"/>
      <c r="KS207" s="23"/>
      <c r="KT207" s="23"/>
      <c r="KU207" s="23"/>
      <c r="KV207" s="23"/>
      <c r="KW207" s="23"/>
      <c r="KX207" s="23"/>
      <c r="KY207" s="23"/>
      <c r="KZ207" s="23"/>
      <c r="LA207" s="23"/>
      <c r="LB207" s="23"/>
      <c r="LC207" s="23"/>
      <c r="LD207" s="23"/>
      <c r="LE207" s="23"/>
      <c r="LF207" s="23"/>
      <c r="LG207" s="23"/>
      <c r="LH207" s="23"/>
      <c r="LI207" s="23"/>
      <c r="LJ207" s="23"/>
      <c r="LK207" s="23"/>
      <c r="LL207" s="23"/>
      <c r="LM207" s="23"/>
      <c r="LN207" s="23"/>
      <c r="LO207" s="23"/>
      <c r="LP207" s="23"/>
      <c r="LQ207" s="23"/>
      <c r="LR207" s="23"/>
      <c r="LS207" s="23"/>
      <c r="LT207" s="23"/>
      <c r="LU207" s="23"/>
      <c r="LV207" s="23"/>
      <c r="LW207" s="23"/>
      <c r="LX207" s="23"/>
      <c r="LY207" s="23"/>
      <c r="LZ207" s="23"/>
      <c r="MA207" s="23"/>
      <c r="MB207" s="23"/>
      <c r="MC207" s="23"/>
      <c r="MD207" s="23"/>
      <c r="ME207" s="23"/>
      <c r="MF207" s="23"/>
      <c r="MG207" s="23"/>
      <c r="MH207" s="23"/>
      <c r="MI207" s="23"/>
      <c r="MJ207" s="23"/>
      <c r="MK207" s="23"/>
      <c r="ML207" s="23"/>
      <c r="MM207" s="23"/>
      <c r="MN207" s="23"/>
      <c r="MO207" s="23"/>
      <c r="MP207" s="23"/>
      <c r="MQ207" s="23"/>
      <c r="MR207" s="23"/>
      <c r="MS207" s="23"/>
      <c r="MT207" s="23"/>
      <c r="MU207" s="23"/>
      <c r="MV207" s="23"/>
      <c r="MW207" s="23"/>
      <c r="MX207" s="23"/>
      <c r="MY207" s="23"/>
      <c r="MZ207" s="23"/>
      <c r="NA207" s="23"/>
      <c r="NB207" s="23"/>
      <c r="NC207" s="23"/>
      <c r="ND207" s="23"/>
      <c r="NE207" s="23"/>
      <c r="NF207" s="23"/>
      <c r="NG207" s="23"/>
      <c r="NH207" s="23"/>
      <c r="NI207" s="23"/>
      <c r="NJ207" s="23"/>
      <c r="NK207" s="23"/>
      <c r="NL207" s="23"/>
      <c r="NM207" s="23"/>
      <c r="NN207" s="23"/>
    </row>
    <row r="208" spans="5:378" ht="15" customHeight="1"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  <c r="IZ208" s="23"/>
      <c r="JA208" s="23"/>
      <c r="JB208" s="23"/>
      <c r="JC208" s="23"/>
      <c r="JD208" s="23"/>
      <c r="JE208" s="23"/>
      <c r="JF208" s="23"/>
      <c r="JG208" s="23"/>
      <c r="JH208" s="23"/>
      <c r="JI208" s="23"/>
      <c r="JJ208" s="23"/>
      <c r="JK208" s="23"/>
      <c r="JL208" s="23"/>
      <c r="JM208" s="23"/>
      <c r="JN208" s="23"/>
      <c r="JO208" s="23"/>
      <c r="JP208" s="23"/>
      <c r="JQ208" s="23"/>
      <c r="JR208" s="23"/>
      <c r="JS208" s="23"/>
      <c r="JT208" s="23"/>
      <c r="JU208" s="23"/>
      <c r="JV208" s="23"/>
      <c r="JW208" s="23"/>
      <c r="JX208" s="23"/>
      <c r="JY208" s="23"/>
      <c r="JZ208" s="23"/>
      <c r="KA208" s="23"/>
      <c r="KB208" s="23"/>
      <c r="KC208" s="23"/>
      <c r="KD208" s="23"/>
      <c r="KE208" s="23"/>
      <c r="KF208" s="23"/>
      <c r="KG208" s="23"/>
      <c r="KH208" s="23"/>
      <c r="KI208" s="23"/>
      <c r="KJ208" s="23"/>
      <c r="KK208" s="23"/>
      <c r="KL208" s="23"/>
      <c r="KM208" s="23"/>
      <c r="KN208" s="23"/>
      <c r="KO208" s="23"/>
      <c r="KP208" s="23"/>
      <c r="KQ208" s="23"/>
      <c r="KR208" s="23"/>
      <c r="KS208" s="23"/>
      <c r="KT208" s="23"/>
      <c r="KU208" s="23"/>
      <c r="KV208" s="23"/>
      <c r="KW208" s="23"/>
      <c r="KX208" s="23"/>
      <c r="KY208" s="23"/>
      <c r="KZ208" s="23"/>
      <c r="LA208" s="23"/>
      <c r="LB208" s="23"/>
      <c r="LC208" s="23"/>
      <c r="LD208" s="23"/>
      <c r="LE208" s="23"/>
      <c r="LF208" s="23"/>
      <c r="LG208" s="23"/>
      <c r="LH208" s="23"/>
      <c r="LI208" s="23"/>
      <c r="LJ208" s="23"/>
      <c r="LK208" s="23"/>
      <c r="LL208" s="23"/>
      <c r="LM208" s="23"/>
      <c r="LN208" s="23"/>
      <c r="LO208" s="23"/>
      <c r="LP208" s="23"/>
      <c r="LQ208" s="23"/>
      <c r="LR208" s="23"/>
      <c r="LS208" s="23"/>
      <c r="LT208" s="23"/>
      <c r="LU208" s="23"/>
      <c r="LV208" s="23"/>
      <c r="LW208" s="23"/>
      <c r="LX208" s="23"/>
      <c r="LY208" s="23"/>
      <c r="LZ208" s="23"/>
      <c r="MA208" s="23"/>
      <c r="MB208" s="23"/>
      <c r="MC208" s="23"/>
      <c r="MD208" s="23"/>
      <c r="ME208" s="23"/>
      <c r="MF208" s="23"/>
      <c r="MG208" s="23"/>
      <c r="MH208" s="23"/>
      <c r="MI208" s="23"/>
      <c r="MJ208" s="23"/>
      <c r="MK208" s="23"/>
      <c r="ML208" s="23"/>
      <c r="MM208" s="23"/>
      <c r="MN208" s="23"/>
      <c r="MO208" s="23"/>
      <c r="MP208" s="23"/>
      <c r="MQ208" s="23"/>
      <c r="MR208" s="23"/>
      <c r="MS208" s="23"/>
      <c r="MT208" s="23"/>
      <c r="MU208" s="23"/>
      <c r="MV208" s="23"/>
      <c r="MW208" s="23"/>
      <c r="MX208" s="23"/>
      <c r="MY208" s="23"/>
      <c r="MZ208" s="23"/>
      <c r="NA208" s="23"/>
      <c r="NB208" s="23"/>
      <c r="NC208" s="23"/>
      <c r="ND208" s="23"/>
      <c r="NE208" s="23"/>
      <c r="NF208" s="23"/>
      <c r="NG208" s="23"/>
      <c r="NH208" s="23"/>
      <c r="NI208" s="23"/>
      <c r="NJ208" s="23"/>
      <c r="NK208" s="23"/>
      <c r="NL208" s="23"/>
      <c r="NM208" s="23"/>
      <c r="NN208" s="23"/>
    </row>
    <row r="209" spans="5:378" ht="15" customHeight="1"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  <c r="IZ209" s="23"/>
      <c r="JA209" s="23"/>
      <c r="JB209" s="23"/>
      <c r="JC209" s="23"/>
      <c r="JD209" s="23"/>
      <c r="JE209" s="23"/>
      <c r="JF209" s="23"/>
      <c r="JG209" s="23"/>
      <c r="JH209" s="23"/>
      <c r="JI209" s="23"/>
      <c r="JJ209" s="23"/>
      <c r="JK209" s="23"/>
      <c r="JL209" s="23"/>
      <c r="JM209" s="23"/>
      <c r="JN209" s="23"/>
      <c r="JO209" s="23"/>
      <c r="JP209" s="23"/>
      <c r="JQ209" s="23"/>
      <c r="JR209" s="23"/>
      <c r="JS209" s="23"/>
      <c r="JT209" s="23"/>
      <c r="JU209" s="23"/>
      <c r="JV209" s="23"/>
      <c r="JW209" s="23"/>
      <c r="JX209" s="23"/>
      <c r="JY209" s="23"/>
      <c r="JZ209" s="23"/>
      <c r="KA209" s="23"/>
      <c r="KB209" s="23"/>
      <c r="KC209" s="23"/>
      <c r="KD209" s="23"/>
      <c r="KE209" s="23"/>
      <c r="KF209" s="23"/>
      <c r="KG209" s="23"/>
      <c r="KH209" s="23"/>
      <c r="KI209" s="23"/>
      <c r="KJ209" s="23"/>
      <c r="KK209" s="23"/>
      <c r="KL209" s="23"/>
      <c r="KM209" s="23"/>
      <c r="KN209" s="23"/>
      <c r="KO209" s="23"/>
      <c r="KP209" s="23"/>
      <c r="KQ209" s="23"/>
      <c r="KR209" s="23"/>
      <c r="KS209" s="23"/>
      <c r="KT209" s="23"/>
      <c r="KU209" s="23"/>
      <c r="KV209" s="23"/>
      <c r="KW209" s="23"/>
      <c r="KX209" s="23"/>
      <c r="KY209" s="23"/>
      <c r="KZ209" s="23"/>
      <c r="LA209" s="23"/>
      <c r="LB209" s="23"/>
      <c r="LC209" s="23"/>
      <c r="LD209" s="23"/>
      <c r="LE209" s="23"/>
      <c r="LF209" s="23"/>
      <c r="LG209" s="23"/>
      <c r="LH209" s="23"/>
      <c r="LI209" s="23"/>
      <c r="LJ209" s="23"/>
      <c r="LK209" s="23"/>
      <c r="LL209" s="23"/>
      <c r="LM209" s="23"/>
      <c r="LN209" s="23"/>
      <c r="LO209" s="23"/>
      <c r="LP209" s="23"/>
      <c r="LQ209" s="23"/>
      <c r="LR209" s="23"/>
      <c r="LS209" s="23"/>
      <c r="LT209" s="23"/>
      <c r="LU209" s="23"/>
      <c r="LV209" s="23"/>
      <c r="LW209" s="23"/>
      <c r="LX209" s="23"/>
      <c r="LY209" s="23"/>
      <c r="LZ209" s="23"/>
      <c r="MA209" s="23"/>
      <c r="MB209" s="23"/>
      <c r="MC209" s="23"/>
      <c r="MD209" s="23"/>
      <c r="ME209" s="23"/>
      <c r="MF209" s="23"/>
      <c r="MG209" s="23"/>
      <c r="MH209" s="23"/>
      <c r="MI209" s="23"/>
      <c r="MJ209" s="23"/>
      <c r="MK209" s="23"/>
      <c r="ML209" s="23"/>
      <c r="MM209" s="23"/>
      <c r="MN209" s="23"/>
      <c r="MO209" s="23"/>
      <c r="MP209" s="23"/>
      <c r="MQ209" s="23"/>
      <c r="MR209" s="23"/>
      <c r="MS209" s="23"/>
      <c r="MT209" s="23"/>
      <c r="MU209" s="23"/>
      <c r="MV209" s="23"/>
      <c r="MW209" s="23"/>
      <c r="MX209" s="23"/>
      <c r="MY209" s="23"/>
      <c r="MZ209" s="23"/>
      <c r="NA209" s="23"/>
      <c r="NB209" s="23"/>
      <c r="NC209" s="23"/>
      <c r="ND209" s="23"/>
      <c r="NE209" s="23"/>
      <c r="NF209" s="23"/>
      <c r="NG209" s="23"/>
      <c r="NH209" s="23"/>
      <c r="NI209" s="23"/>
      <c r="NJ209" s="23"/>
      <c r="NK209" s="23"/>
      <c r="NL209" s="23"/>
      <c r="NM209" s="23"/>
      <c r="NN209" s="23"/>
    </row>
    <row r="210" spans="5:378" ht="15" customHeight="1"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  <c r="IZ210" s="23"/>
      <c r="JA210" s="23"/>
      <c r="JB210" s="23"/>
      <c r="JC210" s="23"/>
      <c r="JD210" s="23"/>
      <c r="JE210" s="23"/>
      <c r="JF210" s="23"/>
      <c r="JG210" s="23"/>
      <c r="JH210" s="23"/>
      <c r="JI210" s="23"/>
      <c r="JJ210" s="23"/>
      <c r="JK210" s="23"/>
      <c r="JL210" s="23"/>
      <c r="JM210" s="23"/>
      <c r="JN210" s="23"/>
      <c r="JO210" s="23"/>
      <c r="JP210" s="23"/>
      <c r="JQ210" s="23"/>
      <c r="JR210" s="23"/>
      <c r="JS210" s="23"/>
      <c r="JT210" s="23"/>
      <c r="JU210" s="23"/>
      <c r="JV210" s="23"/>
      <c r="JW210" s="23"/>
      <c r="JX210" s="23"/>
      <c r="JY210" s="23"/>
      <c r="JZ210" s="23"/>
      <c r="KA210" s="23"/>
      <c r="KB210" s="23"/>
      <c r="KC210" s="23"/>
      <c r="KD210" s="23"/>
      <c r="KE210" s="23"/>
      <c r="KF210" s="23"/>
      <c r="KG210" s="23"/>
      <c r="KH210" s="23"/>
      <c r="KI210" s="23"/>
      <c r="KJ210" s="23"/>
      <c r="KK210" s="23"/>
      <c r="KL210" s="23"/>
      <c r="KM210" s="23"/>
      <c r="KN210" s="23"/>
      <c r="KO210" s="23"/>
      <c r="KP210" s="23"/>
      <c r="KQ210" s="23"/>
      <c r="KR210" s="23"/>
      <c r="KS210" s="23"/>
      <c r="KT210" s="23"/>
      <c r="KU210" s="23"/>
      <c r="KV210" s="23"/>
      <c r="KW210" s="23"/>
      <c r="KX210" s="23"/>
      <c r="KY210" s="23"/>
      <c r="KZ210" s="23"/>
      <c r="LA210" s="23"/>
      <c r="LB210" s="23"/>
      <c r="LC210" s="23"/>
      <c r="LD210" s="23"/>
      <c r="LE210" s="23"/>
      <c r="LF210" s="23"/>
      <c r="LG210" s="23"/>
      <c r="LH210" s="23"/>
      <c r="LI210" s="23"/>
      <c r="LJ210" s="23"/>
      <c r="LK210" s="23"/>
      <c r="LL210" s="23"/>
      <c r="LM210" s="23"/>
      <c r="LN210" s="23"/>
      <c r="LO210" s="23"/>
      <c r="LP210" s="23"/>
      <c r="LQ210" s="23"/>
      <c r="LR210" s="23"/>
      <c r="LS210" s="23"/>
      <c r="LT210" s="23"/>
      <c r="LU210" s="23"/>
      <c r="LV210" s="23"/>
      <c r="LW210" s="23"/>
      <c r="LX210" s="23"/>
      <c r="LY210" s="23"/>
      <c r="LZ210" s="23"/>
      <c r="MA210" s="23"/>
      <c r="MB210" s="23"/>
      <c r="MC210" s="23"/>
      <c r="MD210" s="23"/>
      <c r="ME210" s="23"/>
      <c r="MF210" s="23"/>
      <c r="MG210" s="23"/>
      <c r="MH210" s="23"/>
      <c r="MI210" s="23"/>
      <c r="MJ210" s="23"/>
      <c r="MK210" s="23"/>
      <c r="ML210" s="23"/>
      <c r="MM210" s="23"/>
      <c r="MN210" s="23"/>
      <c r="MO210" s="23"/>
      <c r="MP210" s="23"/>
      <c r="MQ210" s="23"/>
      <c r="MR210" s="23"/>
      <c r="MS210" s="23"/>
      <c r="MT210" s="23"/>
      <c r="MU210" s="23"/>
      <c r="MV210" s="23"/>
      <c r="MW210" s="23"/>
      <c r="MX210" s="23"/>
      <c r="MY210" s="23"/>
      <c r="MZ210" s="23"/>
      <c r="NA210" s="23"/>
      <c r="NB210" s="23"/>
      <c r="NC210" s="23"/>
      <c r="ND210" s="23"/>
      <c r="NE210" s="23"/>
      <c r="NF210" s="23"/>
      <c r="NG210" s="23"/>
      <c r="NH210" s="23"/>
      <c r="NI210" s="23"/>
      <c r="NJ210" s="23"/>
      <c r="NK210" s="23"/>
      <c r="NL210" s="23"/>
      <c r="NM210" s="23"/>
      <c r="NN210" s="23"/>
    </row>
    <row r="211" spans="5:378" ht="15" customHeight="1"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  <c r="IZ211" s="23"/>
      <c r="JA211" s="23"/>
      <c r="JB211" s="23"/>
      <c r="JC211" s="23"/>
      <c r="JD211" s="23"/>
      <c r="JE211" s="23"/>
      <c r="JF211" s="23"/>
      <c r="JG211" s="23"/>
      <c r="JH211" s="23"/>
      <c r="JI211" s="23"/>
      <c r="JJ211" s="23"/>
      <c r="JK211" s="23"/>
      <c r="JL211" s="23"/>
      <c r="JM211" s="23"/>
      <c r="JN211" s="23"/>
      <c r="JO211" s="23"/>
      <c r="JP211" s="23"/>
      <c r="JQ211" s="23"/>
      <c r="JR211" s="23"/>
      <c r="JS211" s="23"/>
      <c r="JT211" s="23"/>
      <c r="JU211" s="23"/>
      <c r="JV211" s="23"/>
      <c r="JW211" s="23"/>
      <c r="JX211" s="23"/>
      <c r="JY211" s="23"/>
      <c r="JZ211" s="23"/>
      <c r="KA211" s="23"/>
      <c r="KB211" s="23"/>
      <c r="KC211" s="23"/>
      <c r="KD211" s="23"/>
      <c r="KE211" s="23"/>
      <c r="KF211" s="23"/>
      <c r="KG211" s="23"/>
      <c r="KH211" s="23"/>
      <c r="KI211" s="23"/>
      <c r="KJ211" s="23"/>
      <c r="KK211" s="23"/>
      <c r="KL211" s="23"/>
      <c r="KM211" s="23"/>
      <c r="KN211" s="23"/>
      <c r="KO211" s="23"/>
      <c r="KP211" s="23"/>
      <c r="KQ211" s="23"/>
      <c r="KR211" s="23"/>
      <c r="KS211" s="23"/>
      <c r="KT211" s="23"/>
      <c r="KU211" s="23"/>
      <c r="KV211" s="23"/>
      <c r="KW211" s="23"/>
      <c r="KX211" s="23"/>
      <c r="KY211" s="23"/>
      <c r="KZ211" s="23"/>
      <c r="LA211" s="23"/>
      <c r="LB211" s="23"/>
      <c r="LC211" s="23"/>
      <c r="LD211" s="23"/>
      <c r="LE211" s="23"/>
      <c r="LF211" s="23"/>
      <c r="LG211" s="23"/>
      <c r="LH211" s="23"/>
      <c r="LI211" s="23"/>
      <c r="LJ211" s="23"/>
      <c r="LK211" s="23"/>
      <c r="LL211" s="23"/>
      <c r="LM211" s="23"/>
      <c r="LN211" s="23"/>
      <c r="LO211" s="23"/>
      <c r="LP211" s="23"/>
      <c r="LQ211" s="23"/>
      <c r="LR211" s="23"/>
      <c r="LS211" s="23"/>
      <c r="LT211" s="23"/>
      <c r="LU211" s="23"/>
      <c r="LV211" s="23"/>
      <c r="LW211" s="23"/>
      <c r="LX211" s="23"/>
      <c r="LY211" s="23"/>
      <c r="LZ211" s="23"/>
      <c r="MA211" s="23"/>
      <c r="MB211" s="23"/>
      <c r="MC211" s="23"/>
      <c r="MD211" s="23"/>
      <c r="ME211" s="23"/>
      <c r="MF211" s="23"/>
      <c r="MG211" s="23"/>
      <c r="MH211" s="23"/>
      <c r="MI211" s="23"/>
      <c r="MJ211" s="23"/>
      <c r="MK211" s="23"/>
      <c r="ML211" s="23"/>
      <c r="MM211" s="23"/>
      <c r="MN211" s="23"/>
      <c r="MO211" s="23"/>
      <c r="MP211" s="23"/>
      <c r="MQ211" s="23"/>
      <c r="MR211" s="23"/>
      <c r="MS211" s="23"/>
      <c r="MT211" s="23"/>
      <c r="MU211" s="23"/>
      <c r="MV211" s="23"/>
      <c r="MW211" s="23"/>
      <c r="MX211" s="23"/>
      <c r="MY211" s="23"/>
      <c r="MZ211" s="23"/>
      <c r="NA211" s="23"/>
      <c r="NB211" s="23"/>
      <c r="NC211" s="23"/>
      <c r="ND211" s="23"/>
      <c r="NE211" s="23"/>
      <c r="NF211" s="23"/>
      <c r="NG211" s="23"/>
      <c r="NH211" s="23"/>
      <c r="NI211" s="23"/>
      <c r="NJ211" s="23"/>
      <c r="NK211" s="23"/>
      <c r="NL211" s="23"/>
      <c r="NM211" s="23"/>
      <c r="NN211" s="23"/>
    </row>
    <row r="212" spans="5:378" ht="15" customHeight="1"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  <c r="IZ212" s="23"/>
      <c r="JA212" s="23"/>
      <c r="JB212" s="23"/>
      <c r="JC212" s="23"/>
      <c r="JD212" s="23"/>
      <c r="JE212" s="23"/>
      <c r="JF212" s="23"/>
      <c r="JG212" s="23"/>
      <c r="JH212" s="23"/>
      <c r="JI212" s="23"/>
      <c r="JJ212" s="23"/>
      <c r="JK212" s="23"/>
      <c r="JL212" s="23"/>
      <c r="JM212" s="23"/>
      <c r="JN212" s="23"/>
      <c r="JO212" s="23"/>
      <c r="JP212" s="23"/>
      <c r="JQ212" s="23"/>
      <c r="JR212" s="23"/>
      <c r="JS212" s="23"/>
      <c r="JT212" s="23"/>
      <c r="JU212" s="23"/>
      <c r="JV212" s="23"/>
      <c r="JW212" s="23"/>
      <c r="JX212" s="23"/>
      <c r="JY212" s="23"/>
      <c r="JZ212" s="23"/>
      <c r="KA212" s="23"/>
      <c r="KB212" s="23"/>
      <c r="KC212" s="23"/>
      <c r="KD212" s="23"/>
      <c r="KE212" s="23"/>
      <c r="KF212" s="23"/>
      <c r="KG212" s="23"/>
      <c r="KH212" s="23"/>
      <c r="KI212" s="23"/>
      <c r="KJ212" s="23"/>
      <c r="KK212" s="23"/>
      <c r="KL212" s="23"/>
      <c r="KM212" s="23"/>
      <c r="KN212" s="23"/>
      <c r="KO212" s="23"/>
      <c r="KP212" s="23"/>
      <c r="KQ212" s="23"/>
      <c r="KR212" s="23"/>
      <c r="KS212" s="23"/>
      <c r="KT212" s="23"/>
      <c r="KU212" s="23"/>
      <c r="KV212" s="23"/>
      <c r="KW212" s="23"/>
      <c r="KX212" s="23"/>
      <c r="KY212" s="23"/>
      <c r="KZ212" s="23"/>
      <c r="LA212" s="23"/>
      <c r="LB212" s="23"/>
      <c r="LC212" s="23"/>
      <c r="LD212" s="23"/>
      <c r="LE212" s="23"/>
      <c r="LF212" s="23"/>
      <c r="LG212" s="23"/>
      <c r="LH212" s="23"/>
      <c r="LI212" s="23"/>
      <c r="LJ212" s="23"/>
      <c r="LK212" s="23"/>
      <c r="LL212" s="23"/>
      <c r="LM212" s="23"/>
      <c r="LN212" s="23"/>
      <c r="LO212" s="23"/>
      <c r="LP212" s="23"/>
      <c r="LQ212" s="23"/>
      <c r="LR212" s="23"/>
      <c r="LS212" s="23"/>
      <c r="LT212" s="23"/>
      <c r="LU212" s="23"/>
      <c r="LV212" s="23"/>
      <c r="LW212" s="23"/>
      <c r="LX212" s="23"/>
      <c r="LY212" s="23"/>
      <c r="LZ212" s="23"/>
      <c r="MA212" s="23"/>
      <c r="MB212" s="23"/>
      <c r="MC212" s="23"/>
      <c r="MD212" s="23"/>
      <c r="ME212" s="23"/>
      <c r="MF212" s="23"/>
      <c r="MG212" s="23"/>
      <c r="MH212" s="23"/>
      <c r="MI212" s="23"/>
      <c r="MJ212" s="23"/>
      <c r="MK212" s="23"/>
      <c r="ML212" s="23"/>
      <c r="MM212" s="23"/>
      <c r="MN212" s="23"/>
      <c r="MO212" s="23"/>
      <c r="MP212" s="23"/>
      <c r="MQ212" s="23"/>
      <c r="MR212" s="23"/>
      <c r="MS212" s="23"/>
      <c r="MT212" s="23"/>
      <c r="MU212" s="23"/>
      <c r="MV212" s="23"/>
      <c r="MW212" s="23"/>
      <c r="MX212" s="23"/>
      <c r="MY212" s="23"/>
      <c r="MZ212" s="23"/>
      <c r="NA212" s="23"/>
      <c r="NB212" s="23"/>
      <c r="NC212" s="23"/>
      <c r="ND212" s="23"/>
      <c r="NE212" s="23"/>
      <c r="NF212" s="23"/>
      <c r="NG212" s="23"/>
      <c r="NH212" s="23"/>
      <c r="NI212" s="23"/>
      <c r="NJ212" s="23"/>
      <c r="NK212" s="23"/>
      <c r="NL212" s="23"/>
      <c r="NM212" s="23"/>
      <c r="NN212" s="23"/>
    </row>
    <row r="213" spans="5:378" ht="15" customHeight="1"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  <c r="IZ213" s="23"/>
      <c r="JA213" s="23"/>
      <c r="JB213" s="23"/>
      <c r="JC213" s="23"/>
      <c r="JD213" s="23"/>
      <c r="JE213" s="23"/>
      <c r="JF213" s="23"/>
      <c r="JG213" s="23"/>
      <c r="JH213" s="23"/>
      <c r="JI213" s="23"/>
      <c r="JJ213" s="23"/>
      <c r="JK213" s="23"/>
      <c r="JL213" s="23"/>
      <c r="JM213" s="23"/>
      <c r="JN213" s="23"/>
      <c r="JO213" s="23"/>
      <c r="JP213" s="23"/>
      <c r="JQ213" s="23"/>
      <c r="JR213" s="23"/>
      <c r="JS213" s="23"/>
      <c r="JT213" s="23"/>
      <c r="JU213" s="23"/>
      <c r="JV213" s="23"/>
      <c r="JW213" s="23"/>
      <c r="JX213" s="23"/>
      <c r="JY213" s="23"/>
      <c r="JZ213" s="23"/>
      <c r="KA213" s="23"/>
      <c r="KB213" s="23"/>
      <c r="KC213" s="23"/>
      <c r="KD213" s="23"/>
      <c r="KE213" s="23"/>
      <c r="KF213" s="23"/>
      <c r="KG213" s="23"/>
      <c r="KH213" s="23"/>
      <c r="KI213" s="23"/>
      <c r="KJ213" s="23"/>
      <c r="KK213" s="23"/>
      <c r="KL213" s="23"/>
      <c r="KM213" s="23"/>
      <c r="KN213" s="23"/>
      <c r="KO213" s="23"/>
      <c r="KP213" s="23"/>
      <c r="KQ213" s="23"/>
      <c r="KR213" s="23"/>
      <c r="KS213" s="23"/>
      <c r="KT213" s="23"/>
      <c r="KU213" s="23"/>
      <c r="KV213" s="23"/>
      <c r="KW213" s="23"/>
      <c r="KX213" s="23"/>
      <c r="KY213" s="23"/>
      <c r="KZ213" s="23"/>
      <c r="LA213" s="23"/>
      <c r="LB213" s="23"/>
      <c r="LC213" s="23"/>
      <c r="LD213" s="23"/>
      <c r="LE213" s="23"/>
      <c r="LF213" s="23"/>
      <c r="LG213" s="23"/>
      <c r="LH213" s="23"/>
      <c r="LI213" s="23"/>
      <c r="LJ213" s="23"/>
      <c r="LK213" s="23"/>
      <c r="LL213" s="23"/>
      <c r="LM213" s="23"/>
      <c r="LN213" s="23"/>
      <c r="LO213" s="23"/>
      <c r="LP213" s="23"/>
      <c r="LQ213" s="23"/>
      <c r="LR213" s="23"/>
      <c r="LS213" s="23"/>
      <c r="LT213" s="23"/>
      <c r="LU213" s="23"/>
      <c r="LV213" s="23"/>
      <c r="LW213" s="23"/>
      <c r="LX213" s="23"/>
      <c r="LY213" s="23"/>
      <c r="LZ213" s="23"/>
      <c r="MA213" s="23"/>
      <c r="MB213" s="23"/>
      <c r="MC213" s="23"/>
      <c r="MD213" s="23"/>
      <c r="ME213" s="23"/>
      <c r="MF213" s="23"/>
      <c r="MG213" s="23"/>
      <c r="MH213" s="23"/>
      <c r="MI213" s="23"/>
      <c r="MJ213" s="23"/>
      <c r="MK213" s="23"/>
      <c r="ML213" s="23"/>
      <c r="MM213" s="23"/>
      <c r="MN213" s="23"/>
      <c r="MO213" s="23"/>
      <c r="MP213" s="23"/>
      <c r="MQ213" s="23"/>
      <c r="MR213" s="23"/>
      <c r="MS213" s="23"/>
      <c r="MT213" s="23"/>
      <c r="MU213" s="23"/>
      <c r="MV213" s="23"/>
      <c r="MW213" s="23"/>
      <c r="MX213" s="23"/>
      <c r="MY213" s="23"/>
      <c r="MZ213" s="23"/>
      <c r="NA213" s="23"/>
      <c r="NB213" s="23"/>
      <c r="NC213" s="23"/>
      <c r="ND213" s="23"/>
      <c r="NE213" s="23"/>
      <c r="NF213" s="23"/>
      <c r="NG213" s="23"/>
      <c r="NH213" s="23"/>
      <c r="NI213" s="23"/>
      <c r="NJ213" s="23"/>
      <c r="NK213" s="23"/>
      <c r="NL213" s="23"/>
      <c r="NM213" s="23"/>
      <c r="NN213" s="23"/>
    </row>
    <row r="214" spans="5:378" ht="15" customHeight="1"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  <c r="IZ214" s="23"/>
      <c r="JA214" s="23"/>
      <c r="JB214" s="23"/>
      <c r="JC214" s="23"/>
      <c r="JD214" s="23"/>
      <c r="JE214" s="23"/>
      <c r="JF214" s="23"/>
      <c r="JG214" s="23"/>
      <c r="JH214" s="23"/>
      <c r="JI214" s="23"/>
      <c r="JJ214" s="23"/>
      <c r="JK214" s="23"/>
      <c r="JL214" s="23"/>
      <c r="JM214" s="23"/>
      <c r="JN214" s="23"/>
      <c r="JO214" s="23"/>
      <c r="JP214" s="23"/>
      <c r="JQ214" s="23"/>
      <c r="JR214" s="23"/>
      <c r="JS214" s="23"/>
      <c r="JT214" s="23"/>
      <c r="JU214" s="23"/>
      <c r="JV214" s="23"/>
      <c r="JW214" s="23"/>
      <c r="JX214" s="23"/>
      <c r="JY214" s="23"/>
      <c r="JZ214" s="23"/>
      <c r="KA214" s="23"/>
      <c r="KB214" s="23"/>
      <c r="KC214" s="23"/>
      <c r="KD214" s="23"/>
      <c r="KE214" s="23"/>
      <c r="KF214" s="23"/>
      <c r="KG214" s="23"/>
      <c r="KH214" s="23"/>
      <c r="KI214" s="23"/>
      <c r="KJ214" s="23"/>
      <c r="KK214" s="23"/>
      <c r="KL214" s="23"/>
      <c r="KM214" s="23"/>
      <c r="KN214" s="23"/>
      <c r="KO214" s="23"/>
      <c r="KP214" s="23"/>
      <c r="KQ214" s="23"/>
      <c r="KR214" s="23"/>
      <c r="KS214" s="23"/>
      <c r="KT214" s="23"/>
      <c r="KU214" s="23"/>
      <c r="KV214" s="23"/>
      <c r="KW214" s="23"/>
      <c r="KX214" s="23"/>
      <c r="KY214" s="23"/>
      <c r="KZ214" s="23"/>
      <c r="LA214" s="23"/>
      <c r="LB214" s="23"/>
      <c r="LC214" s="23"/>
      <c r="LD214" s="23"/>
      <c r="LE214" s="23"/>
      <c r="LF214" s="23"/>
      <c r="LG214" s="23"/>
      <c r="LH214" s="23"/>
      <c r="LI214" s="23"/>
      <c r="LJ214" s="23"/>
      <c r="LK214" s="23"/>
      <c r="LL214" s="23"/>
      <c r="LM214" s="23"/>
      <c r="LN214" s="23"/>
      <c r="LO214" s="23"/>
      <c r="LP214" s="23"/>
      <c r="LQ214" s="23"/>
      <c r="LR214" s="23"/>
      <c r="LS214" s="23"/>
      <c r="LT214" s="23"/>
      <c r="LU214" s="23"/>
      <c r="LV214" s="23"/>
      <c r="LW214" s="23"/>
      <c r="LX214" s="23"/>
      <c r="LY214" s="23"/>
      <c r="LZ214" s="23"/>
      <c r="MA214" s="23"/>
      <c r="MB214" s="23"/>
      <c r="MC214" s="23"/>
      <c r="MD214" s="23"/>
      <c r="ME214" s="23"/>
      <c r="MF214" s="23"/>
      <c r="MG214" s="23"/>
      <c r="MH214" s="23"/>
      <c r="MI214" s="23"/>
      <c r="MJ214" s="23"/>
      <c r="MK214" s="23"/>
      <c r="ML214" s="23"/>
      <c r="MM214" s="23"/>
      <c r="MN214" s="23"/>
      <c r="MO214" s="23"/>
      <c r="MP214" s="23"/>
      <c r="MQ214" s="23"/>
      <c r="MR214" s="23"/>
      <c r="MS214" s="23"/>
      <c r="MT214" s="23"/>
      <c r="MU214" s="23"/>
      <c r="MV214" s="23"/>
      <c r="MW214" s="23"/>
      <c r="MX214" s="23"/>
      <c r="MY214" s="23"/>
      <c r="MZ214" s="23"/>
      <c r="NA214" s="23"/>
      <c r="NB214" s="23"/>
      <c r="NC214" s="23"/>
      <c r="ND214" s="23"/>
      <c r="NE214" s="23"/>
      <c r="NF214" s="23"/>
      <c r="NG214" s="23"/>
      <c r="NH214" s="23"/>
      <c r="NI214" s="23"/>
      <c r="NJ214" s="23"/>
      <c r="NK214" s="23"/>
      <c r="NL214" s="23"/>
      <c r="NM214" s="23"/>
      <c r="NN214" s="23"/>
    </row>
    <row r="215" spans="5:378" ht="15" customHeight="1"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  <c r="IZ215" s="23"/>
      <c r="JA215" s="23"/>
      <c r="JB215" s="23"/>
      <c r="JC215" s="23"/>
      <c r="JD215" s="23"/>
      <c r="JE215" s="23"/>
      <c r="JF215" s="23"/>
      <c r="JG215" s="23"/>
      <c r="JH215" s="23"/>
      <c r="JI215" s="23"/>
      <c r="JJ215" s="23"/>
      <c r="JK215" s="23"/>
      <c r="JL215" s="23"/>
      <c r="JM215" s="23"/>
      <c r="JN215" s="23"/>
      <c r="JO215" s="23"/>
      <c r="JP215" s="23"/>
      <c r="JQ215" s="23"/>
      <c r="JR215" s="23"/>
      <c r="JS215" s="23"/>
      <c r="JT215" s="23"/>
      <c r="JU215" s="23"/>
      <c r="JV215" s="23"/>
      <c r="JW215" s="23"/>
      <c r="JX215" s="23"/>
      <c r="JY215" s="23"/>
      <c r="JZ215" s="23"/>
      <c r="KA215" s="23"/>
      <c r="KB215" s="23"/>
      <c r="KC215" s="23"/>
      <c r="KD215" s="23"/>
      <c r="KE215" s="23"/>
      <c r="KF215" s="23"/>
      <c r="KG215" s="23"/>
      <c r="KH215" s="23"/>
      <c r="KI215" s="23"/>
      <c r="KJ215" s="23"/>
      <c r="KK215" s="23"/>
      <c r="KL215" s="23"/>
      <c r="KM215" s="23"/>
      <c r="KN215" s="23"/>
      <c r="KO215" s="23"/>
      <c r="KP215" s="23"/>
      <c r="KQ215" s="23"/>
      <c r="KR215" s="23"/>
      <c r="KS215" s="23"/>
      <c r="KT215" s="23"/>
      <c r="KU215" s="23"/>
      <c r="KV215" s="23"/>
      <c r="KW215" s="23"/>
      <c r="KX215" s="23"/>
      <c r="KY215" s="23"/>
      <c r="KZ215" s="23"/>
      <c r="LA215" s="23"/>
      <c r="LB215" s="23"/>
      <c r="LC215" s="23"/>
      <c r="LD215" s="23"/>
      <c r="LE215" s="23"/>
      <c r="LF215" s="23"/>
      <c r="LG215" s="23"/>
      <c r="LH215" s="23"/>
      <c r="LI215" s="23"/>
      <c r="LJ215" s="23"/>
      <c r="LK215" s="23"/>
      <c r="LL215" s="23"/>
      <c r="LM215" s="23"/>
      <c r="LN215" s="23"/>
      <c r="LO215" s="23"/>
      <c r="LP215" s="23"/>
      <c r="LQ215" s="23"/>
      <c r="LR215" s="23"/>
      <c r="LS215" s="23"/>
      <c r="LT215" s="23"/>
      <c r="LU215" s="23"/>
      <c r="LV215" s="23"/>
      <c r="LW215" s="23"/>
      <c r="LX215" s="23"/>
      <c r="LY215" s="23"/>
      <c r="LZ215" s="23"/>
      <c r="MA215" s="23"/>
      <c r="MB215" s="23"/>
      <c r="MC215" s="23"/>
      <c r="MD215" s="23"/>
      <c r="ME215" s="23"/>
      <c r="MF215" s="23"/>
      <c r="MG215" s="23"/>
      <c r="MH215" s="23"/>
      <c r="MI215" s="23"/>
      <c r="MJ215" s="23"/>
      <c r="MK215" s="23"/>
      <c r="ML215" s="23"/>
      <c r="MM215" s="23"/>
      <c r="MN215" s="23"/>
      <c r="MO215" s="23"/>
      <c r="MP215" s="23"/>
      <c r="MQ215" s="23"/>
      <c r="MR215" s="23"/>
      <c r="MS215" s="23"/>
      <c r="MT215" s="23"/>
      <c r="MU215" s="23"/>
      <c r="MV215" s="23"/>
      <c r="MW215" s="23"/>
      <c r="MX215" s="23"/>
      <c r="MY215" s="23"/>
      <c r="MZ215" s="23"/>
      <c r="NA215" s="23"/>
      <c r="NB215" s="23"/>
      <c r="NC215" s="23"/>
      <c r="ND215" s="23"/>
      <c r="NE215" s="23"/>
      <c r="NF215" s="23"/>
      <c r="NG215" s="23"/>
      <c r="NH215" s="23"/>
      <c r="NI215" s="23"/>
      <c r="NJ215" s="23"/>
      <c r="NK215" s="23"/>
      <c r="NL215" s="23"/>
      <c r="NM215" s="23"/>
      <c r="NN215" s="23"/>
    </row>
    <row r="216" spans="5:378" ht="15" customHeight="1"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  <c r="IZ216" s="23"/>
      <c r="JA216" s="23"/>
      <c r="JB216" s="23"/>
      <c r="JC216" s="23"/>
      <c r="JD216" s="23"/>
      <c r="JE216" s="23"/>
      <c r="JF216" s="23"/>
      <c r="JG216" s="23"/>
      <c r="JH216" s="23"/>
      <c r="JI216" s="23"/>
      <c r="JJ216" s="23"/>
      <c r="JK216" s="23"/>
      <c r="JL216" s="23"/>
      <c r="JM216" s="23"/>
      <c r="JN216" s="23"/>
      <c r="JO216" s="23"/>
      <c r="JP216" s="23"/>
      <c r="JQ216" s="23"/>
      <c r="JR216" s="23"/>
      <c r="JS216" s="23"/>
      <c r="JT216" s="23"/>
      <c r="JU216" s="23"/>
      <c r="JV216" s="23"/>
      <c r="JW216" s="23"/>
      <c r="JX216" s="23"/>
      <c r="JY216" s="23"/>
      <c r="JZ216" s="23"/>
      <c r="KA216" s="23"/>
      <c r="KB216" s="23"/>
      <c r="KC216" s="23"/>
      <c r="KD216" s="23"/>
      <c r="KE216" s="23"/>
      <c r="KF216" s="23"/>
      <c r="KG216" s="23"/>
      <c r="KH216" s="23"/>
      <c r="KI216" s="23"/>
      <c r="KJ216" s="23"/>
      <c r="KK216" s="23"/>
      <c r="KL216" s="23"/>
      <c r="KM216" s="23"/>
      <c r="KN216" s="23"/>
      <c r="KO216" s="23"/>
      <c r="KP216" s="23"/>
      <c r="KQ216" s="23"/>
      <c r="KR216" s="23"/>
      <c r="KS216" s="23"/>
      <c r="KT216" s="23"/>
      <c r="KU216" s="23"/>
      <c r="KV216" s="23"/>
      <c r="KW216" s="23"/>
      <c r="KX216" s="23"/>
      <c r="KY216" s="23"/>
      <c r="KZ216" s="23"/>
      <c r="LA216" s="23"/>
      <c r="LB216" s="23"/>
      <c r="LC216" s="23"/>
      <c r="LD216" s="23"/>
      <c r="LE216" s="23"/>
      <c r="LF216" s="23"/>
      <c r="LG216" s="23"/>
      <c r="LH216" s="23"/>
      <c r="LI216" s="23"/>
      <c r="LJ216" s="23"/>
      <c r="LK216" s="23"/>
      <c r="LL216" s="23"/>
      <c r="LM216" s="23"/>
      <c r="LN216" s="23"/>
      <c r="LO216" s="23"/>
      <c r="LP216" s="23"/>
      <c r="LQ216" s="23"/>
      <c r="LR216" s="23"/>
      <c r="LS216" s="23"/>
      <c r="LT216" s="23"/>
      <c r="LU216" s="23"/>
      <c r="LV216" s="23"/>
      <c r="LW216" s="23"/>
      <c r="LX216" s="23"/>
      <c r="LY216" s="23"/>
      <c r="LZ216" s="23"/>
      <c r="MA216" s="23"/>
      <c r="MB216" s="23"/>
      <c r="MC216" s="23"/>
      <c r="MD216" s="23"/>
      <c r="ME216" s="23"/>
      <c r="MF216" s="23"/>
      <c r="MG216" s="23"/>
      <c r="MH216" s="23"/>
      <c r="MI216" s="23"/>
      <c r="MJ216" s="23"/>
      <c r="MK216" s="23"/>
      <c r="ML216" s="23"/>
      <c r="MM216" s="23"/>
      <c r="MN216" s="23"/>
      <c r="MO216" s="23"/>
      <c r="MP216" s="23"/>
      <c r="MQ216" s="23"/>
      <c r="MR216" s="23"/>
      <c r="MS216" s="23"/>
      <c r="MT216" s="23"/>
      <c r="MU216" s="23"/>
      <c r="MV216" s="23"/>
      <c r="MW216" s="23"/>
      <c r="MX216" s="23"/>
      <c r="MY216" s="23"/>
      <c r="MZ216" s="23"/>
      <c r="NA216" s="23"/>
      <c r="NB216" s="23"/>
      <c r="NC216" s="23"/>
      <c r="ND216" s="23"/>
      <c r="NE216" s="23"/>
      <c r="NF216" s="23"/>
      <c r="NG216" s="23"/>
      <c r="NH216" s="23"/>
      <c r="NI216" s="23"/>
      <c r="NJ216" s="23"/>
      <c r="NK216" s="23"/>
      <c r="NL216" s="23"/>
      <c r="NM216" s="23"/>
      <c r="NN216" s="23"/>
    </row>
    <row r="217" spans="5:378" ht="15" customHeight="1"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  <c r="IZ217" s="23"/>
      <c r="JA217" s="23"/>
      <c r="JB217" s="23"/>
      <c r="JC217" s="23"/>
      <c r="JD217" s="23"/>
      <c r="JE217" s="23"/>
      <c r="JF217" s="23"/>
      <c r="JG217" s="23"/>
      <c r="JH217" s="23"/>
      <c r="JI217" s="23"/>
      <c r="JJ217" s="23"/>
      <c r="JK217" s="23"/>
      <c r="JL217" s="23"/>
      <c r="JM217" s="23"/>
      <c r="JN217" s="23"/>
      <c r="JO217" s="23"/>
      <c r="JP217" s="23"/>
      <c r="JQ217" s="23"/>
      <c r="JR217" s="23"/>
      <c r="JS217" s="23"/>
      <c r="JT217" s="23"/>
      <c r="JU217" s="23"/>
      <c r="JV217" s="23"/>
      <c r="JW217" s="23"/>
      <c r="JX217" s="23"/>
      <c r="JY217" s="23"/>
      <c r="JZ217" s="23"/>
      <c r="KA217" s="23"/>
      <c r="KB217" s="23"/>
      <c r="KC217" s="23"/>
      <c r="KD217" s="23"/>
      <c r="KE217" s="23"/>
      <c r="KF217" s="23"/>
      <c r="KG217" s="23"/>
      <c r="KH217" s="23"/>
      <c r="KI217" s="23"/>
      <c r="KJ217" s="23"/>
      <c r="KK217" s="23"/>
      <c r="KL217" s="23"/>
      <c r="KM217" s="23"/>
      <c r="KN217" s="23"/>
      <c r="KO217" s="23"/>
      <c r="KP217" s="23"/>
      <c r="KQ217" s="23"/>
      <c r="KR217" s="23"/>
      <c r="KS217" s="23"/>
      <c r="KT217" s="23"/>
      <c r="KU217" s="23"/>
      <c r="KV217" s="23"/>
      <c r="KW217" s="23"/>
      <c r="KX217" s="23"/>
      <c r="KY217" s="23"/>
      <c r="KZ217" s="23"/>
      <c r="LA217" s="23"/>
      <c r="LB217" s="23"/>
      <c r="LC217" s="23"/>
      <c r="LD217" s="23"/>
      <c r="LE217" s="23"/>
      <c r="LF217" s="23"/>
      <c r="LG217" s="23"/>
      <c r="LH217" s="23"/>
      <c r="LI217" s="23"/>
      <c r="LJ217" s="23"/>
      <c r="LK217" s="23"/>
      <c r="LL217" s="23"/>
      <c r="LM217" s="23"/>
      <c r="LN217" s="23"/>
      <c r="LO217" s="23"/>
      <c r="LP217" s="23"/>
      <c r="LQ217" s="23"/>
      <c r="LR217" s="23"/>
      <c r="LS217" s="23"/>
      <c r="LT217" s="23"/>
      <c r="LU217" s="23"/>
      <c r="LV217" s="23"/>
      <c r="LW217" s="23"/>
      <c r="LX217" s="23"/>
      <c r="LY217" s="23"/>
      <c r="LZ217" s="23"/>
      <c r="MA217" s="23"/>
      <c r="MB217" s="23"/>
      <c r="MC217" s="23"/>
      <c r="MD217" s="23"/>
      <c r="ME217" s="23"/>
      <c r="MF217" s="23"/>
      <c r="MG217" s="23"/>
      <c r="MH217" s="23"/>
      <c r="MI217" s="23"/>
      <c r="MJ217" s="23"/>
      <c r="MK217" s="23"/>
      <c r="ML217" s="23"/>
      <c r="MM217" s="23"/>
      <c r="MN217" s="23"/>
      <c r="MO217" s="23"/>
      <c r="MP217" s="23"/>
      <c r="MQ217" s="23"/>
      <c r="MR217" s="23"/>
      <c r="MS217" s="23"/>
      <c r="MT217" s="23"/>
      <c r="MU217" s="23"/>
      <c r="MV217" s="23"/>
      <c r="MW217" s="23"/>
      <c r="MX217" s="23"/>
      <c r="MY217" s="23"/>
      <c r="MZ217" s="23"/>
      <c r="NA217" s="23"/>
      <c r="NB217" s="23"/>
      <c r="NC217" s="23"/>
      <c r="ND217" s="23"/>
      <c r="NE217" s="23"/>
      <c r="NF217" s="23"/>
      <c r="NG217" s="23"/>
      <c r="NH217" s="23"/>
      <c r="NI217" s="23"/>
      <c r="NJ217" s="23"/>
      <c r="NK217" s="23"/>
      <c r="NL217" s="23"/>
      <c r="NM217" s="23"/>
      <c r="NN217" s="23"/>
    </row>
    <row r="218" spans="5:378" ht="15" customHeight="1"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  <c r="IZ218" s="23"/>
      <c r="JA218" s="23"/>
      <c r="JB218" s="23"/>
      <c r="JC218" s="23"/>
      <c r="JD218" s="23"/>
      <c r="JE218" s="23"/>
      <c r="JF218" s="23"/>
      <c r="JG218" s="23"/>
      <c r="JH218" s="23"/>
      <c r="JI218" s="23"/>
      <c r="JJ218" s="23"/>
      <c r="JK218" s="23"/>
      <c r="JL218" s="23"/>
      <c r="JM218" s="23"/>
      <c r="JN218" s="23"/>
      <c r="JO218" s="23"/>
      <c r="JP218" s="23"/>
      <c r="JQ218" s="23"/>
      <c r="JR218" s="23"/>
      <c r="JS218" s="23"/>
      <c r="JT218" s="23"/>
      <c r="JU218" s="23"/>
      <c r="JV218" s="23"/>
      <c r="JW218" s="23"/>
      <c r="JX218" s="23"/>
      <c r="JY218" s="23"/>
      <c r="JZ218" s="23"/>
      <c r="KA218" s="23"/>
      <c r="KB218" s="23"/>
      <c r="KC218" s="23"/>
      <c r="KD218" s="23"/>
      <c r="KE218" s="23"/>
      <c r="KF218" s="23"/>
      <c r="KG218" s="23"/>
      <c r="KH218" s="23"/>
      <c r="KI218" s="23"/>
      <c r="KJ218" s="23"/>
      <c r="KK218" s="23"/>
      <c r="KL218" s="23"/>
      <c r="KM218" s="23"/>
      <c r="KN218" s="23"/>
      <c r="KO218" s="23"/>
      <c r="KP218" s="23"/>
      <c r="KQ218" s="23"/>
      <c r="KR218" s="23"/>
      <c r="KS218" s="23"/>
      <c r="KT218" s="23"/>
      <c r="KU218" s="23"/>
      <c r="KV218" s="23"/>
      <c r="KW218" s="23"/>
      <c r="KX218" s="23"/>
      <c r="KY218" s="23"/>
      <c r="KZ218" s="23"/>
      <c r="LA218" s="23"/>
      <c r="LB218" s="23"/>
      <c r="LC218" s="23"/>
      <c r="LD218" s="23"/>
      <c r="LE218" s="23"/>
      <c r="LF218" s="23"/>
      <c r="LG218" s="23"/>
      <c r="LH218" s="23"/>
      <c r="LI218" s="23"/>
      <c r="LJ218" s="23"/>
      <c r="LK218" s="23"/>
      <c r="LL218" s="23"/>
      <c r="LM218" s="23"/>
      <c r="LN218" s="23"/>
      <c r="LO218" s="23"/>
      <c r="LP218" s="23"/>
      <c r="LQ218" s="23"/>
      <c r="LR218" s="23"/>
      <c r="LS218" s="23"/>
      <c r="LT218" s="23"/>
      <c r="LU218" s="23"/>
      <c r="LV218" s="23"/>
      <c r="LW218" s="23"/>
      <c r="LX218" s="23"/>
      <c r="LY218" s="23"/>
      <c r="LZ218" s="23"/>
      <c r="MA218" s="23"/>
      <c r="MB218" s="23"/>
      <c r="MC218" s="23"/>
      <c r="MD218" s="23"/>
      <c r="ME218" s="23"/>
      <c r="MF218" s="23"/>
      <c r="MG218" s="23"/>
      <c r="MH218" s="23"/>
      <c r="MI218" s="23"/>
      <c r="MJ218" s="23"/>
      <c r="MK218" s="23"/>
      <c r="ML218" s="23"/>
      <c r="MM218" s="23"/>
      <c r="MN218" s="23"/>
      <c r="MO218" s="23"/>
      <c r="MP218" s="23"/>
      <c r="MQ218" s="23"/>
      <c r="MR218" s="23"/>
      <c r="MS218" s="23"/>
      <c r="MT218" s="23"/>
      <c r="MU218" s="23"/>
      <c r="MV218" s="23"/>
      <c r="MW218" s="23"/>
      <c r="MX218" s="23"/>
      <c r="MY218" s="23"/>
      <c r="MZ218" s="23"/>
      <c r="NA218" s="23"/>
      <c r="NB218" s="23"/>
      <c r="NC218" s="23"/>
      <c r="ND218" s="23"/>
      <c r="NE218" s="23"/>
      <c r="NF218" s="23"/>
      <c r="NG218" s="23"/>
      <c r="NH218" s="23"/>
      <c r="NI218" s="23"/>
      <c r="NJ218" s="23"/>
      <c r="NK218" s="23"/>
      <c r="NL218" s="23"/>
      <c r="NM218" s="23"/>
      <c r="NN218" s="23"/>
    </row>
    <row r="219" spans="5:378" ht="15" customHeight="1"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  <c r="IZ219" s="23"/>
      <c r="JA219" s="23"/>
      <c r="JB219" s="23"/>
      <c r="JC219" s="23"/>
      <c r="JD219" s="23"/>
      <c r="JE219" s="23"/>
      <c r="JF219" s="23"/>
      <c r="JG219" s="23"/>
      <c r="JH219" s="23"/>
      <c r="JI219" s="23"/>
      <c r="JJ219" s="23"/>
      <c r="JK219" s="23"/>
      <c r="JL219" s="23"/>
      <c r="JM219" s="23"/>
      <c r="JN219" s="23"/>
      <c r="JO219" s="23"/>
      <c r="JP219" s="23"/>
      <c r="JQ219" s="23"/>
      <c r="JR219" s="23"/>
      <c r="JS219" s="23"/>
      <c r="JT219" s="23"/>
      <c r="JU219" s="23"/>
      <c r="JV219" s="23"/>
      <c r="JW219" s="23"/>
      <c r="JX219" s="23"/>
      <c r="JY219" s="23"/>
      <c r="JZ219" s="23"/>
      <c r="KA219" s="23"/>
      <c r="KB219" s="23"/>
      <c r="KC219" s="23"/>
      <c r="KD219" s="23"/>
      <c r="KE219" s="23"/>
      <c r="KF219" s="23"/>
      <c r="KG219" s="23"/>
      <c r="KH219" s="23"/>
      <c r="KI219" s="23"/>
      <c r="KJ219" s="23"/>
      <c r="KK219" s="23"/>
      <c r="KL219" s="23"/>
      <c r="KM219" s="23"/>
      <c r="KN219" s="23"/>
      <c r="KO219" s="23"/>
      <c r="KP219" s="23"/>
      <c r="KQ219" s="23"/>
      <c r="KR219" s="23"/>
      <c r="KS219" s="23"/>
      <c r="KT219" s="23"/>
      <c r="KU219" s="23"/>
      <c r="KV219" s="23"/>
      <c r="KW219" s="23"/>
      <c r="KX219" s="23"/>
      <c r="KY219" s="23"/>
      <c r="KZ219" s="23"/>
      <c r="LA219" s="23"/>
      <c r="LB219" s="23"/>
      <c r="LC219" s="23"/>
      <c r="LD219" s="23"/>
      <c r="LE219" s="23"/>
      <c r="LF219" s="23"/>
      <c r="LG219" s="23"/>
      <c r="LH219" s="23"/>
      <c r="LI219" s="23"/>
      <c r="LJ219" s="23"/>
      <c r="LK219" s="23"/>
      <c r="LL219" s="23"/>
      <c r="LM219" s="23"/>
      <c r="LN219" s="23"/>
      <c r="LO219" s="23"/>
      <c r="LP219" s="23"/>
      <c r="LQ219" s="23"/>
      <c r="LR219" s="23"/>
      <c r="LS219" s="23"/>
      <c r="LT219" s="23"/>
      <c r="LU219" s="23"/>
      <c r="LV219" s="23"/>
      <c r="LW219" s="23"/>
      <c r="LX219" s="23"/>
      <c r="LY219" s="23"/>
      <c r="LZ219" s="23"/>
      <c r="MA219" s="23"/>
      <c r="MB219" s="23"/>
      <c r="MC219" s="23"/>
      <c r="MD219" s="23"/>
      <c r="ME219" s="23"/>
      <c r="MF219" s="23"/>
      <c r="MG219" s="23"/>
      <c r="MH219" s="23"/>
      <c r="MI219" s="23"/>
      <c r="MJ219" s="23"/>
      <c r="MK219" s="23"/>
      <c r="ML219" s="23"/>
      <c r="MM219" s="23"/>
      <c r="MN219" s="23"/>
      <c r="MO219" s="23"/>
      <c r="MP219" s="23"/>
      <c r="MQ219" s="23"/>
      <c r="MR219" s="23"/>
      <c r="MS219" s="23"/>
      <c r="MT219" s="23"/>
      <c r="MU219" s="23"/>
      <c r="MV219" s="23"/>
      <c r="MW219" s="23"/>
      <c r="MX219" s="23"/>
      <c r="MY219" s="23"/>
      <c r="MZ219" s="23"/>
      <c r="NA219" s="23"/>
      <c r="NB219" s="23"/>
      <c r="NC219" s="23"/>
      <c r="ND219" s="23"/>
      <c r="NE219" s="23"/>
      <c r="NF219" s="23"/>
      <c r="NG219" s="23"/>
      <c r="NH219" s="23"/>
      <c r="NI219" s="23"/>
      <c r="NJ219" s="23"/>
      <c r="NK219" s="23"/>
      <c r="NL219" s="23"/>
      <c r="NM219" s="23"/>
      <c r="NN219" s="23"/>
    </row>
    <row r="220" spans="5:378" ht="15" customHeight="1"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  <c r="IZ220" s="23"/>
      <c r="JA220" s="23"/>
      <c r="JB220" s="23"/>
      <c r="JC220" s="23"/>
      <c r="JD220" s="23"/>
      <c r="JE220" s="23"/>
      <c r="JF220" s="23"/>
      <c r="JG220" s="23"/>
      <c r="JH220" s="23"/>
      <c r="JI220" s="23"/>
      <c r="JJ220" s="23"/>
      <c r="JK220" s="23"/>
      <c r="JL220" s="23"/>
      <c r="JM220" s="23"/>
      <c r="JN220" s="23"/>
      <c r="JO220" s="23"/>
      <c r="JP220" s="23"/>
      <c r="JQ220" s="23"/>
      <c r="JR220" s="23"/>
      <c r="JS220" s="23"/>
      <c r="JT220" s="23"/>
      <c r="JU220" s="23"/>
      <c r="JV220" s="23"/>
      <c r="JW220" s="23"/>
      <c r="JX220" s="23"/>
      <c r="JY220" s="23"/>
      <c r="JZ220" s="23"/>
      <c r="KA220" s="23"/>
      <c r="KB220" s="23"/>
      <c r="KC220" s="23"/>
      <c r="KD220" s="23"/>
      <c r="KE220" s="23"/>
      <c r="KF220" s="23"/>
      <c r="KG220" s="23"/>
      <c r="KH220" s="23"/>
      <c r="KI220" s="23"/>
      <c r="KJ220" s="23"/>
      <c r="KK220" s="23"/>
      <c r="KL220" s="23"/>
      <c r="KM220" s="23"/>
      <c r="KN220" s="23"/>
      <c r="KO220" s="23"/>
      <c r="KP220" s="23"/>
      <c r="KQ220" s="23"/>
      <c r="KR220" s="23"/>
      <c r="KS220" s="23"/>
      <c r="KT220" s="23"/>
      <c r="KU220" s="23"/>
      <c r="KV220" s="23"/>
      <c r="KW220" s="23"/>
      <c r="KX220" s="23"/>
      <c r="KY220" s="23"/>
      <c r="KZ220" s="23"/>
      <c r="LA220" s="23"/>
      <c r="LB220" s="23"/>
      <c r="LC220" s="23"/>
      <c r="LD220" s="23"/>
      <c r="LE220" s="23"/>
      <c r="LF220" s="23"/>
      <c r="LG220" s="23"/>
      <c r="LH220" s="23"/>
      <c r="LI220" s="23"/>
      <c r="LJ220" s="23"/>
      <c r="LK220" s="23"/>
      <c r="LL220" s="23"/>
      <c r="LM220" s="23"/>
      <c r="LN220" s="23"/>
      <c r="LO220" s="23"/>
      <c r="LP220" s="23"/>
      <c r="LQ220" s="23"/>
      <c r="LR220" s="23"/>
      <c r="LS220" s="23"/>
      <c r="LT220" s="23"/>
      <c r="LU220" s="23"/>
      <c r="LV220" s="23"/>
      <c r="LW220" s="23"/>
      <c r="LX220" s="23"/>
      <c r="LY220" s="23"/>
      <c r="LZ220" s="23"/>
      <c r="MA220" s="23"/>
      <c r="MB220" s="23"/>
      <c r="MC220" s="23"/>
      <c r="MD220" s="23"/>
      <c r="ME220" s="23"/>
      <c r="MF220" s="23"/>
      <c r="MG220" s="23"/>
      <c r="MH220" s="23"/>
      <c r="MI220" s="23"/>
      <c r="MJ220" s="23"/>
      <c r="MK220" s="23"/>
      <c r="ML220" s="23"/>
      <c r="MM220" s="23"/>
      <c r="MN220" s="23"/>
      <c r="MO220" s="23"/>
      <c r="MP220" s="23"/>
      <c r="MQ220" s="23"/>
      <c r="MR220" s="23"/>
      <c r="MS220" s="23"/>
      <c r="MT220" s="23"/>
      <c r="MU220" s="23"/>
      <c r="MV220" s="23"/>
      <c r="MW220" s="23"/>
      <c r="MX220" s="23"/>
      <c r="MY220" s="23"/>
      <c r="MZ220" s="23"/>
      <c r="NA220" s="23"/>
      <c r="NB220" s="23"/>
      <c r="NC220" s="23"/>
      <c r="ND220" s="23"/>
      <c r="NE220" s="23"/>
      <c r="NF220" s="23"/>
      <c r="NG220" s="23"/>
      <c r="NH220" s="23"/>
      <c r="NI220" s="23"/>
      <c r="NJ220" s="23"/>
      <c r="NK220" s="23"/>
      <c r="NL220" s="23"/>
      <c r="NM220" s="23"/>
      <c r="NN220" s="23"/>
    </row>
    <row r="221" spans="5:378" ht="15" customHeight="1"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  <c r="IZ221" s="23"/>
      <c r="JA221" s="23"/>
      <c r="JB221" s="23"/>
      <c r="JC221" s="23"/>
      <c r="JD221" s="23"/>
      <c r="JE221" s="23"/>
      <c r="JF221" s="23"/>
      <c r="JG221" s="23"/>
      <c r="JH221" s="23"/>
      <c r="JI221" s="23"/>
      <c r="JJ221" s="23"/>
      <c r="JK221" s="23"/>
      <c r="JL221" s="23"/>
      <c r="JM221" s="23"/>
      <c r="JN221" s="23"/>
      <c r="JO221" s="23"/>
      <c r="JP221" s="23"/>
      <c r="JQ221" s="23"/>
      <c r="JR221" s="23"/>
      <c r="JS221" s="23"/>
      <c r="JT221" s="23"/>
      <c r="JU221" s="23"/>
      <c r="JV221" s="23"/>
      <c r="JW221" s="23"/>
      <c r="JX221" s="23"/>
      <c r="JY221" s="23"/>
      <c r="JZ221" s="23"/>
      <c r="KA221" s="23"/>
      <c r="KB221" s="23"/>
      <c r="KC221" s="23"/>
      <c r="KD221" s="23"/>
      <c r="KE221" s="23"/>
      <c r="KF221" s="23"/>
      <c r="KG221" s="23"/>
      <c r="KH221" s="23"/>
      <c r="KI221" s="23"/>
      <c r="KJ221" s="23"/>
      <c r="KK221" s="23"/>
      <c r="KL221" s="23"/>
      <c r="KM221" s="23"/>
      <c r="KN221" s="23"/>
      <c r="KO221" s="23"/>
      <c r="KP221" s="23"/>
      <c r="KQ221" s="23"/>
      <c r="KR221" s="23"/>
      <c r="KS221" s="23"/>
      <c r="KT221" s="23"/>
      <c r="KU221" s="23"/>
      <c r="KV221" s="23"/>
      <c r="KW221" s="23"/>
      <c r="KX221" s="23"/>
      <c r="KY221" s="23"/>
      <c r="KZ221" s="23"/>
      <c r="LA221" s="23"/>
      <c r="LB221" s="23"/>
      <c r="LC221" s="23"/>
      <c r="LD221" s="23"/>
      <c r="LE221" s="23"/>
      <c r="LF221" s="23"/>
      <c r="LG221" s="23"/>
      <c r="LH221" s="23"/>
      <c r="LI221" s="23"/>
      <c r="LJ221" s="23"/>
      <c r="LK221" s="23"/>
      <c r="LL221" s="23"/>
      <c r="LM221" s="23"/>
      <c r="LN221" s="23"/>
      <c r="LO221" s="23"/>
      <c r="LP221" s="23"/>
      <c r="LQ221" s="23"/>
      <c r="LR221" s="23"/>
      <c r="LS221" s="23"/>
      <c r="LT221" s="23"/>
      <c r="LU221" s="23"/>
      <c r="LV221" s="23"/>
      <c r="LW221" s="23"/>
      <c r="LX221" s="23"/>
      <c r="LY221" s="23"/>
      <c r="LZ221" s="23"/>
      <c r="MA221" s="23"/>
      <c r="MB221" s="23"/>
      <c r="MC221" s="23"/>
      <c r="MD221" s="23"/>
      <c r="ME221" s="23"/>
      <c r="MF221" s="23"/>
      <c r="MG221" s="23"/>
      <c r="MH221" s="23"/>
      <c r="MI221" s="23"/>
      <c r="MJ221" s="23"/>
      <c r="MK221" s="23"/>
      <c r="ML221" s="23"/>
      <c r="MM221" s="23"/>
      <c r="MN221" s="23"/>
      <c r="MO221" s="23"/>
      <c r="MP221" s="23"/>
      <c r="MQ221" s="23"/>
      <c r="MR221" s="23"/>
      <c r="MS221" s="23"/>
      <c r="MT221" s="23"/>
      <c r="MU221" s="23"/>
      <c r="MV221" s="23"/>
      <c r="MW221" s="23"/>
      <c r="MX221" s="23"/>
      <c r="MY221" s="23"/>
      <c r="MZ221" s="23"/>
      <c r="NA221" s="23"/>
      <c r="NB221" s="23"/>
      <c r="NC221" s="23"/>
      <c r="ND221" s="23"/>
      <c r="NE221" s="23"/>
      <c r="NF221" s="23"/>
      <c r="NG221" s="23"/>
      <c r="NH221" s="23"/>
      <c r="NI221" s="23"/>
      <c r="NJ221" s="23"/>
      <c r="NK221" s="23"/>
      <c r="NL221" s="23"/>
      <c r="NM221" s="23"/>
      <c r="NN221" s="23"/>
    </row>
    <row r="222" spans="5:378" ht="15" customHeight="1"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  <c r="IZ222" s="23"/>
      <c r="JA222" s="23"/>
      <c r="JB222" s="23"/>
      <c r="JC222" s="23"/>
      <c r="JD222" s="23"/>
      <c r="JE222" s="23"/>
      <c r="JF222" s="23"/>
      <c r="JG222" s="23"/>
      <c r="JH222" s="23"/>
      <c r="JI222" s="23"/>
      <c r="JJ222" s="23"/>
      <c r="JK222" s="23"/>
      <c r="JL222" s="23"/>
      <c r="JM222" s="23"/>
      <c r="JN222" s="23"/>
      <c r="JO222" s="23"/>
      <c r="JP222" s="23"/>
      <c r="JQ222" s="23"/>
      <c r="JR222" s="23"/>
      <c r="JS222" s="23"/>
      <c r="JT222" s="23"/>
      <c r="JU222" s="23"/>
      <c r="JV222" s="23"/>
      <c r="JW222" s="23"/>
      <c r="JX222" s="23"/>
      <c r="JY222" s="23"/>
      <c r="JZ222" s="23"/>
      <c r="KA222" s="23"/>
      <c r="KB222" s="23"/>
      <c r="KC222" s="23"/>
      <c r="KD222" s="23"/>
      <c r="KE222" s="23"/>
      <c r="KF222" s="23"/>
      <c r="KG222" s="23"/>
      <c r="KH222" s="23"/>
      <c r="KI222" s="23"/>
      <c r="KJ222" s="23"/>
      <c r="KK222" s="23"/>
      <c r="KL222" s="23"/>
      <c r="KM222" s="23"/>
      <c r="KN222" s="23"/>
      <c r="KO222" s="23"/>
      <c r="KP222" s="23"/>
      <c r="KQ222" s="23"/>
      <c r="KR222" s="23"/>
      <c r="KS222" s="23"/>
      <c r="KT222" s="23"/>
      <c r="KU222" s="23"/>
      <c r="KV222" s="23"/>
      <c r="KW222" s="23"/>
      <c r="KX222" s="23"/>
      <c r="KY222" s="23"/>
      <c r="KZ222" s="23"/>
      <c r="LA222" s="23"/>
      <c r="LB222" s="23"/>
      <c r="LC222" s="23"/>
      <c r="LD222" s="23"/>
      <c r="LE222" s="23"/>
      <c r="LF222" s="23"/>
      <c r="LG222" s="23"/>
      <c r="LH222" s="23"/>
      <c r="LI222" s="23"/>
      <c r="LJ222" s="23"/>
      <c r="LK222" s="23"/>
      <c r="LL222" s="23"/>
      <c r="LM222" s="23"/>
      <c r="LN222" s="23"/>
      <c r="LO222" s="23"/>
      <c r="LP222" s="23"/>
      <c r="LQ222" s="23"/>
      <c r="LR222" s="23"/>
      <c r="LS222" s="23"/>
      <c r="LT222" s="23"/>
      <c r="LU222" s="23"/>
      <c r="LV222" s="23"/>
      <c r="LW222" s="23"/>
      <c r="LX222" s="23"/>
      <c r="LY222" s="23"/>
      <c r="LZ222" s="23"/>
      <c r="MA222" s="23"/>
      <c r="MB222" s="23"/>
      <c r="MC222" s="23"/>
      <c r="MD222" s="23"/>
      <c r="ME222" s="23"/>
      <c r="MF222" s="23"/>
      <c r="MG222" s="23"/>
      <c r="MH222" s="23"/>
      <c r="MI222" s="23"/>
      <c r="MJ222" s="23"/>
      <c r="MK222" s="23"/>
      <c r="ML222" s="23"/>
      <c r="MM222" s="23"/>
      <c r="MN222" s="23"/>
      <c r="MO222" s="23"/>
      <c r="MP222" s="23"/>
      <c r="MQ222" s="23"/>
      <c r="MR222" s="23"/>
      <c r="MS222" s="23"/>
      <c r="MT222" s="23"/>
      <c r="MU222" s="23"/>
      <c r="MV222" s="23"/>
      <c r="MW222" s="23"/>
      <c r="MX222" s="23"/>
      <c r="MY222" s="23"/>
      <c r="MZ222" s="23"/>
      <c r="NA222" s="23"/>
      <c r="NB222" s="23"/>
      <c r="NC222" s="23"/>
      <c r="ND222" s="23"/>
      <c r="NE222" s="23"/>
      <c r="NF222" s="23"/>
      <c r="NG222" s="23"/>
      <c r="NH222" s="23"/>
      <c r="NI222" s="23"/>
      <c r="NJ222" s="23"/>
      <c r="NK222" s="23"/>
      <c r="NL222" s="23"/>
      <c r="NM222" s="23"/>
      <c r="NN222" s="23"/>
    </row>
    <row r="223" spans="5:378" ht="15" customHeight="1"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  <c r="IZ223" s="23"/>
      <c r="JA223" s="23"/>
      <c r="JB223" s="23"/>
      <c r="JC223" s="23"/>
      <c r="JD223" s="23"/>
      <c r="JE223" s="23"/>
      <c r="JF223" s="23"/>
      <c r="JG223" s="23"/>
      <c r="JH223" s="23"/>
      <c r="JI223" s="23"/>
      <c r="JJ223" s="23"/>
      <c r="JK223" s="23"/>
      <c r="JL223" s="23"/>
      <c r="JM223" s="23"/>
      <c r="JN223" s="23"/>
      <c r="JO223" s="23"/>
      <c r="JP223" s="23"/>
      <c r="JQ223" s="23"/>
      <c r="JR223" s="23"/>
      <c r="JS223" s="23"/>
      <c r="JT223" s="23"/>
      <c r="JU223" s="23"/>
      <c r="JV223" s="23"/>
      <c r="JW223" s="23"/>
      <c r="JX223" s="23"/>
      <c r="JY223" s="23"/>
      <c r="JZ223" s="23"/>
      <c r="KA223" s="23"/>
      <c r="KB223" s="23"/>
      <c r="KC223" s="23"/>
      <c r="KD223" s="23"/>
      <c r="KE223" s="23"/>
      <c r="KF223" s="23"/>
      <c r="KG223" s="23"/>
      <c r="KH223" s="23"/>
      <c r="KI223" s="23"/>
      <c r="KJ223" s="23"/>
      <c r="KK223" s="23"/>
      <c r="KL223" s="23"/>
      <c r="KM223" s="23"/>
      <c r="KN223" s="23"/>
      <c r="KO223" s="23"/>
      <c r="KP223" s="23"/>
      <c r="KQ223" s="23"/>
      <c r="KR223" s="23"/>
      <c r="KS223" s="23"/>
      <c r="KT223" s="23"/>
      <c r="KU223" s="23"/>
      <c r="KV223" s="23"/>
      <c r="KW223" s="23"/>
      <c r="KX223" s="23"/>
      <c r="KY223" s="23"/>
      <c r="KZ223" s="23"/>
      <c r="LA223" s="23"/>
      <c r="LB223" s="23"/>
      <c r="LC223" s="23"/>
      <c r="LD223" s="23"/>
      <c r="LE223" s="23"/>
      <c r="LF223" s="23"/>
      <c r="LG223" s="23"/>
      <c r="LH223" s="23"/>
      <c r="LI223" s="23"/>
      <c r="LJ223" s="23"/>
      <c r="LK223" s="23"/>
      <c r="LL223" s="23"/>
      <c r="LM223" s="23"/>
      <c r="LN223" s="23"/>
      <c r="LO223" s="23"/>
      <c r="LP223" s="23"/>
      <c r="LQ223" s="23"/>
      <c r="LR223" s="23"/>
      <c r="LS223" s="23"/>
      <c r="LT223" s="23"/>
      <c r="LU223" s="23"/>
      <c r="LV223" s="23"/>
      <c r="LW223" s="23"/>
      <c r="LX223" s="23"/>
      <c r="LY223" s="23"/>
      <c r="LZ223" s="23"/>
      <c r="MA223" s="23"/>
      <c r="MB223" s="23"/>
      <c r="MC223" s="23"/>
      <c r="MD223" s="23"/>
      <c r="ME223" s="23"/>
      <c r="MF223" s="23"/>
      <c r="MG223" s="23"/>
      <c r="MH223" s="23"/>
      <c r="MI223" s="23"/>
      <c r="MJ223" s="23"/>
      <c r="MK223" s="23"/>
      <c r="ML223" s="23"/>
      <c r="MM223" s="23"/>
      <c r="MN223" s="23"/>
      <c r="MO223" s="23"/>
      <c r="MP223" s="23"/>
      <c r="MQ223" s="23"/>
      <c r="MR223" s="23"/>
      <c r="MS223" s="23"/>
      <c r="MT223" s="23"/>
      <c r="MU223" s="23"/>
      <c r="MV223" s="23"/>
      <c r="MW223" s="23"/>
      <c r="MX223" s="23"/>
      <c r="MY223" s="23"/>
      <c r="MZ223" s="23"/>
      <c r="NA223" s="23"/>
      <c r="NB223" s="23"/>
      <c r="NC223" s="23"/>
      <c r="ND223" s="23"/>
      <c r="NE223" s="23"/>
      <c r="NF223" s="23"/>
      <c r="NG223" s="23"/>
      <c r="NH223" s="23"/>
      <c r="NI223" s="23"/>
      <c r="NJ223" s="23"/>
      <c r="NK223" s="23"/>
      <c r="NL223" s="23"/>
      <c r="NM223" s="23"/>
      <c r="NN223" s="23"/>
    </row>
    <row r="224" spans="5:378" ht="15" customHeight="1"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  <c r="IZ224" s="23"/>
      <c r="JA224" s="23"/>
      <c r="JB224" s="23"/>
      <c r="JC224" s="23"/>
      <c r="JD224" s="23"/>
      <c r="JE224" s="23"/>
      <c r="JF224" s="23"/>
      <c r="JG224" s="23"/>
      <c r="JH224" s="23"/>
      <c r="JI224" s="23"/>
      <c r="JJ224" s="23"/>
      <c r="JK224" s="23"/>
      <c r="JL224" s="23"/>
      <c r="JM224" s="23"/>
      <c r="JN224" s="23"/>
      <c r="JO224" s="23"/>
      <c r="JP224" s="23"/>
      <c r="JQ224" s="23"/>
      <c r="JR224" s="23"/>
      <c r="JS224" s="23"/>
      <c r="JT224" s="23"/>
      <c r="JU224" s="23"/>
      <c r="JV224" s="23"/>
      <c r="JW224" s="23"/>
      <c r="JX224" s="23"/>
      <c r="JY224" s="23"/>
      <c r="JZ224" s="23"/>
      <c r="KA224" s="23"/>
      <c r="KB224" s="23"/>
      <c r="KC224" s="23"/>
      <c r="KD224" s="23"/>
      <c r="KE224" s="23"/>
      <c r="KF224" s="23"/>
      <c r="KG224" s="23"/>
      <c r="KH224" s="23"/>
      <c r="KI224" s="23"/>
      <c r="KJ224" s="23"/>
      <c r="KK224" s="23"/>
      <c r="KL224" s="23"/>
      <c r="KM224" s="23"/>
      <c r="KN224" s="23"/>
      <c r="KO224" s="23"/>
      <c r="KP224" s="23"/>
      <c r="KQ224" s="23"/>
      <c r="KR224" s="23"/>
      <c r="KS224" s="23"/>
      <c r="KT224" s="23"/>
      <c r="KU224" s="23"/>
      <c r="KV224" s="23"/>
      <c r="KW224" s="23"/>
      <c r="KX224" s="23"/>
      <c r="KY224" s="23"/>
      <c r="KZ224" s="23"/>
      <c r="LA224" s="23"/>
      <c r="LB224" s="23"/>
      <c r="LC224" s="23"/>
      <c r="LD224" s="23"/>
      <c r="LE224" s="23"/>
      <c r="LF224" s="23"/>
      <c r="LG224" s="23"/>
      <c r="LH224" s="23"/>
      <c r="LI224" s="23"/>
      <c r="LJ224" s="23"/>
      <c r="LK224" s="23"/>
      <c r="LL224" s="23"/>
      <c r="LM224" s="23"/>
      <c r="LN224" s="23"/>
      <c r="LO224" s="23"/>
      <c r="LP224" s="23"/>
      <c r="LQ224" s="23"/>
      <c r="LR224" s="23"/>
      <c r="LS224" s="23"/>
      <c r="LT224" s="23"/>
      <c r="LU224" s="23"/>
      <c r="LV224" s="23"/>
      <c r="LW224" s="23"/>
      <c r="LX224" s="23"/>
      <c r="LY224" s="23"/>
      <c r="LZ224" s="23"/>
      <c r="MA224" s="23"/>
      <c r="MB224" s="23"/>
      <c r="MC224" s="23"/>
      <c r="MD224" s="23"/>
      <c r="ME224" s="23"/>
      <c r="MF224" s="23"/>
      <c r="MG224" s="23"/>
      <c r="MH224" s="23"/>
      <c r="MI224" s="23"/>
      <c r="MJ224" s="23"/>
      <c r="MK224" s="23"/>
      <c r="ML224" s="23"/>
      <c r="MM224" s="23"/>
      <c r="MN224" s="23"/>
      <c r="MO224" s="23"/>
      <c r="MP224" s="23"/>
      <c r="MQ224" s="23"/>
      <c r="MR224" s="23"/>
      <c r="MS224" s="23"/>
      <c r="MT224" s="23"/>
      <c r="MU224" s="23"/>
      <c r="MV224" s="23"/>
      <c r="MW224" s="23"/>
      <c r="MX224" s="23"/>
      <c r="MY224" s="23"/>
      <c r="MZ224" s="23"/>
      <c r="NA224" s="23"/>
      <c r="NB224" s="23"/>
      <c r="NC224" s="23"/>
      <c r="ND224" s="23"/>
      <c r="NE224" s="23"/>
      <c r="NF224" s="23"/>
      <c r="NG224" s="23"/>
      <c r="NH224" s="23"/>
      <c r="NI224" s="23"/>
      <c r="NJ224" s="23"/>
      <c r="NK224" s="23"/>
      <c r="NL224" s="23"/>
      <c r="NM224" s="23"/>
      <c r="NN224" s="23"/>
    </row>
    <row r="225" spans="5:378" ht="15" customHeight="1"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  <c r="IZ225" s="23"/>
      <c r="JA225" s="23"/>
      <c r="JB225" s="23"/>
      <c r="JC225" s="23"/>
      <c r="JD225" s="23"/>
      <c r="JE225" s="23"/>
      <c r="JF225" s="23"/>
      <c r="JG225" s="23"/>
      <c r="JH225" s="23"/>
      <c r="JI225" s="23"/>
      <c r="JJ225" s="23"/>
      <c r="JK225" s="23"/>
      <c r="JL225" s="23"/>
      <c r="JM225" s="23"/>
      <c r="JN225" s="23"/>
      <c r="JO225" s="23"/>
      <c r="JP225" s="23"/>
      <c r="JQ225" s="23"/>
      <c r="JR225" s="23"/>
      <c r="JS225" s="23"/>
      <c r="JT225" s="23"/>
      <c r="JU225" s="23"/>
      <c r="JV225" s="23"/>
      <c r="JW225" s="23"/>
      <c r="JX225" s="23"/>
      <c r="JY225" s="23"/>
      <c r="JZ225" s="23"/>
      <c r="KA225" s="23"/>
      <c r="KB225" s="23"/>
      <c r="KC225" s="23"/>
      <c r="KD225" s="23"/>
      <c r="KE225" s="23"/>
      <c r="KF225" s="23"/>
      <c r="KG225" s="23"/>
      <c r="KH225" s="23"/>
      <c r="KI225" s="23"/>
      <c r="KJ225" s="23"/>
      <c r="KK225" s="23"/>
      <c r="KL225" s="23"/>
      <c r="KM225" s="23"/>
      <c r="KN225" s="23"/>
      <c r="KO225" s="23"/>
      <c r="KP225" s="23"/>
      <c r="KQ225" s="23"/>
      <c r="KR225" s="23"/>
      <c r="KS225" s="23"/>
      <c r="KT225" s="23"/>
      <c r="KU225" s="23"/>
      <c r="KV225" s="23"/>
      <c r="KW225" s="23"/>
      <c r="KX225" s="23"/>
      <c r="KY225" s="23"/>
      <c r="KZ225" s="23"/>
      <c r="LA225" s="23"/>
      <c r="LB225" s="23"/>
      <c r="LC225" s="23"/>
      <c r="LD225" s="23"/>
      <c r="LE225" s="23"/>
      <c r="LF225" s="23"/>
      <c r="LG225" s="23"/>
      <c r="LH225" s="23"/>
      <c r="LI225" s="23"/>
      <c r="LJ225" s="23"/>
      <c r="LK225" s="23"/>
      <c r="LL225" s="23"/>
      <c r="LM225" s="23"/>
      <c r="LN225" s="23"/>
      <c r="LO225" s="23"/>
      <c r="LP225" s="23"/>
      <c r="LQ225" s="23"/>
      <c r="LR225" s="23"/>
      <c r="LS225" s="23"/>
      <c r="LT225" s="23"/>
      <c r="LU225" s="23"/>
      <c r="LV225" s="23"/>
      <c r="LW225" s="23"/>
      <c r="LX225" s="23"/>
      <c r="LY225" s="23"/>
      <c r="LZ225" s="23"/>
      <c r="MA225" s="23"/>
      <c r="MB225" s="23"/>
      <c r="MC225" s="23"/>
      <c r="MD225" s="23"/>
      <c r="ME225" s="23"/>
      <c r="MF225" s="23"/>
      <c r="MG225" s="23"/>
      <c r="MH225" s="23"/>
      <c r="MI225" s="23"/>
      <c r="MJ225" s="23"/>
      <c r="MK225" s="23"/>
      <c r="ML225" s="23"/>
      <c r="MM225" s="23"/>
      <c r="MN225" s="23"/>
      <c r="MO225" s="23"/>
      <c r="MP225" s="23"/>
      <c r="MQ225" s="23"/>
      <c r="MR225" s="23"/>
      <c r="MS225" s="23"/>
      <c r="MT225" s="23"/>
      <c r="MU225" s="23"/>
      <c r="MV225" s="23"/>
      <c r="MW225" s="23"/>
      <c r="MX225" s="23"/>
      <c r="MY225" s="23"/>
      <c r="MZ225" s="23"/>
      <c r="NA225" s="23"/>
      <c r="NB225" s="23"/>
      <c r="NC225" s="23"/>
      <c r="ND225" s="23"/>
      <c r="NE225" s="23"/>
      <c r="NF225" s="23"/>
      <c r="NG225" s="23"/>
      <c r="NH225" s="23"/>
      <c r="NI225" s="23"/>
      <c r="NJ225" s="23"/>
      <c r="NK225" s="23"/>
      <c r="NL225" s="23"/>
      <c r="NM225" s="23"/>
      <c r="NN225" s="23"/>
    </row>
    <row r="226" spans="5:378" ht="15" customHeight="1"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  <c r="IZ226" s="23"/>
      <c r="JA226" s="23"/>
      <c r="JB226" s="23"/>
      <c r="JC226" s="23"/>
      <c r="JD226" s="23"/>
      <c r="JE226" s="23"/>
      <c r="JF226" s="23"/>
      <c r="JG226" s="23"/>
      <c r="JH226" s="23"/>
      <c r="JI226" s="23"/>
      <c r="JJ226" s="23"/>
      <c r="JK226" s="23"/>
      <c r="JL226" s="23"/>
      <c r="JM226" s="23"/>
      <c r="JN226" s="23"/>
      <c r="JO226" s="23"/>
      <c r="JP226" s="23"/>
      <c r="JQ226" s="23"/>
      <c r="JR226" s="23"/>
      <c r="JS226" s="23"/>
      <c r="JT226" s="23"/>
      <c r="JU226" s="23"/>
      <c r="JV226" s="23"/>
      <c r="JW226" s="23"/>
      <c r="JX226" s="23"/>
      <c r="JY226" s="23"/>
      <c r="JZ226" s="23"/>
      <c r="KA226" s="23"/>
      <c r="KB226" s="23"/>
      <c r="KC226" s="23"/>
      <c r="KD226" s="23"/>
      <c r="KE226" s="23"/>
      <c r="KF226" s="23"/>
      <c r="KG226" s="23"/>
      <c r="KH226" s="23"/>
      <c r="KI226" s="23"/>
      <c r="KJ226" s="23"/>
      <c r="KK226" s="23"/>
      <c r="KL226" s="23"/>
      <c r="KM226" s="23"/>
      <c r="KN226" s="23"/>
      <c r="KO226" s="23"/>
      <c r="KP226" s="23"/>
      <c r="KQ226" s="23"/>
      <c r="KR226" s="23"/>
      <c r="KS226" s="23"/>
      <c r="KT226" s="23"/>
      <c r="KU226" s="23"/>
      <c r="KV226" s="23"/>
      <c r="KW226" s="23"/>
      <c r="KX226" s="23"/>
      <c r="KY226" s="23"/>
      <c r="KZ226" s="23"/>
      <c r="LA226" s="23"/>
      <c r="LB226" s="23"/>
      <c r="LC226" s="23"/>
      <c r="LD226" s="23"/>
      <c r="LE226" s="23"/>
      <c r="LF226" s="23"/>
      <c r="LG226" s="23"/>
      <c r="LH226" s="23"/>
      <c r="LI226" s="23"/>
      <c r="LJ226" s="23"/>
      <c r="LK226" s="23"/>
      <c r="LL226" s="23"/>
      <c r="LM226" s="23"/>
      <c r="LN226" s="23"/>
      <c r="LO226" s="23"/>
      <c r="LP226" s="23"/>
      <c r="LQ226" s="23"/>
      <c r="LR226" s="23"/>
      <c r="LS226" s="23"/>
      <c r="LT226" s="23"/>
      <c r="LU226" s="23"/>
      <c r="LV226" s="23"/>
      <c r="LW226" s="23"/>
      <c r="LX226" s="23"/>
      <c r="LY226" s="23"/>
      <c r="LZ226" s="23"/>
      <c r="MA226" s="23"/>
      <c r="MB226" s="23"/>
      <c r="MC226" s="23"/>
      <c r="MD226" s="23"/>
      <c r="ME226" s="23"/>
      <c r="MF226" s="23"/>
      <c r="MG226" s="23"/>
      <c r="MH226" s="23"/>
      <c r="MI226" s="23"/>
      <c r="MJ226" s="23"/>
      <c r="MK226" s="23"/>
      <c r="ML226" s="23"/>
      <c r="MM226" s="23"/>
      <c r="MN226" s="23"/>
      <c r="MO226" s="23"/>
      <c r="MP226" s="23"/>
      <c r="MQ226" s="23"/>
      <c r="MR226" s="23"/>
      <c r="MS226" s="23"/>
      <c r="MT226" s="23"/>
      <c r="MU226" s="23"/>
      <c r="MV226" s="23"/>
      <c r="MW226" s="23"/>
      <c r="MX226" s="23"/>
      <c r="MY226" s="23"/>
      <c r="MZ226" s="23"/>
      <c r="NA226" s="23"/>
      <c r="NB226" s="23"/>
      <c r="NC226" s="23"/>
      <c r="ND226" s="23"/>
      <c r="NE226" s="23"/>
      <c r="NF226" s="23"/>
      <c r="NG226" s="23"/>
      <c r="NH226" s="23"/>
      <c r="NI226" s="23"/>
      <c r="NJ226" s="23"/>
      <c r="NK226" s="23"/>
      <c r="NL226" s="23"/>
      <c r="NM226" s="23"/>
      <c r="NN226" s="23"/>
    </row>
    <row r="227" spans="5:378" ht="15" customHeight="1"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  <c r="IZ227" s="23"/>
      <c r="JA227" s="23"/>
      <c r="JB227" s="23"/>
      <c r="JC227" s="23"/>
      <c r="JD227" s="23"/>
      <c r="JE227" s="23"/>
      <c r="JF227" s="23"/>
      <c r="JG227" s="23"/>
      <c r="JH227" s="23"/>
      <c r="JI227" s="23"/>
      <c r="JJ227" s="23"/>
      <c r="JK227" s="23"/>
      <c r="JL227" s="23"/>
      <c r="JM227" s="23"/>
      <c r="JN227" s="23"/>
      <c r="JO227" s="23"/>
      <c r="JP227" s="23"/>
      <c r="JQ227" s="23"/>
      <c r="JR227" s="23"/>
      <c r="JS227" s="23"/>
      <c r="JT227" s="23"/>
      <c r="JU227" s="23"/>
      <c r="JV227" s="23"/>
      <c r="JW227" s="23"/>
      <c r="JX227" s="23"/>
      <c r="JY227" s="23"/>
      <c r="JZ227" s="23"/>
      <c r="KA227" s="23"/>
      <c r="KB227" s="23"/>
      <c r="KC227" s="23"/>
      <c r="KD227" s="23"/>
      <c r="KE227" s="23"/>
      <c r="KF227" s="23"/>
      <c r="KG227" s="23"/>
      <c r="KH227" s="23"/>
      <c r="KI227" s="23"/>
      <c r="KJ227" s="23"/>
      <c r="KK227" s="23"/>
      <c r="KL227" s="23"/>
      <c r="KM227" s="23"/>
      <c r="KN227" s="23"/>
      <c r="KO227" s="23"/>
      <c r="KP227" s="23"/>
      <c r="KQ227" s="23"/>
      <c r="KR227" s="23"/>
      <c r="KS227" s="23"/>
      <c r="KT227" s="23"/>
      <c r="KU227" s="23"/>
      <c r="KV227" s="23"/>
      <c r="KW227" s="23"/>
      <c r="KX227" s="23"/>
      <c r="KY227" s="23"/>
      <c r="KZ227" s="23"/>
      <c r="LA227" s="23"/>
      <c r="LB227" s="23"/>
      <c r="LC227" s="23"/>
      <c r="LD227" s="23"/>
      <c r="LE227" s="23"/>
      <c r="LF227" s="23"/>
      <c r="LG227" s="23"/>
      <c r="LH227" s="23"/>
      <c r="LI227" s="23"/>
      <c r="LJ227" s="23"/>
      <c r="LK227" s="23"/>
      <c r="LL227" s="23"/>
      <c r="LM227" s="23"/>
      <c r="LN227" s="23"/>
      <c r="LO227" s="23"/>
      <c r="LP227" s="23"/>
      <c r="LQ227" s="23"/>
      <c r="LR227" s="23"/>
      <c r="LS227" s="23"/>
      <c r="LT227" s="23"/>
      <c r="LU227" s="23"/>
      <c r="LV227" s="23"/>
      <c r="LW227" s="23"/>
      <c r="LX227" s="23"/>
      <c r="LY227" s="23"/>
      <c r="LZ227" s="23"/>
      <c r="MA227" s="23"/>
      <c r="MB227" s="23"/>
      <c r="MC227" s="23"/>
      <c r="MD227" s="23"/>
      <c r="ME227" s="23"/>
      <c r="MF227" s="23"/>
      <c r="MG227" s="23"/>
      <c r="MH227" s="23"/>
      <c r="MI227" s="23"/>
      <c r="MJ227" s="23"/>
      <c r="MK227" s="23"/>
      <c r="ML227" s="23"/>
      <c r="MM227" s="23"/>
      <c r="MN227" s="23"/>
      <c r="MO227" s="23"/>
      <c r="MP227" s="23"/>
      <c r="MQ227" s="23"/>
      <c r="MR227" s="23"/>
      <c r="MS227" s="23"/>
      <c r="MT227" s="23"/>
      <c r="MU227" s="23"/>
      <c r="MV227" s="23"/>
      <c r="MW227" s="23"/>
      <c r="MX227" s="23"/>
      <c r="MY227" s="23"/>
      <c r="MZ227" s="23"/>
      <c r="NA227" s="23"/>
      <c r="NB227" s="23"/>
      <c r="NC227" s="23"/>
      <c r="ND227" s="23"/>
      <c r="NE227" s="23"/>
      <c r="NF227" s="23"/>
      <c r="NG227" s="23"/>
      <c r="NH227" s="23"/>
      <c r="NI227" s="23"/>
      <c r="NJ227" s="23"/>
      <c r="NK227" s="23"/>
      <c r="NL227" s="23"/>
      <c r="NM227" s="23"/>
      <c r="NN227" s="23"/>
    </row>
    <row r="228" spans="5:378" ht="15" customHeight="1"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  <c r="IZ228" s="23"/>
      <c r="JA228" s="23"/>
      <c r="JB228" s="23"/>
      <c r="JC228" s="23"/>
      <c r="JD228" s="23"/>
      <c r="JE228" s="23"/>
      <c r="JF228" s="23"/>
      <c r="JG228" s="23"/>
      <c r="JH228" s="23"/>
      <c r="JI228" s="23"/>
      <c r="JJ228" s="23"/>
      <c r="JK228" s="23"/>
      <c r="JL228" s="23"/>
      <c r="JM228" s="23"/>
      <c r="JN228" s="23"/>
      <c r="JO228" s="23"/>
      <c r="JP228" s="23"/>
      <c r="JQ228" s="23"/>
      <c r="JR228" s="23"/>
      <c r="JS228" s="23"/>
      <c r="JT228" s="23"/>
      <c r="JU228" s="23"/>
      <c r="JV228" s="23"/>
      <c r="JW228" s="23"/>
      <c r="JX228" s="23"/>
      <c r="JY228" s="23"/>
      <c r="JZ228" s="23"/>
      <c r="KA228" s="23"/>
      <c r="KB228" s="23"/>
      <c r="KC228" s="23"/>
      <c r="KD228" s="23"/>
      <c r="KE228" s="23"/>
      <c r="KF228" s="23"/>
      <c r="KG228" s="23"/>
      <c r="KH228" s="23"/>
      <c r="KI228" s="23"/>
      <c r="KJ228" s="23"/>
      <c r="KK228" s="23"/>
      <c r="KL228" s="23"/>
      <c r="KM228" s="23"/>
      <c r="KN228" s="23"/>
      <c r="KO228" s="23"/>
      <c r="KP228" s="23"/>
      <c r="KQ228" s="23"/>
      <c r="KR228" s="23"/>
      <c r="KS228" s="23"/>
      <c r="KT228" s="23"/>
      <c r="KU228" s="23"/>
      <c r="KV228" s="23"/>
      <c r="KW228" s="23"/>
      <c r="KX228" s="23"/>
      <c r="KY228" s="23"/>
      <c r="KZ228" s="23"/>
      <c r="LA228" s="23"/>
      <c r="LB228" s="23"/>
      <c r="LC228" s="23"/>
      <c r="LD228" s="23"/>
      <c r="LE228" s="23"/>
      <c r="LF228" s="23"/>
      <c r="LG228" s="23"/>
      <c r="LH228" s="23"/>
      <c r="LI228" s="23"/>
      <c r="LJ228" s="23"/>
      <c r="LK228" s="23"/>
      <c r="LL228" s="23"/>
      <c r="LM228" s="23"/>
      <c r="LN228" s="23"/>
      <c r="LO228" s="23"/>
      <c r="LP228" s="23"/>
      <c r="LQ228" s="23"/>
      <c r="LR228" s="23"/>
      <c r="LS228" s="23"/>
      <c r="LT228" s="23"/>
      <c r="LU228" s="23"/>
      <c r="LV228" s="23"/>
      <c r="LW228" s="23"/>
      <c r="LX228" s="23"/>
      <c r="LY228" s="23"/>
      <c r="LZ228" s="23"/>
      <c r="MA228" s="23"/>
      <c r="MB228" s="23"/>
      <c r="MC228" s="23"/>
      <c r="MD228" s="23"/>
      <c r="ME228" s="23"/>
      <c r="MF228" s="23"/>
      <c r="MG228" s="23"/>
      <c r="MH228" s="23"/>
      <c r="MI228" s="23"/>
      <c r="MJ228" s="23"/>
      <c r="MK228" s="23"/>
      <c r="ML228" s="23"/>
      <c r="MM228" s="23"/>
      <c r="MN228" s="23"/>
      <c r="MO228" s="23"/>
      <c r="MP228" s="23"/>
      <c r="MQ228" s="23"/>
      <c r="MR228" s="23"/>
      <c r="MS228" s="23"/>
      <c r="MT228" s="23"/>
      <c r="MU228" s="23"/>
      <c r="MV228" s="23"/>
      <c r="MW228" s="23"/>
      <c r="MX228" s="23"/>
      <c r="MY228" s="23"/>
      <c r="MZ228" s="23"/>
      <c r="NA228" s="23"/>
      <c r="NB228" s="23"/>
      <c r="NC228" s="23"/>
      <c r="ND228" s="23"/>
      <c r="NE228" s="23"/>
      <c r="NF228" s="23"/>
      <c r="NG228" s="23"/>
      <c r="NH228" s="23"/>
      <c r="NI228" s="23"/>
      <c r="NJ228" s="23"/>
      <c r="NK228" s="23"/>
      <c r="NL228" s="23"/>
      <c r="NM228" s="23"/>
      <c r="NN228" s="23"/>
    </row>
    <row r="229" spans="5:378" ht="15" customHeight="1"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  <c r="IZ229" s="23"/>
      <c r="JA229" s="23"/>
      <c r="JB229" s="23"/>
      <c r="JC229" s="23"/>
      <c r="JD229" s="23"/>
      <c r="JE229" s="23"/>
      <c r="JF229" s="23"/>
      <c r="JG229" s="23"/>
      <c r="JH229" s="23"/>
      <c r="JI229" s="23"/>
      <c r="JJ229" s="23"/>
      <c r="JK229" s="23"/>
      <c r="JL229" s="23"/>
      <c r="JM229" s="23"/>
      <c r="JN229" s="23"/>
      <c r="JO229" s="23"/>
      <c r="JP229" s="23"/>
      <c r="JQ229" s="23"/>
      <c r="JR229" s="23"/>
      <c r="JS229" s="23"/>
      <c r="JT229" s="23"/>
      <c r="JU229" s="23"/>
      <c r="JV229" s="23"/>
      <c r="JW229" s="23"/>
      <c r="JX229" s="23"/>
      <c r="JY229" s="23"/>
      <c r="JZ229" s="23"/>
      <c r="KA229" s="23"/>
      <c r="KB229" s="23"/>
      <c r="KC229" s="23"/>
      <c r="KD229" s="23"/>
      <c r="KE229" s="23"/>
      <c r="KF229" s="23"/>
      <c r="KG229" s="23"/>
      <c r="KH229" s="23"/>
      <c r="KI229" s="23"/>
      <c r="KJ229" s="23"/>
      <c r="KK229" s="23"/>
      <c r="KL229" s="23"/>
      <c r="KM229" s="23"/>
      <c r="KN229" s="23"/>
      <c r="KO229" s="23"/>
      <c r="KP229" s="23"/>
      <c r="KQ229" s="23"/>
      <c r="KR229" s="23"/>
      <c r="KS229" s="23"/>
      <c r="KT229" s="23"/>
      <c r="KU229" s="23"/>
      <c r="KV229" s="23"/>
      <c r="KW229" s="23"/>
      <c r="KX229" s="23"/>
      <c r="KY229" s="23"/>
      <c r="KZ229" s="23"/>
      <c r="LA229" s="23"/>
      <c r="LB229" s="23"/>
      <c r="LC229" s="23"/>
      <c r="LD229" s="23"/>
      <c r="LE229" s="23"/>
      <c r="LF229" s="23"/>
      <c r="LG229" s="23"/>
      <c r="LH229" s="23"/>
      <c r="LI229" s="23"/>
      <c r="LJ229" s="23"/>
      <c r="LK229" s="23"/>
      <c r="LL229" s="23"/>
      <c r="LM229" s="23"/>
      <c r="LN229" s="23"/>
      <c r="LO229" s="23"/>
      <c r="LP229" s="23"/>
      <c r="LQ229" s="23"/>
      <c r="LR229" s="23"/>
      <c r="LS229" s="23"/>
      <c r="LT229" s="23"/>
      <c r="LU229" s="23"/>
      <c r="LV229" s="23"/>
      <c r="LW229" s="23"/>
      <c r="LX229" s="23"/>
      <c r="LY229" s="23"/>
      <c r="LZ229" s="23"/>
      <c r="MA229" s="23"/>
      <c r="MB229" s="23"/>
      <c r="MC229" s="23"/>
      <c r="MD229" s="23"/>
      <c r="ME229" s="23"/>
      <c r="MF229" s="23"/>
      <c r="MG229" s="23"/>
      <c r="MH229" s="23"/>
      <c r="MI229" s="23"/>
      <c r="MJ229" s="23"/>
      <c r="MK229" s="23"/>
      <c r="ML229" s="23"/>
      <c r="MM229" s="23"/>
      <c r="MN229" s="23"/>
      <c r="MO229" s="23"/>
      <c r="MP229" s="23"/>
      <c r="MQ229" s="23"/>
      <c r="MR229" s="23"/>
      <c r="MS229" s="23"/>
      <c r="MT229" s="23"/>
      <c r="MU229" s="23"/>
      <c r="MV229" s="23"/>
      <c r="MW229" s="23"/>
      <c r="MX229" s="23"/>
      <c r="MY229" s="23"/>
      <c r="MZ229" s="23"/>
      <c r="NA229" s="23"/>
      <c r="NB229" s="23"/>
      <c r="NC229" s="23"/>
      <c r="ND229" s="23"/>
      <c r="NE229" s="23"/>
      <c r="NF229" s="23"/>
      <c r="NG229" s="23"/>
      <c r="NH229" s="23"/>
      <c r="NI229" s="23"/>
      <c r="NJ229" s="23"/>
      <c r="NK229" s="23"/>
      <c r="NL229" s="23"/>
      <c r="NM229" s="23"/>
      <c r="NN229" s="23"/>
    </row>
    <row r="230" spans="5:378" ht="15" customHeight="1"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  <c r="IZ230" s="23"/>
      <c r="JA230" s="23"/>
      <c r="JB230" s="23"/>
      <c r="JC230" s="23"/>
      <c r="JD230" s="23"/>
      <c r="JE230" s="23"/>
      <c r="JF230" s="23"/>
      <c r="JG230" s="23"/>
      <c r="JH230" s="23"/>
      <c r="JI230" s="23"/>
      <c r="JJ230" s="23"/>
      <c r="JK230" s="23"/>
      <c r="JL230" s="23"/>
      <c r="JM230" s="23"/>
      <c r="JN230" s="23"/>
      <c r="JO230" s="23"/>
      <c r="JP230" s="23"/>
      <c r="JQ230" s="23"/>
      <c r="JR230" s="23"/>
      <c r="JS230" s="23"/>
      <c r="JT230" s="23"/>
      <c r="JU230" s="23"/>
      <c r="JV230" s="23"/>
      <c r="JW230" s="23"/>
      <c r="JX230" s="23"/>
      <c r="JY230" s="23"/>
      <c r="JZ230" s="23"/>
      <c r="KA230" s="23"/>
      <c r="KB230" s="23"/>
      <c r="KC230" s="23"/>
      <c r="KD230" s="23"/>
      <c r="KE230" s="23"/>
      <c r="KF230" s="23"/>
      <c r="KG230" s="23"/>
      <c r="KH230" s="23"/>
      <c r="KI230" s="23"/>
      <c r="KJ230" s="23"/>
      <c r="KK230" s="23"/>
      <c r="KL230" s="23"/>
      <c r="KM230" s="23"/>
      <c r="KN230" s="23"/>
      <c r="KO230" s="23"/>
      <c r="KP230" s="23"/>
      <c r="KQ230" s="23"/>
      <c r="KR230" s="23"/>
      <c r="KS230" s="23"/>
      <c r="KT230" s="23"/>
      <c r="KU230" s="23"/>
      <c r="KV230" s="23"/>
      <c r="KW230" s="23"/>
      <c r="KX230" s="23"/>
      <c r="KY230" s="23"/>
      <c r="KZ230" s="23"/>
      <c r="LA230" s="23"/>
      <c r="LB230" s="23"/>
      <c r="LC230" s="23"/>
      <c r="LD230" s="23"/>
      <c r="LE230" s="23"/>
      <c r="LF230" s="23"/>
      <c r="LG230" s="23"/>
      <c r="LH230" s="23"/>
      <c r="LI230" s="23"/>
      <c r="LJ230" s="23"/>
      <c r="LK230" s="23"/>
      <c r="LL230" s="23"/>
      <c r="LM230" s="23"/>
      <c r="LN230" s="23"/>
      <c r="LO230" s="23"/>
      <c r="LP230" s="23"/>
      <c r="LQ230" s="23"/>
      <c r="LR230" s="23"/>
      <c r="LS230" s="23"/>
      <c r="LT230" s="23"/>
      <c r="LU230" s="23"/>
      <c r="LV230" s="23"/>
      <c r="LW230" s="23"/>
      <c r="LX230" s="23"/>
      <c r="LY230" s="23"/>
      <c r="LZ230" s="23"/>
      <c r="MA230" s="23"/>
      <c r="MB230" s="23"/>
      <c r="MC230" s="23"/>
      <c r="MD230" s="23"/>
      <c r="ME230" s="23"/>
      <c r="MF230" s="23"/>
      <c r="MG230" s="23"/>
      <c r="MH230" s="23"/>
      <c r="MI230" s="23"/>
      <c r="MJ230" s="23"/>
      <c r="MK230" s="23"/>
      <c r="ML230" s="23"/>
      <c r="MM230" s="23"/>
      <c r="MN230" s="23"/>
      <c r="MO230" s="23"/>
      <c r="MP230" s="23"/>
      <c r="MQ230" s="23"/>
      <c r="MR230" s="23"/>
      <c r="MS230" s="23"/>
      <c r="MT230" s="23"/>
      <c r="MU230" s="23"/>
      <c r="MV230" s="23"/>
      <c r="MW230" s="23"/>
      <c r="MX230" s="23"/>
      <c r="MY230" s="23"/>
      <c r="MZ230" s="23"/>
      <c r="NA230" s="23"/>
      <c r="NB230" s="23"/>
      <c r="NC230" s="23"/>
      <c r="ND230" s="23"/>
      <c r="NE230" s="23"/>
      <c r="NF230" s="23"/>
      <c r="NG230" s="23"/>
      <c r="NH230" s="23"/>
      <c r="NI230" s="23"/>
      <c r="NJ230" s="23"/>
      <c r="NK230" s="23"/>
      <c r="NL230" s="23"/>
      <c r="NM230" s="23"/>
      <c r="NN230" s="23"/>
    </row>
    <row r="231" spans="5:378" ht="15" customHeight="1"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  <c r="IZ231" s="23"/>
      <c r="JA231" s="23"/>
      <c r="JB231" s="23"/>
      <c r="JC231" s="23"/>
      <c r="JD231" s="23"/>
      <c r="JE231" s="23"/>
      <c r="JF231" s="23"/>
      <c r="JG231" s="23"/>
      <c r="JH231" s="23"/>
      <c r="JI231" s="23"/>
      <c r="JJ231" s="23"/>
      <c r="JK231" s="23"/>
      <c r="JL231" s="23"/>
      <c r="JM231" s="23"/>
      <c r="JN231" s="23"/>
      <c r="JO231" s="23"/>
      <c r="JP231" s="23"/>
      <c r="JQ231" s="23"/>
      <c r="JR231" s="23"/>
      <c r="JS231" s="23"/>
      <c r="JT231" s="23"/>
      <c r="JU231" s="23"/>
      <c r="JV231" s="23"/>
      <c r="JW231" s="23"/>
      <c r="JX231" s="23"/>
      <c r="JY231" s="23"/>
      <c r="JZ231" s="23"/>
      <c r="KA231" s="23"/>
      <c r="KB231" s="23"/>
      <c r="KC231" s="23"/>
      <c r="KD231" s="23"/>
      <c r="KE231" s="23"/>
      <c r="KF231" s="23"/>
      <c r="KG231" s="23"/>
      <c r="KH231" s="23"/>
      <c r="KI231" s="23"/>
      <c r="KJ231" s="23"/>
      <c r="KK231" s="23"/>
      <c r="KL231" s="23"/>
      <c r="KM231" s="23"/>
      <c r="KN231" s="23"/>
      <c r="KO231" s="23"/>
      <c r="KP231" s="23"/>
      <c r="KQ231" s="23"/>
      <c r="KR231" s="23"/>
      <c r="KS231" s="23"/>
      <c r="KT231" s="23"/>
      <c r="KU231" s="23"/>
      <c r="KV231" s="23"/>
      <c r="KW231" s="23"/>
      <c r="KX231" s="23"/>
      <c r="KY231" s="23"/>
      <c r="KZ231" s="23"/>
      <c r="LA231" s="23"/>
      <c r="LB231" s="23"/>
      <c r="LC231" s="23"/>
      <c r="LD231" s="23"/>
      <c r="LE231" s="23"/>
      <c r="LF231" s="23"/>
      <c r="LG231" s="23"/>
      <c r="LH231" s="23"/>
      <c r="LI231" s="23"/>
      <c r="LJ231" s="23"/>
      <c r="LK231" s="23"/>
      <c r="LL231" s="23"/>
      <c r="LM231" s="23"/>
      <c r="LN231" s="23"/>
      <c r="LO231" s="23"/>
      <c r="LP231" s="23"/>
      <c r="LQ231" s="23"/>
      <c r="LR231" s="23"/>
      <c r="LS231" s="23"/>
      <c r="LT231" s="23"/>
      <c r="LU231" s="23"/>
      <c r="LV231" s="23"/>
      <c r="LW231" s="23"/>
      <c r="LX231" s="23"/>
      <c r="LY231" s="23"/>
      <c r="LZ231" s="23"/>
      <c r="MA231" s="23"/>
      <c r="MB231" s="23"/>
      <c r="MC231" s="23"/>
      <c r="MD231" s="23"/>
      <c r="ME231" s="23"/>
      <c r="MF231" s="23"/>
      <c r="MG231" s="23"/>
      <c r="MH231" s="23"/>
      <c r="MI231" s="23"/>
      <c r="MJ231" s="23"/>
      <c r="MK231" s="23"/>
      <c r="ML231" s="23"/>
      <c r="MM231" s="23"/>
      <c r="MN231" s="23"/>
      <c r="MO231" s="23"/>
      <c r="MP231" s="23"/>
      <c r="MQ231" s="23"/>
      <c r="MR231" s="23"/>
      <c r="MS231" s="23"/>
      <c r="MT231" s="23"/>
      <c r="MU231" s="23"/>
      <c r="MV231" s="23"/>
      <c r="MW231" s="23"/>
      <c r="MX231" s="23"/>
      <c r="MY231" s="23"/>
      <c r="MZ231" s="23"/>
      <c r="NA231" s="23"/>
      <c r="NB231" s="23"/>
      <c r="NC231" s="23"/>
      <c r="ND231" s="23"/>
      <c r="NE231" s="23"/>
      <c r="NF231" s="23"/>
      <c r="NG231" s="23"/>
      <c r="NH231" s="23"/>
      <c r="NI231" s="23"/>
      <c r="NJ231" s="23"/>
      <c r="NK231" s="23"/>
      <c r="NL231" s="23"/>
      <c r="NM231" s="23"/>
      <c r="NN231" s="23"/>
    </row>
    <row r="232" spans="5:378" ht="15" customHeight="1"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  <c r="IZ232" s="23"/>
      <c r="JA232" s="23"/>
      <c r="JB232" s="23"/>
      <c r="JC232" s="23"/>
      <c r="JD232" s="23"/>
      <c r="JE232" s="23"/>
      <c r="JF232" s="23"/>
      <c r="JG232" s="23"/>
      <c r="JH232" s="23"/>
      <c r="JI232" s="23"/>
      <c r="JJ232" s="23"/>
      <c r="JK232" s="23"/>
      <c r="JL232" s="23"/>
      <c r="JM232" s="23"/>
      <c r="JN232" s="23"/>
      <c r="JO232" s="23"/>
      <c r="JP232" s="23"/>
      <c r="JQ232" s="23"/>
      <c r="JR232" s="23"/>
      <c r="JS232" s="23"/>
      <c r="JT232" s="23"/>
      <c r="JU232" s="23"/>
      <c r="JV232" s="23"/>
      <c r="JW232" s="23"/>
      <c r="JX232" s="23"/>
      <c r="JY232" s="23"/>
      <c r="JZ232" s="23"/>
      <c r="KA232" s="23"/>
      <c r="KB232" s="23"/>
      <c r="KC232" s="23"/>
      <c r="KD232" s="23"/>
      <c r="KE232" s="23"/>
      <c r="KF232" s="23"/>
      <c r="KG232" s="23"/>
      <c r="KH232" s="23"/>
      <c r="KI232" s="23"/>
      <c r="KJ232" s="23"/>
      <c r="KK232" s="23"/>
      <c r="KL232" s="23"/>
      <c r="KM232" s="23"/>
      <c r="KN232" s="23"/>
      <c r="KO232" s="23"/>
      <c r="KP232" s="23"/>
      <c r="KQ232" s="23"/>
      <c r="KR232" s="23"/>
      <c r="KS232" s="23"/>
      <c r="KT232" s="23"/>
      <c r="KU232" s="23"/>
      <c r="KV232" s="23"/>
      <c r="KW232" s="23"/>
      <c r="KX232" s="23"/>
      <c r="KY232" s="23"/>
      <c r="KZ232" s="23"/>
      <c r="LA232" s="23"/>
      <c r="LB232" s="23"/>
      <c r="LC232" s="23"/>
      <c r="LD232" s="23"/>
      <c r="LE232" s="23"/>
      <c r="LF232" s="23"/>
      <c r="LG232" s="23"/>
      <c r="LH232" s="23"/>
      <c r="LI232" s="23"/>
      <c r="LJ232" s="23"/>
      <c r="LK232" s="23"/>
      <c r="LL232" s="23"/>
      <c r="LM232" s="23"/>
      <c r="LN232" s="23"/>
      <c r="LO232" s="23"/>
      <c r="LP232" s="23"/>
      <c r="LQ232" s="23"/>
      <c r="LR232" s="23"/>
      <c r="LS232" s="23"/>
      <c r="LT232" s="23"/>
      <c r="LU232" s="23"/>
      <c r="LV232" s="23"/>
      <c r="LW232" s="23"/>
      <c r="LX232" s="23"/>
      <c r="LY232" s="23"/>
      <c r="LZ232" s="23"/>
      <c r="MA232" s="23"/>
      <c r="MB232" s="23"/>
      <c r="MC232" s="23"/>
      <c r="MD232" s="23"/>
      <c r="ME232" s="23"/>
      <c r="MF232" s="23"/>
      <c r="MG232" s="23"/>
      <c r="MH232" s="23"/>
      <c r="MI232" s="23"/>
      <c r="MJ232" s="23"/>
      <c r="MK232" s="23"/>
      <c r="ML232" s="23"/>
      <c r="MM232" s="23"/>
      <c r="MN232" s="23"/>
      <c r="MO232" s="23"/>
      <c r="MP232" s="23"/>
      <c r="MQ232" s="23"/>
      <c r="MR232" s="23"/>
      <c r="MS232" s="23"/>
      <c r="MT232" s="23"/>
      <c r="MU232" s="23"/>
      <c r="MV232" s="23"/>
      <c r="MW232" s="23"/>
      <c r="MX232" s="23"/>
      <c r="MY232" s="23"/>
      <c r="MZ232" s="23"/>
      <c r="NA232" s="23"/>
      <c r="NB232" s="23"/>
      <c r="NC232" s="23"/>
      <c r="ND232" s="23"/>
      <c r="NE232" s="23"/>
      <c r="NF232" s="23"/>
      <c r="NG232" s="23"/>
      <c r="NH232" s="23"/>
      <c r="NI232" s="23"/>
      <c r="NJ232" s="23"/>
      <c r="NK232" s="23"/>
      <c r="NL232" s="23"/>
      <c r="NM232" s="23"/>
      <c r="NN232" s="23"/>
    </row>
    <row r="233" spans="5:378" ht="15" customHeight="1"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  <c r="IZ233" s="23"/>
      <c r="JA233" s="23"/>
      <c r="JB233" s="23"/>
      <c r="JC233" s="23"/>
      <c r="JD233" s="23"/>
      <c r="JE233" s="23"/>
      <c r="JF233" s="23"/>
      <c r="JG233" s="23"/>
      <c r="JH233" s="23"/>
      <c r="JI233" s="23"/>
      <c r="JJ233" s="23"/>
      <c r="JK233" s="23"/>
      <c r="JL233" s="23"/>
      <c r="JM233" s="23"/>
      <c r="JN233" s="23"/>
      <c r="JO233" s="23"/>
      <c r="JP233" s="23"/>
      <c r="JQ233" s="23"/>
      <c r="JR233" s="23"/>
      <c r="JS233" s="23"/>
      <c r="JT233" s="23"/>
      <c r="JU233" s="23"/>
      <c r="JV233" s="23"/>
      <c r="JW233" s="23"/>
      <c r="JX233" s="23"/>
      <c r="JY233" s="23"/>
      <c r="JZ233" s="23"/>
      <c r="KA233" s="23"/>
      <c r="KB233" s="23"/>
      <c r="KC233" s="23"/>
      <c r="KD233" s="23"/>
      <c r="KE233" s="23"/>
      <c r="KF233" s="23"/>
      <c r="KG233" s="23"/>
      <c r="KH233" s="23"/>
      <c r="KI233" s="23"/>
      <c r="KJ233" s="23"/>
      <c r="KK233" s="23"/>
      <c r="KL233" s="23"/>
      <c r="KM233" s="23"/>
      <c r="KN233" s="23"/>
      <c r="KO233" s="23"/>
      <c r="KP233" s="23"/>
      <c r="KQ233" s="23"/>
      <c r="KR233" s="23"/>
      <c r="KS233" s="23"/>
      <c r="KT233" s="23"/>
      <c r="KU233" s="23"/>
      <c r="KV233" s="23"/>
      <c r="KW233" s="23"/>
      <c r="KX233" s="23"/>
      <c r="KY233" s="23"/>
      <c r="KZ233" s="23"/>
      <c r="LA233" s="23"/>
      <c r="LB233" s="23"/>
      <c r="LC233" s="23"/>
      <c r="LD233" s="23"/>
      <c r="LE233" s="23"/>
      <c r="LF233" s="23"/>
      <c r="LG233" s="23"/>
      <c r="LH233" s="23"/>
      <c r="LI233" s="23"/>
      <c r="LJ233" s="23"/>
      <c r="LK233" s="23"/>
      <c r="LL233" s="23"/>
      <c r="LM233" s="23"/>
      <c r="LN233" s="23"/>
      <c r="LO233" s="23"/>
      <c r="LP233" s="23"/>
      <c r="LQ233" s="23"/>
      <c r="LR233" s="23"/>
      <c r="LS233" s="23"/>
      <c r="LT233" s="23"/>
      <c r="LU233" s="23"/>
      <c r="LV233" s="23"/>
      <c r="LW233" s="23"/>
      <c r="LX233" s="23"/>
      <c r="LY233" s="23"/>
      <c r="LZ233" s="23"/>
      <c r="MA233" s="23"/>
      <c r="MB233" s="23"/>
      <c r="MC233" s="23"/>
      <c r="MD233" s="23"/>
      <c r="ME233" s="23"/>
      <c r="MF233" s="23"/>
      <c r="MG233" s="23"/>
      <c r="MH233" s="23"/>
      <c r="MI233" s="23"/>
      <c r="MJ233" s="23"/>
      <c r="MK233" s="23"/>
      <c r="ML233" s="23"/>
      <c r="MM233" s="23"/>
      <c r="MN233" s="23"/>
      <c r="MO233" s="23"/>
      <c r="MP233" s="23"/>
      <c r="MQ233" s="23"/>
      <c r="MR233" s="23"/>
      <c r="MS233" s="23"/>
      <c r="MT233" s="23"/>
      <c r="MU233" s="23"/>
      <c r="MV233" s="23"/>
      <c r="MW233" s="23"/>
      <c r="MX233" s="23"/>
      <c r="MY233" s="23"/>
      <c r="MZ233" s="23"/>
      <c r="NA233" s="23"/>
      <c r="NB233" s="23"/>
      <c r="NC233" s="23"/>
      <c r="ND233" s="23"/>
      <c r="NE233" s="23"/>
      <c r="NF233" s="23"/>
      <c r="NG233" s="23"/>
      <c r="NH233" s="23"/>
      <c r="NI233" s="23"/>
      <c r="NJ233" s="23"/>
      <c r="NK233" s="23"/>
      <c r="NL233" s="23"/>
      <c r="NM233" s="23"/>
      <c r="NN233" s="23"/>
    </row>
    <row r="234" spans="5:378" ht="15" customHeight="1"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  <c r="IZ234" s="23"/>
      <c r="JA234" s="23"/>
      <c r="JB234" s="23"/>
      <c r="JC234" s="23"/>
      <c r="JD234" s="23"/>
      <c r="JE234" s="23"/>
      <c r="JF234" s="23"/>
      <c r="JG234" s="23"/>
      <c r="JH234" s="23"/>
      <c r="JI234" s="23"/>
      <c r="JJ234" s="23"/>
      <c r="JK234" s="23"/>
      <c r="JL234" s="23"/>
      <c r="JM234" s="23"/>
      <c r="JN234" s="23"/>
      <c r="JO234" s="23"/>
      <c r="JP234" s="23"/>
      <c r="JQ234" s="23"/>
      <c r="JR234" s="23"/>
      <c r="JS234" s="23"/>
      <c r="JT234" s="23"/>
      <c r="JU234" s="23"/>
      <c r="JV234" s="23"/>
      <c r="JW234" s="23"/>
      <c r="JX234" s="23"/>
      <c r="JY234" s="23"/>
      <c r="JZ234" s="23"/>
      <c r="KA234" s="23"/>
      <c r="KB234" s="23"/>
      <c r="KC234" s="23"/>
      <c r="KD234" s="23"/>
      <c r="KE234" s="23"/>
      <c r="KF234" s="23"/>
      <c r="KG234" s="23"/>
      <c r="KH234" s="23"/>
      <c r="KI234" s="23"/>
      <c r="KJ234" s="23"/>
      <c r="KK234" s="23"/>
      <c r="KL234" s="23"/>
      <c r="KM234" s="23"/>
      <c r="KN234" s="23"/>
      <c r="KO234" s="23"/>
      <c r="KP234" s="23"/>
      <c r="KQ234" s="23"/>
      <c r="KR234" s="23"/>
      <c r="KS234" s="23"/>
      <c r="KT234" s="23"/>
      <c r="KU234" s="23"/>
      <c r="KV234" s="23"/>
      <c r="KW234" s="23"/>
      <c r="KX234" s="23"/>
      <c r="KY234" s="23"/>
      <c r="KZ234" s="23"/>
      <c r="LA234" s="23"/>
      <c r="LB234" s="23"/>
      <c r="LC234" s="23"/>
      <c r="LD234" s="23"/>
      <c r="LE234" s="23"/>
      <c r="LF234" s="23"/>
      <c r="LG234" s="23"/>
      <c r="LH234" s="23"/>
      <c r="LI234" s="23"/>
      <c r="LJ234" s="23"/>
      <c r="LK234" s="23"/>
      <c r="LL234" s="23"/>
      <c r="LM234" s="23"/>
      <c r="LN234" s="23"/>
      <c r="LO234" s="23"/>
      <c r="LP234" s="23"/>
      <c r="LQ234" s="23"/>
      <c r="LR234" s="23"/>
      <c r="LS234" s="23"/>
      <c r="LT234" s="23"/>
      <c r="LU234" s="23"/>
      <c r="LV234" s="23"/>
      <c r="LW234" s="23"/>
      <c r="LX234" s="23"/>
      <c r="LY234" s="23"/>
      <c r="LZ234" s="23"/>
      <c r="MA234" s="23"/>
      <c r="MB234" s="23"/>
      <c r="MC234" s="23"/>
      <c r="MD234" s="23"/>
      <c r="ME234" s="23"/>
      <c r="MF234" s="23"/>
      <c r="MG234" s="23"/>
      <c r="MH234" s="23"/>
      <c r="MI234" s="23"/>
      <c r="MJ234" s="23"/>
      <c r="MK234" s="23"/>
      <c r="ML234" s="23"/>
      <c r="MM234" s="23"/>
      <c r="MN234" s="23"/>
      <c r="MO234" s="23"/>
      <c r="MP234" s="23"/>
      <c r="MQ234" s="23"/>
      <c r="MR234" s="23"/>
      <c r="MS234" s="23"/>
      <c r="MT234" s="23"/>
      <c r="MU234" s="23"/>
      <c r="MV234" s="23"/>
      <c r="MW234" s="23"/>
      <c r="MX234" s="23"/>
      <c r="MY234" s="23"/>
      <c r="MZ234" s="23"/>
      <c r="NA234" s="23"/>
      <c r="NB234" s="23"/>
      <c r="NC234" s="23"/>
      <c r="ND234" s="23"/>
      <c r="NE234" s="23"/>
      <c r="NF234" s="23"/>
      <c r="NG234" s="23"/>
      <c r="NH234" s="23"/>
      <c r="NI234" s="23"/>
      <c r="NJ234" s="23"/>
      <c r="NK234" s="23"/>
      <c r="NL234" s="23"/>
      <c r="NM234" s="23"/>
      <c r="NN234" s="23"/>
    </row>
    <row r="235" spans="5:378" ht="15" customHeight="1"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  <c r="IZ235" s="23"/>
      <c r="JA235" s="23"/>
      <c r="JB235" s="23"/>
      <c r="JC235" s="23"/>
      <c r="JD235" s="23"/>
      <c r="JE235" s="23"/>
      <c r="JF235" s="23"/>
      <c r="JG235" s="23"/>
      <c r="JH235" s="23"/>
      <c r="JI235" s="23"/>
      <c r="JJ235" s="23"/>
      <c r="JK235" s="23"/>
      <c r="JL235" s="23"/>
      <c r="JM235" s="23"/>
      <c r="JN235" s="23"/>
      <c r="JO235" s="23"/>
      <c r="JP235" s="23"/>
      <c r="JQ235" s="23"/>
      <c r="JR235" s="23"/>
      <c r="JS235" s="23"/>
      <c r="JT235" s="23"/>
      <c r="JU235" s="23"/>
      <c r="JV235" s="23"/>
      <c r="JW235" s="23"/>
      <c r="JX235" s="23"/>
      <c r="JY235" s="23"/>
      <c r="JZ235" s="23"/>
      <c r="KA235" s="23"/>
      <c r="KB235" s="23"/>
      <c r="KC235" s="23"/>
      <c r="KD235" s="23"/>
      <c r="KE235" s="23"/>
      <c r="KF235" s="23"/>
      <c r="KG235" s="23"/>
      <c r="KH235" s="23"/>
      <c r="KI235" s="23"/>
      <c r="KJ235" s="23"/>
      <c r="KK235" s="23"/>
      <c r="KL235" s="23"/>
      <c r="KM235" s="23"/>
      <c r="KN235" s="23"/>
      <c r="KO235" s="23"/>
      <c r="KP235" s="23"/>
      <c r="KQ235" s="23"/>
      <c r="KR235" s="23"/>
      <c r="KS235" s="23"/>
      <c r="KT235" s="23"/>
      <c r="KU235" s="23"/>
      <c r="KV235" s="23"/>
      <c r="KW235" s="23"/>
      <c r="KX235" s="23"/>
      <c r="KY235" s="23"/>
      <c r="KZ235" s="23"/>
      <c r="LA235" s="23"/>
      <c r="LB235" s="23"/>
      <c r="LC235" s="23"/>
      <c r="LD235" s="23"/>
      <c r="LE235" s="23"/>
      <c r="LF235" s="23"/>
      <c r="LG235" s="23"/>
      <c r="LH235" s="23"/>
      <c r="LI235" s="23"/>
      <c r="LJ235" s="23"/>
      <c r="LK235" s="23"/>
      <c r="LL235" s="23"/>
      <c r="LM235" s="23"/>
      <c r="LN235" s="23"/>
      <c r="LO235" s="23"/>
      <c r="LP235" s="23"/>
      <c r="LQ235" s="23"/>
      <c r="LR235" s="23"/>
      <c r="LS235" s="23"/>
      <c r="LT235" s="23"/>
      <c r="LU235" s="23"/>
      <c r="LV235" s="23"/>
      <c r="LW235" s="23"/>
      <c r="LX235" s="23"/>
      <c r="LY235" s="23"/>
      <c r="LZ235" s="23"/>
      <c r="MA235" s="23"/>
      <c r="MB235" s="23"/>
      <c r="MC235" s="23"/>
      <c r="MD235" s="23"/>
      <c r="ME235" s="23"/>
      <c r="MF235" s="23"/>
      <c r="MG235" s="23"/>
      <c r="MH235" s="23"/>
      <c r="MI235" s="23"/>
      <c r="MJ235" s="23"/>
      <c r="MK235" s="23"/>
      <c r="ML235" s="23"/>
      <c r="MM235" s="23"/>
      <c r="MN235" s="23"/>
      <c r="MO235" s="23"/>
      <c r="MP235" s="23"/>
      <c r="MQ235" s="23"/>
      <c r="MR235" s="23"/>
      <c r="MS235" s="23"/>
      <c r="MT235" s="23"/>
      <c r="MU235" s="23"/>
      <c r="MV235" s="23"/>
      <c r="MW235" s="23"/>
      <c r="MX235" s="23"/>
      <c r="MY235" s="23"/>
      <c r="MZ235" s="23"/>
      <c r="NA235" s="23"/>
      <c r="NB235" s="23"/>
      <c r="NC235" s="23"/>
      <c r="ND235" s="23"/>
      <c r="NE235" s="23"/>
      <c r="NF235" s="23"/>
      <c r="NG235" s="23"/>
      <c r="NH235" s="23"/>
      <c r="NI235" s="23"/>
      <c r="NJ235" s="23"/>
      <c r="NK235" s="23"/>
      <c r="NL235" s="23"/>
      <c r="NM235" s="23"/>
      <c r="NN235" s="23"/>
    </row>
    <row r="236" spans="5:378" ht="15" customHeight="1"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  <c r="IZ236" s="23"/>
      <c r="JA236" s="23"/>
      <c r="JB236" s="23"/>
      <c r="JC236" s="23"/>
      <c r="JD236" s="23"/>
      <c r="JE236" s="23"/>
      <c r="JF236" s="23"/>
      <c r="JG236" s="23"/>
      <c r="JH236" s="23"/>
      <c r="JI236" s="23"/>
      <c r="JJ236" s="23"/>
      <c r="JK236" s="23"/>
      <c r="JL236" s="23"/>
      <c r="JM236" s="23"/>
      <c r="JN236" s="23"/>
      <c r="JO236" s="23"/>
      <c r="JP236" s="23"/>
      <c r="JQ236" s="23"/>
      <c r="JR236" s="23"/>
      <c r="JS236" s="23"/>
      <c r="JT236" s="23"/>
      <c r="JU236" s="23"/>
      <c r="JV236" s="23"/>
      <c r="JW236" s="23"/>
      <c r="JX236" s="23"/>
      <c r="JY236" s="23"/>
      <c r="JZ236" s="23"/>
      <c r="KA236" s="23"/>
      <c r="KB236" s="23"/>
      <c r="KC236" s="23"/>
      <c r="KD236" s="23"/>
      <c r="KE236" s="23"/>
      <c r="KF236" s="23"/>
      <c r="KG236" s="23"/>
      <c r="KH236" s="23"/>
      <c r="KI236" s="23"/>
      <c r="KJ236" s="23"/>
      <c r="KK236" s="23"/>
      <c r="KL236" s="23"/>
      <c r="KM236" s="23"/>
      <c r="KN236" s="23"/>
      <c r="KO236" s="23"/>
      <c r="KP236" s="23"/>
      <c r="KQ236" s="23"/>
      <c r="KR236" s="23"/>
      <c r="KS236" s="23"/>
      <c r="KT236" s="23"/>
      <c r="KU236" s="23"/>
      <c r="KV236" s="23"/>
      <c r="KW236" s="23"/>
      <c r="KX236" s="23"/>
      <c r="KY236" s="23"/>
      <c r="KZ236" s="23"/>
      <c r="LA236" s="23"/>
      <c r="LB236" s="23"/>
      <c r="LC236" s="23"/>
      <c r="LD236" s="23"/>
      <c r="LE236" s="23"/>
      <c r="LF236" s="23"/>
      <c r="LG236" s="23"/>
      <c r="LH236" s="23"/>
      <c r="LI236" s="23"/>
      <c r="LJ236" s="23"/>
      <c r="LK236" s="23"/>
      <c r="LL236" s="23"/>
      <c r="LM236" s="23"/>
      <c r="LN236" s="23"/>
      <c r="LO236" s="23"/>
      <c r="LP236" s="23"/>
      <c r="LQ236" s="23"/>
      <c r="LR236" s="23"/>
      <c r="LS236" s="23"/>
      <c r="LT236" s="23"/>
      <c r="LU236" s="23"/>
      <c r="LV236" s="23"/>
      <c r="LW236" s="23"/>
      <c r="LX236" s="23"/>
      <c r="LY236" s="23"/>
      <c r="LZ236" s="23"/>
      <c r="MA236" s="23"/>
      <c r="MB236" s="23"/>
      <c r="MC236" s="23"/>
      <c r="MD236" s="23"/>
      <c r="ME236" s="23"/>
      <c r="MF236" s="23"/>
      <c r="MG236" s="23"/>
      <c r="MH236" s="23"/>
      <c r="MI236" s="23"/>
      <c r="MJ236" s="23"/>
      <c r="MK236" s="23"/>
      <c r="ML236" s="23"/>
      <c r="MM236" s="23"/>
      <c r="MN236" s="23"/>
      <c r="MO236" s="23"/>
      <c r="MP236" s="23"/>
      <c r="MQ236" s="23"/>
      <c r="MR236" s="23"/>
      <c r="MS236" s="23"/>
      <c r="MT236" s="23"/>
      <c r="MU236" s="23"/>
      <c r="MV236" s="23"/>
      <c r="MW236" s="23"/>
      <c r="MX236" s="23"/>
      <c r="MY236" s="23"/>
      <c r="MZ236" s="23"/>
      <c r="NA236" s="23"/>
      <c r="NB236" s="23"/>
      <c r="NC236" s="23"/>
      <c r="ND236" s="23"/>
      <c r="NE236" s="23"/>
      <c r="NF236" s="23"/>
      <c r="NG236" s="23"/>
      <c r="NH236" s="23"/>
      <c r="NI236" s="23"/>
      <c r="NJ236" s="23"/>
      <c r="NK236" s="23"/>
      <c r="NL236" s="23"/>
      <c r="NM236" s="23"/>
      <c r="NN236" s="23"/>
    </row>
    <row r="237" spans="5:378" ht="15" customHeight="1"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  <c r="IZ237" s="23"/>
      <c r="JA237" s="23"/>
      <c r="JB237" s="23"/>
      <c r="JC237" s="23"/>
      <c r="JD237" s="23"/>
      <c r="JE237" s="23"/>
      <c r="JF237" s="23"/>
      <c r="JG237" s="23"/>
      <c r="JH237" s="23"/>
      <c r="JI237" s="23"/>
      <c r="JJ237" s="23"/>
      <c r="JK237" s="23"/>
      <c r="JL237" s="23"/>
      <c r="JM237" s="23"/>
      <c r="JN237" s="23"/>
      <c r="JO237" s="23"/>
      <c r="JP237" s="23"/>
      <c r="JQ237" s="23"/>
      <c r="JR237" s="23"/>
      <c r="JS237" s="23"/>
      <c r="JT237" s="23"/>
      <c r="JU237" s="23"/>
      <c r="JV237" s="23"/>
      <c r="JW237" s="23"/>
      <c r="JX237" s="23"/>
      <c r="JY237" s="23"/>
      <c r="JZ237" s="23"/>
      <c r="KA237" s="23"/>
      <c r="KB237" s="23"/>
      <c r="KC237" s="23"/>
      <c r="KD237" s="23"/>
      <c r="KE237" s="23"/>
      <c r="KF237" s="23"/>
      <c r="KG237" s="23"/>
      <c r="KH237" s="23"/>
      <c r="KI237" s="23"/>
      <c r="KJ237" s="23"/>
      <c r="KK237" s="23"/>
      <c r="KL237" s="23"/>
      <c r="KM237" s="23"/>
      <c r="KN237" s="23"/>
      <c r="KO237" s="23"/>
      <c r="KP237" s="23"/>
      <c r="KQ237" s="23"/>
      <c r="KR237" s="23"/>
      <c r="KS237" s="23"/>
      <c r="KT237" s="23"/>
      <c r="KU237" s="23"/>
      <c r="KV237" s="23"/>
      <c r="KW237" s="23"/>
      <c r="KX237" s="23"/>
      <c r="KY237" s="23"/>
      <c r="KZ237" s="23"/>
      <c r="LA237" s="23"/>
      <c r="LB237" s="23"/>
      <c r="LC237" s="23"/>
      <c r="LD237" s="23"/>
      <c r="LE237" s="23"/>
      <c r="LF237" s="23"/>
      <c r="LG237" s="23"/>
      <c r="LH237" s="23"/>
      <c r="LI237" s="23"/>
      <c r="LJ237" s="23"/>
      <c r="LK237" s="23"/>
      <c r="LL237" s="23"/>
      <c r="LM237" s="23"/>
      <c r="LN237" s="23"/>
      <c r="LO237" s="23"/>
      <c r="LP237" s="23"/>
      <c r="LQ237" s="23"/>
      <c r="LR237" s="23"/>
      <c r="LS237" s="23"/>
      <c r="LT237" s="23"/>
      <c r="LU237" s="23"/>
      <c r="LV237" s="23"/>
      <c r="LW237" s="23"/>
      <c r="LX237" s="23"/>
      <c r="LY237" s="23"/>
      <c r="LZ237" s="23"/>
      <c r="MA237" s="23"/>
      <c r="MB237" s="23"/>
      <c r="MC237" s="23"/>
      <c r="MD237" s="23"/>
      <c r="ME237" s="23"/>
      <c r="MF237" s="23"/>
      <c r="MG237" s="23"/>
      <c r="MH237" s="23"/>
      <c r="MI237" s="23"/>
      <c r="MJ237" s="23"/>
      <c r="MK237" s="23"/>
      <c r="ML237" s="23"/>
      <c r="MM237" s="23"/>
      <c r="MN237" s="23"/>
      <c r="MO237" s="23"/>
      <c r="MP237" s="23"/>
      <c r="MQ237" s="23"/>
      <c r="MR237" s="23"/>
      <c r="MS237" s="23"/>
      <c r="MT237" s="23"/>
      <c r="MU237" s="23"/>
      <c r="MV237" s="23"/>
      <c r="MW237" s="23"/>
      <c r="MX237" s="23"/>
      <c r="MY237" s="23"/>
      <c r="MZ237" s="23"/>
      <c r="NA237" s="23"/>
      <c r="NB237" s="23"/>
      <c r="NC237" s="23"/>
      <c r="ND237" s="23"/>
      <c r="NE237" s="23"/>
      <c r="NF237" s="23"/>
      <c r="NG237" s="23"/>
      <c r="NH237" s="23"/>
      <c r="NI237" s="23"/>
      <c r="NJ237" s="23"/>
      <c r="NK237" s="23"/>
      <c r="NL237" s="23"/>
      <c r="NM237" s="23"/>
      <c r="NN237" s="23"/>
    </row>
    <row r="238" spans="5:378" ht="15" customHeight="1"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  <c r="IZ238" s="23"/>
      <c r="JA238" s="23"/>
      <c r="JB238" s="23"/>
      <c r="JC238" s="23"/>
      <c r="JD238" s="23"/>
      <c r="JE238" s="23"/>
      <c r="JF238" s="23"/>
      <c r="JG238" s="23"/>
      <c r="JH238" s="23"/>
      <c r="JI238" s="23"/>
      <c r="JJ238" s="23"/>
      <c r="JK238" s="23"/>
      <c r="JL238" s="23"/>
      <c r="JM238" s="23"/>
      <c r="JN238" s="23"/>
      <c r="JO238" s="23"/>
      <c r="JP238" s="23"/>
      <c r="JQ238" s="23"/>
      <c r="JR238" s="23"/>
      <c r="JS238" s="23"/>
      <c r="JT238" s="23"/>
      <c r="JU238" s="23"/>
      <c r="JV238" s="23"/>
      <c r="JW238" s="23"/>
      <c r="JX238" s="23"/>
      <c r="JY238" s="23"/>
      <c r="JZ238" s="23"/>
      <c r="KA238" s="23"/>
      <c r="KB238" s="23"/>
      <c r="KC238" s="23"/>
      <c r="KD238" s="23"/>
      <c r="KE238" s="23"/>
      <c r="KF238" s="23"/>
      <c r="KG238" s="23"/>
      <c r="KH238" s="23"/>
      <c r="KI238" s="23"/>
      <c r="KJ238" s="23"/>
      <c r="KK238" s="23"/>
      <c r="KL238" s="23"/>
      <c r="KM238" s="23"/>
      <c r="KN238" s="23"/>
      <c r="KO238" s="23"/>
      <c r="KP238" s="23"/>
      <c r="KQ238" s="23"/>
      <c r="KR238" s="23"/>
      <c r="KS238" s="23"/>
      <c r="KT238" s="23"/>
      <c r="KU238" s="23"/>
      <c r="KV238" s="23"/>
      <c r="KW238" s="23"/>
      <c r="KX238" s="23"/>
      <c r="KY238" s="23"/>
      <c r="KZ238" s="23"/>
      <c r="LA238" s="23"/>
      <c r="LB238" s="23"/>
      <c r="LC238" s="23"/>
      <c r="LD238" s="23"/>
      <c r="LE238" s="23"/>
      <c r="LF238" s="23"/>
      <c r="LG238" s="23"/>
      <c r="LH238" s="23"/>
      <c r="LI238" s="23"/>
      <c r="LJ238" s="23"/>
      <c r="LK238" s="23"/>
      <c r="LL238" s="23"/>
      <c r="LM238" s="23"/>
      <c r="LN238" s="23"/>
      <c r="LO238" s="23"/>
      <c r="LP238" s="23"/>
      <c r="LQ238" s="23"/>
      <c r="LR238" s="23"/>
      <c r="LS238" s="23"/>
      <c r="LT238" s="23"/>
      <c r="LU238" s="23"/>
      <c r="LV238" s="23"/>
      <c r="LW238" s="23"/>
      <c r="LX238" s="23"/>
      <c r="LY238" s="23"/>
      <c r="LZ238" s="23"/>
      <c r="MA238" s="23"/>
      <c r="MB238" s="23"/>
      <c r="MC238" s="23"/>
      <c r="MD238" s="23"/>
      <c r="ME238" s="23"/>
      <c r="MF238" s="23"/>
      <c r="MG238" s="23"/>
      <c r="MH238" s="23"/>
      <c r="MI238" s="23"/>
      <c r="MJ238" s="23"/>
      <c r="MK238" s="23"/>
      <c r="ML238" s="23"/>
      <c r="MM238" s="23"/>
      <c r="MN238" s="23"/>
      <c r="MO238" s="23"/>
      <c r="MP238" s="23"/>
      <c r="MQ238" s="23"/>
      <c r="MR238" s="23"/>
      <c r="MS238" s="23"/>
      <c r="MT238" s="23"/>
      <c r="MU238" s="23"/>
      <c r="MV238" s="23"/>
      <c r="MW238" s="23"/>
      <c r="MX238" s="23"/>
      <c r="MY238" s="23"/>
      <c r="MZ238" s="23"/>
      <c r="NA238" s="23"/>
      <c r="NB238" s="23"/>
      <c r="NC238" s="23"/>
      <c r="ND238" s="23"/>
      <c r="NE238" s="23"/>
      <c r="NF238" s="23"/>
      <c r="NG238" s="23"/>
      <c r="NH238" s="23"/>
      <c r="NI238" s="23"/>
      <c r="NJ238" s="23"/>
      <c r="NK238" s="23"/>
      <c r="NL238" s="23"/>
      <c r="NM238" s="23"/>
      <c r="NN238" s="23"/>
    </row>
    <row r="239" spans="5:378" ht="15" customHeight="1"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  <c r="IZ239" s="23"/>
      <c r="JA239" s="23"/>
      <c r="JB239" s="23"/>
      <c r="JC239" s="23"/>
      <c r="JD239" s="23"/>
      <c r="JE239" s="23"/>
      <c r="JF239" s="23"/>
      <c r="JG239" s="23"/>
      <c r="JH239" s="23"/>
      <c r="JI239" s="23"/>
      <c r="JJ239" s="23"/>
      <c r="JK239" s="23"/>
      <c r="JL239" s="23"/>
      <c r="JM239" s="23"/>
      <c r="JN239" s="23"/>
      <c r="JO239" s="23"/>
      <c r="JP239" s="23"/>
      <c r="JQ239" s="23"/>
      <c r="JR239" s="23"/>
      <c r="JS239" s="23"/>
      <c r="JT239" s="23"/>
      <c r="JU239" s="23"/>
      <c r="JV239" s="23"/>
      <c r="JW239" s="23"/>
      <c r="JX239" s="23"/>
      <c r="JY239" s="23"/>
      <c r="JZ239" s="23"/>
      <c r="KA239" s="23"/>
      <c r="KB239" s="23"/>
      <c r="KC239" s="23"/>
      <c r="KD239" s="23"/>
      <c r="KE239" s="23"/>
      <c r="KF239" s="23"/>
      <c r="KG239" s="23"/>
      <c r="KH239" s="23"/>
      <c r="KI239" s="23"/>
      <c r="KJ239" s="23"/>
      <c r="KK239" s="23"/>
      <c r="KL239" s="23"/>
      <c r="KM239" s="23"/>
      <c r="KN239" s="23"/>
      <c r="KO239" s="23"/>
      <c r="KP239" s="23"/>
      <c r="KQ239" s="23"/>
      <c r="KR239" s="23"/>
      <c r="KS239" s="23"/>
      <c r="KT239" s="23"/>
      <c r="KU239" s="23"/>
      <c r="KV239" s="23"/>
      <c r="KW239" s="23"/>
      <c r="KX239" s="23"/>
      <c r="KY239" s="23"/>
      <c r="KZ239" s="23"/>
      <c r="LA239" s="23"/>
      <c r="LB239" s="23"/>
      <c r="LC239" s="23"/>
      <c r="LD239" s="23"/>
      <c r="LE239" s="23"/>
      <c r="LF239" s="23"/>
      <c r="LG239" s="23"/>
      <c r="LH239" s="23"/>
      <c r="LI239" s="23"/>
      <c r="LJ239" s="23"/>
      <c r="LK239" s="23"/>
      <c r="LL239" s="23"/>
      <c r="LM239" s="23"/>
      <c r="LN239" s="23"/>
      <c r="LO239" s="23"/>
      <c r="LP239" s="23"/>
      <c r="LQ239" s="23"/>
      <c r="LR239" s="23"/>
      <c r="LS239" s="23"/>
      <c r="LT239" s="23"/>
      <c r="LU239" s="23"/>
      <c r="LV239" s="23"/>
      <c r="LW239" s="23"/>
      <c r="LX239" s="23"/>
      <c r="LY239" s="23"/>
      <c r="LZ239" s="23"/>
      <c r="MA239" s="23"/>
      <c r="MB239" s="23"/>
      <c r="MC239" s="23"/>
      <c r="MD239" s="23"/>
      <c r="ME239" s="23"/>
      <c r="MF239" s="23"/>
      <c r="MG239" s="23"/>
      <c r="MH239" s="23"/>
      <c r="MI239" s="23"/>
      <c r="MJ239" s="23"/>
      <c r="MK239" s="23"/>
      <c r="ML239" s="23"/>
      <c r="MM239" s="23"/>
      <c r="MN239" s="23"/>
      <c r="MO239" s="23"/>
      <c r="MP239" s="23"/>
      <c r="MQ239" s="23"/>
      <c r="MR239" s="23"/>
      <c r="MS239" s="23"/>
      <c r="MT239" s="23"/>
      <c r="MU239" s="23"/>
      <c r="MV239" s="23"/>
      <c r="MW239" s="23"/>
      <c r="MX239" s="23"/>
      <c r="MY239" s="23"/>
      <c r="MZ239" s="23"/>
      <c r="NA239" s="23"/>
      <c r="NB239" s="23"/>
      <c r="NC239" s="23"/>
      <c r="ND239" s="23"/>
      <c r="NE239" s="23"/>
      <c r="NF239" s="23"/>
      <c r="NG239" s="23"/>
      <c r="NH239" s="23"/>
      <c r="NI239" s="23"/>
      <c r="NJ239" s="23"/>
      <c r="NK239" s="23"/>
      <c r="NL239" s="23"/>
      <c r="NM239" s="23"/>
      <c r="NN239" s="23"/>
    </row>
    <row r="240" spans="5:378" ht="15" customHeight="1"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  <c r="IZ240" s="23"/>
      <c r="JA240" s="23"/>
      <c r="JB240" s="23"/>
      <c r="JC240" s="23"/>
      <c r="JD240" s="23"/>
      <c r="JE240" s="23"/>
      <c r="JF240" s="23"/>
      <c r="JG240" s="23"/>
      <c r="JH240" s="23"/>
      <c r="JI240" s="23"/>
      <c r="JJ240" s="23"/>
      <c r="JK240" s="23"/>
      <c r="JL240" s="23"/>
      <c r="JM240" s="23"/>
      <c r="JN240" s="23"/>
      <c r="JO240" s="23"/>
      <c r="JP240" s="23"/>
      <c r="JQ240" s="23"/>
      <c r="JR240" s="23"/>
      <c r="JS240" s="23"/>
      <c r="JT240" s="23"/>
      <c r="JU240" s="23"/>
      <c r="JV240" s="23"/>
      <c r="JW240" s="23"/>
      <c r="JX240" s="23"/>
      <c r="JY240" s="23"/>
      <c r="JZ240" s="23"/>
      <c r="KA240" s="23"/>
      <c r="KB240" s="23"/>
      <c r="KC240" s="23"/>
      <c r="KD240" s="23"/>
      <c r="KE240" s="23"/>
      <c r="KF240" s="23"/>
      <c r="KG240" s="23"/>
      <c r="KH240" s="23"/>
      <c r="KI240" s="23"/>
      <c r="KJ240" s="23"/>
      <c r="KK240" s="23"/>
      <c r="KL240" s="23"/>
      <c r="KM240" s="23"/>
      <c r="KN240" s="23"/>
      <c r="KO240" s="23"/>
      <c r="KP240" s="23"/>
      <c r="KQ240" s="23"/>
      <c r="KR240" s="23"/>
      <c r="KS240" s="23"/>
      <c r="KT240" s="23"/>
      <c r="KU240" s="23"/>
      <c r="KV240" s="23"/>
      <c r="KW240" s="23"/>
      <c r="KX240" s="23"/>
      <c r="KY240" s="23"/>
      <c r="KZ240" s="23"/>
      <c r="LA240" s="23"/>
      <c r="LB240" s="23"/>
      <c r="LC240" s="23"/>
      <c r="LD240" s="23"/>
      <c r="LE240" s="23"/>
      <c r="LF240" s="23"/>
      <c r="LG240" s="23"/>
      <c r="LH240" s="23"/>
      <c r="LI240" s="23"/>
      <c r="LJ240" s="23"/>
      <c r="LK240" s="23"/>
      <c r="LL240" s="23"/>
      <c r="LM240" s="23"/>
      <c r="LN240" s="23"/>
      <c r="LO240" s="23"/>
      <c r="LP240" s="23"/>
      <c r="LQ240" s="23"/>
      <c r="LR240" s="23"/>
      <c r="LS240" s="23"/>
      <c r="LT240" s="23"/>
      <c r="LU240" s="23"/>
      <c r="LV240" s="23"/>
      <c r="LW240" s="23"/>
      <c r="LX240" s="23"/>
      <c r="LY240" s="23"/>
      <c r="LZ240" s="23"/>
      <c r="MA240" s="23"/>
      <c r="MB240" s="23"/>
      <c r="MC240" s="23"/>
      <c r="MD240" s="23"/>
      <c r="ME240" s="23"/>
      <c r="MF240" s="23"/>
      <c r="MG240" s="23"/>
      <c r="MH240" s="23"/>
      <c r="MI240" s="23"/>
      <c r="MJ240" s="23"/>
      <c r="MK240" s="23"/>
      <c r="ML240" s="23"/>
      <c r="MM240" s="23"/>
      <c r="MN240" s="23"/>
      <c r="MO240" s="23"/>
      <c r="MP240" s="23"/>
      <c r="MQ240" s="23"/>
      <c r="MR240" s="23"/>
      <c r="MS240" s="23"/>
      <c r="MT240" s="23"/>
      <c r="MU240" s="23"/>
      <c r="MV240" s="23"/>
      <c r="MW240" s="23"/>
      <c r="MX240" s="23"/>
      <c r="MY240" s="23"/>
      <c r="MZ240" s="23"/>
      <c r="NA240" s="23"/>
      <c r="NB240" s="23"/>
      <c r="NC240" s="23"/>
      <c r="ND240" s="23"/>
      <c r="NE240" s="23"/>
      <c r="NF240" s="23"/>
      <c r="NG240" s="23"/>
      <c r="NH240" s="23"/>
      <c r="NI240" s="23"/>
      <c r="NJ240" s="23"/>
      <c r="NK240" s="23"/>
      <c r="NL240" s="23"/>
      <c r="NM240" s="23"/>
      <c r="NN240" s="23"/>
    </row>
    <row r="241" spans="5:378" ht="15" customHeight="1"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  <c r="IZ241" s="23"/>
      <c r="JA241" s="23"/>
      <c r="JB241" s="23"/>
      <c r="JC241" s="23"/>
      <c r="JD241" s="23"/>
      <c r="JE241" s="23"/>
      <c r="JF241" s="23"/>
      <c r="JG241" s="23"/>
      <c r="JH241" s="23"/>
      <c r="JI241" s="23"/>
      <c r="JJ241" s="23"/>
      <c r="JK241" s="23"/>
      <c r="JL241" s="23"/>
      <c r="JM241" s="23"/>
      <c r="JN241" s="23"/>
      <c r="JO241" s="23"/>
      <c r="JP241" s="23"/>
      <c r="JQ241" s="23"/>
      <c r="JR241" s="23"/>
      <c r="JS241" s="23"/>
      <c r="JT241" s="23"/>
      <c r="JU241" s="23"/>
      <c r="JV241" s="23"/>
      <c r="JW241" s="23"/>
      <c r="JX241" s="23"/>
      <c r="JY241" s="23"/>
      <c r="JZ241" s="23"/>
      <c r="KA241" s="23"/>
      <c r="KB241" s="23"/>
      <c r="KC241" s="23"/>
      <c r="KD241" s="23"/>
      <c r="KE241" s="23"/>
      <c r="KF241" s="23"/>
      <c r="KG241" s="23"/>
      <c r="KH241" s="23"/>
      <c r="KI241" s="23"/>
      <c r="KJ241" s="23"/>
      <c r="KK241" s="23"/>
      <c r="KL241" s="23"/>
      <c r="KM241" s="23"/>
      <c r="KN241" s="23"/>
      <c r="KO241" s="23"/>
      <c r="KP241" s="23"/>
      <c r="KQ241" s="23"/>
      <c r="KR241" s="23"/>
      <c r="KS241" s="23"/>
      <c r="KT241" s="23"/>
      <c r="KU241" s="23"/>
      <c r="KV241" s="23"/>
      <c r="KW241" s="23"/>
      <c r="KX241" s="23"/>
      <c r="KY241" s="23"/>
      <c r="KZ241" s="23"/>
      <c r="LA241" s="23"/>
      <c r="LB241" s="23"/>
      <c r="LC241" s="23"/>
      <c r="LD241" s="23"/>
      <c r="LE241" s="23"/>
      <c r="LF241" s="23"/>
      <c r="LG241" s="23"/>
      <c r="LH241" s="23"/>
      <c r="LI241" s="23"/>
      <c r="LJ241" s="23"/>
      <c r="LK241" s="23"/>
      <c r="LL241" s="23"/>
      <c r="LM241" s="23"/>
      <c r="LN241" s="23"/>
      <c r="LO241" s="23"/>
      <c r="LP241" s="23"/>
      <c r="LQ241" s="23"/>
      <c r="LR241" s="23"/>
      <c r="LS241" s="23"/>
      <c r="LT241" s="23"/>
      <c r="LU241" s="23"/>
      <c r="LV241" s="23"/>
      <c r="LW241" s="23"/>
      <c r="LX241" s="23"/>
      <c r="LY241" s="23"/>
      <c r="LZ241" s="23"/>
      <c r="MA241" s="23"/>
      <c r="MB241" s="23"/>
      <c r="MC241" s="23"/>
      <c r="MD241" s="23"/>
      <c r="ME241" s="23"/>
      <c r="MF241" s="23"/>
      <c r="MG241" s="23"/>
      <c r="MH241" s="23"/>
      <c r="MI241" s="23"/>
      <c r="MJ241" s="23"/>
      <c r="MK241" s="23"/>
      <c r="ML241" s="23"/>
      <c r="MM241" s="23"/>
      <c r="MN241" s="23"/>
      <c r="MO241" s="23"/>
      <c r="MP241" s="23"/>
      <c r="MQ241" s="23"/>
      <c r="MR241" s="23"/>
      <c r="MS241" s="23"/>
      <c r="MT241" s="23"/>
      <c r="MU241" s="23"/>
      <c r="MV241" s="23"/>
      <c r="MW241" s="23"/>
      <c r="MX241" s="23"/>
      <c r="MY241" s="23"/>
      <c r="MZ241" s="23"/>
      <c r="NA241" s="23"/>
      <c r="NB241" s="23"/>
      <c r="NC241" s="23"/>
      <c r="ND241" s="23"/>
      <c r="NE241" s="23"/>
      <c r="NF241" s="23"/>
      <c r="NG241" s="23"/>
      <c r="NH241" s="23"/>
      <c r="NI241" s="23"/>
      <c r="NJ241" s="23"/>
      <c r="NK241" s="23"/>
      <c r="NL241" s="23"/>
      <c r="NM241" s="23"/>
      <c r="NN241" s="23"/>
    </row>
    <row r="242" spans="5:378" ht="15" customHeight="1"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  <c r="IZ242" s="23"/>
      <c r="JA242" s="23"/>
      <c r="JB242" s="23"/>
      <c r="JC242" s="23"/>
      <c r="JD242" s="23"/>
      <c r="JE242" s="23"/>
      <c r="JF242" s="23"/>
      <c r="JG242" s="23"/>
      <c r="JH242" s="23"/>
      <c r="JI242" s="23"/>
      <c r="JJ242" s="23"/>
      <c r="JK242" s="23"/>
      <c r="JL242" s="23"/>
      <c r="JM242" s="23"/>
      <c r="JN242" s="23"/>
      <c r="JO242" s="23"/>
      <c r="JP242" s="23"/>
      <c r="JQ242" s="23"/>
      <c r="JR242" s="23"/>
      <c r="JS242" s="23"/>
      <c r="JT242" s="23"/>
      <c r="JU242" s="23"/>
      <c r="JV242" s="23"/>
      <c r="JW242" s="23"/>
      <c r="JX242" s="23"/>
      <c r="JY242" s="23"/>
      <c r="JZ242" s="23"/>
      <c r="KA242" s="23"/>
      <c r="KB242" s="23"/>
      <c r="KC242" s="23"/>
      <c r="KD242" s="23"/>
      <c r="KE242" s="23"/>
      <c r="KF242" s="23"/>
      <c r="KG242" s="23"/>
      <c r="KH242" s="23"/>
      <c r="KI242" s="23"/>
      <c r="KJ242" s="23"/>
      <c r="KK242" s="23"/>
      <c r="KL242" s="23"/>
      <c r="KM242" s="23"/>
      <c r="KN242" s="23"/>
      <c r="KO242" s="23"/>
      <c r="KP242" s="23"/>
      <c r="KQ242" s="23"/>
      <c r="KR242" s="23"/>
      <c r="KS242" s="23"/>
      <c r="KT242" s="23"/>
      <c r="KU242" s="23"/>
      <c r="KV242" s="23"/>
      <c r="KW242" s="23"/>
      <c r="KX242" s="23"/>
      <c r="KY242" s="23"/>
      <c r="KZ242" s="23"/>
      <c r="LA242" s="23"/>
      <c r="LB242" s="23"/>
      <c r="LC242" s="23"/>
      <c r="LD242" s="23"/>
      <c r="LE242" s="23"/>
      <c r="LF242" s="23"/>
      <c r="LG242" s="23"/>
      <c r="LH242" s="23"/>
      <c r="LI242" s="23"/>
      <c r="LJ242" s="23"/>
      <c r="LK242" s="23"/>
      <c r="LL242" s="23"/>
      <c r="LM242" s="23"/>
      <c r="LN242" s="23"/>
      <c r="LO242" s="23"/>
      <c r="LP242" s="23"/>
      <c r="LQ242" s="23"/>
      <c r="LR242" s="23"/>
      <c r="LS242" s="23"/>
      <c r="LT242" s="23"/>
      <c r="LU242" s="23"/>
      <c r="LV242" s="23"/>
      <c r="LW242" s="23"/>
      <c r="LX242" s="23"/>
      <c r="LY242" s="23"/>
      <c r="LZ242" s="23"/>
      <c r="MA242" s="23"/>
      <c r="MB242" s="23"/>
      <c r="MC242" s="23"/>
      <c r="MD242" s="23"/>
      <c r="ME242" s="23"/>
      <c r="MF242" s="23"/>
      <c r="MG242" s="23"/>
      <c r="MH242" s="23"/>
      <c r="MI242" s="23"/>
      <c r="MJ242" s="23"/>
      <c r="MK242" s="23"/>
      <c r="ML242" s="23"/>
      <c r="MM242" s="23"/>
      <c r="MN242" s="23"/>
      <c r="MO242" s="23"/>
      <c r="MP242" s="23"/>
      <c r="MQ242" s="23"/>
      <c r="MR242" s="23"/>
      <c r="MS242" s="23"/>
      <c r="MT242" s="23"/>
      <c r="MU242" s="23"/>
      <c r="MV242" s="23"/>
      <c r="MW242" s="23"/>
      <c r="MX242" s="23"/>
      <c r="MY242" s="23"/>
      <c r="MZ242" s="23"/>
      <c r="NA242" s="23"/>
      <c r="NB242" s="23"/>
      <c r="NC242" s="23"/>
      <c r="ND242" s="23"/>
      <c r="NE242" s="23"/>
      <c r="NF242" s="23"/>
      <c r="NG242" s="23"/>
      <c r="NH242" s="23"/>
      <c r="NI242" s="23"/>
      <c r="NJ242" s="23"/>
      <c r="NK242" s="23"/>
      <c r="NL242" s="23"/>
      <c r="NM242" s="23"/>
      <c r="NN242" s="23"/>
    </row>
    <row r="243" spans="5:378" ht="15" customHeight="1"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  <c r="IZ243" s="23"/>
      <c r="JA243" s="23"/>
      <c r="JB243" s="23"/>
      <c r="JC243" s="23"/>
      <c r="JD243" s="23"/>
      <c r="JE243" s="23"/>
      <c r="JF243" s="23"/>
      <c r="JG243" s="23"/>
      <c r="JH243" s="23"/>
      <c r="JI243" s="23"/>
      <c r="JJ243" s="23"/>
      <c r="JK243" s="23"/>
      <c r="JL243" s="23"/>
      <c r="JM243" s="23"/>
      <c r="JN243" s="23"/>
      <c r="JO243" s="23"/>
      <c r="JP243" s="23"/>
      <c r="JQ243" s="23"/>
      <c r="JR243" s="23"/>
      <c r="JS243" s="23"/>
      <c r="JT243" s="23"/>
      <c r="JU243" s="23"/>
      <c r="JV243" s="23"/>
      <c r="JW243" s="23"/>
      <c r="JX243" s="23"/>
      <c r="JY243" s="23"/>
      <c r="JZ243" s="23"/>
      <c r="KA243" s="23"/>
      <c r="KB243" s="23"/>
      <c r="KC243" s="23"/>
      <c r="KD243" s="23"/>
      <c r="KE243" s="23"/>
      <c r="KF243" s="23"/>
      <c r="KG243" s="23"/>
      <c r="KH243" s="23"/>
      <c r="KI243" s="23"/>
      <c r="KJ243" s="23"/>
      <c r="KK243" s="23"/>
      <c r="KL243" s="23"/>
      <c r="KM243" s="23"/>
      <c r="KN243" s="23"/>
      <c r="KO243" s="23"/>
      <c r="KP243" s="23"/>
      <c r="KQ243" s="23"/>
      <c r="KR243" s="23"/>
      <c r="KS243" s="23"/>
      <c r="KT243" s="23"/>
      <c r="KU243" s="23"/>
      <c r="KV243" s="23"/>
      <c r="KW243" s="23"/>
      <c r="KX243" s="23"/>
      <c r="KY243" s="23"/>
      <c r="KZ243" s="23"/>
      <c r="LA243" s="23"/>
      <c r="LB243" s="23"/>
      <c r="LC243" s="23"/>
      <c r="LD243" s="23"/>
      <c r="LE243" s="23"/>
      <c r="LF243" s="23"/>
      <c r="LG243" s="23"/>
      <c r="LH243" s="23"/>
      <c r="LI243" s="23"/>
      <c r="LJ243" s="23"/>
      <c r="LK243" s="23"/>
      <c r="LL243" s="23"/>
      <c r="LM243" s="23"/>
      <c r="LN243" s="23"/>
      <c r="LO243" s="23"/>
      <c r="LP243" s="23"/>
      <c r="LQ243" s="23"/>
      <c r="LR243" s="23"/>
      <c r="LS243" s="23"/>
      <c r="LT243" s="23"/>
      <c r="LU243" s="23"/>
      <c r="LV243" s="23"/>
      <c r="LW243" s="23"/>
      <c r="LX243" s="23"/>
      <c r="LY243" s="23"/>
      <c r="LZ243" s="23"/>
      <c r="MA243" s="23"/>
      <c r="MB243" s="23"/>
      <c r="MC243" s="23"/>
      <c r="MD243" s="23"/>
      <c r="ME243" s="23"/>
      <c r="MF243" s="23"/>
      <c r="MG243" s="23"/>
      <c r="MH243" s="23"/>
      <c r="MI243" s="23"/>
      <c r="MJ243" s="23"/>
      <c r="MK243" s="23"/>
      <c r="ML243" s="23"/>
      <c r="MM243" s="23"/>
      <c r="MN243" s="23"/>
      <c r="MO243" s="23"/>
      <c r="MP243" s="23"/>
      <c r="MQ243" s="23"/>
      <c r="MR243" s="23"/>
      <c r="MS243" s="23"/>
      <c r="MT243" s="23"/>
      <c r="MU243" s="23"/>
      <c r="MV243" s="23"/>
      <c r="MW243" s="23"/>
      <c r="MX243" s="23"/>
      <c r="MY243" s="23"/>
      <c r="MZ243" s="23"/>
      <c r="NA243" s="23"/>
      <c r="NB243" s="23"/>
      <c r="NC243" s="23"/>
      <c r="ND243" s="23"/>
      <c r="NE243" s="23"/>
      <c r="NF243" s="23"/>
      <c r="NG243" s="23"/>
      <c r="NH243" s="23"/>
      <c r="NI243" s="23"/>
      <c r="NJ243" s="23"/>
      <c r="NK243" s="23"/>
      <c r="NL243" s="23"/>
      <c r="NM243" s="23"/>
      <c r="NN243" s="23"/>
    </row>
    <row r="244" spans="5:378" ht="15" customHeight="1"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  <c r="IZ244" s="23"/>
      <c r="JA244" s="23"/>
      <c r="JB244" s="23"/>
      <c r="JC244" s="23"/>
      <c r="JD244" s="23"/>
      <c r="JE244" s="23"/>
      <c r="JF244" s="23"/>
      <c r="JG244" s="23"/>
      <c r="JH244" s="23"/>
      <c r="JI244" s="23"/>
      <c r="JJ244" s="23"/>
      <c r="JK244" s="23"/>
      <c r="JL244" s="23"/>
      <c r="JM244" s="23"/>
      <c r="JN244" s="23"/>
      <c r="JO244" s="23"/>
      <c r="JP244" s="23"/>
      <c r="JQ244" s="23"/>
      <c r="JR244" s="23"/>
      <c r="JS244" s="23"/>
      <c r="JT244" s="23"/>
      <c r="JU244" s="23"/>
      <c r="JV244" s="23"/>
      <c r="JW244" s="23"/>
      <c r="JX244" s="23"/>
      <c r="JY244" s="23"/>
      <c r="JZ244" s="23"/>
      <c r="KA244" s="23"/>
      <c r="KB244" s="23"/>
      <c r="KC244" s="23"/>
      <c r="KD244" s="23"/>
      <c r="KE244" s="23"/>
      <c r="KF244" s="23"/>
      <c r="KG244" s="23"/>
      <c r="KH244" s="23"/>
      <c r="KI244" s="23"/>
      <c r="KJ244" s="23"/>
      <c r="KK244" s="23"/>
      <c r="KL244" s="23"/>
      <c r="KM244" s="23"/>
      <c r="KN244" s="23"/>
      <c r="KO244" s="23"/>
      <c r="KP244" s="23"/>
      <c r="KQ244" s="23"/>
      <c r="KR244" s="23"/>
      <c r="KS244" s="23"/>
      <c r="KT244" s="23"/>
      <c r="KU244" s="23"/>
      <c r="KV244" s="23"/>
      <c r="KW244" s="23"/>
      <c r="KX244" s="23"/>
      <c r="KY244" s="23"/>
      <c r="KZ244" s="23"/>
      <c r="LA244" s="23"/>
      <c r="LB244" s="23"/>
      <c r="LC244" s="23"/>
      <c r="LD244" s="23"/>
      <c r="LE244" s="23"/>
      <c r="LF244" s="23"/>
      <c r="LG244" s="23"/>
      <c r="LH244" s="23"/>
      <c r="LI244" s="23"/>
      <c r="LJ244" s="23"/>
      <c r="LK244" s="23"/>
      <c r="LL244" s="23"/>
      <c r="LM244" s="23"/>
      <c r="LN244" s="23"/>
      <c r="LO244" s="23"/>
      <c r="LP244" s="23"/>
      <c r="LQ244" s="23"/>
      <c r="LR244" s="23"/>
      <c r="LS244" s="23"/>
      <c r="LT244" s="23"/>
      <c r="LU244" s="23"/>
      <c r="LV244" s="23"/>
      <c r="LW244" s="23"/>
      <c r="LX244" s="23"/>
      <c r="LY244" s="23"/>
      <c r="LZ244" s="23"/>
      <c r="MA244" s="23"/>
      <c r="MB244" s="23"/>
      <c r="MC244" s="23"/>
      <c r="MD244" s="23"/>
      <c r="ME244" s="23"/>
      <c r="MF244" s="23"/>
      <c r="MG244" s="23"/>
      <c r="MH244" s="23"/>
      <c r="MI244" s="23"/>
      <c r="MJ244" s="23"/>
      <c r="MK244" s="23"/>
      <c r="ML244" s="23"/>
      <c r="MM244" s="23"/>
      <c r="MN244" s="23"/>
      <c r="MO244" s="23"/>
      <c r="MP244" s="23"/>
      <c r="MQ244" s="23"/>
      <c r="MR244" s="23"/>
      <c r="MS244" s="23"/>
      <c r="MT244" s="23"/>
      <c r="MU244" s="23"/>
      <c r="MV244" s="23"/>
      <c r="MW244" s="23"/>
      <c r="MX244" s="23"/>
      <c r="MY244" s="23"/>
      <c r="MZ244" s="23"/>
      <c r="NA244" s="23"/>
      <c r="NB244" s="23"/>
      <c r="NC244" s="23"/>
      <c r="ND244" s="23"/>
      <c r="NE244" s="23"/>
      <c r="NF244" s="23"/>
      <c r="NG244" s="23"/>
      <c r="NH244" s="23"/>
      <c r="NI244" s="23"/>
      <c r="NJ244" s="23"/>
      <c r="NK244" s="23"/>
      <c r="NL244" s="23"/>
      <c r="NM244" s="23"/>
      <c r="NN244" s="23"/>
    </row>
    <row r="245" spans="5:378" ht="15" customHeight="1"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  <c r="IZ245" s="23"/>
      <c r="JA245" s="23"/>
      <c r="JB245" s="23"/>
      <c r="JC245" s="23"/>
      <c r="JD245" s="23"/>
      <c r="JE245" s="23"/>
      <c r="JF245" s="23"/>
      <c r="JG245" s="23"/>
      <c r="JH245" s="23"/>
      <c r="JI245" s="23"/>
      <c r="JJ245" s="23"/>
      <c r="JK245" s="23"/>
      <c r="JL245" s="23"/>
      <c r="JM245" s="23"/>
      <c r="JN245" s="23"/>
      <c r="JO245" s="23"/>
      <c r="JP245" s="23"/>
      <c r="JQ245" s="23"/>
      <c r="JR245" s="23"/>
      <c r="JS245" s="23"/>
      <c r="JT245" s="23"/>
      <c r="JU245" s="23"/>
      <c r="JV245" s="23"/>
      <c r="JW245" s="23"/>
      <c r="JX245" s="23"/>
      <c r="JY245" s="23"/>
      <c r="JZ245" s="23"/>
      <c r="KA245" s="23"/>
      <c r="KB245" s="23"/>
      <c r="KC245" s="23"/>
      <c r="KD245" s="23"/>
      <c r="KE245" s="23"/>
      <c r="KF245" s="23"/>
      <c r="KG245" s="23"/>
      <c r="KH245" s="23"/>
      <c r="KI245" s="23"/>
      <c r="KJ245" s="23"/>
      <c r="KK245" s="23"/>
      <c r="KL245" s="23"/>
      <c r="KM245" s="23"/>
      <c r="KN245" s="23"/>
      <c r="KO245" s="23"/>
      <c r="KP245" s="23"/>
      <c r="KQ245" s="23"/>
      <c r="KR245" s="23"/>
      <c r="KS245" s="23"/>
      <c r="KT245" s="23"/>
      <c r="KU245" s="23"/>
      <c r="KV245" s="23"/>
      <c r="KW245" s="23"/>
      <c r="KX245" s="23"/>
      <c r="KY245" s="23"/>
      <c r="KZ245" s="23"/>
      <c r="LA245" s="23"/>
      <c r="LB245" s="23"/>
      <c r="LC245" s="23"/>
      <c r="LD245" s="23"/>
      <c r="LE245" s="23"/>
      <c r="LF245" s="23"/>
      <c r="LG245" s="23"/>
      <c r="LH245" s="23"/>
      <c r="LI245" s="23"/>
      <c r="LJ245" s="23"/>
      <c r="LK245" s="23"/>
      <c r="LL245" s="23"/>
      <c r="LM245" s="23"/>
      <c r="LN245" s="23"/>
      <c r="LO245" s="23"/>
      <c r="LP245" s="23"/>
      <c r="LQ245" s="23"/>
      <c r="LR245" s="23"/>
      <c r="LS245" s="23"/>
      <c r="LT245" s="23"/>
      <c r="LU245" s="23"/>
      <c r="LV245" s="23"/>
      <c r="LW245" s="23"/>
      <c r="LX245" s="23"/>
      <c r="LY245" s="23"/>
      <c r="LZ245" s="23"/>
      <c r="MA245" s="23"/>
      <c r="MB245" s="23"/>
      <c r="MC245" s="23"/>
      <c r="MD245" s="23"/>
      <c r="ME245" s="23"/>
      <c r="MF245" s="23"/>
      <c r="MG245" s="23"/>
      <c r="MH245" s="23"/>
      <c r="MI245" s="23"/>
      <c r="MJ245" s="23"/>
      <c r="MK245" s="23"/>
      <c r="ML245" s="23"/>
      <c r="MM245" s="23"/>
      <c r="MN245" s="23"/>
      <c r="MO245" s="23"/>
      <c r="MP245" s="23"/>
      <c r="MQ245" s="23"/>
      <c r="MR245" s="23"/>
      <c r="MS245" s="23"/>
      <c r="MT245" s="23"/>
      <c r="MU245" s="23"/>
      <c r="MV245" s="23"/>
      <c r="MW245" s="23"/>
      <c r="MX245" s="23"/>
      <c r="MY245" s="23"/>
      <c r="MZ245" s="23"/>
      <c r="NA245" s="23"/>
      <c r="NB245" s="23"/>
      <c r="NC245" s="23"/>
      <c r="ND245" s="23"/>
      <c r="NE245" s="23"/>
      <c r="NF245" s="23"/>
      <c r="NG245" s="23"/>
      <c r="NH245" s="23"/>
      <c r="NI245" s="23"/>
      <c r="NJ245" s="23"/>
      <c r="NK245" s="23"/>
      <c r="NL245" s="23"/>
      <c r="NM245" s="23"/>
      <c r="NN245" s="23"/>
    </row>
    <row r="246" spans="5:378" ht="15" customHeight="1"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  <c r="IZ246" s="23"/>
      <c r="JA246" s="23"/>
      <c r="JB246" s="23"/>
      <c r="JC246" s="23"/>
      <c r="JD246" s="23"/>
      <c r="JE246" s="23"/>
      <c r="JF246" s="23"/>
      <c r="JG246" s="23"/>
      <c r="JH246" s="23"/>
      <c r="JI246" s="23"/>
      <c r="JJ246" s="23"/>
      <c r="JK246" s="23"/>
      <c r="JL246" s="23"/>
      <c r="JM246" s="23"/>
      <c r="JN246" s="23"/>
      <c r="JO246" s="23"/>
      <c r="JP246" s="23"/>
      <c r="JQ246" s="23"/>
      <c r="JR246" s="23"/>
      <c r="JS246" s="23"/>
      <c r="JT246" s="23"/>
      <c r="JU246" s="23"/>
      <c r="JV246" s="23"/>
      <c r="JW246" s="23"/>
      <c r="JX246" s="23"/>
      <c r="JY246" s="23"/>
      <c r="JZ246" s="23"/>
      <c r="KA246" s="23"/>
      <c r="KB246" s="23"/>
      <c r="KC246" s="23"/>
      <c r="KD246" s="23"/>
      <c r="KE246" s="23"/>
      <c r="KF246" s="23"/>
      <c r="KG246" s="23"/>
      <c r="KH246" s="23"/>
      <c r="KI246" s="23"/>
      <c r="KJ246" s="23"/>
      <c r="KK246" s="23"/>
      <c r="KL246" s="23"/>
      <c r="KM246" s="23"/>
      <c r="KN246" s="23"/>
      <c r="KO246" s="23"/>
      <c r="KP246" s="23"/>
      <c r="KQ246" s="23"/>
      <c r="KR246" s="23"/>
      <c r="KS246" s="23"/>
      <c r="KT246" s="23"/>
      <c r="KU246" s="23"/>
      <c r="KV246" s="23"/>
      <c r="KW246" s="23"/>
      <c r="KX246" s="23"/>
      <c r="KY246" s="23"/>
      <c r="KZ246" s="23"/>
      <c r="LA246" s="23"/>
      <c r="LB246" s="23"/>
      <c r="LC246" s="23"/>
      <c r="LD246" s="23"/>
      <c r="LE246" s="23"/>
      <c r="LF246" s="23"/>
      <c r="LG246" s="23"/>
      <c r="LH246" s="23"/>
      <c r="LI246" s="23"/>
      <c r="LJ246" s="23"/>
      <c r="LK246" s="23"/>
      <c r="LL246" s="23"/>
      <c r="LM246" s="23"/>
      <c r="LN246" s="23"/>
      <c r="LO246" s="23"/>
      <c r="LP246" s="23"/>
      <c r="LQ246" s="23"/>
      <c r="LR246" s="23"/>
      <c r="LS246" s="23"/>
      <c r="LT246" s="23"/>
      <c r="LU246" s="23"/>
      <c r="LV246" s="23"/>
      <c r="LW246" s="23"/>
      <c r="LX246" s="23"/>
      <c r="LY246" s="23"/>
      <c r="LZ246" s="23"/>
      <c r="MA246" s="23"/>
      <c r="MB246" s="23"/>
      <c r="MC246" s="23"/>
      <c r="MD246" s="23"/>
      <c r="ME246" s="23"/>
      <c r="MF246" s="23"/>
      <c r="MG246" s="23"/>
      <c r="MH246" s="23"/>
      <c r="MI246" s="23"/>
      <c r="MJ246" s="23"/>
      <c r="MK246" s="23"/>
      <c r="ML246" s="23"/>
      <c r="MM246" s="23"/>
      <c r="MN246" s="23"/>
      <c r="MO246" s="23"/>
      <c r="MP246" s="23"/>
      <c r="MQ246" s="23"/>
      <c r="MR246" s="23"/>
      <c r="MS246" s="23"/>
      <c r="MT246" s="23"/>
      <c r="MU246" s="23"/>
      <c r="MV246" s="23"/>
      <c r="MW246" s="23"/>
      <c r="MX246" s="23"/>
      <c r="MY246" s="23"/>
      <c r="MZ246" s="23"/>
      <c r="NA246" s="23"/>
      <c r="NB246" s="23"/>
      <c r="NC246" s="23"/>
      <c r="ND246" s="23"/>
      <c r="NE246" s="23"/>
      <c r="NF246" s="23"/>
      <c r="NG246" s="23"/>
      <c r="NH246" s="23"/>
      <c r="NI246" s="23"/>
      <c r="NJ246" s="23"/>
      <c r="NK246" s="23"/>
      <c r="NL246" s="23"/>
      <c r="NM246" s="23"/>
      <c r="NN246" s="23"/>
    </row>
    <row r="247" spans="5:378" ht="15" customHeight="1"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  <c r="IZ247" s="23"/>
      <c r="JA247" s="23"/>
      <c r="JB247" s="23"/>
      <c r="JC247" s="23"/>
      <c r="JD247" s="23"/>
      <c r="JE247" s="23"/>
      <c r="JF247" s="23"/>
      <c r="JG247" s="23"/>
      <c r="JH247" s="23"/>
      <c r="JI247" s="23"/>
      <c r="JJ247" s="23"/>
      <c r="JK247" s="23"/>
      <c r="JL247" s="23"/>
      <c r="JM247" s="23"/>
      <c r="JN247" s="23"/>
      <c r="JO247" s="23"/>
      <c r="JP247" s="23"/>
      <c r="JQ247" s="23"/>
      <c r="JR247" s="23"/>
      <c r="JS247" s="23"/>
      <c r="JT247" s="23"/>
      <c r="JU247" s="23"/>
      <c r="JV247" s="23"/>
      <c r="JW247" s="23"/>
      <c r="JX247" s="23"/>
      <c r="JY247" s="23"/>
      <c r="JZ247" s="23"/>
      <c r="KA247" s="23"/>
      <c r="KB247" s="23"/>
      <c r="KC247" s="23"/>
      <c r="KD247" s="23"/>
      <c r="KE247" s="23"/>
      <c r="KF247" s="23"/>
      <c r="KG247" s="23"/>
      <c r="KH247" s="23"/>
      <c r="KI247" s="23"/>
      <c r="KJ247" s="23"/>
      <c r="KK247" s="23"/>
      <c r="KL247" s="23"/>
      <c r="KM247" s="23"/>
      <c r="KN247" s="23"/>
      <c r="KO247" s="23"/>
      <c r="KP247" s="23"/>
      <c r="KQ247" s="23"/>
      <c r="KR247" s="23"/>
      <c r="KS247" s="23"/>
      <c r="KT247" s="23"/>
      <c r="KU247" s="23"/>
      <c r="KV247" s="23"/>
      <c r="KW247" s="23"/>
      <c r="KX247" s="23"/>
      <c r="KY247" s="23"/>
      <c r="KZ247" s="23"/>
      <c r="LA247" s="23"/>
      <c r="LB247" s="23"/>
      <c r="LC247" s="23"/>
      <c r="LD247" s="23"/>
      <c r="LE247" s="23"/>
      <c r="LF247" s="23"/>
      <c r="LG247" s="23"/>
      <c r="LH247" s="23"/>
      <c r="LI247" s="23"/>
      <c r="LJ247" s="23"/>
      <c r="LK247" s="23"/>
      <c r="LL247" s="23"/>
      <c r="LM247" s="23"/>
      <c r="LN247" s="23"/>
      <c r="LO247" s="23"/>
      <c r="LP247" s="23"/>
      <c r="LQ247" s="23"/>
      <c r="LR247" s="23"/>
      <c r="LS247" s="23"/>
      <c r="LT247" s="23"/>
      <c r="LU247" s="23"/>
      <c r="LV247" s="23"/>
      <c r="LW247" s="23"/>
      <c r="LX247" s="23"/>
      <c r="LY247" s="23"/>
      <c r="LZ247" s="23"/>
      <c r="MA247" s="23"/>
      <c r="MB247" s="23"/>
      <c r="MC247" s="23"/>
      <c r="MD247" s="23"/>
      <c r="ME247" s="23"/>
      <c r="MF247" s="23"/>
      <c r="MG247" s="23"/>
      <c r="MH247" s="23"/>
      <c r="MI247" s="23"/>
      <c r="MJ247" s="23"/>
      <c r="MK247" s="23"/>
      <c r="ML247" s="23"/>
      <c r="MM247" s="23"/>
      <c r="MN247" s="23"/>
      <c r="MO247" s="23"/>
      <c r="MP247" s="23"/>
      <c r="MQ247" s="23"/>
      <c r="MR247" s="23"/>
      <c r="MS247" s="23"/>
      <c r="MT247" s="23"/>
      <c r="MU247" s="23"/>
      <c r="MV247" s="23"/>
      <c r="MW247" s="23"/>
      <c r="MX247" s="23"/>
      <c r="MY247" s="23"/>
      <c r="MZ247" s="23"/>
      <c r="NA247" s="23"/>
      <c r="NB247" s="23"/>
      <c r="NC247" s="23"/>
      <c r="ND247" s="23"/>
      <c r="NE247" s="23"/>
      <c r="NF247" s="23"/>
      <c r="NG247" s="23"/>
      <c r="NH247" s="23"/>
      <c r="NI247" s="23"/>
      <c r="NJ247" s="23"/>
      <c r="NK247" s="23"/>
      <c r="NL247" s="23"/>
      <c r="NM247" s="23"/>
      <c r="NN247" s="23"/>
    </row>
    <row r="248" spans="5:378" ht="15" customHeight="1"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  <c r="IZ248" s="23"/>
      <c r="JA248" s="23"/>
      <c r="JB248" s="23"/>
      <c r="JC248" s="23"/>
      <c r="JD248" s="23"/>
      <c r="JE248" s="23"/>
      <c r="JF248" s="23"/>
      <c r="JG248" s="23"/>
      <c r="JH248" s="23"/>
      <c r="JI248" s="23"/>
      <c r="JJ248" s="23"/>
      <c r="JK248" s="23"/>
      <c r="JL248" s="23"/>
      <c r="JM248" s="23"/>
      <c r="JN248" s="23"/>
      <c r="JO248" s="23"/>
      <c r="JP248" s="23"/>
      <c r="JQ248" s="23"/>
      <c r="JR248" s="23"/>
      <c r="JS248" s="23"/>
      <c r="JT248" s="23"/>
      <c r="JU248" s="23"/>
      <c r="JV248" s="23"/>
      <c r="JW248" s="23"/>
      <c r="JX248" s="23"/>
      <c r="JY248" s="23"/>
      <c r="JZ248" s="23"/>
      <c r="KA248" s="23"/>
      <c r="KB248" s="23"/>
      <c r="KC248" s="23"/>
      <c r="KD248" s="23"/>
      <c r="KE248" s="23"/>
      <c r="KF248" s="23"/>
      <c r="KG248" s="23"/>
      <c r="KH248" s="23"/>
      <c r="KI248" s="23"/>
      <c r="KJ248" s="23"/>
      <c r="KK248" s="23"/>
      <c r="KL248" s="23"/>
      <c r="KM248" s="23"/>
      <c r="KN248" s="23"/>
      <c r="KO248" s="23"/>
      <c r="KP248" s="23"/>
      <c r="KQ248" s="23"/>
      <c r="KR248" s="23"/>
      <c r="KS248" s="23"/>
      <c r="KT248" s="23"/>
      <c r="KU248" s="23"/>
      <c r="KV248" s="23"/>
      <c r="KW248" s="23"/>
      <c r="KX248" s="23"/>
      <c r="KY248" s="23"/>
      <c r="KZ248" s="23"/>
      <c r="LA248" s="23"/>
      <c r="LB248" s="23"/>
      <c r="LC248" s="23"/>
      <c r="LD248" s="23"/>
      <c r="LE248" s="23"/>
      <c r="LF248" s="23"/>
      <c r="LG248" s="23"/>
      <c r="LH248" s="23"/>
      <c r="LI248" s="23"/>
      <c r="LJ248" s="23"/>
      <c r="LK248" s="23"/>
      <c r="LL248" s="23"/>
      <c r="LM248" s="23"/>
      <c r="LN248" s="23"/>
      <c r="LO248" s="23"/>
      <c r="LP248" s="23"/>
      <c r="LQ248" s="23"/>
      <c r="LR248" s="23"/>
      <c r="LS248" s="23"/>
      <c r="LT248" s="23"/>
      <c r="LU248" s="23"/>
      <c r="LV248" s="23"/>
      <c r="LW248" s="23"/>
      <c r="LX248" s="23"/>
      <c r="LY248" s="23"/>
      <c r="LZ248" s="23"/>
      <c r="MA248" s="23"/>
      <c r="MB248" s="23"/>
      <c r="MC248" s="23"/>
      <c r="MD248" s="23"/>
      <c r="ME248" s="23"/>
      <c r="MF248" s="23"/>
      <c r="MG248" s="23"/>
      <c r="MH248" s="23"/>
      <c r="MI248" s="23"/>
      <c r="MJ248" s="23"/>
      <c r="MK248" s="23"/>
      <c r="ML248" s="23"/>
      <c r="MM248" s="23"/>
      <c r="MN248" s="23"/>
      <c r="MO248" s="23"/>
      <c r="MP248" s="23"/>
      <c r="MQ248" s="23"/>
      <c r="MR248" s="23"/>
      <c r="MS248" s="23"/>
      <c r="MT248" s="23"/>
      <c r="MU248" s="23"/>
      <c r="MV248" s="23"/>
      <c r="MW248" s="23"/>
      <c r="MX248" s="23"/>
      <c r="MY248" s="23"/>
      <c r="MZ248" s="23"/>
      <c r="NA248" s="23"/>
      <c r="NB248" s="23"/>
      <c r="NC248" s="23"/>
      <c r="ND248" s="23"/>
      <c r="NE248" s="23"/>
      <c r="NF248" s="23"/>
      <c r="NG248" s="23"/>
      <c r="NH248" s="23"/>
      <c r="NI248" s="23"/>
      <c r="NJ248" s="23"/>
      <c r="NK248" s="23"/>
      <c r="NL248" s="23"/>
      <c r="NM248" s="23"/>
      <c r="NN248" s="23"/>
    </row>
    <row r="249" spans="5:378" ht="15" customHeight="1"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  <c r="IZ249" s="23"/>
      <c r="JA249" s="23"/>
      <c r="JB249" s="23"/>
      <c r="JC249" s="23"/>
      <c r="JD249" s="23"/>
      <c r="JE249" s="23"/>
      <c r="JF249" s="23"/>
      <c r="JG249" s="23"/>
      <c r="JH249" s="23"/>
      <c r="JI249" s="23"/>
      <c r="JJ249" s="23"/>
      <c r="JK249" s="23"/>
      <c r="JL249" s="23"/>
      <c r="JM249" s="23"/>
      <c r="JN249" s="23"/>
      <c r="JO249" s="23"/>
      <c r="JP249" s="23"/>
      <c r="JQ249" s="23"/>
      <c r="JR249" s="23"/>
      <c r="JS249" s="23"/>
      <c r="JT249" s="23"/>
      <c r="JU249" s="23"/>
      <c r="JV249" s="23"/>
      <c r="JW249" s="23"/>
      <c r="JX249" s="23"/>
      <c r="JY249" s="23"/>
      <c r="JZ249" s="23"/>
      <c r="KA249" s="23"/>
      <c r="KB249" s="23"/>
      <c r="KC249" s="23"/>
      <c r="KD249" s="23"/>
      <c r="KE249" s="23"/>
      <c r="KF249" s="23"/>
      <c r="KG249" s="23"/>
      <c r="KH249" s="23"/>
      <c r="KI249" s="23"/>
      <c r="KJ249" s="23"/>
      <c r="KK249" s="23"/>
      <c r="KL249" s="23"/>
      <c r="KM249" s="23"/>
      <c r="KN249" s="23"/>
      <c r="KO249" s="23"/>
      <c r="KP249" s="23"/>
      <c r="KQ249" s="23"/>
      <c r="KR249" s="23"/>
      <c r="KS249" s="23"/>
      <c r="KT249" s="23"/>
      <c r="KU249" s="23"/>
      <c r="KV249" s="23"/>
      <c r="KW249" s="23"/>
      <c r="KX249" s="23"/>
      <c r="KY249" s="23"/>
      <c r="KZ249" s="23"/>
      <c r="LA249" s="23"/>
      <c r="LB249" s="23"/>
      <c r="LC249" s="23"/>
      <c r="LD249" s="23"/>
      <c r="LE249" s="23"/>
      <c r="LF249" s="23"/>
      <c r="LG249" s="23"/>
      <c r="LH249" s="23"/>
      <c r="LI249" s="23"/>
      <c r="LJ249" s="23"/>
      <c r="LK249" s="23"/>
      <c r="LL249" s="23"/>
      <c r="LM249" s="23"/>
      <c r="LN249" s="23"/>
      <c r="LO249" s="23"/>
      <c r="LP249" s="23"/>
      <c r="LQ249" s="23"/>
      <c r="LR249" s="23"/>
      <c r="LS249" s="23"/>
      <c r="LT249" s="23"/>
      <c r="LU249" s="23"/>
      <c r="LV249" s="23"/>
      <c r="LW249" s="23"/>
      <c r="LX249" s="23"/>
      <c r="LY249" s="23"/>
      <c r="LZ249" s="23"/>
      <c r="MA249" s="23"/>
      <c r="MB249" s="23"/>
      <c r="MC249" s="23"/>
      <c r="MD249" s="23"/>
      <c r="ME249" s="23"/>
      <c r="MF249" s="23"/>
      <c r="MG249" s="23"/>
      <c r="MH249" s="23"/>
      <c r="MI249" s="23"/>
      <c r="MJ249" s="23"/>
      <c r="MK249" s="23"/>
      <c r="ML249" s="23"/>
      <c r="MM249" s="23"/>
      <c r="MN249" s="23"/>
      <c r="MO249" s="23"/>
      <c r="MP249" s="23"/>
      <c r="MQ249" s="23"/>
      <c r="MR249" s="23"/>
      <c r="MS249" s="23"/>
      <c r="MT249" s="23"/>
      <c r="MU249" s="23"/>
      <c r="MV249" s="23"/>
      <c r="MW249" s="23"/>
      <c r="MX249" s="23"/>
      <c r="MY249" s="23"/>
      <c r="MZ249" s="23"/>
      <c r="NA249" s="23"/>
      <c r="NB249" s="23"/>
      <c r="NC249" s="23"/>
      <c r="ND249" s="23"/>
      <c r="NE249" s="23"/>
      <c r="NF249" s="23"/>
      <c r="NG249" s="23"/>
      <c r="NH249" s="23"/>
      <c r="NI249" s="23"/>
      <c r="NJ249" s="23"/>
      <c r="NK249" s="23"/>
      <c r="NL249" s="23"/>
      <c r="NM249" s="23"/>
      <c r="NN249" s="23"/>
    </row>
    <row r="250" spans="5:378" ht="15" customHeight="1"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  <c r="IZ250" s="23"/>
      <c r="JA250" s="23"/>
      <c r="JB250" s="23"/>
      <c r="JC250" s="23"/>
      <c r="JD250" s="23"/>
      <c r="JE250" s="23"/>
      <c r="JF250" s="23"/>
      <c r="JG250" s="23"/>
      <c r="JH250" s="23"/>
      <c r="JI250" s="23"/>
      <c r="JJ250" s="23"/>
      <c r="JK250" s="23"/>
      <c r="JL250" s="23"/>
      <c r="JM250" s="23"/>
      <c r="JN250" s="23"/>
      <c r="JO250" s="23"/>
      <c r="JP250" s="23"/>
      <c r="JQ250" s="23"/>
      <c r="JR250" s="23"/>
      <c r="JS250" s="23"/>
      <c r="JT250" s="23"/>
      <c r="JU250" s="23"/>
      <c r="JV250" s="23"/>
      <c r="JW250" s="23"/>
      <c r="JX250" s="23"/>
      <c r="JY250" s="23"/>
      <c r="JZ250" s="23"/>
      <c r="KA250" s="23"/>
      <c r="KB250" s="23"/>
      <c r="KC250" s="23"/>
      <c r="KD250" s="23"/>
      <c r="KE250" s="23"/>
      <c r="KF250" s="23"/>
      <c r="KG250" s="23"/>
      <c r="KH250" s="23"/>
      <c r="KI250" s="23"/>
      <c r="KJ250" s="23"/>
      <c r="KK250" s="23"/>
      <c r="KL250" s="23"/>
      <c r="KM250" s="23"/>
      <c r="KN250" s="23"/>
      <c r="KO250" s="23"/>
      <c r="KP250" s="23"/>
      <c r="KQ250" s="23"/>
      <c r="KR250" s="23"/>
      <c r="KS250" s="23"/>
      <c r="KT250" s="23"/>
      <c r="KU250" s="23"/>
      <c r="KV250" s="23"/>
      <c r="KW250" s="23"/>
      <c r="KX250" s="23"/>
      <c r="KY250" s="23"/>
      <c r="KZ250" s="23"/>
      <c r="LA250" s="23"/>
      <c r="LB250" s="23"/>
      <c r="LC250" s="23"/>
      <c r="LD250" s="23"/>
      <c r="LE250" s="23"/>
      <c r="LF250" s="23"/>
      <c r="LG250" s="23"/>
      <c r="LH250" s="23"/>
      <c r="LI250" s="23"/>
      <c r="LJ250" s="23"/>
      <c r="LK250" s="23"/>
      <c r="LL250" s="23"/>
      <c r="LM250" s="23"/>
      <c r="LN250" s="23"/>
      <c r="LO250" s="23"/>
      <c r="LP250" s="23"/>
      <c r="LQ250" s="23"/>
      <c r="LR250" s="23"/>
      <c r="LS250" s="23"/>
      <c r="LT250" s="23"/>
      <c r="LU250" s="23"/>
      <c r="LV250" s="23"/>
      <c r="LW250" s="23"/>
      <c r="LX250" s="23"/>
      <c r="LY250" s="23"/>
      <c r="LZ250" s="23"/>
      <c r="MA250" s="23"/>
      <c r="MB250" s="23"/>
      <c r="MC250" s="23"/>
      <c r="MD250" s="23"/>
      <c r="ME250" s="23"/>
      <c r="MF250" s="23"/>
      <c r="MG250" s="23"/>
      <c r="MH250" s="23"/>
      <c r="MI250" s="23"/>
      <c r="MJ250" s="23"/>
      <c r="MK250" s="23"/>
      <c r="ML250" s="23"/>
      <c r="MM250" s="23"/>
      <c r="MN250" s="23"/>
      <c r="MO250" s="23"/>
      <c r="MP250" s="23"/>
      <c r="MQ250" s="23"/>
      <c r="MR250" s="23"/>
      <c r="MS250" s="23"/>
      <c r="MT250" s="23"/>
      <c r="MU250" s="23"/>
      <c r="MV250" s="23"/>
      <c r="MW250" s="23"/>
      <c r="MX250" s="23"/>
      <c r="MY250" s="23"/>
      <c r="MZ250" s="23"/>
      <c r="NA250" s="23"/>
      <c r="NB250" s="23"/>
      <c r="NC250" s="23"/>
      <c r="ND250" s="23"/>
      <c r="NE250" s="23"/>
      <c r="NF250" s="23"/>
      <c r="NG250" s="23"/>
      <c r="NH250" s="23"/>
      <c r="NI250" s="23"/>
      <c r="NJ250" s="23"/>
      <c r="NK250" s="23"/>
      <c r="NL250" s="23"/>
      <c r="NM250" s="23"/>
      <c r="NN250" s="23"/>
    </row>
    <row r="251" spans="5:378" ht="15" customHeight="1"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  <c r="IZ251" s="23"/>
      <c r="JA251" s="23"/>
      <c r="JB251" s="23"/>
      <c r="JC251" s="23"/>
      <c r="JD251" s="23"/>
      <c r="JE251" s="23"/>
      <c r="JF251" s="23"/>
      <c r="JG251" s="23"/>
      <c r="JH251" s="23"/>
      <c r="JI251" s="23"/>
      <c r="JJ251" s="23"/>
      <c r="JK251" s="23"/>
      <c r="JL251" s="23"/>
      <c r="JM251" s="23"/>
      <c r="JN251" s="23"/>
      <c r="JO251" s="23"/>
      <c r="JP251" s="23"/>
      <c r="JQ251" s="23"/>
      <c r="JR251" s="23"/>
      <c r="JS251" s="23"/>
      <c r="JT251" s="23"/>
      <c r="JU251" s="23"/>
      <c r="JV251" s="23"/>
      <c r="JW251" s="23"/>
      <c r="JX251" s="23"/>
      <c r="JY251" s="23"/>
      <c r="JZ251" s="23"/>
      <c r="KA251" s="23"/>
      <c r="KB251" s="23"/>
      <c r="KC251" s="23"/>
      <c r="KD251" s="23"/>
      <c r="KE251" s="23"/>
      <c r="KF251" s="23"/>
      <c r="KG251" s="23"/>
      <c r="KH251" s="23"/>
      <c r="KI251" s="23"/>
      <c r="KJ251" s="23"/>
      <c r="KK251" s="23"/>
      <c r="KL251" s="23"/>
      <c r="KM251" s="23"/>
      <c r="KN251" s="23"/>
      <c r="KO251" s="23"/>
      <c r="KP251" s="23"/>
      <c r="KQ251" s="23"/>
      <c r="KR251" s="23"/>
      <c r="KS251" s="23"/>
      <c r="KT251" s="23"/>
      <c r="KU251" s="23"/>
      <c r="KV251" s="23"/>
      <c r="KW251" s="23"/>
      <c r="KX251" s="23"/>
      <c r="KY251" s="23"/>
      <c r="KZ251" s="23"/>
      <c r="LA251" s="23"/>
      <c r="LB251" s="23"/>
      <c r="LC251" s="23"/>
      <c r="LD251" s="23"/>
      <c r="LE251" s="23"/>
      <c r="LF251" s="23"/>
      <c r="LG251" s="23"/>
      <c r="LH251" s="23"/>
      <c r="LI251" s="23"/>
      <c r="LJ251" s="23"/>
      <c r="LK251" s="23"/>
      <c r="LL251" s="23"/>
      <c r="LM251" s="23"/>
      <c r="LN251" s="23"/>
      <c r="LO251" s="23"/>
      <c r="LP251" s="23"/>
      <c r="LQ251" s="23"/>
      <c r="LR251" s="23"/>
      <c r="LS251" s="23"/>
      <c r="LT251" s="23"/>
      <c r="LU251" s="23"/>
      <c r="LV251" s="23"/>
      <c r="LW251" s="23"/>
      <c r="LX251" s="23"/>
      <c r="LY251" s="23"/>
      <c r="LZ251" s="23"/>
      <c r="MA251" s="23"/>
      <c r="MB251" s="23"/>
      <c r="MC251" s="23"/>
      <c r="MD251" s="23"/>
      <c r="ME251" s="23"/>
      <c r="MF251" s="23"/>
      <c r="MG251" s="23"/>
      <c r="MH251" s="23"/>
      <c r="MI251" s="23"/>
      <c r="MJ251" s="23"/>
      <c r="MK251" s="23"/>
      <c r="ML251" s="23"/>
      <c r="MM251" s="23"/>
      <c r="MN251" s="23"/>
      <c r="MO251" s="23"/>
      <c r="MP251" s="23"/>
      <c r="MQ251" s="23"/>
      <c r="MR251" s="23"/>
      <c r="MS251" s="23"/>
      <c r="MT251" s="23"/>
      <c r="MU251" s="23"/>
      <c r="MV251" s="23"/>
      <c r="MW251" s="23"/>
      <c r="MX251" s="23"/>
      <c r="MY251" s="23"/>
      <c r="MZ251" s="23"/>
      <c r="NA251" s="23"/>
      <c r="NB251" s="23"/>
      <c r="NC251" s="23"/>
      <c r="ND251" s="23"/>
      <c r="NE251" s="23"/>
      <c r="NF251" s="23"/>
      <c r="NG251" s="23"/>
      <c r="NH251" s="23"/>
      <c r="NI251" s="23"/>
      <c r="NJ251" s="23"/>
      <c r="NK251" s="23"/>
      <c r="NL251" s="23"/>
      <c r="NM251" s="23"/>
      <c r="NN251" s="23"/>
    </row>
    <row r="252" spans="5:378" ht="15" customHeight="1"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  <c r="IZ252" s="23"/>
      <c r="JA252" s="23"/>
      <c r="JB252" s="23"/>
      <c r="JC252" s="23"/>
      <c r="JD252" s="23"/>
      <c r="JE252" s="23"/>
      <c r="JF252" s="23"/>
      <c r="JG252" s="23"/>
      <c r="JH252" s="23"/>
      <c r="JI252" s="23"/>
      <c r="JJ252" s="23"/>
      <c r="JK252" s="23"/>
      <c r="JL252" s="23"/>
      <c r="JM252" s="23"/>
      <c r="JN252" s="23"/>
      <c r="JO252" s="23"/>
      <c r="JP252" s="23"/>
      <c r="JQ252" s="23"/>
      <c r="JR252" s="23"/>
      <c r="JS252" s="23"/>
      <c r="JT252" s="23"/>
      <c r="JU252" s="23"/>
      <c r="JV252" s="23"/>
      <c r="JW252" s="23"/>
      <c r="JX252" s="23"/>
      <c r="JY252" s="23"/>
      <c r="JZ252" s="23"/>
      <c r="KA252" s="23"/>
      <c r="KB252" s="23"/>
      <c r="KC252" s="23"/>
      <c r="KD252" s="23"/>
      <c r="KE252" s="23"/>
      <c r="KF252" s="23"/>
      <c r="KG252" s="23"/>
      <c r="KH252" s="23"/>
      <c r="KI252" s="23"/>
      <c r="KJ252" s="23"/>
      <c r="KK252" s="23"/>
      <c r="KL252" s="23"/>
      <c r="KM252" s="23"/>
      <c r="KN252" s="23"/>
      <c r="KO252" s="23"/>
      <c r="KP252" s="23"/>
      <c r="KQ252" s="23"/>
      <c r="KR252" s="23"/>
      <c r="KS252" s="23"/>
      <c r="KT252" s="23"/>
      <c r="KU252" s="23"/>
      <c r="KV252" s="23"/>
      <c r="KW252" s="23"/>
      <c r="KX252" s="23"/>
      <c r="KY252" s="23"/>
      <c r="KZ252" s="23"/>
      <c r="LA252" s="23"/>
      <c r="LB252" s="23"/>
      <c r="LC252" s="23"/>
      <c r="LD252" s="23"/>
      <c r="LE252" s="23"/>
      <c r="LF252" s="23"/>
      <c r="LG252" s="23"/>
      <c r="LH252" s="23"/>
      <c r="LI252" s="23"/>
      <c r="LJ252" s="23"/>
      <c r="LK252" s="23"/>
      <c r="LL252" s="23"/>
      <c r="LM252" s="23"/>
      <c r="LN252" s="23"/>
      <c r="LO252" s="23"/>
      <c r="LP252" s="23"/>
      <c r="LQ252" s="23"/>
      <c r="LR252" s="23"/>
      <c r="LS252" s="23"/>
      <c r="LT252" s="23"/>
      <c r="LU252" s="23"/>
      <c r="LV252" s="23"/>
      <c r="LW252" s="23"/>
      <c r="LX252" s="23"/>
      <c r="LY252" s="23"/>
      <c r="LZ252" s="23"/>
      <c r="MA252" s="23"/>
      <c r="MB252" s="23"/>
      <c r="MC252" s="23"/>
      <c r="MD252" s="23"/>
      <c r="ME252" s="23"/>
      <c r="MF252" s="23"/>
      <c r="MG252" s="23"/>
      <c r="MH252" s="23"/>
      <c r="MI252" s="23"/>
      <c r="MJ252" s="23"/>
      <c r="MK252" s="23"/>
      <c r="ML252" s="23"/>
      <c r="MM252" s="23"/>
      <c r="MN252" s="23"/>
      <c r="MO252" s="23"/>
      <c r="MP252" s="23"/>
      <c r="MQ252" s="23"/>
      <c r="MR252" s="23"/>
      <c r="MS252" s="23"/>
      <c r="MT252" s="23"/>
      <c r="MU252" s="23"/>
      <c r="MV252" s="23"/>
      <c r="MW252" s="23"/>
      <c r="MX252" s="23"/>
      <c r="MY252" s="23"/>
      <c r="MZ252" s="23"/>
      <c r="NA252" s="23"/>
      <c r="NB252" s="23"/>
      <c r="NC252" s="23"/>
      <c r="ND252" s="23"/>
      <c r="NE252" s="23"/>
      <c r="NF252" s="23"/>
      <c r="NG252" s="23"/>
      <c r="NH252" s="23"/>
      <c r="NI252" s="23"/>
      <c r="NJ252" s="23"/>
      <c r="NK252" s="23"/>
      <c r="NL252" s="23"/>
      <c r="NM252" s="23"/>
      <c r="NN252" s="23"/>
    </row>
    <row r="253" spans="5:378" ht="15" customHeight="1"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  <c r="IZ253" s="23"/>
      <c r="JA253" s="23"/>
      <c r="JB253" s="23"/>
      <c r="JC253" s="23"/>
      <c r="JD253" s="23"/>
      <c r="JE253" s="23"/>
      <c r="JF253" s="23"/>
      <c r="JG253" s="23"/>
      <c r="JH253" s="23"/>
      <c r="JI253" s="23"/>
      <c r="JJ253" s="23"/>
      <c r="JK253" s="23"/>
      <c r="JL253" s="23"/>
      <c r="JM253" s="23"/>
      <c r="JN253" s="23"/>
      <c r="JO253" s="23"/>
      <c r="JP253" s="23"/>
      <c r="JQ253" s="23"/>
      <c r="JR253" s="23"/>
      <c r="JS253" s="23"/>
      <c r="JT253" s="23"/>
      <c r="JU253" s="23"/>
      <c r="JV253" s="23"/>
      <c r="JW253" s="23"/>
      <c r="JX253" s="23"/>
      <c r="JY253" s="23"/>
      <c r="JZ253" s="23"/>
      <c r="KA253" s="23"/>
      <c r="KB253" s="23"/>
      <c r="KC253" s="23"/>
      <c r="KD253" s="23"/>
      <c r="KE253" s="23"/>
      <c r="KF253" s="23"/>
      <c r="KG253" s="23"/>
      <c r="KH253" s="23"/>
      <c r="KI253" s="23"/>
      <c r="KJ253" s="23"/>
      <c r="KK253" s="23"/>
      <c r="KL253" s="23"/>
      <c r="KM253" s="23"/>
      <c r="KN253" s="23"/>
      <c r="KO253" s="23"/>
      <c r="KP253" s="23"/>
      <c r="KQ253" s="23"/>
      <c r="KR253" s="23"/>
      <c r="KS253" s="23"/>
      <c r="KT253" s="23"/>
      <c r="KU253" s="23"/>
      <c r="KV253" s="23"/>
      <c r="KW253" s="23"/>
      <c r="KX253" s="23"/>
      <c r="KY253" s="23"/>
      <c r="KZ253" s="23"/>
      <c r="LA253" s="23"/>
      <c r="LB253" s="23"/>
      <c r="LC253" s="23"/>
      <c r="LD253" s="23"/>
      <c r="LE253" s="23"/>
      <c r="LF253" s="23"/>
      <c r="LG253" s="23"/>
      <c r="LH253" s="23"/>
      <c r="LI253" s="23"/>
      <c r="LJ253" s="23"/>
      <c r="LK253" s="23"/>
      <c r="LL253" s="23"/>
      <c r="LM253" s="23"/>
      <c r="LN253" s="23"/>
      <c r="LO253" s="23"/>
      <c r="LP253" s="23"/>
      <c r="LQ253" s="23"/>
      <c r="LR253" s="23"/>
      <c r="LS253" s="23"/>
      <c r="LT253" s="23"/>
      <c r="LU253" s="23"/>
      <c r="LV253" s="23"/>
      <c r="LW253" s="23"/>
      <c r="LX253" s="23"/>
      <c r="LY253" s="23"/>
      <c r="LZ253" s="23"/>
      <c r="MA253" s="23"/>
      <c r="MB253" s="23"/>
      <c r="MC253" s="23"/>
      <c r="MD253" s="23"/>
      <c r="ME253" s="23"/>
      <c r="MF253" s="23"/>
      <c r="MG253" s="23"/>
      <c r="MH253" s="23"/>
      <c r="MI253" s="23"/>
      <c r="MJ253" s="23"/>
      <c r="MK253" s="23"/>
      <c r="ML253" s="23"/>
      <c r="MM253" s="23"/>
      <c r="MN253" s="23"/>
      <c r="MO253" s="23"/>
      <c r="MP253" s="23"/>
      <c r="MQ253" s="23"/>
      <c r="MR253" s="23"/>
      <c r="MS253" s="23"/>
      <c r="MT253" s="23"/>
      <c r="MU253" s="23"/>
      <c r="MV253" s="23"/>
      <c r="MW253" s="23"/>
      <c r="MX253" s="23"/>
      <c r="MY253" s="23"/>
      <c r="MZ253" s="23"/>
      <c r="NA253" s="23"/>
      <c r="NB253" s="23"/>
      <c r="NC253" s="23"/>
      <c r="ND253" s="23"/>
      <c r="NE253" s="23"/>
      <c r="NF253" s="23"/>
      <c r="NG253" s="23"/>
      <c r="NH253" s="23"/>
      <c r="NI253" s="23"/>
      <c r="NJ253" s="23"/>
      <c r="NK253" s="23"/>
      <c r="NL253" s="23"/>
      <c r="NM253" s="23"/>
      <c r="NN253" s="23"/>
    </row>
    <row r="254" spans="5:378" ht="15" customHeight="1"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  <c r="IZ254" s="23"/>
      <c r="JA254" s="23"/>
      <c r="JB254" s="23"/>
      <c r="JC254" s="23"/>
      <c r="JD254" s="23"/>
      <c r="JE254" s="23"/>
      <c r="JF254" s="23"/>
      <c r="JG254" s="23"/>
      <c r="JH254" s="23"/>
      <c r="JI254" s="23"/>
      <c r="JJ254" s="23"/>
      <c r="JK254" s="23"/>
      <c r="JL254" s="23"/>
      <c r="JM254" s="23"/>
      <c r="JN254" s="23"/>
      <c r="JO254" s="23"/>
      <c r="JP254" s="23"/>
      <c r="JQ254" s="23"/>
      <c r="JR254" s="23"/>
      <c r="JS254" s="23"/>
      <c r="JT254" s="23"/>
      <c r="JU254" s="23"/>
      <c r="JV254" s="23"/>
      <c r="JW254" s="23"/>
      <c r="JX254" s="23"/>
      <c r="JY254" s="23"/>
      <c r="JZ254" s="23"/>
      <c r="KA254" s="23"/>
      <c r="KB254" s="23"/>
      <c r="KC254" s="23"/>
      <c r="KD254" s="23"/>
      <c r="KE254" s="23"/>
      <c r="KF254" s="23"/>
      <c r="KG254" s="23"/>
      <c r="KH254" s="23"/>
      <c r="KI254" s="23"/>
      <c r="KJ254" s="23"/>
      <c r="KK254" s="23"/>
      <c r="KL254" s="23"/>
      <c r="KM254" s="23"/>
      <c r="KN254" s="23"/>
      <c r="KO254" s="23"/>
      <c r="KP254" s="23"/>
      <c r="KQ254" s="23"/>
      <c r="KR254" s="23"/>
      <c r="KS254" s="23"/>
      <c r="KT254" s="23"/>
      <c r="KU254" s="23"/>
      <c r="KV254" s="23"/>
      <c r="KW254" s="23"/>
      <c r="KX254" s="23"/>
      <c r="KY254" s="23"/>
      <c r="KZ254" s="23"/>
      <c r="LA254" s="23"/>
      <c r="LB254" s="23"/>
      <c r="LC254" s="23"/>
      <c r="LD254" s="23"/>
      <c r="LE254" s="23"/>
      <c r="LF254" s="23"/>
      <c r="LG254" s="23"/>
      <c r="LH254" s="23"/>
      <c r="LI254" s="23"/>
      <c r="LJ254" s="23"/>
      <c r="LK254" s="23"/>
      <c r="LL254" s="23"/>
      <c r="LM254" s="23"/>
      <c r="LN254" s="23"/>
      <c r="LO254" s="23"/>
      <c r="LP254" s="23"/>
      <c r="LQ254" s="23"/>
      <c r="LR254" s="23"/>
      <c r="LS254" s="23"/>
      <c r="LT254" s="23"/>
      <c r="LU254" s="23"/>
      <c r="LV254" s="23"/>
      <c r="LW254" s="23"/>
      <c r="LX254" s="23"/>
      <c r="LY254" s="23"/>
      <c r="LZ254" s="23"/>
      <c r="MA254" s="23"/>
      <c r="MB254" s="23"/>
      <c r="MC254" s="23"/>
      <c r="MD254" s="23"/>
      <c r="ME254" s="23"/>
      <c r="MF254" s="23"/>
      <c r="MG254" s="23"/>
      <c r="MH254" s="23"/>
      <c r="MI254" s="23"/>
      <c r="MJ254" s="23"/>
      <c r="MK254" s="23"/>
      <c r="ML254" s="23"/>
      <c r="MM254" s="23"/>
      <c r="MN254" s="23"/>
      <c r="MO254" s="23"/>
      <c r="MP254" s="23"/>
      <c r="MQ254" s="23"/>
      <c r="MR254" s="23"/>
      <c r="MS254" s="23"/>
      <c r="MT254" s="23"/>
      <c r="MU254" s="23"/>
      <c r="MV254" s="23"/>
      <c r="MW254" s="23"/>
      <c r="MX254" s="23"/>
      <c r="MY254" s="23"/>
      <c r="MZ254" s="23"/>
      <c r="NA254" s="23"/>
      <c r="NB254" s="23"/>
      <c r="NC254" s="23"/>
      <c r="ND254" s="23"/>
      <c r="NE254" s="23"/>
      <c r="NF254" s="23"/>
      <c r="NG254" s="23"/>
      <c r="NH254" s="23"/>
      <c r="NI254" s="23"/>
      <c r="NJ254" s="23"/>
      <c r="NK254" s="23"/>
      <c r="NL254" s="23"/>
      <c r="NM254" s="23"/>
      <c r="NN254" s="23"/>
    </row>
    <row r="255" spans="5:378" ht="15" customHeight="1"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  <c r="IZ255" s="23"/>
      <c r="JA255" s="23"/>
      <c r="JB255" s="23"/>
      <c r="JC255" s="23"/>
      <c r="JD255" s="23"/>
      <c r="JE255" s="23"/>
      <c r="JF255" s="23"/>
      <c r="JG255" s="23"/>
      <c r="JH255" s="23"/>
      <c r="JI255" s="23"/>
      <c r="JJ255" s="23"/>
      <c r="JK255" s="23"/>
      <c r="JL255" s="23"/>
      <c r="JM255" s="23"/>
      <c r="JN255" s="23"/>
      <c r="JO255" s="23"/>
      <c r="JP255" s="23"/>
      <c r="JQ255" s="23"/>
      <c r="JR255" s="23"/>
      <c r="JS255" s="23"/>
      <c r="JT255" s="23"/>
      <c r="JU255" s="23"/>
      <c r="JV255" s="23"/>
      <c r="JW255" s="23"/>
      <c r="JX255" s="23"/>
      <c r="JY255" s="23"/>
      <c r="JZ255" s="23"/>
      <c r="KA255" s="23"/>
      <c r="KB255" s="23"/>
      <c r="KC255" s="23"/>
      <c r="KD255" s="23"/>
      <c r="KE255" s="23"/>
      <c r="KF255" s="23"/>
      <c r="KG255" s="23"/>
      <c r="KH255" s="23"/>
      <c r="KI255" s="23"/>
      <c r="KJ255" s="23"/>
      <c r="KK255" s="23"/>
      <c r="KL255" s="23"/>
      <c r="KM255" s="23"/>
      <c r="KN255" s="23"/>
      <c r="KO255" s="23"/>
      <c r="KP255" s="23"/>
      <c r="KQ255" s="23"/>
      <c r="KR255" s="23"/>
      <c r="KS255" s="23"/>
      <c r="KT255" s="23"/>
      <c r="KU255" s="23"/>
      <c r="KV255" s="23"/>
      <c r="KW255" s="23"/>
      <c r="KX255" s="23"/>
      <c r="KY255" s="23"/>
      <c r="KZ255" s="23"/>
      <c r="LA255" s="23"/>
      <c r="LB255" s="23"/>
      <c r="LC255" s="23"/>
      <c r="LD255" s="23"/>
      <c r="LE255" s="23"/>
      <c r="LF255" s="23"/>
      <c r="LG255" s="23"/>
      <c r="LH255" s="23"/>
      <c r="LI255" s="23"/>
      <c r="LJ255" s="23"/>
      <c r="LK255" s="23"/>
      <c r="LL255" s="23"/>
      <c r="LM255" s="23"/>
      <c r="LN255" s="23"/>
      <c r="LO255" s="23"/>
      <c r="LP255" s="23"/>
      <c r="LQ255" s="23"/>
      <c r="LR255" s="23"/>
      <c r="LS255" s="23"/>
      <c r="LT255" s="23"/>
      <c r="LU255" s="23"/>
      <c r="LV255" s="23"/>
      <c r="LW255" s="23"/>
      <c r="LX255" s="23"/>
      <c r="LY255" s="23"/>
      <c r="LZ255" s="23"/>
      <c r="MA255" s="23"/>
      <c r="MB255" s="23"/>
      <c r="MC255" s="23"/>
      <c r="MD255" s="23"/>
      <c r="ME255" s="23"/>
      <c r="MF255" s="23"/>
      <c r="MG255" s="23"/>
      <c r="MH255" s="23"/>
      <c r="MI255" s="23"/>
      <c r="MJ255" s="23"/>
      <c r="MK255" s="23"/>
      <c r="ML255" s="23"/>
      <c r="MM255" s="23"/>
      <c r="MN255" s="23"/>
      <c r="MO255" s="23"/>
      <c r="MP255" s="23"/>
      <c r="MQ255" s="23"/>
      <c r="MR255" s="23"/>
      <c r="MS255" s="23"/>
      <c r="MT255" s="23"/>
      <c r="MU255" s="23"/>
      <c r="MV255" s="23"/>
      <c r="MW255" s="23"/>
      <c r="MX255" s="23"/>
      <c r="MY255" s="23"/>
      <c r="MZ255" s="23"/>
      <c r="NA255" s="23"/>
      <c r="NB255" s="23"/>
      <c r="NC255" s="23"/>
      <c r="ND255" s="23"/>
      <c r="NE255" s="23"/>
      <c r="NF255" s="23"/>
      <c r="NG255" s="23"/>
      <c r="NH255" s="23"/>
      <c r="NI255" s="23"/>
      <c r="NJ255" s="23"/>
      <c r="NK255" s="23"/>
      <c r="NL255" s="23"/>
      <c r="NM255" s="23"/>
      <c r="NN255" s="23"/>
    </row>
    <row r="256" spans="5:378" ht="15" customHeight="1"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  <c r="IZ256" s="23"/>
      <c r="JA256" s="23"/>
      <c r="JB256" s="23"/>
      <c r="JC256" s="23"/>
      <c r="JD256" s="23"/>
      <c r="JE256" s="23"/>
      <c r="JF256" s="23"/>
      <c r="JG256" s="23"/>
      <c r="JH256" s="23"/>
      <c r="JI256" s="23"/>
      <c r="JJ256" s="23"/>
      <c r="JK256" s="23"/>
      <c r="JL256" s="23"/>
      <c r="JM256" s="23"/>
      <c r="JN256" s="23"/>
      <c r="JO256" s="23"/>
      <c r="JP256" s="23"/>
      <c r="JQ256" s="23"/>
      <c r="JR256" s="23"/>
      <c r="JS256" s="23"/>
      <c r="JT256" s="23"/>
      <c r="JU256" s="23"/>
      <c r="JV256" s="23"/>
      <c r="JW256" s="23"/>
      <c r="JX256" s="23"/>
      <c r="JY256" s="23"/>
      <c r="JZ256" s="23"/>
      <c r="KA256" s="23"/>
      <c r="KB256" s="23"/>
      <c r="KC256" s="23"/>
      <c r="KD256" s="23"/>
      <c r="KE256" s="23"/>
      <c r="KF256" s="23"/>
      <c r="KG256" s="23"/>
      <c r="KH256" s="23"/>
      <c r="KI256" s="23"/>
      <c r="KJ256" s="23"/>
      <c r="KK256" s="23"/>
      <c r="KL256" s="23"/>
      <c r="KM256" s="23"/>
      <c r="KN256" s="23"/>
      <c r="KO256" s="23"/>
      <c r="KP256" s="23"/>
      <c r="KQ256" s="23"/>
      <c r="KR256" s="23"/>
      <c r="KS256" s="23"/>
      <c r="KT256" s="23"/>
      <c r="KU256" s="23"/>
      <c r="KV256" s="23"/>
      <c r="KW256" s="23"/>
      <c r="KX256" s="23"/>
      <c r="KY256" s="23"/>
      <c r="KZ256" s="23"/>
      <c r="LA256" s="23"/>
      <c r="LB256" s="23"/>
      <c r="LC256" s="23"/>
      <c r="LD256" s="23"/>
      <c r="LE256" s="23"/>
      <c r="LF256" s="23"/>
      <c r="LG256" s="23"/>
      <c r="LH256" s="23"/>
      <c r="LI256" s="23"/>
      <c r="LJ256" s="23"/>
      <c r="LK256" s="23"/>
      <c r="LL256" s="23"/>
      <c r="LM256" s="23"/>
      <c r="LN256" s="23"/>
      <c r="LO256" s="23"/>
      <c r="LP256" s="23"/>
      <c r="LQ256" s="23"/>
      <c r="LR256" s="23"/>
      <c r="LS256" s="23"/>
      <c r="LT256" s="23"/>
      <c r="LU256" s="23"/>
      <c r="LV256" s="23"/>
      <c r="LW256" s="23"/>
      <c r="LX256" s="23"/>
      <c r="LY256" s="23"/>
      <c r="LZ256" s="23"/>
      <c r="MA256" s="23"/>
      <c r="MB256" s="23"/>
      <c r="MC256" s="23"/>
      <c r="MD256" s="23"/>
      <c r="ME256" s="23"/>
      <c r="MF256" s="23"/>
      <c r="MG256" s="23"/>
      <c r="MH256" s="23"/>
      <c r="MI256" s="23"/>
      <c r="MJ256" s="23"/>
      <c r="MK256" s="23"/>
      <c r="ML256" s="23"/>
      <c r="MM256" s="23"/>
      <c r="MN256" s="23"/>
      <c r="MO256" s="23"/>
      <c r="MP256" s="23"/>
      <c r="MQ256" s="23"/>
      <c r="MR256" s="23"/>
      <c r="MS256" s="23"/>
      <c r="MT256" s="23"/>
      <c r="MU256" s="23"/>
      <c r="MV256" s="23"/>
      <c r="MW256" s="23"/>
      <c r="MX256" s="23"/>
      <c r="MY256" s="23"/>
      <c r="MZ256" s="23"/>
      <c r="NA256" s="23"/>
      <c r="NB256" s="23"/>
      <c r="NC256" s="23"/>
      <c r="ND256" s="23"/>
      <c r="NE256" s="23"/>
      <c r="NF256" s="23"/>
      <c r="NG256" s="23"/>
      <c r="NH256" s="23"/>
      <c r="NI256" s="23"/>
      <c r="NJ256" s="23"/>
      <c r="NK256" s="23"/>
      <c r="NL256" s="23"/>
      <c r="NM256" s="23"/>
      <c r="NN256" s="23"/>
    </row>
    <row r="257" spans="5:378" ht="15" customHeight="1"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  <c r="IZ257" s="23"/>
      <c r="JA257" s="23"/>
      <c r="JB257" s="23"/>
      <c r="JC257" s="23"/>
      <c r="JD257" s="23"/>
      <c r="JE257" s="23"/>
      <c r="JF257" s="23"/>
      <c r="JG257" s="23"/>
      <c r="JH257" s="23"/>
      <c r="JI257" s="23"/>
      <c r="JJ257" s="23"/>
      <c r="JK257" s="23"/>
      <c r="JL257" s="23"/>
      <c r="JM257" s="23"/>
      <c r="JN257" s="23"/>
      <c r="JO257" s="23"/>
      <c r="JP257" s="23"/>
      <c r="JQ257" s="23"/>
      <c r="JR257" s="23"/>
      <c r="JS257" s="23"/>
      <c r="JT257" s="23"/>
      <c r="JU257" s="23"/>
      <c r="JV257" s="23"/>
      <c r="JW257" s="23"/>
      <c r="JX257" s="23"/>
      <c r="JY257" s="23"/>
      <c r="JZ257" s="23"/>
      <c r="KA257" s="23"/>
      <c r="KB257" s="23"/>
      <c r="KC257" s="23"/>
      <c r="KD257" s="23"/>
      <c r="KE257" s="23"/>
      <c r="KF257" s="23"/>
      <c r="KG257" s="23"/>
      <c r="KH257" s="23"/>
      <c r="KI257" s="23"/>
      <c r="KJ257" s="23"/>
      <c r="KK257" s="23"/>
      <c r="KL257" s="23"/>
      <c r="KM257" s="23"/>
      <c r="KN257" s="23"/>
      <c r="KO257" s="23"/>
      <c r="KP257" s="23"/>
      <c r="KQ257" s="23"/>
      <c r="KR257" s="23"/>
      <c r="KS257" s="23"/>
      <c r="KT257" s="23"/>
      <c r="KU257" s="23"/>
      <c r="KV257" s="23"/>
      <c r="KW257" s="23"/>
      <c r="KX257" s="23"/>
      <c r="KY257" s="23"/>
      <c r="KZ257" s="23"/>
      <c r="LA257" s="23"/>
      <c r="LB257" s="23"/>
      <c r="LC257" s="23"/>
      <c r="LD257" s="23"/>
      <c r="LE257" s="23"/>
      <c r="LF257" s="23"/>
      <c r="LG257" s="23"/>
      <c r="LH257" s="23"/>
      <c r="LI257" s="23"/>
      <c r="LJ257" s="23"/>
      <c r="LK257" s="23"/>
      <c r="LL257" s="23"/>
      <c r="LM257" s="23"/>
      <c r="LN257" s="23"/>
      <c r="LO257" s="23"/>
      <c r="LP257" s="23"/>
      <c r="LQ257" s="23"/>
      <c r="LR257" s="23"/>
      <c r="LS257" s="23"/>
      <c r="LT257" s="23"/>
      <c r="LU257" s="23"/>
      <c r="LV257" s="23"/>
      <c r="LW257" s="23"/>
      <c r="LX257" s="23"/>
      <c r="LY257" s="23"/>
      <c r="LZ257" s="23"/>
      <c r="MA257" s="23"/>
      <c r="MB257" s="23"/>
      <c r="MC257" s="23"/>
      <c r="MD257" s="23"/>
      <c r="ME257" s="23"/>
      <c r="MF257" s="23"/>
      <c r="MG257" s="23"/>
      <c r="MH257" s="23"/>
      <c r="MI257" s="23"/>
      <c r="MJ257" s="23"/>
      <c r="MK257" s="23"/>
      <c r="ML257" s="23"/>
      <c r="MM257" s="23"/>
      <c r="MN257" s="23"/>
      <c r="MO257" s="23"/>
      <c r="MP257" s="23"/>
      <c r="MQ257" s="23"/>
      <c r="MR257" s="23"/>
      <c r="MS257" s="23"/>
      <c r="MT257" s="23"/>
      <c r="MU257" s="23"/>
      <c r="MV257" s="23"/>
      <c r="MW257" s="23"/>
      <c r="MX257" s="23"/>
      <c r="MY257" s="23"/>
      <c r="MZ257" s="23"/>
      <c r="NA257" s="23"/>
      <c r="NB257" s="23"/>
      <c r="NC257" s="23"/>
      <c r="ND257" s="23"/>
      <c r="NE257" s="23"/>
      <c r="NF257" s="23"/>
      <c r="NG257" s="23"/>
      <c r="NH257" s="23"/>
      <c r="NI257" s="23"/>
      <c r="NJ257" s="23"/>
      <c r="NK257" s="23"/>
      <c r="NL257" s="23"/>
      <c r="NM257" s="23"/>
      <c r="NN257" s="23"/>
    </row>
    <row r="258" spans="5:378" ht="15" customHeight="1"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  <c r="IR258" s="23"/>
      <c r="IS258" s="23"/>
      <c r="IT258" s="23"/>
      <c r="IU258" s="23"/>
      <c r="IV258" s="23"/>
      <c r="IW258" s="23"/>
      <c r="IX258" s="23"/>
      <c r="IY258" s="23"/>
      <c r="IZ258" s="23"/>
      <c r="JA258" s="23"/>
      <c r="JB258" s="23"/>
      <c r="JC258" s="23"/>
      <c r="JD258" s="23"/>
      <c r="JE258" s="23"/>
      <c r="JF258" s="23"/>
      <c r="JG258" s="23"/>
      <c r="JH258" s="23"/>
      <c r="JI258" s="23"/>
      <c r="JJ258" s="23"/>
      <c r="JK258" s="23"/>
      <c r="JL258" s="23"/>
      <c r="JM258" s="23"/>
      <c r="JN258" s="23"/>
      <c r="JO258" s="23"/>
      <c r="JP258" s="23"/>
      <c r="JQ258" s="23"/>
      <c r="JR258" s="23"/>
      <c r="JS258" s="23"/>
      <c r="JT258" s="23"/>
      <c r="JU258" s="23"/>
      <c r="JV258" s="23"/>
      <c r="JW258" s="23"/>
      <c r="JX258" s="23"/>
      <c r="JY258" s="23"/>
      <c r="JZ258" s="23"/>
      <c r="KA258" s="23"/>
      <c r="KB258" s="23"/>
      <c r="KC258" s="23"/>
      <c r="KD258" s="23"/>
      <c r="KE258" s="23"/>
      <c r="KF258" s="23"/>
      <c r="KG258" s="23"/>
      <c r="KH258" s="23"/>
      <c r="KI258" s="23"/>
      <c r="KJ258" s="23"/>
      <c r="KK258" s="23"/>
      <c r="KL258" s="23"/>
      <c r="KM258" s="23"/>
      <c r="KN258" s="23"/>
      <c r="KO258" s="23"/>
      <c r="KP258" s="23"/>
      <c r="KQ258" s="23"/>
      <c r="KR258" s="23"/>
      <c r="KS258" s="23"/>
      <c r="KT258" s="23"/>
      <c r="KU258" s="23"/>
      <c r="KV258" s="23"/>
      <c r="KW258" s="23"/>
      <c r="KX258" s="23"/>
      <c r="KY258" s="23"/>
      <c r="KZ258" s="23"/>
      <c r="LA258" s="23"/>
      <c r="LB258" s="23"/>
      <c r="LC258" s="23"/>
      <c r="LD258" s="23"/>
      <c r="LE258" s="23"/>
      <c r="LF258" s="23"/>
      <c r="LG258" s="23"/>
      <c r="LH258" s="23"/>
      <c r="LI258" s="23"/>
      <c r="LJ258" s="23"/>
      <c r="LK258" s="23"/>
      <c r="LL258" s="23"/>
      <c r="LM258" s="23"/>
      <c r="LN258" s="23"/>
      <c r="LO258" s="23"/>
      <c r="LP258" s="23"/>
      <c r="LQ258" s="23"/>
      <c r="LR258" s="23"/>
      <c r="LS258" s="23"/>
      <c r="LT258" s="23"/>
      <c r="LU258" s="23"/>
      <c r="LV258" s="23"/>
      <c r="LW258" s="23"/>
      <c r="LX258" s="23"/>
      <c r="LY258" s="23"/>
      <c r="LZ258" s="23"/>
      <c r="MA258" s="23"/>
      <c r="MB258" s="23"/>
      <c r="MC258" s="23"/>
      <c r="MD258" s="23"/>
      <c r="ME258" s="23"/>
      <c r="MF258" s="23"/>
      <c r="MG258" s="23"/>
      <c r="MH258" s="23"/>
      <c r="MI258" s="23"/>
      <c r="MJ258" s="23"/>
      <c r="MK258" s="23"/>
      <c r="ML258" s="23"/>
      <c r="MM258" s="23"/>
      <c r="MN258" s="23"/>
      <c r="MO258" s="23"/>
      <c r="MP258" s="23"/>
      <c r="MQ258" s="23"/>
      <c r="MR258" s="23"/>
      <c r="MS258" s="23"/>
      <c r="MT258" s="23"/>
      <c r="MU258" s="23"/>
      <c r="MV258" s="23"/>
      <c r="MW258" s="23"/>
      <c r="MX258" s="23"/>
      <c r="MY258" s="23"/>
      <c r="MZ258" s="23"/>
      <c r="NA258" s="23"/>
      <c r="NB258" s="23"/>
      <c r="NC258" s="23"/>
      <c r="ND258" s="23"/>
      <c r="NE258" s="23"/>
      <c r="NF258" s="23"/>
      <c r="NG258" s="23"/>
      <c r="NH258" s="23"/>
      <c r="NI258" s="23"/>
      <c r="NJ258" s="23"/>
      <c r="NK258" s="23"/>
      <c r="NL258" s="23"/>
      <c r="NM258" s="23"/>
      <c r="NN258" s="23"/>
    </row>
    <row r="259" spans="5:378" ht="15" customHeight="1"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  <c r="IR259" s="23"/>
      <c r="IS259" s="23"/>
      <c r="IT259" s="23"/>
      <c r="IU259" s="23"/>
      <c r="IV259" s="23"/>
      <c r="IW259" s="23"/>
      <c r="IX259" s="23"/>
      <c r="IY259" s="23"/>
      <c r="IZ259" s="23"/>
      <c r="JA259" s="23"/>
      <c r="JB259" s="23"/>
      <c r="JC259" s="23"/>
      <c r="JD259" s="23"/>
      <c r="JE259" s="23"/>
      <c r="JF259" s="23"/>
      <c r="JG259" s="23"/>
      <c r="JH259" s="23"/>
      <c r="JI259" s="23"/>
      <c r="JJ259" s="23"/>
      <c r="JK259" s="23"/>
      <c r="JL259" s="23"/>
      <c r="JM259" s="23"/>
      <c r="JN259" s="23"/>
      <c r="JO259" s="23"/>
      <c r="JP259" s="23"/>
      <c r="JQ259" s="23"/>
      <c r="JR259" s="23"/>
      <c r="JS259" s="23"/>
      <c r="JT259" s="23"/>
      <c r="JU259" s="23"/>
      <c r="JV259" s="23"/>
      <c r="JW259" s="23"/>
      <c r="JX259" s="23"/>
      <c r="JY259" s="23"/>
      <c r="JZ259" s="23"/>
      <c r="KA259" s="23"/>
      <c r="KB259" s="23"/>
      <c r="KC259" s="23"/>
      <c r="KD259" s="23"/>
      <c r="KE259" s="23"/>
      <c r="KF259" s="23"/>
      <c r="KG259" s="23"/>
      <c r="KH259" s="23"/>
      <c r="KI259" s="23"/>
      <c r="KJ259" s="23"/>
      <c r="KK259" s="23"/>
      <c r="KL259" s="23"/>
      <c r="KM259" s="23"/>
      <c r="KN259" s="23"/>
      <c r="KO259" s="23"/>
      <c r="KP259" s="23"/>
      <c r="KQ259" s="23"/>
      <c r="KR259" s="23"/>
      <c r="KS259" s="23"/>
      <c r="KT259" s="23"/>
      <c r="KU259" s="23"/>
      <c r="KV259" s="23"/>
      <c r="KW259" s="23"/>
      <c r="KX259" s="23"/>
      <c r="KY259" s="23"/>
      <c r="KZ259" s="23"/>
      <c r="LA259" s="23"/>
      <c r="LB259" s="23"/>
      <c r="LC259" s="23"/>
      <c r="LD259" s="23"/>
      <c r="LE259" s="23"/>
      <c r="LF259" s="23"/>
      <c r="LG259" s="23"/>
      <c r="LH259" s="23"/>
      <c r="LI259" s="23"/>
      <c r="LJ259" s="23"/>
      <c r="LK259" s="23"/>
      <c r="LL259" s="23"/>
      <c r="LM259" s="23"/>
      <c r="LN259" s="23"/>
      <c r="LO259" s="23"/>
      <c r="LP259" s="23"/>
      <c r="LQ259" s="23"/>
      <c r="LR259" s="23"/>
      <c r="LS259" s="23"/>
      <c r="LT259" s="23"/>
      <c r="LU259" s="23"/>
      <c r="LV259" s="23"/>
      <c r="LW259" s="23"/>
      <c r="LX259" s="23"/>
      <c r="LY259" s="23"/>
      <c r="LZ259" s="23"/>
      <c r="MA259" s="23"/>
      <c r="MB259" s="23"/>
      <c r="MC259" s="23"/>
      <c r="MD259" s="23"/>
      <c r="ME259" s="23"/>
      <c r="MF259" s="23"/>
      <c r="MG259" s="23"/>
      <c r="MH259" s="23"/>
      <c r="MI259" s="23"/>
      <c r="MJ259" s="23"/>
      <c r="MK259" s="23"/>
      <c r="ML259" s="23"/>
      <c r="MM259" s="23"/>
      <c r="MN259" s="23"/>
      <c r="MO259" s="23"/>
      <c r="MP259" s="23"/>
      <c r="MQ259" s="23"/>
      <c r="MR259" s="23"/>
      <c r="MS259" s="23"/>
      <c r="MT259" s="23"/>
      <c r="MU259" s="23"/>
      <c r="MV259" s="23"/>
      <c r="MW259" s="23"/>
      <c r="MX259" s="23"/>
      <c r="MY259" s="23"/>
      <c r="MZ259" s="23"/>
      <c r="NA259" s="23"/>
      <c r="NB259" s="23"/>
      <c r="NC259" s="23"/>
      <c r="ND259" s="23"/>
      <c r="NE259" s="23"/>
      <c r="NF259" s="23"/>
      <c r="NG259" s="23"/>
      <c r="NH259" s="23"/>
      <c r="NI259" s="23"/>
      <c r="NJ259" s="23"/>
      <c r="NK259" s="23"/>
      <c r="NL259" s="23"/>
      <c r="NM259" s="23"/>
      <c r="NN259" s="23"/>
    </row>
    <row r="260" spans="5:378" ht="15" customHeight="1"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  <c r="IR260" s="23"/>
      <c r="IS260" s="23"/>
      <c r="IT260" s="23"/>
      <c r="IU260" s="23"/>
      <c r="IV260" s="23"/>
      <c r="IW260" s="23"/>
      <c r="IX260" s="23"/>
      <c r="IY260" s="23"/>
      <c r="IZ260" s="23"/>
      <c r="JA260" s="23"/>
      <c r="JB260" s="23"/>
      <c r="JC260" s="23"/>
      <c r="JD260" s="23"/>
      <c r="JE260" s="23"/>
      <c r="JF260" s="23"/>
      <c r="JG260" s="23"/>
      <c r="JH260" s="23"/>
      <c r="JI260" s="23"/>
      <c r="JJ260" s="23"/>
      <c r="JK260" s="23"/>
      <c r="JL260" s="23"/>
      <c r="JM260" s="23"/>
      <c r="JN260" s="23"/>
      <c r="JO260" s="23"/>
      <c r="JP260" s="23"/>
      <c r="JQ260" s="23"/>
      <c r="JR260" s="23"/>
      <c r="JS260" s="23"/>
      <c r="JT260" s="23"/>
      <c r="JU260" s="23"/>
      <c r="JV260" s="23"/>
      <c r="JW260" s="23"/>
      <c r="JX260" s="23"/>
      <c r="JY260" s="23"/>
      <c r="JZ260" s="23"/>
      <c r="KA260" s="23"/>
      <c r="KB260" s="23"/>
      <c r="KC260" s="23"/>
      <c r="KD260" s="23"/>
      <c r="KE260" s="23"/>
      <c r="KF260" s="23"/>
      <c r="KG260" s="23"/>
      <c r="KH260" s="23"/>
      <c r="KI260" s="23"/>
      <c r="KJ260" s="23"/>
      <c r="KK260" s="23"/>
      <c r="KL260" s="23"/>
      <c r="KM260" s="23"/>
      <c r="KN260" s="23"/>
      <c r="KO260" s="23"/>
      <c r="KP260" s="23"/>
      <c r="KQ260" s="23"/>
      <c r="KR260" s="23"/>
      <c r="KS260" s="23"/>
      <c r="KT260" s="23"/>
      <c r="KU260" s="23"/>
      <c r="KV260" s="23"/>
      <c r="KW260" s="23"/>
      <c r="KX260" s="23"/>
      <c r="KY260" s="23"/>
      <c r="KZ260" s="23"/>
      <c r="LA260" s="23"/>
      <c r="LB260" s="23"/>
      <c r="LC260" s="23"/>
      <c r="LD260" s="23"/>
      <c r="LE260" s="23"/>
      <c r="LF260" s="23"/>
      <c r="LG260" s="23"/>
      <c r="LH260" s="23"/>
      <c r="LI260" s="23"/>
      <c r="LJ260" s="23"/>
      <c r="LK260" s="23"/>
      <c r="LL260" s="23"/>
      <c r="LM260" s="23"/>
      <c r="LN260" s="23"/>
      <c r="LO260" s="23"/>
      <c r="LP260" s="23"/>
      <c r="LQ260" s="23"/>
      <c r="LR260" s="23"/>
      <c r="LS260" s="23"/>
      <c r="LT260" s="23"/>
      <c r="LU260" s="23"/>
      <c r="LV260" s="23"/>
      <c r="LW260" s="23"/>
      <c r="LX260" s="23"/>
      <c r="LY260" s="23"/>
      <c r="LZ260" s="23"/>
      <c r="MA260" s="23"/>
      <c r="MB260" s="23"/>
      <c r="MC260" s="23"/>
      <c r="MD260" s="23"/>
      <c r="ME260" s="23"/>
      <c r="MF260" s="23"/>
      <c r="MG260" s="23"/>
      <c r="MH260" s="23"/>
      <c r="MI260" s="23"/>
      <c r="MJ260" s="23"/>
      <c r="MK260" s="23"/>
      <c r="ML260" s="23"/>
      <c r="MM260" s="23"/>
      <c r="MN260" s="23"/>
      <c r="MO260" s="23"/>
      <c r="MP260" s="23"/>
      <c r="MQ260" s="23"/>
      <c r="MR260" s="23"/>
      <c r="MS260" s="23"/>
      <c r="MT260" s="23"/>
      <c r="MU260" s="23"/>
      <c r="MV260" s="23"/>
      <c r="MW260" s="23"/>
      <c r="MX260" s="23"/>
      <c r="MY260" s="23"/>
      <c r="MZ260" s="23"/>
      <c r="NA260" s="23"/>
      <c r="NB260" s="23"/>
      <c r="NC260" s="23"/>
      <c r="ND260" s="23"/>
      <c r="NE260" s="23"/>
      <c r="NF260" s="23"/>
      <c r="NG260" s="23"/>
      <c r="NH260" s="23"/>
      <c r="NI260" s="23"/>
      <c r="NJ260" s="23"/>
      <c r="NK260" s="23"/>
      <c r="NL260" s="23"/>
      <c r="NM260" s="23"/>
      <c r="NN260" s="23"/>
    </row>
    <row r="261" spans="5:378" ht="15" customHeight="1"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  <c r="IR261" s="23"/>
      <c r="IS261" s="23"/>
      <c r="IT261" s="23"/>
      <c r="IU261" s="23"/>
      <c r="IV261" s="23"/>
      <c r="IW261" s="23"/>
      <c r="IX261" s="23"/>
      <c r="IY261" s="23"/>
      <c r="IZ261" s="23"/>
      <c r="JA261" s="23"/>
      <c r="JB261" s="23"/>
      <c r="JC261" s="23"/>
      <c r="JD261" s="23"/>
      <c r="JE261" s="23"/>
      <c r="JF261" s="23"/>
      <c r="JG261" s="23"/>
      <c r="JH261" s="23"/>
      <c r="JI261" s="23"/>
      <c r="JJ261" s="23"/>
      <c r="JK261" s="23"/>
      <c r="JL261" s="23"/>
      <c r="JM261" s="23"/>
      <c r="JN261" s="23"/>
      <c r="JO261" s="23"/>
      <c r="JP261" s="23"/>
      <c r="JQ261" s="23"/>
      <c r="JR261" s="23"/>
      <c r="JS261" s="23"/>
      <c r="JT261" s="23"/>
      <c r="JU261" s="23"/>
      <c r="JV261" s="23"/>
      <c r="JW261" s="23"/>
      <c r="JX261" s="23"/>
      <c r="JY261" s="23"/>
      <c r="JZ261" s="23"/>
      <c r="KA261" s="23"/>
      <c r="KB261" s="23"/>
      <c r="KC261" s="23"/>
      <c r="KD261" s="23"/>
      <c r="KE261" s="23"/>
      <c r="KF261" s="23"/>
      <c r="KG261" s="23"/>
      <c r="KH261" s="23"/>
      <c r="KI261" s="23"/>
      <c r="KJ261" s="23"/>
      <c r="KK261" s="23"/>
      <c r="KL261" s="23"/>
      <c r="KM261" s="23"/>
      <c r="KN261" s="23"/>
      <c r="KO261" s="23"/>
      <c r="KP261" s="23"/>
      <c r="KQ261" s="23"/>
      <c r="KR261" s="23"/>
      <c r="KS261" s="23"/>
      <c r="KT261" s="23"/>
      <c r="KU261" s="23"/>
      <c r="KV261" s="23"/>
      <c r="KW261" s="23"/>
      <c r="KX261" s="23"/>
      <c r="KY261" s="23"/>
      <c r="KZ261" s="23"/>
      <c r="LA261" s="23"/>
      <c r="LB261" s="23"/>
      <c r="LC261" s="23"/>
      <c r="LD261" s="23"/>
      <c r="LE261" s="23"/>
      <c r="LF261" s="23"/>
      <c r="LG261" s="23"/>
      <c r="LH261" s="23"/>
      <c r="LI261" s="23"/>
      <c r="LJ261" s="23"/>
      <c r="LK261" s="23"/>
      <c r="LL261" s="23"/>
      <c r="LM261" s="23"/>
      <c r="LN261" s="23"/>
      <c r="LO261" s="23"/>
      <c r="LP261" s="23"/>
      <c r="LQ261" s="23"/>
      <c r="LR261" s="23"/>
      <c r="LS261" s="23"/>
      <c r="LT261" s="23"/>
      <c r="LU261" s="23"/>
      <c r="LV261" s="23"/>
      <c r="LW261" s="23"/>
      <c r="LX261" s="23"/>
      <c r="LY261" s="23"/>
      <c r="LZ261" s="23"/>
      <c r="MA261" s="23"/>
      <c r="MB261" s="23"/>
      <c r="MC261" s="23"/>
      <c r="MD261" s="23"/>
      <c r="ME261" s="23"/>
      <c r="MF261" s="23"/>
      <c r="MG261" s="23"/>
      <c r="MH261" s="23"/>
      <c r="MI261" s="23"/>
      <c r="MJ261" s="23"/>
      <c r="MK261" s="23"/>
      <c r="ML261" s="23"/>
      <c r="MM261" s="23"/>
      <c r="MN261" s="23"/>
      <c r="MO261" s="23"/>
      <c r="MP261" s="23"/>
      <c r="MQ261" s="23"/>
      <c r="MR261" s="23"/>
      <c r="MS261" s="23"/>
      <c r="MT261" s="23"/>
      <c r="MU261" s="23"/>
      <c r="MV261" s="23"/>
      <c r="MW261" s="23"/>
      <c r="MX261" s="23"/>
      <c r="MY261" s="23"/>
      <c r="MZ261" s="23"/>
      <c r="NA261" s="23"/>
      <c r="NB261" s="23"/>
      <c r="NC261" s="23"/>
      <c r="ND261" s="23"/>
      <c r="NE261" s="23"/>
      <c r="NF261" s="23"/>
      <c r="NG261" s="23"/>
      <c r="NH261" s="23"/>
      <c r="NI261" s="23"/>
      <c r="NJ261" s="23"/>
      <c r="NK261" s="23"/>
      <c r="NL261" s="23"/>
      <c r="NM261" s="23"/>
      <c r="NN261" s="23"/>
    </row>
    <row r="262" spans="5:378" ht="15" customHeight="1"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  <c r="IR262" s="23"/>
      <c r="IS262" s="23"/>
      <c r="IT262" s="23"/>
      <c r="IU262" s="23"/>
      <c r="IV262" s="23"/>
      <c r="IW262" s="23"/>
      <c r="IX262" s="23"/>
      <c r="IY262" s="23"/>
      <c r="IZ262" s="23"/>
      <c r="JA262" s="23"/>
      <c r="JB262" s="23"/>
      <c r="JC262" s="23"/>
      <c r="JD262" s="23"/>
      <c r="JE262" s="23"/>
      <c r="JF262" s="23"/>
      <c r="JG262" s="23"/>
      <c r="JH262" s="23"/>
      <c r="JI262" s="23"/>
      <c r="JJ262" s="23"/>
      <c r="JK262" s="23"/>
      <c r="JL262" s="23"/>
      <c r="JM262" s="23"/>
      <c r="JN262" s="23"/>
      <c r="JO262" s="23"/>
      <c r="JP262" s="23"/>
      <c r="JQ262" s="23"/>
      <c r="JR262" s="23"/>
      <c r="JS262" s="23"/>
      <c r="JT262" s="23"/>
      <c r="JU262" s="23"/>
      <c r="JV262" s="23"/>
      <c r="JW262" s="23"/>
      <c r="JX262" s="23"/>
      <c r="JY262" s="23"/>
      <c r="JZ262" s="23"/>
      <c r="KA262" s="23"/>
      <c r="KB262" s="23"/>
      <c r="KC262" s="23"/>
      <c r="KD262" s="23"/>
      <c r="KE262" s="23"/>
      <c r="KF262" s="23"/>
      <c r="KG262" s="23"/>
      <c r="KH262" s="23"/>
      <c r="KI262" s="23"/>
      <c r="KJ262" s="23"/>
      <c r="KK262" s="23"/>
      <c r="KL262" s="23"/>
      <c r="KM262" s="23"/>
      <c r="KN262" s="23"/>
      <c r="KO262" s="23"/>
      <c r="KP262" s="23"/>
      <c r="KQ262" s="23"/>
      <c r="KR262" s="23"/>
      <c r="KS262" s="23"/>
      <c r="KT262" s="23"/>
      <c r="KU262" s="23"/>
      <c r="KV262" s="23"/>
      <c r="KW262" s="23"/>
      <c r="KX262" s="23"/>
      <c r="KY262" s="23"/>
      <c r="KZ262" s="23"/>
      <c r="LA262" s="23"/>
      <c r="LB262" s="23"/>
      <c r="LC262" s="23"/>
      <c r="LD262" s="23"/>
      <c r="LE262" s="23"/>
      <c r="LF262" s="23"/>
      <c r="LG262" s="23"/>
      <c r="LH262" s="23"/>
      <c r="LI262" s="23"/>
      <c r="LJ262" s="23"/>
      <c r="LK262" s="23"/>
      <c r="LL262" s="23"/>
      <c r="LM262" s="23"/>
      <c r="LN262" s="23"/>
      <c r="LO262" s="23"/>
      <c r="LP262" s="23"/>
      <c r="LQ262" s="23"/>
      <c r="LR262" s="23"/>
      <c r="LS262" s="23"/>
      <c r="LT262" s="23"/>
      <c r="LU262" s="23"/>
      <c r="LV262" s="23"/>
      <c r="LW262" s="23"/>
      <c r="LX262" s="23"/>
      <c r="LY262" s="23"/>
      <c r="LZ262" s="23"/>
      <c r="MA262" s="23"/>
      <c r="MB262" s="23"/>
      <c r="MC262" s="23"/>
      <c r="MD262" s="23"/>
      <c r="ME262" s="23"/>
      <c r="MF262" s="23"/>
      <c r="MG262" s="23"/>
      <c r="MH262" s="23"/>
      <c r="MI262" s="23"/>
      <c r="MJ262" s="23"/>
      <c r="MK262" s="23"/>
      <c r="ML262" s="23"/>
      <c r="MM262" s="23"/>
      <c r="MN262" s="23"/>
      <c r="MO262" s="23"/>
      <c r="MP262" s="23"/>
      <c r="MQ262" s="23"/>
      <c r="MR262" s="23"/>
      <c r="MS262" s="23"/>
      <c r="MT262" s="23"/>
      <c r="MU262" s="23"/>
      <c r="MV262" s="23"/>
      <c r="MW262" s="23"/>
      <c r="MX262" s="23"/>
      <c r="MY262" s="23"/>
      <c r="MZ262" s="23"/>
      <c r="NA262" s="23"/>
      <c r="NB262" s="23"/>
      <c r="NC262" s="23"/>
      <c r="ND262" s="23"/>
      <c r="NE262" s="23"/>
      <c r="NF262" s="23"/>
      <c r="NG262" s="23"/>
      <c r="NH262" s="23"/>
      <c r="NI262" s="23"/>
      <c r="NJ262" s="23"/>
      <c r="NK262" s="23"/>
      <c r="NL262" s="23"/>
      <c r="NM262" s="23"/>
      <c r="NN262" s="23"/>
    </row>
    <row r="263" spans="5:378" ht="15" customHeight="1"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  <c r="IR263" s="23"/>
      <c r="IS263" s="23"/>
      <c r="IT263" s="23"/>
      <c r="IU263" s="23"/>
      <c r="IV263" s="23"/>
      <c r="IW263" s="23"/>
      <c r="IX263" s="23"/>
      <c r="IY263" s="23"/>
      <c r="IZ263" s="23"/>
      <c r="JA263" s="23"/>
      <c r="JB263" s="23"/>
      <c r="JC263" s="23"/>
      <c r="JD263" s="23"/>
      <c r="JE263" s="23"/>
      <c r="JF263" s="23"/>
      <c r="JG263" s="23"/>
      <c r="JH263" s="23"/>
      <c r="JI263" s="23"/>
      <c r="JJ263" s="23"/>
      <c r="JK263" s="23"/>
      <c r="JL263" s="23"/>
      <c r="JM263" s="23"/>
      <c r="JN263" s="23"/>
      <c r="JO263" s="23"/>
      <c r="JP263" s="23"/>
      <c r="JQ263" s="23"/>
      <c r="JR263" s="23"/>
      <c r="JS263" s="23"/>
      <c r="JT263" s="23"/>
      <c r="JU263" s="23"/>
      <c r="JV263" s="23"/>
      <c r="JW263" s="23"/>
      <c r="JX263" s="23"/>
      <c r="JY263" s="23"/>
      <c r="JZ263" s="23"/>
      <c r="KA263" s="23"/>
      <c r="KB263" s="23"/>
      <c r="KC263" s="23"/>
      <c r="KD263" s="23"/>
      <c r="KE263" s="23"/>
      <c r="KF263" s="23"/>
      <c r="KG263" s="23"/>
      <c r="KH263" s="23"/>
      <c r="KI263" s="23"/>
      <c r="KJ263" s="23"/>
      <c r="KK263" s="23"/>
      <c r="KL263" s="23"/>
      <c r="KM263" s="23"/>
      <c r="KN263" s="23"/>
      <c r="KO263" s="23"/>
      <c r="KP263" s="23"/>
      <c r="KQ263" s="23"/>
      <c r="KR263" s="23"/>
      <c r="KS263" s="23"/>
      <c r="KT263" s="23"/>
      <c r="KU263" s="23"/>
      <c r="KV263" s="23"/>
      <c r="KW263" s="23"/>
      <c r="KX263" s="23"/>
      <c r="KY263" s="23"/>
      <c r="KZ263" s="23"/>
      <c r="LA263" s="23"/>
      <c r="LB263" s="23"/>
      <c r="LC263" s="23"/>
      <c r="LD263" s="23"/>
      <c r="LE263" s="23"/>
      <c r="LF263" s="23"/>
      <c r="LG263" s="23"/>
      <c r="LH263" s="23"/>
      <c r="LI263" s="23"/>
      <c r="LJ263" s="23"/>
      <c r="LK263" s="23"/>
      <c r="LL263" s="23"/>
      <c r="LM263" s="23"/>
      <c r="LN263" s="23"/>
      <c r="LO263" s="23"/>
      <c r="LP263" s="23"/>
      <c r="LQ263" s="23"/>
      <c r="LR263" s="23"/>
      <c r="LS263" s="23"/>
      <c r="LT263" s="23"/>
      <c r="LU263" s="23"/>
      <c r="LV263" s="23"/>
      <c r="LW263" s="23"/>
      <c r="LX263" s="23"/>
      <c r="LY263" s="23"/>
      <c r="LZ263" s="23"/>
      <c r="MA263" s="23"/>
      <c r="MB263" s="23"/>
      <c r="MC263" s="23"/>
      <c r="MD263" s="23"/>
      <c r="ME263" s="23"/>
      <c r="MF263" s="23"/>
      <c r="MG263" s="23"/>
      <c r="MH263" s="23"/>
      <c r="MI263" s="23"/>
      <c r="MJ263" s="23"/>
      <c r="MK263" s="23"/>
      <c r="ML263" s="23"/>
      <c r="MM263" s="23"/>
      <c r="MN263" s="23"/>
      <c r="MO263" s="23"/>
      <c r="MP263" s="23"/>
      <c r="MQ263" s="23"/>
      <c r="MR263" s="23"/>
      <c r="MS263" s="23"/>
      <c r="MT263" s="23"/>
      <c r="MU263" s="23"/>
      <c r="MV263" s="23"/>
      <c r="MW263" s="23"/>
      <c r="MX263" s="23"/>
      <c r="MY263" s="23"/>
      <c r="MZ263" s="23"/>
      <c r="NA263" s="23"/>
      <c r="NB263" s="23"/>
      <c r="NC263" s="23"/>
      <c r="ND263" s="23"/>
      <c r="NE263" s="23"/>
      <c r="NF263" s="23"/>
      <c r="NG263" s="23"/>
      <c r="NH263" s="23"/>
      <c r="NI263" s="23"/>
      <c r="NJ263" s="23"/>
      <c r="NK263" s="23"/>
      <c r="NL263" s="23"/>
      <c r="NM263" s="23"/>
      <c r="NN263" s="23"/>
    </row>
    <row r="264" spans="5:378" ht="15" customHeight="1"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  <c r="IR264" s="23"/>
      <c r="IS264" s="23"/>
      <c r="IT264" s="23"/>
      <c r="IU264" s="23"/>
      <c r="IV264" s="23"/>
      <c r="IW264" s="23"/>
      <c r="IX264" s="23"/>
      <c r="IY264" s="23"/>
      <c r="IZ264" s="23"/>
      <c r="JA264" s="23"/>
      <c r="JB264" s="23"/>
      <c r="JC264" s="23"/>
      <c r="JD264" s="23"/>
      <c r="JE264" s="23"/>
      <c r="JF264" s="23"/>
      <c r="JG264" s="23"/>
      <c r="JH264" s="23"/>
      <c r="JI264" s="23"/>
      <c r="JJ264" s="23"/>
      <c r="JK264" s="23"/>
      <c r="JL264" s="23"/>
      <c r="JM264" s="23"/>
      <c r="JN264" s="23"/>
      <c r="JO264" s="23"/>
      <c r="JP264" s="23"/>
      <c r="JQ264" s="23"/>
      <c r="JR264" s="23"/>
      <c r="JS264" s="23"/>
      <c r="JT264" s="23"/>
      <c r="JU264" s="23"/>
      <c r="JV264" s="23"/>
      <c r="JW264" s="23"/>
      <c r="JX264" s="23"/>
      <c r="JY264" s="23"/>
      <c r="JZ264" s="23"/>
      <c r="KA264" s="23"/>
      <c r="KB264" s="23"/>
      <c r="KC264" s="23"/>
      <c r="KD264" s="23"/>
      <c r="KE264" s="23"/>
      <c r="KF264" s="23"/>
      <c r="KG264" s="23"/>
      <c r="KH264" s="23"/>
      <c r="KI264" s="23"/>
      <c r="KJ264" s="23"/>
      <c r="KK264" s="23"/>
      <c r="KL264" s="23"/>
      <c r="KM264" s="23"/>
      <c r="KN264" s="23"/>
      <c r="KO264" s="23"/>
      <c r="KP264" s="23"/>
      <c r="KQ264" s="23"/>
      <c r="KR264" s="23"/>
      <c r="KS264" s="23"/>
      <c r="KT264" s="23"/>
      <c r="KU264" s="23"/>
      <c r="KV264" s="23"/>
      <c r="KW264" s="23"/>
      <c r="KX264" s="23"/>
      <c r="KY264" s="23"/>
      <c r="KZ264" s="23"/>
      <c r="LA264" s="23"/>
      <c r="LB264" s="23"/>
      <c r="LC264" s="23"/>
      <c r="LD264" s="23"/>
      <c r="LE264" s="23"/>
      <c r="LF264" s="23"/>
      <c r="LG264" s="23"/>
      <c r="LH264" s="23"/>
      <c r="LI264" s="23"/>
      <c r="LJ264" s="23"/>
      <c r="LK264" s="23"/>
      <c r="LL264" s="23"/>
      <c r="LM264" s="23"/>
      <c r="LN264" s="23"/>
      <c r="LO264" s="23"/>
      <c r="LP264" s="23"/>
      <c r="LQ264" s="23"/>
      <c r="LR264" s="23"/>
      <c r="LS264" s="23"/>
      <c r="LT264" s="23"/>
      <c r="LU264" s="23"/>
      <c r="LV264" s="23"/>
      <c r="LW264" s="23"/>
      <c r="LX264" s="23"/>
      <c r="LY264" s="23"/>
      <c r="LZ264" s="23"/>
      <c r="MA264" s="23"/>
      <c r="MB264" s="23"/>
      <c r="MC264" s="23"/>
      <c r="MD264" s="23"/>
      <c r="ME264" s="23"/>
      <c r="MF264" s="23"/>
      <c r="MG264" s="23"/>
      <c r="MH264" s="23"/>
      <c r="MI264" s="23"/>
      <c r="MJ264" s="23"/>
      <c r="MK264" s="23"/>
      <c r="ML264" s="23"/>
      <c r="MM264" s="23"/>
      <c r="MN264" s="23"/>
      <c r="MO264" s="23"/>
      <c r="MP264" s="23"/>
      <c r="MQ264" s="23"/>
      <c r="MR264" s="23"/>
      <c r="MS264" s="23"/>
      <c r="MT264" s="23"/>
      <c r="MU264" s="23"/>
      <c r="MV264" s="23"/>
      <c r="MW264" s="23"/>
      <c r="MX264" s="23"/>
      <c r="MY264" s="23"/>
      <c r="MZ264" s="23"/>
      <c r="NA264" s="23"/>
      <c r="NB264" s="23"/>
      <c r="NC264" s="23"/>
      <c r="ND264" s="23"/>
      <c r="NE264" s="23"/>
      <c r="NF264" s="23"/>
      <c r="NG264" s="23"/>
      <c r="NH264" s="23"/>
      <c r="NI264" s="23"/>
      <c r="NJ264" s="23"/>
      <c r="NK264" s="23"/>
      <c r="NL264" s="23"/>
      <c r="NM264" s="23"/>
      <c r="NN264" s="23"/>
    </row>
    <row r="265" spans="5:378" ht="15" customHeight="1"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  <c r="IR265" s="23"/>
      <c r="IS265" s="23"/>
      <c r="IT265" s="23"/>
      <c r="IU265" s="23"/>
      <c r="IV265" s="23"/>
      <c r="IW265" s="23"/>
      <c r="IX265" s="23"/>
      <c r="IY265" s="23"/>
      <c r="IZ265" s="23"/>
      <c r="JA265" s="23"/>
      <c r="JB265" s="23"/>
      <c r="JC265" s="23"/>
      <c r="JD265" s="23"/>
      <c r="JE265" s="23"/>
      <c r="JF265" s="23"/>
      <c r="JG265" s="23"/>
      <c r="JH265" s="23"/>
      <c r="JI265" s="23"/>
      <c r="JJ265" s="23"/>
      <c r="JK265" s="23"/>
      <c r="JL265" s="23"/>
      <c r="JM265" s="23"/>
      <c r="JN265" s="23"/>
      <c r="JO265" s="23"/>
      <c r="JP265" s="23"/>
      <c r="JQ265" s="23"/>
      <c r="JR265" s="23"/>
      <c r="JS265" s="23"/>
      <c r="JT265" s="23"/>
      <c r="JU265" s="23"/>
      <c r="JV265" s="23"/>
      <c r="JW265" s="23"/>
      <c r="JX265" s="23"/>
      <c r="JY265" s="23"/>
      <c r="JZ265" s="23"/>
      <c r="KA265" s="23"/>
      <c r="KB265" s="23"/>
      <c r="KC265" s="23"/>
      <c r="KD265" s="23"/>
      <c r="KE265" s="23"/>
      <c r="KF265" s="23"/>
      <c r="KG265" s="23"/>
      <c r="KH265" s="23"/>
      <c r="KI265" s="23"/>
      <c r="KJ265" s="23"/>
      <c r="KK265" s="23"/>
      <c r="KL265" s="23"/>
      <c r="KM265" s="23"/>
      <c r="KN265" s="23"/>
      <c r="KO265" s="23"/>
      <c r="KP265" s="23"/>
      <c r="KQ265" s="23"/>
      <c r="KR265" s="23"/>
      <c r="KS265" s="23"/>
      <c r="KT265" s="23"/>
      <c r="KU265" s="23"/>
      <c r="KV265" s="23"/>
      <c r="KW265" s="23"/>
      <c r="KX265" s="23"/>
      <c r="KY265" s="23"/>
      <c r="KZ265" s="23"/>
      <c r="LA265" s="23"/>
      <c r="LB265" s="23"/>
      <c r="LC265" s="23"/>
      <c r="LD265" s="23"/>
      <c r="LE265" s="23"/>
      <c r="LF265" s="23"/>
      <c r="LG265" s="23"/>
      <c r="LH265" s="23"/>
      <c r="LI265" s="23"/>
      <c r="LJ265" s="23"/>
      <c r="LK265" s="23"/>
      <c r="LL265" s="23"/>
      <c r="LM265" s="23"/>
      <c r="LN265" s="23"/>
      <c r="LO265" s="23"/>
      <c r="LP265" s="23"/>
      <c r="LQ265" s="23"/>
      <c r="LR265" s="23"/>
      <c r="LS265" s="23"/>
      <c r="LT265" s="23"/>
      <c r="LU265" s="23"/>
      <c r="LV265" s="23"/>
      <c r="LW265" s="23"/>
      <c r="LX265" s="23"/>
      <c r="LY265" s="23"/>
      <c r="LZ265" s="23"/>
      <c r="MA265" s="23"/>
      <c r="MB265" s="23"/>
      <c r="MC265" s="23"/>
      <c r="MD265" s="23"/>
      <c r="ME265" s="23"/>
      <c r="MF265" s="23"/>
      <c r="MG265" s="23"/>
      <c r="MH265" s="23"/>
      <c r="MI265" s="23"/>
      <c r="MJ265" s="23"/>
      <c r="MK265" s="23"/>
      <c r="ML265" s="23"/>
      <c r="MM265" s="23"/>
      <c r="MN265" s="23"/>
      <c r="MO265" s="23"/>
      <c r="MP265" s="23"/>
      <c r="MQ265" s="23"/>
      <c r="MR265" s="23"/>
      <c r="MS265" s="23"/>
      <c r="MT265" s="23"/>
      <c r="MU265" s="23"/>
      <c r="MV265" s="23"/>
      <c r="MW265" s="23"/>
      <c r="MX265" s="23"/>
      <c r="MY265" s="23"/>
      <c r="MZ265" s="23"/>
      <c r="NA265" s="23"/>
      <c r="NB265" s="23"/>
      <c r="NC265" s="23"/>
      <c r="ND265" s="23"/>
      <c r="NE265" s="23"/>
      <c r="NF265" s="23"/>
      <c r="NG265" s="23"/>
      <c r="NH265" s="23"/>
      <c r="NI265" s="23"/>
      <c r="NJ265" s="23"/>
      <c r="NK265" s="23"/>
      <c r="NL265" s="23"/>
      <c r="NM265" s="23"/>
      <c r="NN265" s="23"/>
    </row>
    <row r="266" spans="5:378" ht="15" customHeight="1"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  <c r="IR266" s="23"/>
      <c r="IS266" s="23"/>
      <c r="IT266" s="23"/>
      <c r="IU266" s="23"/>
      <c r="IV266" s="23"/>
      <c r="IW266" s="23"/>
      <c r="IX266" s="23"/>
      <c r="IY266" s="23"/>
      <c r="IZ266" s="23"/>
      <c r="JA266" s="23"/>
      <c r="JB266" s="23"/>
      <c r="JC266" s="23"/>
      <c r="JD266" s="23"/>
      <c r="JE266" s="23"/>
      <c r="JF266" s="23"/>
      <c r="JG266" s="23"/>
      <c r="JH266" s="23"/>
      <c r="JI266" s="23"/>
      <c r="JJ266" s="23"/>
      <c r="JK266" s="23"/>
      <c r="JL266" s="23"/>
      <c r="JM266" s="23"/>
      <c r="JN266" s="23"/>
      <c r="JO266" s="23"/>
      <c r="JP266" s="23"/>
      <c r="JQ266" s="23"/>
      <c r="JR266" s="23"/>
      <c r="JS266" s="23"/>
      <c r="JT266" s="23"/>
      <c r="JU266" s="23"/>
      <c r="JV266" s="23"/>
      <c r="JW266" s="23"/>
      <c r="JX266" s="23"/>
      <c r="JY266" s="23"/>
      <c r="JZ266" s="23"/>
      <c r="KA266" s="23"/>
      <c r="KB266" s="23"/>
      <c r="KC266" s="23"/>
      <c r="KD266" s="23"/>
      <c r="KE266" s="23"/>
      <c r="KF266" s="23"/>
      <c r="KG266" s="23"/>
      <c r="KH266" s="23"/>
      <c r="KI266" s="23"/>
      <c r="KJ266" s="23"/>
      <c r="KK266" s="23"/>
      <c r="KL266" s="23"/>
      <c r="KM266" s="23"/>
      <c r="KN266" s="23"/>
      <c r="KO266" s="23"/>
      <c r="KP266" s="23"/>
      <c r="KQ266" s="23"/>
      <c r="KR266" s="23"/>
      <c r="KS266" s="23"/>
      <c r="KT266" s="23"/>
      <c r="KU266" s="23"/>
      <c r="KV266" s="23"/>
      <c r="KW266" s="23"/>
      <c r="KX266" s="23"/>
      <c r="KY266" s="23"/>
      <c r="KZ266" s="23"/>
      <c r="LA266" s="23"/>
      <c r="LB266" s="23"/>
      <c r="LC266" s="23"/>
      <c r="LD266" s="23"/>
      <c r="LE266" s="23"/>
      <c r="LF266" s="23"/>
      <c r="LG266" s="23"/>
      <c r="LH266" s="23"/>
      <c r="LI266" s="23"/>
      <c r="LJ266" s="23"/>
      <c r="LK266" s="23"/>
      <c r="LL266" s="23"/>
      <c r="LM266" s="23"/>
      <c r="LN266" s="23"/>
      <c r="LO266" s="23"/>
      <c r="LP266" s="23"/>
      <c r="LQ266" s="23"/>
      <c r="LR266" s="23"/>
      <c r="LS266" s="23"/>
      <c r="LT266" s="23"/>
      <c r="LU266" s="23"/>
      <c r="LV266" s="23"/>
      <c r="LW266" s="23"/>
      <c r="LX266" s="23"/>
      <c r="LY266" s="23"/>
      <c r="LZ266" s="23"/>
      <c r="MA266" s="23"/>
      <c r="MB266" s="23"/>
      <c r="MC266" s="23"/>
      <c r="MD266" s="23"/>
      <c r="ME266" s="23"/>
      <c r="MF266" s="23"/>
      <c r="MG266" s="23"/>
      <c r="MH266" s="23"/>
      <c r="MI266" s="23"/>
      <c r="MJ266" s="23"/>
      <c r="MK266" s="23"/>
      <c r="ML266" s="23"/>
      <c r="MM266" s="23"/>
      <c r="MN266" s="23"/>
      <c r="MO266" s="23"/>
      <c r="MP266" s="23"/>
      <c r="MQ266" s="23"/>
      <c r="MR266" s="23"/>
      <c r="MS266" s="23"/>
      <c r="MT266" s="23"/>
      <c r="MU266" s="23"/>
      <c r="MV266" s="23"/>
      <c r="MW266" s="23"/>
      <c r="MX266" s="23"/>
      <c r="MY266" s="23"/>
      <c r="MZ266" s="23"/>
      <c r="NA266" s="23"/>
      <c r="NB266" s="23"/>
      <c r="NC266" s="23"/>
      <c r="ND266" s="23"/>
      <c r="NE266" s="23"/>
      <c r="NF266" s="23"/>
      <c r="NG266" s="23"/>
      <c r="NH266" s="23"/>
      <c r="NI266" s="23"/>
      <c r="NJ266" s="23"/>
      <c r="NK266" s="23"/>
      <c r="NL266" s="23"/>
      <c r="NM266" s="23"/>
      <c r="NN266" s="23"/>
    </row>
    <row r="267" spans="5:378" ht="15" customHeight="1"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  <c r="IR267" s="23"/>
      <c r="IS267" s="23"/>
      <c r="IT267" s="23"/>
      <c r="IU267" s="23"/>
      <c r="IV267" s="23"/>
      <c r="IW267" s="23"/>
      <c r="IX267" s="23"/>
      <c r="IY267" s="23"/>
      <c r="IZ267" s="23"/>
      <c r="JA267" s="23"/>
      <c r="JB267" s="23"/>
      <c r="JC267" s="23"/>
      <c r="JD267" s="23"/>
      <c r="JE267" s="23"/>
      <c r="JF267" s="23"/>
      <c r="JG267" s="23"/>
      <c r="JH267" s="23"/>
      <c r="JI267" s="23"/>
      <c r="JJ267" s="23"/>
      <c r="JK267" s="23"/>
      <c r="JL267" s="23"/>
      <c r="JM267" s="23"/>
      <c r="JN267" s="23"/>
      <c r="JO267" s="23"/>
      <c r="JP267" s="23"/>
      <c r="JQ267" s="23"/>
      <c r="JR267" s="23"/>
      <c r="JS267" s="23"/>
      <c r="JT267" s="23"/>
      <c r="JU267" s="23"/>
      <c r="JV267" s="23"/>
      <c r="JW267" s="23"/>
      <c r="JX267" s="23"/>
      <c r="JY267" s="23"/>
      <c r="JZ267" s="23"/>
      <c r="KA267" s="23"/>
      <c r="KB267" s="23"/>
      <c r="KC267" s="23"/>
      <c r="KD267" s="23"/>
      <c r="KE267" s="23"/>
      <c r="KF267" s="23"/>
      <c r="KG267" s="23"/>
      <c r="KH267" s="23"/>
      <c r="KI267" s="23"/>
      <c r="KJ267" s="23"/>
      <c r="KK267" s="23"/>
      <c r="KL267" s="23"/>
      <c r="KM267" s="23"/>
      <c r="KN267" s="23"/>
      <c r="KO267" s="23"/>
      <c r="KP267" s="23"/>
      <c r="KQ267" s="23"/>
      <c r="KR267" s="23"/>
      <c r="KS267" s="23"/>
      <c r="KT267" s="23"/>
      <c r="KU267" s="23"/>
      <c r="KV267" s="23"/>
      <c r="KW267" s="23"/>
      <c r="KX267" s="23"/>
      <c r="KY267" s="23"/>
      <c r="KZ267" s="23"/>
      <c r="LA267" s="23"/>
      <c r="LB267" s="23"/>
      <c r="LC267" s="23"/>
      <c r="LD267" s="23"/>
      <c r="LE267" s="23"/>
      <c r="LF267" s="23"/>
      <c r="LG267" s="23"/>
      <c r="LH267" s="23"/>
      <c r="LI267" s="23"/>
      <c r="LJ267" s="23"/>
      <c r="LK267" s="23"/>
      <c r="LL267" s="23"/>
      <c r="LM267" s="23"/>
      <c r="LN267" s="23"/>
      <c r="LO267" s="23"/>
      <c r="LP267" s="23"/>
      <c r="LQ267" s="23"/>
      <c r="LR267" s="23"/>
      <c r="LS267" s="23"/>
      <c r="LT267" s="23"/>
      <c r="LU267" s="23"/>
      <c r="LV267" s="23"/>
      <c r="LW267" s="23"/>
      <c r="LX267" s="23"/>
      <c r="LY267" s="23"/>
      <c r="LZ267" s="23"/>
      <c r="MA267" s="23"/>
      <c r="MB267" s="23"/>
      <c r="MC267" s="23"/>
      <c r="MD267" s="23"/>
      <c r="ME267" s="23"/>
      <c r="MF267" s="23"/>
      <c r="MG267" s="23"/>
      <c r="MH267" s="23"/>
      <c r="MI267" s="23"/>
      <c r="MJ267" s="23"/>
      <c r="MK267" s="23"/>
      <c r="ML267" s="23"/>
      <c r="MM267" s="23"/>
      <c r="MN267" s="23"/>
      <c r="MO267" s="23"/>
      <c r="MP267" s="23"/>
      <c r="MQ267" s="23"/>
      <c r="MR267" s="23"/>
      <c r="MS267" s="23"/>
      <c r="MT267" s="23"/>
      <c r="MU267" s="23"/>
      <c r="MV267" s="23"/>
      <c r="MW267" s="23"/>
      <c r="MX267" s="23"/>
      <c r="MY267" s="23"/>
      <c r="MZ267" s="23"/>
      <c r="NA267" s="23"/>
      <c r="NB267" s="23"/>
      <c r="NC267" s="23"/>
      <c r="ND267" s="23"/>
      <c r="NE267" s="23"/>
      <c r="NF267" s="23"/>
      <c r="NG267" s="23"/>
      <c r="NH267" s="23"/>
      <c r="NI267" s="23"/>
      <c r="NJ267" s="23"/>
      <c r="NK267" s="23"/>
      <c r="NL267" s="23"/>
      <c r="NM267" s="23"/>
      <c r="NN267" s="23"/>
    </row>
    <row r="268" spans="5:378" ht="15" customHeight="1"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  <c r="IL268" s="23"/>
      <c r="IM268" s="23"/>
      <c r="IN268" s="23"/>
      <c r="IO268" s="23"/>
      <c r="IP268" s="23"/>
      <c r="IQ268" s="23"/>
      <c r="IR268" s="23"/>
      <c r="IS268" s="23"/>
      <c r="IT268" s="23"/>
      <c r="IU268" s="23"/>
      <c r="IV268" s="23"/>
      <c r="IW268" s="23"/>
      <c r="IX268" s="23"/>
      <c r="IY268" s="23"/>
      <c r="IZ268" s="23"/>
      <c r="JA268" s="23"/>
      <c r="JB268" s="23"/>
      <c r="JC268" s="23"/>
      <c r="JD268" s="23"/>
      <c r="JE268" s="23"/>
      <c r="JF268" s="23"/>
      <c r="JG268" s="23"/>
      <c r="JH268" s="23"/>
      <c r="JI268" s="23"/>
      <c r="JJ268" s="23"/>
      <c r="JK268" s="23"/>
      <c r="JL268" s="23"/>
      <c r="JM268" s="23"/>
      <c r="JN268" s="23"/>
      <c r="JO268" s="23"/>
      <c r="JP268" s="23"/>
      <c r="JQ268" s="23"/>
      <c r="JR268" s="23"/>
      <c r="JS268" s="23"/>
      <c r="JT268" s="23"/>
      <c r="JU268" s="23"/>
      <c r="JV268" s="23"/>
      <c r="JW268" s="23"/>
      <c r="JX268" s="23"/>
      <c r="JY268" s="23"/>
      <c r="JZ268" s="23"/>
      <c r="KA268" s="23"/>
      <c r="KB268" s="23"/>
      <c r="KC268" s="23"/>
      <c r="KD268" s="23"/>
      <c r="KE268" s="23"/>
      <c r="KF268" s="23"/>
      <c r="KG268" s="23"/>
      <c r="KH268" s="23"/>
      <c r="KI268" s="23"/>
      <c r="KJ268" s="23"/>
      <c r="KK268" s="23"/>
      <c r="KL268" s="23"/>
      <c r="KM268" s="23"/>
      <c r="KN268" s="23"/>
      <c r="KO268" s="23"/>
      <c r="KP268" s="23"/>
      <c r="KQ268" s="23"/>
      <c r="KR268" s="23"/>
      <c r="KS268" s="23"/>
      <c r="KT268" s="23"/>
      <c r="KU268" s="23"/>
      <c r="KV268" s="23"/>
      <c r="KW268" s="23"/>
      <c r="KX268" s="23"/>
      <c r="KY268" s="23"/>
      <c r="KZ268" s="23"/>
      <c r="LA268" s="23"/>
      <c r="LB268" s="23"/>
      <c r="LC268" s="23"/>
      <c r="LD268" s="23"/>
      <c r="LE268" s="23"/>
      <c r="LF268" s="23"/>
      <c r="LG268" s="23"/>
      <c r="LH268" s="23"/>
      <c r="LI268" s="23"/>
      <c r="LJ268" s="23"/>
      <c r="LK268" s="23"/>
      <c r="LL268" s="23"/>
      <c r="LM268" s="23"/>
      <c r="LN268" s="23"/>
      <c r="LO268" s="23"/>
      <c r="LP268" s="23"/>
      <c r="LQ268" s="23"/>
      <c r="LR268" s="23"/>
      <c r="LS268" s="23"/>
      <c r="LT268" s="23"/>
      <c r="LU268" s="23"/>
      <c r="LV268" s="23"/>
      <c r="LW268" s="23"/>
      <c r="LX268" s="23"/>
      <c r="LY268" s="23"/>
      <c r="LZ268" s="23"/>
      <c r="MA268" s="23"/>
      <c r="MB268" s="23"/>
      <c r="MC268" s="23"/>
      <c r="MD268" s="23"/>
      <c r="ME268" s="23"/>
      <c r="MF268" s="23"/>
      <c r="MG268" s="23"/>
      <c r="MH268" s="23"/>
      <c r="MI268" s="23"/>
      <c r="MJ268" s="23"/>
      <c r="MK268" s="23"/>
      <c r="ML268" s="23"/>
      <c r="MM268" s="23"/>
      <c r="MN268" s="23"/>
      <c r="MO268" s="23"/>
      <c r="MP268" s="23"/>
      <c r="MQ268" s="23"/>
      <c r="MR268" s="23"/>
      <c r="MS268" s="23"/>
      <c r="MT268" s="23"/>
      <c r="MU268" s="23"/>
      <c r="MV268" s="23"/>
      <c r="MW268" s="23"/>
      <c r="MX268" s="23"/>
      <c r="MY268" s="23"/>
      <c r="MZ268" s="23"/>
      <c r="NA268" s="23"/>
      <c r="NB268" s="23"/>
      <c r="NC268" s="23"/>
      <c r="ND268" s="23"/>
      <c r="NE268" s="23"/>
      <c r="NF268" s="23"/>
      <c r="NG268" s="23"/>
      <c r="NH268" s="23"/>
      <c r="NI268" s="23"/>
      <c r="NJ268" s="23"/>
      <c r="NK268" s="23"/>
      <c r="NL268" s="23"/>
      <c r="NM268" s="23"/>
      <c r="NN268" s="23"/>
    </row>
    <row r="269" spans="5:378" ht="15" customHeight="1"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  <c r="IL269" s="23"/>
      <c r="IM269" s="23"/>
      <c r="IN269" s="23"/>
      <c r="IO269" s="23"/>
      <c r="IP269" s="23"/>
      <c r="IQ269" s="23"/>
      <c r="IR269" s="23"/>
      <c r="IS269" s="23"/>
      <c r="IT269" s="23"/>
      <c r="IU269" s="23"/>
      <c r="IV269" s="23"/>
      <c r="IW269" s="23"/>
      <c r="IX269" s="23"/>
      <c r="IY269" s="23"/>
      <c r="IZ269" s="23"/>
      <c r="JA269" s="23"/>
      <c r="JB269" s="23"/>
      <c r="JC269" s="23"/>
      <c r="JD269" s="23"/>
      <c r="JE269" s="23"/>
      <c r="JF269" s="23"/>
      <c r="JG269" s="23"/>
      <c r="JH269" s="23"/>
      <c r="JI269" s="23"/>
      <c r="JJ269" s="23"/>
      <c r="JK269" s="23"/>
      <c r="JL269" s="23"/>
      <c r="JM269" s="23"/>
      <c r="JN269" s="23"/>
      <c r="JO269" s="23"/>
      <c r="JP269" s="23"/>
      <c r="JQ269" s="23"/>
      <c r="JR269" s="23"/>
      <c r="JS269" s="23"/>
      <c r="JT269" s="23"/>
      <c r="JU269" s="23"/>
      <c r="JV269" s="23"/>
      <c r="JW269" s="23"/>
      <c r="JX269" s="23"/>
      <c r="JY269" s="23"/>
      <c r="JZ269" s="23"/>
      <c r="KA269" s="23"/>
      <c r="KB269" s="23"/>
      <c r="KC269" s="23"/>
      <c r="KD269" s="23"/>
      <c r="KE269" s="23"/>
      <c r="KF269" s="23"/>
      <c r="KG269" s="23"/>
      <c r="KH269" s="23"/>
      <c r="KI269" s="23"/>
      <c r="KJ269" s="23"/>
      <c r="KK269" s="23"/>
      <c r="KL269" s="23"/>
      <c r="KM269" s="23"/>
      <c r="KN269" s="23"/>
      <c r="KO269" s="23"/>
      <c r="KP269" s="23"/>
      <c r="KQ269" s="23"/>
      <c r="KR269" s="23"/>
      <c r="KS269" s="23"/>
      <c r="KT269" s="23"/>
      <c r="KU269" s="23"/>
      <c r="KV269" s="23"/>
      <c r="KW269" s="23"/>
      <c r="KX269" s="23"/>
      <c r="KY269" s="23"/>
      <c r="KZ269" s="23"/>
      <c r="LA269" s="23"/>
      <c r="LB269" s="23"/>
      <c r="LC269" s="23"/>
      <c r="LD269" s="23"/>
      <c r="LE269" s="23"/>
      <c r="LF269" s="23"/>
      <c r="LG269" s="23"/>
      <c r="LH269" s="23"/>
      <c r="LI269" s="23"/>
      <c r="LJ269" s="23"/>
      <c r="LK269" s="23"/>
      <c r="LL269" s="23"/>
      <c r="LM269" s="23"/>
      <c r="LN269" s="23"/>
      <c r="LO269" s="23"/>
      <c r="LP269" s="23"/>
      <c r="LQ269" s="23"/>
      <c r="LR269" s="23"/>
      <c r="LS269" s="23"/>
      <c r="LT269" s="23"/>
      <c r="LU269" s="23"/>
      <c r="LV269" s="23"/>
      <c r="LW269" s="23"/>
      <c r="LX269" s="23"/>
      <c r="LY269" s="23"/>
      <c r="LZ269" s="23"/>
      <c r="MA269" s="23"/>
      <c r="MB269" s="23"/>
      <c r="MC269" s="23"/>
      <c r="MD269" s="23"/>
      <c r="ME269" s="23"/>
      <c r="MF269" s="23"/>
      <c r="MG269" s="23"/>
      <c r="MH269" s="23"/>
      <c r="MI269" s="23"/>
      <c r="MJ269" s="23"/>
      <c r="MK269" s="23"/>
      <c r="ML269" s="23"/>
      <c r="MM269" s="23"/>
      <c r="MN269" s="23"/>
      <c r="MO269" s="23"/>
      <c r="MP269" s="23"/>
      <c r="MQ269" s="23"/>
      <c r="MR269" s="23"/>
      <c r="MS269" s="23"/>
      <c r="MT269" s="23"/>
      <c r="MU269" s="23"/>
      <c r="MV269" s="23"/>
      <c r="MW269" s="23"/>
      <c r="MX269" s="23"/>
      <c r="MY269" s="23"/>
      <c r="MZ269" s="23"/>
      <c r="NA269" s="23"/>
      <c r="NB269" s="23"/>
      <c r="NC269" s="23"/>
      <c r="ND269" s="23"/>
      <c r="NE269" s="23"/>
      <c r="NF269" s="23"/>
      <c r="NG269" s="23"/>
      <c r="NH269" s="23"/>
      <c r="NI269" s="23"/>
      <c r="NJ269" s="23"/>
      <c r="NK269" s="23"/>
      <c r="NL269" s="23"/>
      <c r="NM269" s="23"/>
      <c r="NN269" s="23"/>
    </row>
    <row r="270" spans="5:378" ht="15" customHeight="1"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  <c r="IL270" s="23"/>
      <c r="IM270" s="23"/>
      <c r="IN270" s="23"/>
      <c r="IO270" s="23"/>
      <c r="IP270" s="23"/>
      <c r="IQ270" s="23"/>
      <c r="IR270" s="23"/>
      <c r="IS270" s="23"/>
      <c r="IT270" s="23"/>
      <c r="IU270" s="23"/>
      <c r="IV270" s="23"/>
      <c r="IW270" s="23"/>
      <c r="IX270" s="23"/>
      <c r="IY270" s="23"/>
      <c r="IZ270" s="23"/>
      <c r="JA270" s="23"/>
      <c r="JB270" s="23"/>
      <c r="JC270" s="23"/>
      <c r="JD270" s="23"/>
      <c r="JE270" s="23"/>
      <c r="JF270" s="23"/>
      <c r="JG270" s="23"/>
      <c r="JH270" s="23"/>
      <c r="JI270" s="23"/>
      <c r="JJ270" s="23"/>
      <c r="JK270" s="23"/>
      <c r="JL270" s="23"/>
      <c r="JM270" s="23"/>
      <c r="JN270" s="23"/>
      <c r="JO270" s="23"/>
      <c r="JP270" s="23"/>
      <c r="JQ270" s="23"/>
      <c r="JR270" s="23"/>
      <c r="JS270" s="23"/>
      <c r="JT270" s="23"/>
      <c r="JU270" s="23"/>
      <c r="JV270" s="23"/>
      <c r="JW270" s="23"/>
      <c r="JX270" s="23"/>
      <c r="JY270" s="23"/>
      <c r="JZ270" s="23"/>
      <c r="KA270" s="23"/>
      <c r="KB270" s="23"/>
      <c r="KC270" s="23"/>
      <c r="KD270" s="23"/>
      <c r="KE270" s="23"/>
      <c r="KF270" s="23"/>
      <c r="KG270" s="23"/>
      <c r="KH270" s="23"/>
      <c r="KI270" s="23"/>
      <c r="KJ270" s="23"/>
      <c r="KK270" s="23"/>
      <c r="KL270" s="23"/>
      <c r="KM270" s="23"/>
      <c r="KN270" s="23"/>
      <c r="KO270" s="23"/>
      <c r="KP270" s="23"/>
      <c r="KQ270" s="23"/>
      <c r="KR270" s="23"/>
      <c r="KS270" s="23"/>
      <c r="KT270" s="23"/>
      <c r="KU270" s="23"/>
      <c r="KV270" s="23"/>
      <c r="KW270" s="23"/>
      <c r="KX270" s="23"/>
      <c r="KY270" s="23"/>
      <c r="KZ270" s="23"/>
      <c r="LA270" s="23"/>
      <c r="LB270" s="23"/>
      <c r="LC270" s="23"/>
      <c r="LD270" s="23"/>
      <c r="LE270" s="23"/>
      <c r="LF270" s="23"/>
      <c r="LG270" s="23"/>
      <c r="LH270" s="23"/>
      <c r="LI270" s="23"/>
      <c r="LJ270" s="23"/>
      <c r="LK270" s="23"/>
      <c r="LL270" s="23"/>
      <c r="LM270" s="23"/>
      <c r="LN270" s="23"/>
      <c r="LO270" s="23"/>
      <c r="LP270" s="23"/>
      <c r="LQ270" s="23"/>
      <c r="LR270" s="23"/>
      <c r="LS270" s="23"/>
      <c r="LT270" s="23"/>
      <c r="LU270" s="23"/>
      <c r="LV270" s="23"/>
      <c r="LW270" s="23"/>
      <c r="LX270" s="23"/>
      <c r="LY270" s="23"/>
      <c r="LZ270" s="23"/>
      <c r="MA270" s="23"/>
      <c r="MB270" s="23"/>
      <c r="MC270" s="23"/>
      <c r="MD270" s="23"/>
      <c r="ME270" s="23"/>
      <c r="MF270" s="23"/>
      <c r="MG270" s="23"/>
      <c r="MH270" s="23"/>
      <c r="MI270" s="23"/>
      <c r="MJ270" s="23"/>
      <c r="MK270" s="23"/>
      <c r="ML270" s="23"/>
      <c r="MM270" s="23"/>
      <c r="MN270" s="23"/>
      <c r="MO270" s="23"/>
      <c r="MP270" s="23"/>
      <c r="MQ270" s="23"/>
      <c r="MR270" s="23"/>
      <c r="MS270" s="23"/>
      <c r="MT270" s="23"/>
      <c r="MU270" s="23"/>
      <c r="MV270" s="23"/>
      <c r="MW270" s="23"/>
      <c r="MX270" s="23"/>
      <c r="MY270" s="23"/>
      <c r="MZ270" s="23"/>
      <c r="NA270" s="23"/>
      <c r="NB270" s="23"/>
      <c r="NC270" s="23"/>
      <c r="ND270" s="23"/>
      <c r="NE270" s="23"/>
      <c r="NF270" s="23"/>
      <c r="NG270" s="23"/>
      <c r="NH270" s="23"/>
      <c r="NI270" s="23"/>
      <c r="NJ270" s="23"/>
      <c r="NK270" s="23"/>
      <c r="NL270" s="23"/>
      <c r="NM270" s="23"/>
      <c r="NN270" s="23"/>
    </row>
    <row r="271" spans="5:378" ht="15" customHeight="1"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  <c r="IL271" s="23"/>
      <c r="IM271" s="23"/>
      <c r="IN271" s="23"/>
      <c r="IO271" s="23"/>
      <c r="IP271" s="23"/>
      <c r="IQ271" s="23"/>
      <c r="IR271" s="23"/>
      <c r="IS271" s="23"/>
      <c r="IT271" s="23"/>
      <c r="IU271" s="23"/>
      <c r="IV271" s="23"/>
      <c r="IW271" s="23"/>
      <c r="IX271" s="23"/>
      <c r="IY271" s="23"/>
      <c r="IZ271" s="23"/>
      <c r="JA271" s="23"/>
      <c r="JB271" s="23"/>
      <c r="JC271" s="23"/>
      <c r="JD271" s="23"/>
      <c r="JE271" s="23"/>
      <c r="JF271" s="23"/>
      <c r="JG271" s="23"/>
      <c r="JH271" s="23"/>
      <c r="JI271" s="23"/>
      <c r="JJ271" s="23"/>
      <c r="JK271" s="23"/>
      <c r="JL271" s="23"/>
      <c r="JM271" s="23"/>
      <c r="JN271" s="23"/>
      <c r="JO271" s="23"/>
      <c r="JP271" s="23"/>
      <c r="JQ271" s="23"/>
      <c r="JR271" s="23"/>
      <c r="JS271" s="23"/>
      <c r="JT271" s="23"/>
      <c r="JU271" s="23"/>
      <c r="JV271" s="23"/>
      <c r="JW271" s="23"/>
      <c r="JX271" s="23"/>
      <c r="JY271" s="23"/>
      <c r="JZ271" s="23"/>
      <c r="KA271" s="23"/>
      <c r="KB271" s="23"/>
      <c r="KC271" s="23"/>
      <c r="KD271" s="23"/>
      <c r="KE271" s="23"/>
      <c r="KF271" s="23"/>
      <c r="KG271" s="23"/>
      <c r="KH271" s="23"/>
      <c r="KI271" s="23"/>
      <c r="KJ271" s="23"/>
      <c r="KK271" s="23"/>
      <c r="KL271" s="23"/>
      <c r="KM271" s="23"/>
      <c r="KN271" s="23"/>
      <c r="KO271" s="23"/>
      <c r="KP271" s="23"/>
      <c r="KQ271" s="23"/>
      <c r="KR271" s="23"/>
      <c r="KS271" s="23"/>
      <c r="KT271" s="23"/>
      <c r="KU271" s="23"/>
      <c r="KV271" s="23"/>
      <c r="KW271" s="23"/>
      <c r="KX271" s="23"/>
      <c r="KY271" s="23"/>
      <c r="KZ271" s="23"/>
      <c r="LA271" s="23"/>
      <c r="LB271" s="23"/>
      <c r="LC271" s="23"/>
      <c r="LD271" s="23"/>
      <c r="LE271" s="23"/>
      <c r="LF271" s="23"/>
      <c r="LG271" s="23"/>
      <c r="LH271" s="23"/>
      <c r="LI271" s="23"/>
      <c r="LJ271" s="23"/>
      <c r="LK271" s="23"/>
      <c r="LL271" s="23"/>
      <c r="LM271" s="23"/>
      <c r="LN271" s="23"/>
      <c r="LO271" s="23"/>
      <c r="LP271" s="23"/>
      <c r="LQ271" s="23"/>
      <c r="LR271" s="23"/>
      <c r="LS271" s="23"/>
      <c r="LT271" s="23"/>
      <c r="LU271" s="23"/>
      <c r="LV271" s="23"/>
      <c r="LW271" s="23"/>
      <c r="LX271" s="23"/>
      <c r="LY271" s="23"/>
      <c r="LZ271" s="23"/>
      <c r="MA271" s="23"/>
      <c r="MB271" s="23"/>
      <c r="MC271" s="23"/>
      <c r="MD271" s="23"/>
      <c r="ME271" s="23"/>
      <c r="MF271" s="23"/>
      <c r="MG271" s="23"/>
      <c r="MH271" s="23"/>
      <c r="MI271" s="23"/>
      <c r="MJ271" s="23"/>
      <c r="MK271" s="23"/>
      <c r="ML271" s="23"/>
      <c r="MM271" s="23"/>
      <c r="MN271" s="23"/>
      <c r="MO271" s="23"/>
      <c r="MP271" s="23"/>
      <c r="MQ271" s="23"/>
      <c r="MR271" s="23"/>
      <c r="MS271" s="23"/>
      <c r="MT271" s="23"/>
      <c r="MU271" s="23"/>
      <c r="MV271" s="23"/>
      <c r="MW271" s="23"/>
      <c r="MX271" s="23"/>
      <c r="MY271" s="23"/>
      <c r="MZ271" s="23"/>
      <c r="NA271" s="23"/>
      <c r="NB271" s="23"/>
      <c r="NC271" s="23"/>
      <c r="ND271" s="23"/>
      <c r="NE271" s="23"/>
      <c r="NF271" s="23"/>
      <c r="NG271" s="23"/>
      <c r="NH271" s="23"/>
      <c r="NI271" s="23"/>
      <c r="NJ271" s="23"/>
      <c r="NK271" s="23"/>
      <c r="NL271" s="23"/>
      <c r="NM271" s="23"/>
      <c r="NN271" s="23"/>
    </row>
    <row r="272" spans="5:378" ht="15" customHeight="1"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  <c r="IL272" s="23"/>
      <c r="IM272" s="23"/>
      <c r="IN272" s="23"/>
      <c r="IO272" s="23"/>
      <c r="IP272" s="23"/>
      <c r="IQ272" s="23"/>
      <c r="IR272" s="23"/>
      <c r="IS272" s="23"/>
      <c r="IT272" s="23"/>
      <c r="IU272" s="23"/>
      <c r="IV272" s="23"/>
      <c r="IW272" s="23"/>
      <c r="IX272" s="23"/>
      <c r="IY272" s="23"/>
      <c r="IZ272" s="23"/>
      <c r="JA272" s="23"/>
      <c r="JB272" s="23"/>
      <c r="JC272" s="23"/>
      <c r="JD272" s="23"/>
      <c r="JE272" s="23"/>
      <c r="JF272" s="23"/>
      <c r="JG272" s="23"/>
      <c r="JH272" s="23"/>
      <c r="JI272" s="23"/>
      <c r="JJ272" s="23"/>
      <c r="JK272" s="23"/>
      <c r="JL272" s="23"/>
      <c r="JM272" s="23"/>
      <c r="JN272" s="23"/>
      <c r="JO272" s="23"/>
      <c r="JP272" s="23"/>
      <c r="JQ272" s="23"/>
      <c r="JR272" s="23"/>
      <c r="JS272" s="23"/>
      <c r="JT272" s="23"/>
      <c r="JU272" s="23"/>
      <c r="JV272" s="23"/>
      <c r="JW272" s="23"/>
      <c r="JX272" s="23"/>
      <c r="JY272" s="23"/>
      <c r="JZ272" s="23"/>
      <c r="KA272" s="23"/>
      <c r="KB272" s="23"/>
      <c r="KC272" s="23"/>
      <c r="KD272" s="23"/>
      <c r="KE272" s="23"/>
      <c r="KF272" s="23"/>
      <c r="KG272" s="23"/>
      <c r="KH272" s="23"/>
      <c r="KI272" s="23"/>
      <c r="KJ272" s="23"/>
      <c r="KK272" s="23"/>
      <c r="KL272" s="23"/>
      <c r="KM272" s="23"/>
      <c r="KN272" s="23"/>
      <c r="KO272" s="23"/>
      <c r="KP272" s="23"/>
      <c r="KQ272" s="23"/>
      <c r="KR272" s="23"/>
      <c r="KS272" s="23"/>
      <c r="KT272" s="23"/>
      <c r="KU272" s="23"/>
      <c r="KV272" s="23"/>
      <c r="KW272" s="23"/>
      <c r="KX272" s="23"/>
      <c r="KY272" s="23"/>
      <c r="KZ272" s="23"/>
      <c r="LA272" s="23"/>
      <c r="LB272" s="23"/>
      <c r="LC272" s="23"/>
      <c r="LD272" s="23"/>
      <c r="LE272" s="23"/>
      <c r="LF272" s="23"/>
      <c r="LG272" s="23"/>
      <c r="LH272" s="23"/>
      <c r="LI272" s="23"/>
      <c r="LJ272" s="23"/>
      <c r="LK272" s="23"/>
      <c r="LL272" s="23"/>
      <c r="LM272" s="23"/>
      <c r="LN272" s="23"/>
      <c r="LO272" s="23"/>
      <c r="LP272" s="23"/>
      <c r="LQ272" s="23"/>
      <c r="LR272" s="23"/>
      <c r="LS272" s="23"/>
      <c r="LT272" s="23"/>
      <c r="LU272" s="23"/>
      <c r="LV272" s="23"/>
      <c r="LW272" s="23"/>
      <c r="LX272" s="23"/>
      <c r="LY272" s="23"/>
      <c r="LZ272" s="23"/>
      <c r="MA272" s="23"/>
      <c r="MB272" s="23"/>
      <c r="MC272" s="23"/>
      <c r="MD272" s="23"/>
      <c r="ME272" s="23"/>
      <c r="MF272" s="23"/>
      <c r="MG272" s="23"/>
      <c r="MH272" s="23"/>
      <c r="MI272" s="23"/>
      <c r="MJ272" s="23"/>
      <c r="MK272" s="23"/>
      <c r="ML272" s="23"/>
      <c r="MM272" s="23"/>
      <c r="MN272" s="23"/>
      <c r="MO272" s="23"/>
      <c r="MP272" s="23"/>
      <c r="MQ272" s="23"/>
      <c r="MR272" s="23"/>
      <c r="MS272" s="23"/>
      <c r="MT272" s="23"/>
      <c r="MU272" s="23"/>
      <c r="MV272" s="23"/>
      <c r="MW272" s="23"/>
      <c r="MX272" s="23"/>
      <c r="MY272" s="23"/>
      <c r="MZ272" s="23"/>
      <c r="NA272" s="23"/>
      <c r="NB272" s="23"/>
      <c r="NC272" s="23"/>
      <c r="ND272" s="23"/>
      <c r="NE272" s="23"/>
      <c r="NF272" s="23"/>
      <c r="NG272" s="23"/>
      <c r="NH272" s="23"/>
      <c r="NI272" s="23"/>
      <c r="NJ272" s="23"/>
      <c r="NK272" s="23"/>
      <c r="NL272" s="23"/>
      <c r="NM272" s="23"/>
      <c r="NN272" s="23"/>
    </row>
    <row r="273" spans="5:378" ht="15" customHeight="1"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  <c r="IL273" s="23"/>
      <c r="IM273" s="23"/>
      <c r="IN273" s="23"/>
      <c r="IO273" s="23"/>
      <c r="IP273" s="23"/>
      <c r="IQ273" s="23"/>
      <c r="IR273" s="23"/>
      <c r="IS273" s="23"/>
      <c r="IT273" s="23"/>
      <c r="IU273" s="23"/>
      <c r="IV273" s="23"/>
      <c r="IW273" s="23"/>
      <c r="IX273" s="23"/>
      <c r="IY273" s="23"/>
      <c r="IZ273" s="23"/>
      <c r="JA273" s="23"/>
      <c r="JB273" s="23"/>
      <c r="JC273" s="23"/>
      <c r="JD273" s="23"/>
      <c r="JE273" s="23"/>
      <c r="JF273" s="23"/>
      <c r="JG273" s="23"/>
      <c r="JH273" s="23"/>
      <c r="JI273" s="23"/>
      <c r="JJ273" s="23"/>
      <c r="JK273" s="23"/>
      <c r="JL273" s="23"/>
      <c r="JM273" s="23"/>
      <c r="JN273" s="23"/>
      <c r="JO273" s="23"/>
      <c r="JP273" s="23"/>
      <c r="JQ273" s="23"/>
      <c r="JR273" s="23"/>
      <c r="JS273" s="23"/>
      <c r="JT273" s="23"/>
      <c r="JU273" s="23"/>
      <c r="JV273" s="23"/>
      <c r="JW273" s="23"/>
      <c r="JX273" s="23"/>
      <c r="JY273" s="23"/>
      <c r="JZ273" s="23"/>
      <c r="KA273" s="23"/>
      <c r="KB273" s="23"/>
      <c r="KC273" s="23"/>
      <c r="KD273" s="23"/>
      <c r="KE273" s="23"/>
      <c r="KF273" s="23"/>
      <c r="KG273" s="23"/>
      <c r="KH273" s="23"/>
      <c r="KI273" s="23"/>
      <c r="KJ273" s="23"/>
      <c r="KK273" s="23"/>
      <c r="KL273" s="23"/>
      <c r="KM273" s="23"/>
      <c r="KN273" s="23"/>
      <c r="KO273" s="23"/>
      <c r="KP273" s="23"/>
      <c r="KQ273" s="23"/>
      <c r="KR273" s="23"/>
      <c r="KS273" s="23"/>
      <c r="KT273" s="23"/>
      <c r="KU273" s="23"/>
      <c r="KV273" s="23"/>
      <c r="KW273" s="23"/>
      <c r="KX273" s="23"/>
      <c r="KY273" s="23"/>
      <c r="KZ273" s="23"/>
      <c r="LA273" s="23"/>
      <c r="LB273" s="23"/>
      <c r="LC273" s="23"/>
      <c r="LD273" s="23"/>
      <c r="LE273" s="23"/>
      <c r="LF273" s="23"/>
      <c r="LG273" s="23"/>
      <c r="LH273" s="23"/>
      <c r="LI273" s="23"/>
      <c r="LJ273" s="23"/>
      <c r="LK273" s="23"/>
      <c r="LL273" s="23"/>
      <c r="LM273" s="23"/>
      <c r="LN273" s="23"/>
      <c r="LO273" s="23"/>
      <c r="LP273" s="23"/>
      <c r="LQ273" s="23"/>
      <c r="LR273" s="23"/>
      <c r="LS273" s="23"/>
      <c r="LT273" s="23"/>
      <c r="LU273" s="23"/>
      <c r="LV273" s="23"/>
      <c r="LW273" s="23"/>
      <c r="LX273" s="23"/>
      <c r="LY273" s="23"/>
      <c r="LZ273" s="23"/>
      <c r="MA273" s="23"/>
      <c r="MB273" s="23"/>
      <c r="MC273" s="23"/>
      <c r="MD273" s="23"/>
      <c r="ME273" s="23"/>
      <c r="MF273" s="23"/>
      <c r="MG273" s="23"/>
      <c r="MH273" s="23"/>
      <c r="MI273" s="23"/>
      <c r="MJ273" s="23"/>
      <c r="MK273" s="23"/>
      <c r="ML273" s="23"/>
      <c r="MM273" s="23"/>
      <c r="MN273" s="23"/>
      <c r="MO273" s="23"/>
      <c r="MP273" s="23"/>
      <c r="MQ273" s="23"/>
      <c r="MR273" s="23"/>
      <c r="MS273" s="23"/>
      <c r="MT273" s="23"/>
      <c r="MU273" s="23"/>
      <c r="MV273" s="23"/>
      <c r="MW273" s="23"/>
      <c r="MX273" s="23"/>
      <c r="MY273" s="23"/>
      <c r="MZ273" s="23"/>
      <c r="NA273" s="23"/>
      <c r="NB273" s="23"/>
      <c r="NC273" s="23"/>
      <c r="ND273" s="23"/>
      <c r="NE273" s="23"/>
      <c r="NF273" s="23"/>
      <c r="NG273" s="23"/>
      <c r="NH273" s="23"/>
      <c r="NI273" s="23"/>
      <c r="NJ273" s="23"/>
      <c r="NK273" s="23"/>
      <c r="NL273" s="23"/>
      <c r="NM273" s="23"/>
      <c r="NN273" s="23"/>
    </row>
    <row r="274" spans="5:378" ht="15" customHeight="1"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  <c r="IL274" s="23"/>
      <c r="IM274" s="23"/>
      <c r="IN274" s="23"/>
      <c r="IO274" s="23"/>
      <c r="IP274" s="23"/>
      <c r="IQ274" s="23"/>
      <c r="IR274" s="23"/>
      <c r="IS274" s="23"/>
      <c r="IT274" s="23"/>
      <c r="IU274" s="23"/>
      <c r="IV274" s="23"/>
      <c r="IW274" s="23"/>
      <c r="IX274" s="23"/>
      <c r="IY274" s="23"/>
      <c r="IZ274" s="23"/>
      <c r="JA274" s="23"/>
      <c r="JB274" s="23"/>
      <c r="JC274" s="23"/>
      <c r="JD274" s="23"/>
      <c r="JE274" s="23"/>
      <c r="JF274" s="23"/>
      <c r="JG274" s="23"/>
      <c r="JH274" s="23"/>
      <c r="JI274" s="23"/>
      <c r="JJ274" s="23"/>
      <c r="JK274" s="23"/>
      <c r="JL274" s="23"/>
      <c r="JM274" s="23"/>
      <c r="JN274" s="23"/>
      <c r="JO274" s="23"/>
      <c r="JP274" s="23"/>
      <c r="JQ274" s="23"/>
      <c r="JR274" s="23"/>
      <c r="JS274" s="23"/>
      <c r="JT274" s="23"/>
      <c r="JU274" s="23"/>
      <c r="JV274" s="23"/>
      <c r="JW274" s="23"/>
      <c r="JX274" s="23"/>
      <c r="JY274" s="23"/>
      <c r="JZ274" s="23"/>
      <c r="KA274" s="23"/>
      <c r="KB274" s="23"/>
      <c r="KC274" s="23"/>
      <c r="KD274" s="23"/>
      <c r="KE274" s="23"/>
      <c r="KF274" s="23"/>
      <c r="KG274" s="23"/>
      <c r="KH274" s="23"/>
      <c r="KI274" s="23"/>
      <c r="KJ274" s="23"/>
      <c r="KK274" s="23"/>
      <c r="KL274" s="23"/>
      <c r="KM274" s="23"/>
      <c r="KN274" s="23"/>
      <c r="KO274" s="23"/>
      <c r="KP274" s="23"/>
      <c r="KQ274" s="23"/>
      <c r="KR274" s="23"/>
      <c r="KS274" s="23"/>
      <c r="KT274" s="23"/>
      <c r="KU274" s="23"/>
      <c r="KV274" s="23"/>
      <c r="KW274" s="23"/>
      <c r="KX274" s="23"/>
      <c r="KY274" s="23"/>
      <c r="KZ274" s="23"/>
      <c r="LA274" s="23"/>
      <c r="LB274" s="23"/>
      <c r="LC274" s="23"/>
      <c r="LD274" s="23"/>
      <c r="LE274" s="23"/>
      <c r="LF274" s="23"/>
      <c r="LG274" s="23"/>
      <c r="LH274" s="23"/>
      <c r="LI274" s="23"/>
      <c r="LJ274" s="23"/>
      <c r="LK274" s="23"/>
      <c r="LL274" s="23"/>
      <c r="LM274" s="23"/>
      <c r="LN274" s="23"/>
      <c r="LO274" s="23"/>
      <c r="LP274" s="23"/>
      <c r="LQ274" s="23"/>
      <c r="LR274" s="23"/>
      <c r="LS274" s="23"/>
      <c r="LT274" s="23"/>
      <c r="LU274" s="23"/>
      <c r="LV274" s="23"/>
      <c r="LW274" s="23"/>
      <c r="LX274" s="23"/>
      <c r="LY274" s="23"/>
      <c r="LZ274" s="23"/>
      <c r="MA274" s="23"/>
      <c r="MB274" s="23"/>
      <c r="MC274" s="23"/>
      <c r="MD274" s="23"/>
      <c r="ME274" s="23"/>
      <c r="MF274" s="23"/>
      <c r="MG274" s="23"/>
      <c r="MH274" s="23"/>
      <c r="MI274" s="23"/>
      <c r="MJ274" s="23"/>
      <c r="MK274" s="23"/>
      <c r="ML274" s="23"/>
      <c r="MM274" s="23"/>
      <c r="MN274" s="23"/>
      <c r="MO274" s="23"/>
      <c r="MP274" s="23"/>
      <c r="MQ274" s="23"/>
      <c r="MR274" s="23"/>
      <c r="MS274" s="23"/>
      <c r="MT274" s="23"/>
      <c r="MU274" s="23"/>
      <c r="MV274" s="23"/>
      <c r="MW274" s="23"/>
      <c r="MX274" s="23"/>
      <c r="MY274" s="23"/>
      <c r="MZ274" s="23"/>
      <c r="NA274" s="23"/>
      <c r="NB274" s="23"/>
      <c r="NC274" s="23"/>
      <c r="ND274" s="23"/>
      <c r="NE274" s="23"/>
      <c r="NF274" s="23"/>
      <c r="NG274" s="23"/>
      <c r="NH274" s="23"/>
      <c r="NI274" s="23"/>
      <c r="NJ274" s="23"/>
      <c r="NK274" s="23"/>
      <c r="NL274" s="23"/>
      <c r="NM274" s="23"/>
      <c r="NN274" s="23"/>
    </row>
    <row r="275" spans="5:378" ht="15" customHeight="1"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  <c r="IL275" s="23"/>
      <c r="IM275" s="23"/>
      <c r="IN275" s="23"/>
      <c r="IO275" s="23"/>
      <c r="IP275" s="23"/>
      <c r="IQ275" s="23"/>
      <c r="IR275" s="23"/>
      <c r="IS275" s="23"/>
      <c r="IT275" s="23"/>
      <c r="IU275" s="23"/>
      <c r="IV275" s="23"/>
      <c r="IW275" s="23"/>
      <c r="IX275" s="23"/>
      <c r="IY275" s="23"/>
      <c r="IZ275" s="23"/>
      <c r="JA275" s="23"/>
      <c r="JB275" s="23"/>
      <c r="JC275" s="23"/>
      <c r="JD275" s="23"/>
      <c r="JE275" s="23"/>
      <c r="JF275" s="23"/>
      <c r="JG275" s="23"/>
      <c r="JH275" s="23"/>
      <c r="JI275" s="23"/>
      <c r="JJ275" s="23"/>
      <c r="JK275" s="23"/>
      <c r="JL275" s="23"/>
      <c r="JM275" s="23"/>
      <c r="JN275" s="23"/>
      <c r="JO275" s="23"/>
      <c r="JP275" s="23"/>
      <c r="JQ275" s="23"/>
      <c r="JR275" s="23"/>
      <c r="JS275" s="23"/>
      <c r="JT275" s="23"/>
      <c r="JU275" s="23"/>
      <c r="JV275" s="23"/>
      <c r="JW275" s="23"/>
      <c r="JX275" s="23"/>
      <c r="JY275" s="23"/>
      <c r="JZ275" s="23"/>
      <c r="KA275" s="23"/>
      <c r="KB275" s="23"/>
      <c r="KC275" s="23"/>
      <c r="KD275" s="23"/>
      <c r="KE275" s="23"/>
      <c r="KF275" s="23"/>
      <c r="KG275" s="23"/>
      <c r="KH275" s="23"/>
      <c r="KI275" s="23"/>
      <c r="KJ275" s="23"/>
      <c r="KK275" s="23"/>
      <c r="KL275" s="23"/>
      <c r="KM275" s="23"/>
      <c r="KN275" s="23"/>
      <c r="KO275" s="23"/>
      <c r="KP275" s="23"/>
      <c r="KQ275" s="23"/>
      <c r="KR275" s="23"/>
      <c r="KS275" s="23"/>
      <c r="KT275" s="23"/>
      <c r="KU275" s="23"/>
      <c r="KV275" s="23"/>
      <c r="KW275" s="23"/>
      <c r="KX275" s="23"/>
      <c r="KY275" s="23"/>
      <c r="KZ275" s="23"/>
      <c r="LA275" s="23"/>
      <c r="LB275" s="23"/>
      <c r="LC275" s="23"/>
      <c r="LD275" s="23"/>
      <c r="LE275" s="23"/>
      <c r="LF275" s="23"/>
      <c r="LG275" s="23"/>
      <c r="LH275" s="23"/>
      <c r="LI275" s="23"/>
      <c r="LJ275" s="23"/>
      <c r="LK275" s="23"/>
      <c r="LL275" s="23"/>
      <c r="LM275" s="23"/>
      <c r="LN275" s="23"/>
      <c r="LO275" s="23"/>
      <c r="LP275" s="23"/>
      <c r="LQ275" s="23"/>
      <c r="LR275" s="23"/>
      <c r="LS275" s="23"/>
      <c r="LT275" s="23"/>
      <c r="LU275" s="23"/>
      <c r="LV275" s="23"/>
      <c r="LW275" s="23"/>
      <c r="LX275" s="23"/>
      <c r="LY275" s="23"/>
      <c r="LZ275" s="23"/>
      <c r="MA275" s="23"/>
      <c r="MB275" s="23"/>
      <c r="MC275" s="23"/>
      <c r="MD275" s="23"/>
      <c r="ME275" s="23"/>
      <c r="MF275" s="23"/>
      <c r="MG275" s="23"/>
      <c r="MH275" s="23"/>
      <c r="MI275" s="23"/>
      <c r="MJ275" s="23"/>
      <c r="MK275" s="23"/>
      <c r="ML275" s="23"/>
      <c r="MM275" s="23"/>
      <c r="MN275" s="23"/>
      <c r="MO275" s="23"/>
      <c r="MP275" s="23"/>
      <c r="MQ275" s="23"/>
      <c r="MR275" s="23"/>
      <c r="MS275" s="23"/>
      <c r="MT275" s="23"/>
      <c r="MU275" s="23"/>
      <c r="MV275" s="23"/>
      <c r="MW275" s="23"/>
      <c r="MX275" s="23"/>
      <c r="MY275" s="23"/>
      <c r="MZ275" s="23"/>
      <c r="NA275" s="23"/>
      <c r="NB275" s="23"/>
      <c r="NC275" s="23"/>
      <c r="ND275" s="23"/>
      <c r="NE275" s="23"/>
      <c r="NF275" s="23"/>
      <c r="NG275" s="23"/>
      <c r="NH275" s="23"/>
      <c r="NI275" s="23"/>
      <c r="NJ275" s="23"/>
      <c r="NK275" s="23"/>
      <c r="NL275" s="23"/>
      <c r="NM275" s="23"/>
      <c r="NN275" s="23"/>
    </row>
    <row r="276" spans="5:378" ht="15" customHeight="1"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  <c r="IL276" s="23"/>
      <c r="IM276" s="23"/>
      <c r="IN276" s="23"/>
      <c r="IO276" s="23"/>
      <c r="IP276" s="23"/>
      <c r="IQ276" s="23"/>
      <c r="IR276" s="23"/>
      <c r="IS276" s="23"/>
      <c r="IT276" s="23"/>
      <c r="IU276" s="23"/>
      <c r="IV276" s="23"/>
      <c r="IW276" s="23"/>
      <c r="IX276" s="23"/>
      <c r="IY276" s="23"/>
      <c r="IZ276" s="23"/>
      <c r="JA276" s="23"/>
      <c r="JB276" s="23"/>
      <c r="JC276" s="23"/>
      <c r="JD276" s="23"/>
      <c r="JE276" s="23"/>
      <c r="JF276" s="23"/>
      <c r="JG276" s="23"/>
      <c r="JH276" s="23"/>
      <c r="JI276" s="23"/>
      <c r="JJ276" s="23"/>
      <c r="JK276" s="23"/>
      <c r="JL276" s="23"/>
      <c r="JM276" s="23"/>
      <c r="JN276" s="23"/>
      <c r="JO276" s="23"/>
      <c r="JP276" s="23"/>
      <c r="JQ276" s="23"/>
      <c r="JR276" s="23"/>
      <c r="JS276" s="23"/>
      <c r="JT276" s="23"/>
      <c r="JU276" s="23"/>
      <c r="JV276" s="23"/>
      <c r="JW276" s="23"/>
      <c r="JX276" s="23"/>
      <c r="JY276" s="23"/>
      <c r="JZ276" s="23"/>
      <c r="KA276" s="23"/>
      <c r="KB276" s="23"/>
      <c r="KC276" s="23"/>
      <c r="KD276" s="23"/>
      <c r="KE276" s="23"/>
      <c r="KF276" s="23"/>
      <c r="KG276" s="23"/>
      <c r="KH276" s="23"/>
      <c r="KI276" s="23"/>
      <c r="KJ276" s="23"/>
      <c r="KK276" s="23"/>
      <c r="KL276" s="23"/>
      <c r="KM276" s="23"/>
      <c r="KN276" s="23"/>
      <c r="KO276" s="23"/>
      <c r="KP276" s="23"/>
      <c r="KQ276" s="23"/>
      <c r="KR276" s="23"/>
      <c r="KS276" s="23"/>
      <c r="KT276" s="23"/>
      <c r="KU276" s="23"/>
      <c r="KV276" s="23"/>
      <c r="KW276" s="23"/>
      <c r="KX276" s="23"/>
      <c r="KY276" s="23"/>
      <c r="KZ276" s="23"/>
      <c r="LA276" s="23"/>
      <c r="LB276" s="23"/>
      <c r="LC276" s="23"/>
      <c r="LD276" s="23"/>
      <c r="LE276" s="23"/>
      <c r="LF276" s="23"/>
      <c r="LG276" s="23"/>
      <c r="LH276" s="23"/>
      <c r="LI276" s="23"/>
      <c r="LJ276" s="23"/>
      <c r="LK276" s="23"/>
      <c r="LL276" s="23"/>
      <c r="LM276" s="23"/>
      <c r="LN276" s="23"/>
      <c r="LO276" s="23"/>
      <c r="LP276" s="23"/>
      <c r="LQ276" s="23"/>
      <c r="LR276" s="23"/>
      <c r="LS276" s="23"/>
      <c r="LT276" s="23"/>
      <c r="LU276" s="23"/>
      <c r="LV276" s="23"/>
      <c r="LW276" s="23"/>
      <c r="LX276" s="23"/>
      <c r="LY276" s="23"/>
      <c r="LZ276" s="23"/>
      <c r="MA276" s="23"/>
      <c r="MB276" s="23"/>
      <c r="MC276" s="23"/>
      <c r="MD276" s="23"/>
      <c r="ME276" s="23"/>
      <c r="MF276" s="23"/>
      <c r="MG276" s="23"/>
      <c r="MH276" s="23"/>
      <c r="MI276" s="23"/>
      <c r="MJ276" s="23"/>
      <c r="MK276" s="23"/>
      <c r="ML276" s="23"/>
      <c r="MM276" s="23"/>
      <c r="MN276" s="23"/>
      <c r="MO276" s="23"/>
      <c r="MP276" s="23"/>
      <c r="MQ276" s="23"/>
      <c r="MR276" s="23"/>
      <c r="MS276" s="23"/>
      <c r="MT276" s="23"/>
      <c r="MU276" s="23"/>
      <c r="MV276" s="23"/>
      <c r="MW276" s="23"/>
      <c r="MX276" s="23"/>
      <c r="MY276" s="23"/>
      <c r="MZ276" s="23"/>
      <c r="NA276" s="23"/>
      <c r="NB276" s="23"/>
      <c r="NC276" s="23"/>
      <c r="ND276" s="23"/>
      <c r="NE276" s="23"/>
      <c r="NF276" s="23"/>
      <c r="NG276" s="23"/>
      <c r="NH276" s="23"/>
      <c r="NI276" s="23"/>
      <c r="NJ276" s="23"/>
      <c r="NK276" s="23"/>
      <c r="NL276" s="23"/>
      <c r="NM276" s="23"/>
      <c r="NN276" s="23"/>
    </row>
    <row r="277" spans="5:378" ht="15" customHeight="1"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  <c r="IL277" s="23"/>
      <c r="IM277" s="23"/>
      <c r="IN277" s="23"/>
      <c r="IO277" s="23"/>
      <c r="IP277" s="23"/>
      <c r="IQ277" s="23"/>
      <c r="IR277" s="23"/>
      <c r="IS277" s="23"/>
      <c r="IT277" s="23"/>
      <c r="IU277" s="23"/>
      <c r="IV277" s="23"/>
      <c r="IW277" s="23"/>
      <c r="IX277" s="23"/>
      <c r="IY277" s="23"/>
      <c r="IZ277" s="23"/>
      <c r="JA277" s="23"/>
      <c r="JB277" s="23"/>
      <c r="JC277" s="23"/>
      <c r="JD277" s="23"/>
      <c r="JE277" s="23"/>
      <c r="JF277" s="23"/>
      <c r="JG277" s="23"/>
      <c r="JH277" s="23"/>
      <c r="JI277" s="23"/>
      <c r="JJ277" s="23"/>
      <c r="JK277" s="23"/>
      <c r="JL277" s="23"/>
      <c r="JM277" s="23"/>
      <c r="JN277" s="23"/>
      <c r="JO277" s="23"/>
      <c r="JP277" s="23"/>
      <c r="JQ277" s="23"/>
      <c r="JR277" s="23"/>
      <c r="JS277" s="23"/>
      <c r="JT277" s="23"/>
      <c r="JU277" s="23"/>
      <c r="JV277" s="23"/>
      <c r="JW277" s="23"/>
      <c r="JX277" s="23"/>
      <c r="JY277" s="23"/>
      <c r="JZ277" s="23"/>
      <c r="KA277" s="23"/>
      <c r="KB277" s="23"/>
      <c r="KC277" s="23"/>
      <c r="KD277" s="23"/>
      <c r="KE277" s="23"/>
      <c r="KF277" s="23"/>
      <c r="KG277" s="23"/>
      <c r="KH277" s="23"/>
      <c r="KI277" s="23"/>
      <c r="KJ277" s="23"/>
      <c r="KK277" s="23"/>
      <c r="KL277" s="23"/>
      <c r="KM277" s="23"/>
      <c r="KN277" s="23"/>
      <c r="KO277" s="23"/>
      <c r="KP277" s="23"/>
      <c r="KQ277" s="23"/>
      <c r="KR277" s="23"/>
      <c r="KS277" s="23"/>
      <c r="KT277" s="23"/>
      <c r="KU277" s="23"/>
      <c r="KV277" s="23"/>
      <c r="KW277" s="23"/>
      <c r="KX277" s="23"/>
      <c r="KY277" s="23"/>
      <c r="KZ277" s="23"/>
      <c r="LA277" s="23"/>
      <c r="LB277" s="23"/>
      <c r="LC277" s="23"/>
      <c r="LD277" s="23"/>
      <c r="LE277" s="23"/>
      <c r="LF277" s="23"/>
      <c r="LG277" s="23"/>
      <c r="LH277" s="23"/>
      <c r="LI277" s="23"/>
      <c r="LJ277" s="23"/>
      <c r="LK277" s="23"/>
      <c r="LL277" s="23"/>
      <c r="LM277" s="23"/>
      <c r="LN277" s="23"/>
      <c r="LO277" s="23"/>
      <c r="LP277" s="23"/>
      <c r="LQ277" s="23"/>
      <c r="LR277" s="23"/>
      <c r="LS277" s="23"/>
      <c r="LT277" s="23"/>
      <c r="LU277" s="23"/>
      <c r="LV277" s="23"/>
      <c r="LW277" s="23"/>
      <c r="LX277" s="23"/>
      <c r="LY277" s="23"/>
      <c r="LZ277" s="23"/>
      <c r="MA277" s="23"/>
      <c r="MB277" s="23"/>
      <c r="MC277" s="23"/>
      <c r="MD277" s="23"/>
      <c r="ME277" s="23"/>
      <c r="MF277" s="23"/>
      <c r="MG277" s="23"/>
      <c r="MH277" s="23"/>
      <c r="MI277" s="23"/>
      <c r="MJ277" s="23"/>
      <c r="MK277" s="23"/>
      <c r="ML277" s="23"/>
      <c r="MM277" s="23"/>
      <c r="MN277" s="23"/>
      <c r="MO277" s="23"/>
      <c r="MP277" s="23"/>
      <c r="MQ277" s="23"/>
      <c r="MR277" s="23"/>
      <c r="MS277" s="23"/>
      <c r="MT277" s="23"/>
      <c r="MU277" s="23"/>
      <c r="MV277" s="23"/>
      <c r="MW277" s="23"/>
      <c r="MX277" s="23"/>
      <c r="MY277" s="23"/>
      <c r="MZ277" s="23"/>
      <c r="NA277" s="23"/>
      <c r="NB277" s="23"/>
      <c r="NC277" s="23"/>
      <c r="ND277" s="23"/>
      <c r="NE277" s="23"/>
      <c r="NF277" s="23"/>
      <c r="NG277" s="23"/>
      <c r="NH277" s="23"/>
      <c r="NI277" s="23"/>
      <c r="NJ277" s="23"/>
      <c r="NK277" s="23"/>
      <c r="NL277" s="23"/>
      <c r="NM277" s="23"/>
      <c r="NN277" s="23"/>
    </row>
    <row r="278" spans="5:378" ht="15" customHeight="1"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  <c r="IL278" s="23"/>
      <c r="IM278" s="23"/>
      <c r="IN278" s="23"/>
      <c r="IO278" s="23"/>
      <c r="IP278" s="23"/>
      <c r="IQ278" s="23"/>
      <c r="IR278" s="23"/>
      <c r="IS278" s="23"/>
      <c r="IT278" s="23"/>
      <c r="IU278" s="23"/>
      <c r="IV278" s="23"/>
      <c r="IW278" s="23"/>
      <c r="IX278" s="23"/>
      <c r="IY278" s="23"/>
      <c r="IZ278" s="23"/>
      <c r="JA278" s="23"/>
      <c r="JB278" s="23"/>
      <c r="JC278" s="23"/>
      <c r="JD278" s="23"/>
      <c r="JE278" s="23"/>
      <c r="JF278" s="23"/>
      <c r="JG278" s="23"/>
      <c r="JH278" s="23"/>
      <c r="JI278" s="23"/>
      <c r="JJ278" s="23"/>
      <c r="JK278" s="23"/>
      <c r="JL278" s="23"/>
      <c r="JM278" s="23"/>
      <c r="JN278" s="23"/>
      <c r="JO278" s="23"/>
      <c r="JP278" s="23"/>
      <c r="JQ278" s="23"/>
      <c r="JR278" s="23"/>
      <c r="JS278" s="23"/>
      <c r="JT278" s="23"/>
      <c r="JU278" s="23"/>
      <c r="JV278" s="23"/>
      <c r="JW278" s="23"/>
      <c r="JX278" s="23"/>
      <c r="JY278" s="23"/>
      <c r="JZ278" s="23"/>
      <c r="KA278" s="23"/>
      <c r="KB278" s="23"/>
      <c r="KC278" s="23"/>
      <c r="KD278" s="23"/>
      <c r="KE278" s="23"/>
      <c r="KF278" s="23"/>
      <c r="KG278" s="23"/>
      <c r="KH278" s="23"/>
      <c r="KI278" s="23"/>
      <c r="KJ278" s="23"/>
      <c r="KK278" s="23"/>
      <c r="KL278" s="23"/>
      <c r="KM278" s="23"/>
      <c r="KN278" s="23"/>
      <c r="KO278" s="23"/>
      <c r="KP278" s="23"/>
      <c r="KQ278" s="23"/>
      <c r="KR278" s="23"/>
      <c r="KS278" s="23"/>
      <c r="KT278" s="23"/>
      <c r="KU278" s="23"/>
      <c r="KV278" s="23"/>
      <c r="KW278" s="23"/>
      <c r="KX278" s="23"/>
      <c r="KY278" s="23"/>
      <c r="KZ278" s="23"/>
      <c r="LA278" s="23"/>
      <c r="LB278" s="23"/>
      <c r="LC278" s="23"/>
      <c r="LD278" s="23"/>
      <c r="LE278" s="23"/>
      <c r="LF278" s="23"/>
      <c r="LG278" s="23"/>
      <c r="LH278" s="23"/>
      <c r="LI278" s="23"/>
      <c r="LJ278" s="23"/>
      <c r="LK278" s="23"/>
      <c r="LL278" s="23"/>
      <c r="LM278" s="23"/>
      <c r="LN278" s="23"/>
      <c r="LO278" s="23"/>
      <c r="LP278" s="23"/>
      <c r="LQ278" s="23"/>
      <c r="LR278" s="23"/>
      <c r="LS278" s="23"/>
      <c r="LT278" s="23"/>
      <c r="LU278" s="23"/>
      <c r="LV278" s="23"/>
      <c r="LW278" s="23"/>
      <c r="LX278" s="23"/>
      <c r="LY278" s="23"/>
      <c r="LZ278" s="23"/>
      <c r="MA278" s="23"/>
      <c r="MB278" s="23"/>
      <c r="MC278" s="23"/>
      <c r="MD278" s="23"/>
      <c r="ME278" s="23"/>
      <c r="MF278" s="23"/>
      <c r="MG278" s="23"/>
      <c r="MH278" s="23"/>
      <c r="MI278" s="23"/>
      <c r="MJ278" s="23"/>
      <c r="MK278" s="23"/>
      <c r="ML278" s="23"/>
      <c r="MM278" s="23"/>
      <c r="MN278" s="23"/>
      <c r="MO278" s="23"/>
      <c r="MP278" s="23"/>
      <c r="MQ278" s="23"/>
      <c r="MR278" s="23"/>
      <c r="MS278" s="23"/>
      <c r="MT278" s="23"/>
      <c r="MU278" s="23"/>
      <c r="MV278" s="23"/>
      <c r="MW278" s="23"/>
      <c r="MX278" s="23"/>
      <c r="MY278" s="23"/>
      <c r="MZ278" s="23"/>
      <c r="NA278" s="23"/>
      <c r="NB278" s="23"/>
      <c r="NC278" s="23"/>
      <c r="ND278" s="23"/>
      <c r="NE278" s="23"/>
      <c r="NF278" s="23"/>
      <c r="NG278" s="23"/>
      <c r="NH278" s="23"/>
      <c r="NI278" s="23"/>
      <c r="NJ278" s="23"/>
      <c r="NK278" s="23"/>
      <c r="NL278" s="23"/>
      <c r="NM278" s="23"/>
      <c r="NN278" s="23"/>
    </row>
    <row r="279" spans="5:378" ht="15" customHeight="1"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  <c r="IL279" s="23"/>
      <c r="IM279" s="23"/>
      <c r="IN279" s="23"/>
      <c r="IO279" s="23"/>
      <c r="IP279" s="23"/>
      <c r="IQ279" s="23"/>
      <c r="IR279" s="23"/>
      <c r="IS279" s="23"/>
      <c r="IT279" s="23"/>
      <c r="IU279" s="23"/>
      <c r="IV279" s="23"/>
      <c r="IW279" s="23"/>
      <c r="IX279" s="23"/>
      <c r="IY279" s="23"/>
      <c r="IZ279" s="23"/>
      <c r="JA279" s="23"/>
      <c r="JB279" s="23"/>
      <c r="JC279" s="23"/>
      <c r="JD279" s="23"/>
      <c r="JE279" s="23"/>
      <c r="JF279" s="23"/>
      <c r="JG279" s="23"/>
      <c r="JH279" s="23"/>
      <c r="JI279" s="23"/>
      <c r="JJ279" s="23"/>
      <c r="JK279" s="23"/>
      <c r="JL279" s="23"/>
      <c r="JM279" s="23"/>
      <c r="JN279" s="23"/>
      <c r="JO279" s="23"/>
      <c r="JP279" s="23"/>
      <c r="JQ279" s="23"/>
      <c r="JR279" s="23"/>
      <c r="JS279" s="23"/>
      <c r="JT279" s="23"/>
      <c r="JU279" s="23"/>
      <c r="JV279" s="23"/>
      <c r="JW279" s="23"/>
      <c r="JX279" s="23"/>
      <c r="JY279" s="23"/>
      <c r="JZ279" s="23"/>
      <c r="KA279" s="23"/>
      <c r="KB279" s="23"/>
      <c r="KC279" s="23"/>
      <c r="KD279" s="23"/>
      <c r="KE279" s="23"/>
      <c r="KF279" s="23"/>
      <c r="KG279" s="23"/>
      <c r="KH279" s="23"/>
      <c r="KI279" s="23"/>
      <c r="KJ279" s="23"/>
      <c r="KK279" s="23"/>
      <c r="KL279" s="23"/>
      <c r="KM279" s="23"/>
      <c r="KN279" s="23"/>
      <c r="KO279" s="23"/>
      <c r="KP279" s="23"/>
      <c r="KQ279" s="23"/>
      <c r="KR279" s="23"/>
      <c r="KS279" s="23"/>
      <c r="KT279" s="23"/>
      <c r="KU279" s="23"/>
      <c r="KV279" s="23"/>
      <c r="KW279" s="23"/>
      <c r="KX279" s="23"/>
      <c r="KY279" s="23"/>
      <c r="KZ279" s="23"/>
      <c r="LA279" s="23"/>
      <c r="LB279" s="23"/>
      <c r="LC279" s="23"/>
      <c r="LD279" s="23"/>
      <c r="LE279" s="23"/>
      <c r="LF279" s="23"/>
      <c r="LG279" s="23"/>
      <c r="LH279" s="23"/>
      <c r="LI279" s="23"/>
      <c r="LJ279" s="23"/>
      <c r="LK279" s="23"/>
      <c r="LL279" s="23"/>
      <c r="LM279" s="23"/>
      <c r="LN279" s="23"/>
      <c r="LO279" s="23"/>
      <c r="LP279" s="23"/>
      <c r="LQ279" s="23"/>
      <c r="LR279" s="23"/>
      <c r="LS279" s="23"/>
      <c r="LT279" s="23"/>
      <c r="LU279" s="23"/>
      <c r="LV279" s="23"/>
      <c r="LW279" s="23"/>
      <c r="LX279" s="23"/>
      <c r="LY279" s="23"/>
      <c r="LZ279" s="23"/>
      <c r="MA279" s="23"/>
      <c r="MB279" s="23"/>
      <c r="MC279" s="23"/>
      <c r="MD279" s="23"/>
      <c r="ME279" s="23"/>
      <c r="MF279" s="23"/>
      <c r="MG279" s="23"/>
      <c r="MH279" s="23"/>
      <c r="MI279" s="23"/>
      <c r="MJ279" s="23"/>
      <c r="MK279" s="23"/>
      <c r="ML279" s="23"/>
      <c r="MM279" s="23"/>
      <c r="MN279" s="23"/>
      <c r="MO279" s="23"/>
      <c r="MP279" s="23"/>
      <c r="MQ279" s="23"/>
      <c r="MR279" s="23"/>
      <c r="MS279" s="23"/>
      <c r="MT279" s="23"/>
      <c r="MU279" s="23"/>
      <c r="MV279" s="23"/>
      <c r="MW279" s="23"/>
      <c r="MX279" s="23"/>
      <c r="MY279" s="23"/>
      <c r="MZ279" s="23"/>
      <c r="NA279" s="23"/>
      <c r="NB279" s="23"/>
      <c r="NC279" s="23"/>
      <c r="ND279" s="23"/>
      <c r="NE279" s="23"/>
      <c r="NF279" s="23"/>
      <c r="NG279" s="23"/>
      <c r="NH279" s="23"/>
      <c r="NI279" s="23"/>
      <c r="NJ279" s="23"/>
      <c r="NK279" s="23"/>
      <c r="NL279" s="23"/>
      <c r="NM279" s="23"/>
      <c r="NN279" s="23"/>
    </row>
    <row r="280" spans="5:378" ht="15" customHeight="1"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  <c r="IL280" s="23"/>
      <c r="IM280" s="23"/>
      <c r="IN280" s="23"/>
      <c r="IO280" s="23"/>
      <c r="IP280" s="23"/>
      <c r="IQ280" s="23"/>
      <c r="IR280" s="23"/>
      <c r="IS280" s="23"/>
      <c r="IT280" s="23"/>
      <c r="IU280" s="23"/>
      <c r="IV280" s="23"/>
      <c r="IW280" s="23"/>
      <c r="IX280" s="23"/>
      <c r="IY280" s="23"/>
      <c r="IZ280" s="23"/>
      <c r="JA280" s="23"/>
      <c r="JB280" s="23"/>
      <c r="JC280" s="23"/>
      <c r="JD280" s="23"/>
      <c r="JE280" s="23"/>
      <c r="JF280" s="23"/>
      <c r="JG280" s="23"/>
      <c r="JH280" s="23"/>
      <c r="JI280" s="23"/>
      <c r="JJ280" s="23"/>
      <c r="JK280" s="23"/>
      <c r="JL280" s="23"/>
      <c r="JM280" s="23"/>
      <c r="JN280" s="23"/>
      <c r="JO280" s="23"/>
      <c r="JP280" s="23"/>
      <c r="JQ280" s="23"/>
      <c r="JR280" s="23"/>
      <c r="JS280" s="23"/>
      <c r="JT280" s="23"/>
      <c r="JU280" s="23"/>
      <c r="JV280" s="23"/>
      <c r="JW280" s="23"/>
      <c r="JX280" s="23"/>
      <c r="JY280" s="23"/>
      <c r="JZ280" s="23"/>
      <c r="KA280" s="23"/>
      <c r="KB280" s="23"/>
      <c r="KC280" s="23"/>
      <c r="KD280" s="23"/>
      <c r="KE280" s="23"/>
      <c r="KF280" s="23"/>
      <c r="KG280" s="23"/>
      <c r="KH280" s="23"/>
      <c r="KI280" s="23"/>
      <c r="KJ280" s="23"/>
      <c r="KK280" s="23"/>
      <c r="KL280" s="23"/>
      <c r="KM280" s="23"/>
      <c r="KN280" s="23"/>
      <c r="KO280" s="23"/>
      <c r="KP280" s="23"/>
      <c r="KQ280" s="23"/>
      <c r="KR280" s="23"/>
      <c r="KS280" s="23"/>
      <c r="KT280" s="23"/>
      <c r="KU280" s="23"/>
      <c r="KV280" s="23"/>
      <c r="KW280" s="23"/>
      <c r="KX280" s="23"/>
      <c r="KY280" s="23"/>
      <c r="KZ280" s="23"/>
      <c r="LA280" s="23"/>
      <c r="LB280" s="23"/>
      <c r="LC280" s="23"/>
      <c r="LD280" s="23"/>
      <c r="LE280" s="23"/>
      <c r="LF280" s="23"/>
      <c r="LG280" s="23"/>
      <c r="LH280" s="23"/>
      <c r="LI280" s="23"/>
      <c r="LJ280" s="23"/>
      <c r="LK280" s="23"/>
      <c r="LL280" s="23"/>
      <c r="LM280" s="23"/>
      <c r="LN280" s="23"/>
      <c r="LO280" s="23"/>
      <c r="LP280" s="23"/>
      <c r="LQ280" s="23"/>
      <c r="LR280" s="23"/>
      <c r="LS280" s="23"/>
      <c r="LT280" s="23"/>
      <c r="LU280" s="23"/>
      <c r="LV280" s="23"/>
      <c r="LW280" s="23"/>
      <c r="LX280" s="23"/>
      <c r="LY280" s="23"/>
      <c r="LZ280" s="23"/>
      <c r="MA280" s="23"/>
      <c r="MB280" s="23"/>
      <c r="MC280" s="23"/>
      <c r="MD280" s="23"/>
      <c r="ME280" s="23"/>
      <c r="MF280" s="23"/>
      <c r="MG280" s="23"/>
      <c r="MH280" s="23"/>
      <c r="MI280" s="23"/>
      <c r="MJ280" s="23"/>
      <c r="MK280" s="23"/>
      <c r="ML280" s="23"/>
      <c r="MM280" s="23"/>
      <c r="MN280" s="23"/>
      <c r="MO280" s="23"/>
      <c r="MP280" s="23"/>
      <c r="MQ280" s="23"/>
      <c r="MR280" s="23"/>
      <c r="MS280" s="23"/>
      <c r="MT280" s="23"/>
      <c r="MU280" s="23"/>
      <c r="MV280" s="23"/>
      <c r="MW280" s="23"/>
      <c r="MX280" s="23"/>
      <c r="MY280" s="23"/>
      <c r="MZ280" s="23"/>
      <c r="NA280" s="23"/>
      <c r="NB280" s="23"/>
      <c r="NC280" s="23"/>
      <c r="ND280" s="23"/>
      <c r="NE280" s="23"/>
      <c r="NF280" s="23"/>
      <c r="NG280" s="23"/>
      <c r="NH280" s="23"/>
      <c r="NI280" s="23"/>
      <c r="NJ280" s="23"/>
      <c r="NK280" s="23"/>
      <c r="NL280" s="23"/>
      <c r="NM280" s="23"/>
      <c r="NN280" s="23"/>
    </row>
    <row r="281" spans="5:378" ht="15" customHeight="1"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  <c r="IL281" s="23"/>
      <c r="IM281" s="23"/>
      <c r="IN281" s="23"/>
      <c r="IO281" s="23"/>
      <c r="IP281" s="23"/>
      <c r="IQ281" s="23"/>
      <c r="IR281" s="23"/>
      <c r="IS281" s="23"/>
      <c r="IT281" s="23"/>
      <c r="IU281" s="23"/>
      <c r="IV281" s="23"/>
      <c r="IW281" s="23"/>
      <c r="IX281" s="23"/>
      <c r="IY281" s="23"/>
      <c r="IZ281" s="23"/>
      <c r="JA281" s="23"/>
      <c r="JB281" s="23"/>
      <c r="JC281" s="23"/>
      <c r="JD281" s="23"/>
      <c r="JE281" s="23"/>
      <c r="JF281" s="23"/>
      <c r="JG281" s="23"/>
      <c r="JH281" s="23"/>
      <c r="JI281" s="23"/>
      <c r="JJ281" s="23"/>
      <c r="JK281" s="23"/>
      <c r="JL281" s="23"/>
      <c r="JM281" s="23"/>
      <c r="JN281" s="23"/>
      <c r="JO281" s="23"/>
      <c r="JP281" s="23"/>
      <c r="JQ281" s="23"/>
      <c r="JR281" s="23"/>
      <c r="JS281" s="23"/>
      <c r="JT281" s="23"/>
      <c r="JU281" s="23"/>
      <c r="JV281" s="23"/>
      <c r="JW281" s="23"/>
      <c r="JX281" s="23"/>
      <c r="JY281" s="23"/>
      <c r="JZ281" s="23"/>
      <c r="KA281" s="23"/>
      <c r="KB281" s="23"/>
      <c r="KC281" s="23"/>
      <c r="KD281" s="23"/>
      <c r="KE281" s="23"/>
      <c r="KF281" s="23"/>
      <c r="KG281" s="23"/>
      <c r="KH281" s="23"/>
      <c r="KI281" s="23"/>
      <c r="KJ281" s="23"/>
      <c r="KK281" s="23"/>
      <c r="KL281" s="23"/>
      <c r="KM281" s="23"/>
      <c r="KN281" s="23"/>
      <c r="KO281" s="23"/>
      <c r="KP281" s="23"/>
      <c r="KQ281" s="23"/>
      <c r="KR281" s="23"/>
      <c r="KS281" s="23"/>
      <c r="KT281" s="23"/>
      <c r="KU281" s="23"/>
      <c r="KV281" s="23"/>
      <c r="KW281" s="23"/>
      <c r="KX281" s="23"/>
      <c r="KY281" s="23"/>
      <c r="KZ281" s="23"/>
      <c r="LA281" s="23"/>
      <c r="LB281" s="23"/>
      <c r="LC281" s="23"/>
      <c r="LD281" s="23"/>
      <c r="LE281" s="23"/>
      <c r="LF281" s="23"/>
      <c r="LG281" s="23"/>
      <c r="LH281" s="23"/>
      <c r="LI281" s="23"/>
      <c r="LJ281" s="23"/>
      <c r="LK281" s="23"/>
      <c r="LL281" s="23"/>
      <c r="LM281" s="23"/>
      <c r="LN281" s="23"/>
      <c r="LO281" s="23"/>
      <c r="LP281" s="23"/>
      <c r="LQ281" s="23"/>
      <c r="LR281" s="23"/>
      <c r="LS281" s="23"/>
      <c r="LT281" s="23"/>
      <c r="LU281" s="23"/>
      <c r="LV281" s="23"/>
      <c r="LW281" s="23"/>
      <c r="LX281" s="23"/>
      <c r="LY281" s="23"/>
      <c r="LZ281" s="23"/>
      <c r="MA281" s="23"/>
      <c r="MB281" s="23"/>
      <c r="MC281" s="23"/>
      <c r="MD281" s="23"/>
      <c r="ME281" s="23"/>
      <c r="MF281" s="23"/>
      <c r="MG281" s="23"/>
      <c r="MH281" s="23"/>
      <c r="MI281" s="23"/>
      <c r="MJ281" s="23"/>
      <c r="MK281" s="23"/>
      <c r="ML281" s="23"/>
      <c r="MM281" s="23"/>
      <c r="MN281" s="23"/>
      <c r="MO281" s="23"/>
      <c r="MP281" s="23"/>
      <c r="MQ281" s="23"/>
      <c r="MR281" s="23"/>
      <c r="MS281" s="23"/>
      <c r="MT281" s="23"/>
      <c r="MU281" s="23"/>
      <c r="MV281" s="23"/>
      <c r="MW281" s="23"/>
      <c r="MX281" s="23"/>
      <c r="MY281" s="23"/>
      <c r="MZ281" s="23"/>
      <c r="NA281" s="23"/>
      <c r="NB281" s="23"/>
      <c r="NC281" s="23"/>
      <c r="ND281" s="23"/>
      <c r="NE281" s="23"/>
      <c r="NF281" s="23"/>
      <c r="NG281" s="23"/>
      <c r="NH281" s="23"/>
      <c r="NI281" s="23"/>
      <c r="NJ281" s="23"/>
      <c r="NK281" s="23"/>
      <c r="NL281" s="23"/>
      <c r="NM281" s="23"/>
      <c r="NN281" s="23"/>
    </row>
    <row r="282" spans="5:378" ht="15" customHeight="1"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  <c r="IL282" s="23"/>
      <c r="IM282" s="23"/>
      <c r="IN282" s="23"/>
      <c r="IO282" s="23"/>
      <c r="IP282" s="23"/>
      <c r="IQ282" s="23"/>
      <c r="IR282" s="23"/>
      <c r="IS282" s="23"/>
      <c r="IT282" s="23"/>
      <c r="IU282" s="23"/>
      <c r="IV282" s="23"/>
      <c r="IW282" s="23"/>
      <c r="IX282" s="23"/>
      <c r="IY282" s="23"/>
      <c r="IZ282" s="23"/>
      <c r="JA282" s="23"/>
      <c r="JB282" s="23"/>
      <c r="JC282" s="23"/>
      <c r="JD282" s="23"/>
      <c r="JE282" s="23"/>
      <c r="JF282" s="23"/>
      <c r="JG282" s="23"/>
      <c r="JH282" s="23"/>
      <c r="JI282" s="23"/>
      <c r="JJ282" s="23"/>
      <c r="JK282" s="23"/>
      <c r="JL282" s="23"/>
      <c r="JM282" s="23"/>
      <c r="JN282" s="23"/>
      <c r="JO282" s="23"/>
      <c r="JP282" s="23"/>
      <c r="JQ282" s="23"/>
      <c r="JR282" s="23"/>
      <c r="JS282" s="23"/>
      <c r="JT282" s="23"/>
      <c r="JU282" s="23"/>
      <c r="JV282" s="23"/>
      <c r="JW282" s="23"/>
      <c r="JX282" s="23"/>
      <c r="JY282" s="23"/>
      <c r="JZ282" s="23"/>
      <c r="KA282" s="23"/>
      <c r="KB282" s="23"/>
      <c r="KC282" s="23"/>
      <c r="KD282" s="23"/>
      <c r="KE282" s="23"/>
      <c r="KF282" s="23"/>
      <c r="KG282" s="23"/>
      <c r="KH282" s="23"/>
      <c r="KI282" s="23"/>
      <c r="KJ282" s="23"/>
      <c r="KK282" s="23"/>
      <c r="KL282" s="23"/>
      <c r="KM282" s="23"/>
      <c r="KN282" s="23"/>
      <c r="KO282" s="23"/>
      <c r="KP282" s="23"/>
      <c r="KQ282" s="23"/>
      <c r="KR282" s="23"/>
      <c r="KS282" s="23"/>
      <c r="KT282" s="23"/>
      <c r="KU282" s="23"/>
      <c r="KV282" s="23"/>
      <c r="KW282" s="23"/>
      <c r="KX282" s="23"/>
      <c r="KY282" s="23"/>
      <c r="KZ282" s="23"/>
      <c r="LA282" s="23"/>
      <c r="LB282" s="23"/>
      <c r="LC282" s="23"/>
      <c r="LD282" s="23"/>
      <c r="LE282" s="23"/>
      <c r="LF282" s="23"/>
      <c r="LG282" s="23"/>
      <c r="LH282" s="23"/>
      <c r="LI282" s="23"/>
      <c r="LJ282" s="23"/>
      <c r="LK282" s="23"/>
      <c r="LL282" s="23"/>
      <c r="LM282" s="23"/>
      <c r="LN282" s="23"/>
      <c r="LO282" s="23"/>
      <c r="LP282" s="23"/>
      <c r="LQ282" s="23"/>
      <c r="LR282" s="23"/>
      <c r="LS282" s="23"/>
      <c r="LT282" s="23"/>
      <c r="LU282" s="23"/>
      <c r="LV282" s="23"/>
      <c r="LW282" s="23"/>
      <c r="LX282" s="23"/>
      <c r="LY282" s="23"/>
      <c r="LZ282" s="23"/>
      <c r="MA282" s="23"/>
      <c r="MB282" s="23"/>
      <c r="MC282" s="23"/>
      <c r="MD282" s="23"/>
      <c r="ME282" s="23"/>
      <c r="MF282" s="23"/>
      <c r="MG282" s="23"/>
      <c r="MH282" s="23"/>
      <c r="MI282" s="23"/>
      <c r="MJ282" s="23"/>
      <c r="MK282" s="23"/>
      <c r="ML282" s="23"/>
      <c r="MM282" s="23"/>
      <c r="MN282" s="23"/>
      <c r="MO282" s="23"/>
      <c r="MP282" s="23"/>
      <c r="MQ282" s="23"/>
      <c r="MR282" s="23"/>
      <c r="MS282" s="23"/>
      <c r="MT282" s="23"/>
      <c r="MU282" s="23"/>
      <c r="MV282" s="23"/>
      <c r="MW282" s="23"/>
      <c r="MX282" s="23"/>
      <c r="MY282" s="23"/>
      <c r="MZ282" s="23"/>
      <c r="NA282" s="23"/>
      <c r="NB282" s="23"/>
      <c r="NC282" s="23"/>
      <c r="ND282" s="23"/>
      <c r="NE282" s="23"/>
      <c r="NF282" s="23"/>
      <c r="NG282" s="23"/>
      <c r="NH282" s="23"/>
      <c r="NI282" s="23"/>
      <c r="NJ282" s="23"/>
      <c r="NK282" s="23"/>
      <c r="NL282" s="23"/>
      <c r="NM282" s="23"/>
      <c r="NN282" s="23"/>
    </row>
    <row r="283" spans="5:378" ht="15" customHeight="1"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  <c r="IL283" s="23"/>
      <c r="IM283" s="23"/>
      <c r="IN283" s="23"/>
      <c r="IO283" s="23"/>
      <c r="IP283" s="23"/>
      <c r="IQ283" s="23"/>
      <c r="IR283" s="23"/>
      <c r="IS283" s="23"/>
      <c r="IT283" s="23"/>
      <c r="IU283" s="23"/>
      <c r="IV283" s="23"/>
      <c r="IW283" s="23"/>
      <c r="IX283" s="23"/>
      <c r="IY283" s="23"/>
      <c r="IZ283" s="23"/>
      <c r="JA283" s="23"/>
      <c r="JB283" s="23"/>
      <c r="JC283" s="23"/>
      <c r="JD283" s="23"/>
      <c r="JE283" s="23"/>
      <c r="JF283" s="23"/>
      <c r="JG283" s="23"/>
      <c r="JH283" s="23"/>
      <c r="JI283" s="23"/>
      <c r="JJ283" s="23"/>
      <c r="JK283" s="23"/>
      <c r="JL283" s="23"/>
      <c r="JM283" s="23"/>
      <c r="JN283" s="23"/>
      <c r="JO283" s="23"/>
      <c r="JP283" s="23"/>
      <c r="JQ283" s="23"/>
      <c r="JR283" s="23"/>
      <c r="JS283" s="23"/>
      <c r="JT283" s="23"/>
      <c r="JU283" s="23"/>
      <c r="JV283" s="23"/>
      <c r="JW283" s="23"/>
      <c r="JX283" s="23"/>
      <c r="JY283" s="23"/>
      <c r="JZ283" s="23"/>
      <c r="KA283" s="23"/>
      <c r="KB283" s="23"/>
      <c r="KC283" s="23"/>
      <c r="KD283" s="23"/>
      <c r="KE283" s="23"/>
      <c r="KF283" s="23"/>
      <c r="KG283" s="23"/>
      <c r="KH283" s="23"/>
      <c r="KI283" s="23"/>
      <c r="KJ283" s="23"/>
      <c r="KK283" s="23"/>
      <c r="KL283" s="23"/>
      <c r="KM283" s="23"/>
      <c r="KN283" s="23"/>
      <c r="KO283" s="23"/>
      <c r="KP283" s="23"/>
      <c r="KQ283" s="23"/>
      <c r="KR283" s="23"/>
      <c r="KS283" s="23"/>
      <c r="KT283" s="23"/>
      <c r="KU283" s="23"/>
      <c r="KV283" s="23"/>
      <c r="KW283" s="23"/>
      <c r="KX283" s="23"/>
      <c r="KY283" s="23"/>
      <c r="KZ283" s="23"/>
      <c r="LA283" s="23"/>
      <c r="LB283" s="23"/>
      <c r="LC283" s="23"/>
      <c r="LD283" s="23"/>
      <c r="LE283" s="23"/>
      <c r="LF283" s="23"/>
      <c r="LG283" s="23"/>
      <c r="LH283" s="23"/>
      <c r="LI283" s="23"/>
      <c r="LJ283" s="23"/>
      <c r="LK283" s="23"/>
      <c r="LL283" s="23"/>
      <c r="LM283" s="23"/>
      <c r="LN283" s="23"/>
      <c r="LO283" s="23"/>
      <c r="LP283" s="23"/>
      <c r="LQ283" s="23"/>
      <c r="LR283" s="23"/>
      <c r="LS283" s="23"/>
      <c r="LT283" s="23"/>
      <c r="LU283" s="23"/>
      <c r="LV283" s="23"/>
      <c r="LW283" s="23"/>
      <c r="LX283" s="23"/>
      <c r="LY283" s="23"/>
      <c r="LZ283" s="23"/>
      <c r="MA283" s="23"/>
      <c r="MB283" s="23"/>
      <c r="MC283" s="23"/>
      <c r="MD283" s="23"/>
      <c r="ME283" s="23"/>
      <c r="MF283" s="23"/>
      <c r="MG283" s="23"/>
      <c r="MH283" s="23"/>
      <c r="MI283" s="23"/>
      <c r="MJ283" s="23"/>
      <c r="MK283" s="23"/>
      <c r="ML283" s="23"/>
      <c r="MM283" s="23"/>
      <c r="MN283" s="23"/>
      <c r="MO283" s="23"/>
      <c r="MP283" s="23"/>
      <c r="MQ283" s="23"/>
      <c r="MR283" s="23"/>
      <c r="MS283" s="23"/>
      <c r="MT283" s="23"/>
      <c r="MU283" s="23"/>
      <c r="MV283" s="23"/>
      <c r="MW283" s="23"/>
      <c r="MX283" s="23"/>
      <c r="MY283" s="23"/>
      <c r="MZ283" s="23"/>
      <c r="NA283" s="23"/>
      <c r="NB283" s="23"/>
      <c r="NC283" s="23"/>
      <c r="ND283" s="23"/>
      <c r="NE283" s="23"/>
      <c r="NF283" s="23"/>
      <c r="NG283" s="23"/>
      <c r="NH283" s="23"/>
      <c r="NI283" s="23"/>
      <c r="NJ283" s="23"/>
      <c r="NK283" s="23"/>
      <c r="NL283" s="23"/>
      <c r="NM283" s="23"/>
      <c r="NN283" s="23"/>
    </row>
    <row r="284" spans="5:378" ht="15" customHeight="1"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  <c r="IL284" s="23"/>
      <c r="IM284" s="23"/>
      <c r="IN284" s="23"/>
      <c r="IO284" s="23"/>
      <c r="IP284" s="23"/>
      <c r="IQ284" s="23"/>
      <c r="IR284" s="23"/>
      <c r="IS284" s="23"/>
      <c r="IT284" s="23"/>
      <c r="IU284" s="23"/>
      <c r="IV284" s="23"/>
      <c r="IW284" s="23"/>
      <c r="IX284" s="23"/>
      <c r="IY284" s="23"/>
      <c r="IZ284" s="23"/>
      <c r="JA284" s="23"/>
      <c r="JB284" s="23"/>
      <c r="JC284" s="23"/>
      <c r="JD284" s="23"/>
      <c r="JE284" s="23"/>
      <c r="JF284" s="23"/>
      <c r="JG284" s="23"/>
      <c r="JH284" s="23"/>
      <c r="JI284" s="23"/>
      <c r="JJ284" s="23"/>
      <c r="JK284" s="23"/>
      <c r="JL284" s="23"/>
      <c r="JM284" s="23"/>
      <c r="JN284" s="23"/>
      <c r="JO284" s="23"/>
      <c r="JP284" s="23"/>
      <c r="JQ284" s="23"/>
      <c r="JR284" s="23"/>
      <c r="JS284" s="23"/>
      <c r="JT284" s="23"/>
      <c r="JU284" s="23"/>
      <c r="JV284" s="23"/>
      <c r="JW284" s="23"/>
      <c r="JX284" s="23"/>
      <c r="JY284" s="23"/>
      <c r="JZ284" s="23"/>
      <c r="KA284" s="23"/>
      <c r="KB284" s="23"/>
      <c r="KC284" s="23"/>
      <c r="KD284" s="23"/>
      <c r="KE284" s="23"/>
      <c r="KF284" s="23"/>
      <c r="KG284" s="23"/>
      <c r="KH284" s="23"/>
      <c r="KI284" s="23"/>
      <c r="KJ284" s="23"/>
      <c r="KK284" s="23"/>
      <c r="KL284" s="23"/>
      <c r="KM284" s="23"/>
      <c r="KN284" s="23"/>
      <c r="KO284" s="23"/>
      <c r="KP284" s="23"/>
      <c r="KQ284" s="23"/>
      <c r="KR284" s="23"/>
      <c r="KS284" s="23"/>
      <c r="KT284" s="23"/>
      <c r="KU284" s="23"/>
      <c r="KV284" s="23"/>
      <c r="KW284" s="23"/>
      <c r="KX284" s="23"/>
      <c r="KY284" s="23"/>
      <c r="KZ284" s="23"/>
      <c r="LA284" s="23"/>
      <c r="LB284" s="23"/>
      <c r="LC284" s="23"/>
      <c r="LD284" s="23"/>
      <c r="LE284" s="23"/>
      <c r="LF284" s="23"/>
      <c r="LG284" s="23"/>
      <c r="LH284" s="23"/>
      <c r="LI284" s="23"/>
      <c r="LJ284" s="23"/>
      <c r="LK284" s="23"/>
      <c r="LL284" s="23"/>
      <c r="LM284" s="23"/>
      <c r="LN284" s="23"/>
      <c r="LO284" s="23"/>
      <c r="LP284" s="23"/>
      <c r="LQ284" s="23"/>
      <c r="LR284" s="23"/>
      <c r="LS284" s="23"/>
      <c r="LT284" s="23"/>
      <c r="LU284" s="23"/>
      <c r="LV284" s="23"/>
      <c r="LW284" s="23"/>
      <c r="LX284" s="23"/>
      <c r="LY284" s="23"/>
      <c r="LZ284" s="23"/>
      <c r="MA284" s="23"/>
      <c r="MB284" s="23"/>
      <c r="MC284" s="23"/>
      <c r="MD284" s="23"/>
      <c r="ME284" s="23"/>
      <c r="MF284" s="23"/>
      <c r="MG284" s="23"/>
      <c r="MH284" s="23"/>
      <c r="MI284" s="23"/>
      <c r="MJ284" s="23"/>
      <c r="MK284" s="23"/>
      <c r="ML284" s="23"/>
      <c r="MM284" s="23"/>
      <c r="MN284" s="23"/>
      <c r="MO284" s="23"/>
      <c r="MP284" s="23"/>
      <c r="MQ284" s="23"/>
      <c r="MR284" s="23"/>
      <c r="MS284" s="23"/>
      <c r="MT284" s="23"/>
      <c r="MU284" s="23"/>
      <c r="MV284" s="23"/>
      <c r="MW284" s="23"/>
      <c r="MX284" s="23"/>
      <c r="MY284" s="23"/>
      <c r="MZ284" s="23"/>
      <c r="NA284" s="23"/>
      <c r="NB284" s="23"/>
      <c r="NC284" s="23"/>
      <c r="ND284" s="23"/>
      <c r="NE284" s="23"/>
      <c r="NF284" s="23"/>
      <c r="NG284" s="23"/>
      <c r="NH284" s="23"/>
      <c r="NI284" s="23"/>
      <c r="NJ284" s="23"/>
      <c r="NK284" s="23"/>
      <c r="NL284" s="23"/>
      <c r="NM284" s="23"/>
      <c r="NN284" s="23"/>
    </row>
    <row r="285" spans="5:378" ht="15" customHeight="1"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  <c r="IL285" s="23"/>
      <c r="IM285" s="23"/>
      <c r="IN285" s="23"/>
      <c r="IO285" s="23"/>
      <c r="IP285" s="23"/>
      <c r="IQ285" s="23"/>
      <c r="IR285" s="23"/>
      <c r="IS285" s="23"/>
      <c r="IT285" s="23"/>
      <c r="IU285" s="23"/>
      <c r="IV285" s="23"/>
      <c r="IW285" s="23"/>
      <c r="IX285" s="23"/>
      <c r="IY285" s="23"/>
      <c r="IZ285" s="23"/>
      <c r="JA285" s="23"/>
      <c r="JB285" s="23"/>
      <c r="JC285" s="23"/>
      <c r="JD285" s="23"/>
      <c r="JE285" s="23"/>
      <c r="JF285" s="23"/>
      <c r="JG285" s="23"/>
      <c r="JH285" s="23"/>
      <c r="JI285" s="23"/>
      <c r="JJ285" s="23"/>
      <c r="JK285" s="23"/>
      <c r="JL285" s="23"/>
      <c r="JM285" s="23"/>
      <c r="JN285" s="23"/>
      <c r="JO285" s="23"/>
      <c r="JP285" s="23"/>
      <c r="JQ285" s="23"/>
      <c r="JR285" s="23"/>
      <c r="JS285" s="23"/>
      <c r="JT285" s="23"/>
      <c r="JU285" s="23"/>
      <c r="JV285" s="23"/>
      <c r="JW285" s="23"/>
      <c r="JX285" s="23"/>
      <c r="JY285" s="23"/>
      <c r="JZ285" s="23"/>
      <c r="KA285" s="23"/>
      <c r="KB285" s="23"/>
      <c r="KC285" s="23"/>
      <c r="KD285" s="23"/>
      <c r="KE285" s="23"/>
      <c r="KF285" s="23"/>
      <c r="KG285" s="23"/>
      <c r="KH285" s="23"/>
      <c r="KI285" s="23"/>
      <c r="KJ285" s="23"/>
      <c r="KK285" s="23"/>
      <c r="KL285" s="23"/>
      <c r="KM285" s="23"/>
      <c r="KN285" s="23"/>
      <c r="KO285" s="23"/>
      <c r="KP285" s="23"/>
      <c r="KQ285" s="23"/>
      <c r="KR285" s="23"/>
      <c r="KS285" s="23"/>
      <c r="KT285" s="23"/>
      <c r="KU285" s="23"/>
      <c r="KV285" s="23"/>
      <c r="KW285" s="23"/>
      <c r="KX285" s="23"/>
      <c r="KY285" s="23"/>
      <c r="KZ285" s="23"/>
      <c r="LA285" s="23"/>
      <c r="LB285" s="23"/>
      <c r="LC285" s="23"/>
      <c r="LD285" s="23"/>
      <c r="LE285" s="23"/>
      <c r="LF285" s="23"/>
      <c r="LG285" s="23"/>
      <c r="LH285" s="23"/>
      <c r="LI285" s="23"/>
      <c r="LJ285" s="23"/>
      <c r="LK285" s="23"/>
      <c r="LL285" s="23"/>
      <c r="LM285" s="23"/>
      <c r="LN285" s="23"/>
      <c r="LO285" s="23"/>
      <c r="LP285" s="23"/>
      <c r="LQ285" s="23"/>
      <c r="LR285" s="23"/>
      <c r="LS285" s="23"/>
      <c r="LT285" s="23"/>
      <c r="LU285" s="23"/>
      <c r="LV285" s="23"/>
      <c r="LW285" s="23"/>
      <c r="LX285" s="23"/>
      <c r="LY285" s="23"/>
      <c r="LZ285" s="23"/>
      <c r="MA285" s="23"/>
      <c r="MB285" s="23"/>
      <c r="MC285" s="23"/>
      <c r="MD285" s="23"/>
      <c r="ME285" s="23"/>
      <c r="MF285" s="23"/>
      <c r="MG285" s="23"/>
      <c r="MH285" s="23"/>
      <c r="MI285" s="23"/>
      <c r="MJ285" s="23"/>
      <c r="MK285" s="23"/>
      <c r="ML285" s="23"/>
      <c r="MM285" s="23"/>
      <c r="MN285" s="23"/>
      <c r="MO285" s="23"/>
      <c r="MP285" s="23"/>
      <c r="MQ285" s="23"/>
      <c r="MR285" s="23"/>
      <c r="MS285" s="23"/>
      <c r="MT285" s="23"/>
      <c r="MU285" s="23"/>
      <c r="MV285" s="23"/>
      <c r="MW285" s="23"/>
      <c r="MX285" s="23"/>
      <c r="MY285" s="23"/>
      <c r="MZ285" s="23"/>
      <c r="NA285" s="23"/>
      <c r="NB285" s="23"/>
      <c r="NC285" s="23"/>
      <c r="ND285" s="23"/>
      <c r="NE285" s="23"/>
      <c r="NF285" s="23"/>
      <c r="NG285" s="23"/>
      <c r="NH285" s="23"/>
      <c r="NI285" s="23"/>
      <c r="NJ285" s="23"/>
      <c r="NK285" s="23"/>
      <c r="NL285" s="23"/>
      <c r="NM285" s="23"/>
      <c r="NN285" s="23"/>
    </row>
    <row r="286" spans="5:378" ht="15" customHeight="1"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  <c r="IL286" s="23"/>
      <c r="IM286" s="23"/>
      <c r="IN286" s="23"/>
      <c r="IO286" s="23"/>
      <c r="IP286" s="23"/>
      <c r="IQ286" s="23"/>
      <c r="IR286" s="23"/>
      <c r="IS286" s="23"/>
      <c r="IT286" s="23"/>
      <c r="IU286" s="23"/>
      <c r="IV286" s="23"/>
      <c r="IW286" s="23"/>
      <c r="IX286" s="23"/>
      <c r="IY286" s="23"/>
      <c r="IZ286" s="23"/>
      <c r="JA286" s="23"/>
      <c r="JB286" s="23"/>
      <c r="JC286" s="23"/>
      <c r="JD286" s="23"/>
      <c r="JE286" s="23"/>
      <c r="JF286" s="23"/>
      <c r="JG286" s="23"/>
      <c r="JH286" s="23"/>
      <c r="JI286" s="23"/>
      <c r="JJ286" s="23"/>
      <c r="JK286" s="23"/>
      <c r="JL286" s="23"/>
      <c r="JM286" s="23"/>
      <c r="JN286" s="23"/>
      <c r="JO286" s="23"/>
      <c r="JP286" s="23"/>
      <c r="JQ286" s="23"/>
      <c r="JR286" s="23"/>
      <c r="JS286" s="23"/>
      <c r="JT286" s="23"/>
      <c r="JU286" s="23"/>
      <c r="JV286" s="23"/>
      <c r="JW286" s="23"/>
      <c r="JX286" s="23"/>
      <c r="JY286" s="23"/>
      <c r="JZ286" s="23"/>
      <c r="KA286" s="23"/>
      <c r="KB286" s="23"/>
      <c r="KC286" s="23"/>
      <c r="KD286" s="23"/>
      <c r="KE286" s="23"/>
      <c r="KF286" s="23"/>
      <c r="KG286" s="23"/>
      <c r="KH286" s="23"/>
      <c r="KI286" s="23"/>
      <c r="KJ286" s="23"/>
      <c r="KK286" s="23"/>
      <c r="KL286" s="23"/>
      <c r="KM286" s="23"/>
      <c r="KN286" s="23"/>
      <c r="KO286" s="23"/>
      <c r="KP286" s="23"/>
      <c r="KQ286" s="23"/>
      <c r="KR286" s="23"/>
      <c r="KS286" s="23"/>
      <c r="KT286" s="23"/>
      <c r="KU286" s="23"/>
      <c r="KV286" s="23"/>
      <c r="KW286" s="23"/>
      <c r="KX286" s="23"/>
      <c r="KY286" s="23"/>
      <c r="KZ286" s="23"/>
      <c r="LA286" s="23"/>
      <c r="LB286" s="23"/>
      <c r="LC286" s="23"/>
      <c r="LD286" s="23"/>
      <c r="LE286" s="23"/>
      <c r="LF286" s="23"/>
      <c r="LG286" s="23"/>
      <c r="LH286" s="23"/>
      <c r="LI286" s="23"/>
      <c r="LJ286" s="23"/>
      <c r="LK286" s="23"/>
      <c r="LL286" s="23"/>
      <c r="LM286" s="23"/>
      <c r="LN286" s="23"/>
      <c r="LO286" s="23"/>
      <c r="LP286" s="23"/>
      <c r="LQ286" s="23"/>
      <c r="LR286" s="23"/>
      <c r="LS286" s="23"/>
      <c r="LT286" s="23"/>
      <c r="LU286" s="23"/>
      <c r="LV286" s="23"/>
      <c r="LW286" s="23"/>
      <c r="LX286" s="23"/>
      <c r="LY286" s="23"/>
      <c r="LZ286" s="23"/>
      <c r="MA286" s="23"/>
      <c r="MB286" s="23"/>
      <c r="MC286" s="23"/>
      <c r="MD286" s="23"/>
      <c r="ME286" s="23"/>
      <c r="MF286" s="23"/>
      <c r="MG286" s="23"/>
      <c r="MH286" s="23"/>
      <c r="MI286" s="23"/>
      <c r="MJ286" s="23"/>
      <c r="MK286" s="23"/>
      <c r="ML286" s="23"/>
      <c r="MM286" s="23"/>
      <c r="MN286" s="23"/>
      <c r="MO286" s="23"/>
      <c r="MP286" s="23"/>
      <c r="MQ286" s="23"/>
      <c r="MR286" s="23"/>
      <c r="MS286" s="23"/>
      <c r="MT286" s="23"/>
      <c r="MU286" s="23"/>
      <c r="MV286" s="23"/>
      <c r="MW286" s="23"/>
      <c r="MX286" s="23"/>
      <c r="MY286" s="23"/>
      <c r="MZ286" s="23"/>
      <c r="NA286" s="23"/>
      <c r="NB286" s="23"/>
      <c r="NC286" s="23"/>
      <c r="ND286" s="23"/>
      <c r="NE286" s="23"/>
      <c r="NF286" s="23"/>
      <c r="NG286" s="23"/>
      <c r="NH286" s="23"/>
      <c r="NI286" s="23"/>
      <c r="NJ286" s="23"/>
      <c r="NK286" s="23"/>
      <c r="NL286" s="23"/>
      <c r="NM286" s="23"/>
      <c r="NN286" s="23"/>
    </row>
    <row r="287" spans="5:378" ht="15" customHeight="1"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  <c r="IL287" s="23"/>
      <c r="IM287" s="23"/>
      <c r="IN287" s="23"/>
      <c r="IO287" s="23"/>
      <c r="IP287" s="23"/>
      <c r="IQ287" s="23"/>
      <c r="IR287" s="23"/>
      <c r="IS287" s="23"/>
      <c r="IT287" s="23"/>
      <c r="IU287" s="23"/>
      <c r="IV287" s="23"/>
      <c r="IW287" s="23"/>
      <c r="IX287" s="23"/>
      <c r="IY287" s="23"/>
      <c r="IZ287" s="23"/>
      <c r="JA287" s="23"/>
      <c r="JB287" s="23"/>
      <c r="JC287" s="23"/>
      <c r="JD287" s="23"/>
      <c r="JE287" s="23"/>
      <c r="JF287" s="23"/>
      <c r="JG287" s="23"/>
      <c r="JH287" s="23"/>
      <c r="JI287" s="23"/>
      <c r="JJ287" s="23"/>
      <c r="JK287" s="23"/>
      <c r="JL287" s="23"/>
      <c r="JM287" s="23"/>
      <c r="JN287" s="23"/>
      <c r="JO287" s="23"/>
      <c r="JP287" s="23"/>
      <c r="JQ287" s="23"/>
      <c r="JR287" s="23"/>
      <c r="JS287" s="23"/>
      <c r="JT287" s="23"/>
      <c r="JU287" s="23"/>
      <c r="JV287" s="23"/>
      <c r="JW287" s="23"/>
      <c r="JX287" s="23"/>
      <c r="JY287" s="23"/>
      <c r="JZ287" s="23"/>
      <c r="KA287" s="23"/>
      <c r="KB287" s="23"/>
      <c r="KC287" s="23"/>
      <c r="KD287" s="23"/>
      <c r="KE287" s="23"/>
      <c r="KF287" s="23"/>
      <c r="KG287" s="23"/>
      <c r="KH287" s="23"/>
      <c r="KI287" s="23"/>
      <c r="KJ287" s="23"/>
      <c r="KK287" s="23"/>
      <c r="KL287" s="23"/>
      <c r="KM287" s="23"/>
      <c r="KN287" s="23"/>
      <c r="KO287" s="23"/>
      <c r="KP287" s="23"/>
      <c r="KQ287" s="23"/>
      <c r="KR287" s="23"/>
      <c r="KS287" s="23"/>
      <c r="KT287" s="23"/>
      <c r="KU287" s="23"/>
      <c r="KV287" s="23"/>
      <c r="KW287" s="23"/>
      <c r="KX287" s="23"/>
      <c r="KY287" s="23"/>
      <c r="KZ287" s="23"/>
      <c r="LA287" s="23"/>
      <c r="LB287" s="23"/>
      <c r="LC287" s="23"/>
      <c r="LD287" s="23"/>
      <c r="LE287" s="23"/>
      <c r="LF287" s="23"/>
      <c r="LG287" s="23"/>
      <c r="LH287" s="23"/>
      <c r="LI287" s="23"/>
      <c r="LJ287" s="23"/>
      <c r="LK287" s="23"/>
      <c r="LL287" s="23"/>
      <c r="LM287" s="23"/>
      <c r="LN287" s="23"/>
      <c r="LO287" s="23"/>
      <c r="LP287" s="23"/>
      <c r="LQ287" s="23"/>
      <c r="LR287" s="23"/>
      <c r="LS287" s="23"/>
      <c r="LT287" s="23"/>
      <c r="LU287" s="23"/>
      <c r="LV287" s="23"/>
      <c r="LW287" s="23"/>
      <c r="LX287" s="23"/>
      <c r="LY287" s="23"/>
      <c r="LZ287" s="23"/>
      <c r="MA287" s="23"/>
      <c r="MB287" s="23"/>
      <c r="MC287" s="23"/>
      <c r="MD287" s="23"/>
      <c r="ME287" s="23"/>
      <c r="MF287" s="23"/>
      <c r="MG287" s="23"/>
      <c r="MH287" s="23"/>
      <c r="MI287" s="23"/>
      <c r="MJ287" s="23"/>
      <c r="MK287" s="23"/>
      <c r="ML287" s="23"/>
      <c r="MM287" s="23"/>
      <c r="MN287" s="23"/>
      <c r="MO287" s="23"/>
      <c r="MP287" s="23"/>
      <c r="MQ287" s="23"/>
      <c r="MR287" s="23"/>
      <c r="MS287" s="23"/>
      <c r="MT287" s="23"/>
      <c r="MU287" s="23"/>
      <c r="MV287" s="23"/>
      <c r="MW287" s="23"/>
      <c r="MX287" s="23"/>
      <c r="MY287" s="23"/>
      <c r="MZ287" s="23"/>
      <c r="NA287" s="23"/>
      <c r="NB287" s="23"/>
      <c r="NC287" s="23"/>
      <c r="ND287" s="23"/>
      <c r="NE287" s="23"/>
      <c r="NF287" s="23"/>
      <c r="NG287" s="23"/>
      <c r="NH287" s="23"/>
      <c r="NI287" s="23"/>
      <c r="NJ287" s="23"/>
      <c r="NK287" s="23"/>
      <c r="NL287" s="23"/>
      <c r="NM287" s="23"/>
      <c r="NN287" s="23"/>
    </row>
    <row r="288" spans="5:378" ht="15" customHeight="1"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  <c r="IL288" s="23"/>
      <c r="IM288" s="23"/>
      <c r="IN288" s="23"/>
      <c r="IO288" s="23"/>
      <c r="IP288" s="23"/>
      <c r="IQ288" s="23"/>
      <c r="IR288" s="23"/>
      <c r="IS288" s="23"/>
      <c r="IT288" s="23"/>
      <c r="IU288" s="23"/>
      <c r="IV288" s="23"/>
      <c r="IW288" s="23"/>
      <c r="IX288" s="23"/>
      <c r="IY288" s="23"/>
      <c r="IZ288" s="23"/>
      <c r="JA288" s="23"/>
      <c r="JB288" s="23"/>
      <c r="JC288" s="23"/>
      <c r="JD288" s="23"/>
      <c r="JE288" s="23"/>
      <c r="JF288" s="23"/>
      <c r="JG288" s="23"/>
      <c r="JH288" s="23"/>
      <c r="JI288" s="23"/>
      <c r="JJ288" s="23"/>
      <c r="JK288" s="23"/>
      <c r="JL288" s="23"/>
      <c r="JM288" s="23"/>
      <c r="JN288" s="23"/>
      <c r="JO288" s="23"/>
      <c r="JP288" s="23"/>
      <c r="JQ288" s="23"/>
      <c r="JR288" s="23"/>
      <c r="JS288" s="23"/>
      <c r="JT288" s="23"/>
      <c r="JU288" s="23"/>
      <c r="JV288" s="23"/>
      <c r="JW288" s="23"/>
      <c r="JX288" s="23"/>
      <c r="JY288" s="23"/>
      <c r="JZ288" s="23"/>
      <c r="KA288" s="23"/>
      <c r="KB288" s="23"/>
      <c r="KC288" s="23"/>
      <c r="KD288" s="23"/>
      <c r="KE288" s="23"/>
      <c r="KF288" s="23"/>
      <c r="KG288" s="23"/>
      <c r="KH288" s="23"/>
      <c r="KI288" s="23"/>
      <c r="KJ288" s="23"/>
      <c r="KK288" s="23"/>
      <c r="KL288" s="23"/>
      <c r="KM288" s="23"/>
      <c r="KN288" s="23"/>
      <c r="KO288" s="23"/>
      <c r="KP288" s="23"/>
      <c r="KQ288" s="23"/>
      <c r="KR288" s="23"/>
      <c r="KS288" s="23"/>
      <c r="KT288" s="23"/>
      <c r="KU288" s="23"/>
      <c r="KV288" s="23"/>
      <c r="KW288" s="23"/>
      <c r="KX288" s="23"/>
      <c r="KY288" s="23"/>
      <c r="KZ288" s="23"/>
      <c r="LA288" s="23"/>
      <c r="LB288" s="23"/>
      <c r="LC288" s="23"/>
      <c r="LD288" s="23"/>
      <c r="LE288" s="23"/>
      <c r="LF288" s="23"/>
      <c r="LG288" s="23"/>
      <c r="LH288" s="23"/>
      <c r="LI288" s="23"/>
      <c r="LJ288" s="23"/>
      <c r="LK288" s="23"/>
      <c r="LL288" s="23"/>
      <c r="LM288" s="23"/>
      <c r="LN288" s="23"/>
      <c r="LO288" s="23"/>
      <c r="LP288" s="23"/>
      <c r="LQ288" s="23"/>
      <c r="LR288" s="23"/>
      <c r="LS288" s="23"/>
      <c r="LT288" s="23"/>
      <c r="LU288" s="23"/>
      <c r="LV288" s="23"/>
      <c r="LW288" s="23"/>
      <c r="LX288" s="23"/>
      <c r="LY288" s="23"/>
      <c r="LZ288" s="23"/>
      <c r="MA288" s="23"/>
      <c r="MB288" s="23"/>
      <c r="MC288" s="23"/>
      <c r="MD288" s="23"/>
      <c r="ME288" s="23"/>
      <c r="MF288" s="23"/>
      <c r="MG288" s="23"/>
      <c r="MH288" s="23"/>
      <c r="MI288" s="23"/>
      <c r="MJ288" s="23"/>
      <c r="MK288" s="23"/>
      <c r="ML288" s="23"/>
      <c r="MM288" s="23"/>
      <c r="MN288" s="23"/>
      <c r="MO288" s="23"/>
      <c r="MP288" s="23"/>
      <c r="MQ288" s="23"/>
      <c r="MR288" s="23"/>
      <c r="MS288" s="23"/>
      <c r="MT288" s="23"/>
      <c r="MU288" s="23"/>
      <c r="MV288" s="23"/>
      <c r="MW288" s="23"/>
      <c r="MX288" s="23"/>
      <c r="MY288" s="23"/>
      <c r="MZ288" s="23"/>
      <c r="NA288" s="23"/>
      <c r="NB288" s="23"/>
      <c r="NC288" s="23"/>
      <c r="ND288" s="23"/>
      <c r="NE288" s="23"/>
      <c r="NF288" s="23"/>
      <c r="NG288" s="23"/>
      <c r="NH288" s="23"/>
      <c r="NI288" s="23"/>
      <c r="NJ288" s="23"/>
      <c r="NK288" s="23"/>
      <c r="NL288" s="23"/>
      <c r="NM288" s="23"/>
      <c r="NN288" s="23"/>
    </row>
    <row r="289" spans="5:378" ht="15" customHeight="1"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  <c r="IL289" s="23"/>
      <c r="IM289" s="23"/>
      <c r="IN289" s="23"/>
      <c r="IO289" s="23"/>
      <c r="IP289" s="23"/>
      <c r="IQ289" s="23"/>
      <c r="IR289" s="23"/>
      <c r="IS289" s="23"/>
      <c r="IT289" s="23"/>
      <c r="IU289" s="23"/>
      <c r="IV289" s="23"/>
      <c r="IW289" s="23"/>
      <c r="IX289" s="23"/>
      <c r="IY289" s="23"/>
      <c r="IZ289" s="23"/>
      <c r="JA289" s="23"/>
      <c r="JB289" s="23"/>
      <c r="JC289" s="23"/>
      <c r="JD289" s="23"/>
      <c r="JE289" s="23"/>
      <c r="JF289" s="23"/>
      <c r="JG289" s="23"/>
      <c r="JH289" s="23"/>
      <c r="JI289" s="23"/>
      <c r="JJ289" s="23"/>
      <c r="JK289" s="23"/>
      <c r="JL289" s="23"/>
      <c r="JM289" s="23"/>
      <c r="JN289" s="23"/>
      <c r="JO289" s="23"/>
      <c r="JP289" s="23"/>
      <c r="JQ289" s="23"/>
      <c r="JR289" s="23"/>
      <c r="JS289" s="23"/>
      <c r="JT289" s="23"/>
      <c r="JU289" s="23"/>
      <c r="JV289" s="23"/>
      <c r="JW289" s="23"/>
      <c r="JX289" s="23"/>
      <c r="JY289" s="23"/>
      <c r="JZ289" s="23"/>
      <c r="KA289" s="23"/>
      <c r="KB289" s="23"/>
      <c r="KC289" s="23"/>
      <c r="KD289" s="23"/>
      <c r="KE289" s="23"/>
      <c r="KF289" s="23"/>
      <c r="KG289" s="23"/>
      <c r="KH289" s="23"/>
      <c r="KI289" s="23"/>
      <c r="KJ289" s="23"/>
      <c r="KK289" s="23"/>
      <c r="KL289" s="23"/>
      <c r="KM289" s="23"/>
      <c r="KN289" s="23"/>
      <c r="KO289" s="23"/>
      <c r="KP289" s="23"/>
      <c r="KQ289" s="23"/>
      <c r="KR289" s="23"/>
      <c r="KS289" s="23"/>
      <c r="KT289" s="23"/>
      <c r="KU289" s="23"/>
      <c r="KV289" s="23"/>
      <c r="KW289" s="23"/>
      <c r="KX289" s="23"/>
      <c r="KY289" s="23"/>
      <c r="KZ289" s="23"/>
      <c r="LA289" s="23"/>
      <c r="LB289" s="23"/>
      <c r="LC289" s="23"/>
      <c r="LD289" s="23"/>
      <c r="LE289" s="23"/>
      <c r="LF289" s="23"/>
      <c r="LG289" s="23"/>
      <c r="LH289" s="23"/>
      <c r="LI289" s="23"/>
      <c r="LJ289" s="23"/>
      <c r="LK289" s="23"/>
      <c r="LL289" s="23"/>
      <c r="LM289" s="23"/>
      <c r="LN289" s="23"/>
      <c r="LO289" s="23"/>
      <c r="LP289" s="23"/>
      <c r="LQ289" s="23"/>
      <c r="LR289" s="23"/>
      <c r="LS289" s="23"/>
      <c r="LT289" s="23"/>
      <c r="LU289" s="23"/>
      <c r="LV289" s="23"/>
      <c r="LW289" s="23"/>
      <c r="LX289" s="23"/>
      <c r="LY289" s="23"/>
      <c r="LZ289" s="23"/>
      <c r="MA289" s="23"/>
      <c r="MB289" s="23"/>
      <c r="MC289" s="23"/>
      <c r="MD289" s="23"/>
      <c r="ME289" s="23"/>
      <c r="MF289" s="23"/>
      <c r="MG289" s="23"/>
      <c r="MH289" s="23"/>
      <c r="MI289" s="23"/>
      <c r="MJ289" s="23"/>
      <c r="MK289" s="23"/>
      <c r="ML289" s="23"/>
      <c r="MM289" s="23"/>
      <c r="MN289" s="23"/>
      <c r="MO289" s="23"/>
      <c r="MP289" s="23"/>
      <c r="MQ289" s="23"/>
      <c r="MR289" s="23"/>
      <c r="MS289" s="23"/>
      <c r="MT289" s="23"/>
      <c r="MU289" s="23"/>
      <c r="MV289" s="23"/>
      <c r="MW289" s="23"/>
      <c r="MX289" s="23"/>
      <c r="MY289" s="23"/>
      <c r="MZ289" s="23"/>
      <c r="NA289" s="23"/>
      <c r="NB289" s="23"/>
      <c r="NC289" s="23"/>
      <c r="ND289" s="23"/>
      <c r="NE289" s="23"/>
      <c r="NF289" s="23"/>
      <c r="NG289" s="23"/>
      <c r="NH289" s="23"/>
      <c r="NI289" s="23"/>
      <c r="NJ289" s="23"/>
      <c r="NK289" s="23"/>
      <c r="NL289" s="23"/>
      <c r="NM289" s="23"/>
      <c r="NN289" s="23"/>
    </row>
    <row r="290" spans="5:378" ht="15" customHeight="1"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  <c r="IL290" s="23"/>
      <c r="IM290" s="23"/>
      <c r="IN290" s="23"/>
      <c r="IO290" s="23"/>
      <c r="IP290" s="23"/>
      <c r="IQ290" s="23"/>
      <c r="IR290" s="23"/>
      <c r="IS290" s="23"/>
      <c r="IT290" s="23"/>
      <c r="IU290" s="23"/>
      <c r="IV290" s="23"/>
      <c r="IW290" s="23"/>
      <c r="IX290" s="23"/>
      <c r="IY290" s="23"/>
      <c r="IZ290" s="23"/>
      <c r="JA290" s="23"/>
      <c r="JB290" s="23"/>
      <c r="JC290" s="23"/>
      <c r="JD290" s="23"/>
      <c r="JE290" s="23"/>
      <c r="JF290" s="23"/>
      <c r="JG290" s="23"/>
      <c r="JH290" s="23"/>
      <c r="JI290" s="23"/>
      <c r="JJ290" s="23"/>
      <c r="JK290" s="23"/>
      <c r="JL290" s="23"/>
      <c r="JM290" s="23"/>
      <c r="JN290" s="23"/>
      <c r="JO290" s="23"/>
      <c r="JP290" s="23"/>
      <c r="JQ290" s="23"/>
      <c r="JR290" s="23"/>
      <c r="JS290" s="23"/>
      <c r="JT290" s="23"/>
      <c r="JU290" s="23"/>
      <c r="JV290" s="23"/>
      <c r="JW290" s="23"/>
      <c r="JX290" s="23"/>
      <c r="JY290" s="23"/>
      <c r="JZ290" s="23"/>
      <c r="KA290" s="23"/>
      <c r="KB290" s="23"/>
      <c r="KC290" s="23"/>
      <c r="KD290" s="23"/>
      <c r="KE290" s="23"/>
      <c r="KF290" s="23"/>
      <c r="KG290" s="23"/>
      <c r="KH290" s="23"/>
      <c r="KI290" s="23"/>
      <c r="KJ290" s="23"/>
      <c r="KK290" s="23"/>
      <c r="KL290" s="23"/>
      <c r="KM290" s="23"/>
      <c r="KN290" s="23"/>
      <c r="KO290" s="23"/>
      <c r="KP290" s="23"/>
      <c r="KQ290" s="23"/>
      <c r="KR290" s="23"/>
      <c r="KS290" s="23"/>
      <c r="KT290" s="23"/>
      <c r="KU290" s="23"/>
      <c r="KV290" s="23"/>
      <c r="KW290" s="23"/>
      <c r="KX290" s="23"/>
      <c r="KY290" s="23"/>
      <c r="KZ290" s="23"/>
      <c r="LA290" s="23"/>
      <c r="LB290" s="23"/>
      <c r="LC290" s="23"/>
      <c r="LD290" s="23"/>
      <c r="LE290" s="23"/>
      <c r="LF290" s="23"/>
      <c r="LG290" s="23"/>
      <c r="LH290" s="23"/>
      <c r="LI290" s="23"/>
      <c r="LJ290" s="23"/>
      <c r="LK290" s="23"/>
      <c r="LL290" s="23"/>
      <c r="LM290" s="23"/>
      <c r="LN290" s="23"/>
      <c r="LO290" s="23"/>
      <c r="LP290" s="23"/>
      <c r="LQ290" s="23"/>
      <c r="LR290" s="23"/>
      <c r="LS290" s="23"/>
      <c r="LT290" s="23"/>
      <c r="LU290" s="23"/>
      <c r="LV290" s="23"/>
      <c r="LW290" s="23"/>
      <c r="LX290" s="23"/>
      <c r="LY290" s="23"/>
      <c r="LZ290" s="23"/>
      <c r="MA290" s="23"/>
      <c r="MB290" s="23"/>
      <c r="MC290" s="23"/>
      <c r="MD290" s="23"/>
      <c r="ME290" s="23"/>
      <c r="MF290" s="23"/>
      <c r="MG290" s="23"/>
      <c r="MH290" s="23"/>
      <c r="MI290" s="23"/>
      <c r="MJ290" s="23"/>
      <c r="MK290" s="23"/>
      <c r="ML290" s="23"/>
      <c r="MM290" s="23"/>
      <c r="MN290" s="23"/>
      <c r="MO290" s="23"/>
      <c r="MP290" s="23"/>
      <c r="MQ290" s="23"/>
      <c r="MR290" s="23"/>
      <c r="MS290" s="23"/>
      <c r="MT290" s="23"/>
      <c r="MU290" s="23"/>
      <c r="MV290" s="23"/>
      <c r="MW290" s="23"/>
      <c r="MX290" s="23"/>
      <c r="MY290" s="23"/>
      <c r="MZ290" s="23"/>
      <c r="NA290" s="23"/>
      <c r="NB290" s="23"/>
      <c r="NC290" s="23"/>
      <c r="ND290" s="23"/>
      <c r="NE290" s="23"/>
      <c r="NF290" s="23"/>
      <c r="NG290" s="23"/>
      <c r="NH290" s="23"/>
      <c r="NI290" s="23"/>
      <c r="NJ290" s="23"/>
      <c r="NK290" s="23"/>
      <c r="NL290" s="23"/>
      <c r="NM290" s="23"/>
      <c r="NN290" s="23"/>
    </row>
    <row r="291" spans="5:378" ht="15" customHeight="1"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  <c r="IL291" s="23"/>
      <c r="IM291" s="23"/>
      <c r="IN291" s="23"/>
      <c r="IO291" s="23"/>
      <c r="IP291" s="23"/>
      <c r="IQ291" s="23"/>
      <c r="IR291" s="23"/>
      <c r="IS291" s="23"/>
      <c r="IT291" s="23"/>
      <c r="IU291" s="23"/>
      <c r="IV291" s="23"/>
      <c r="IW291" s="23"/>
      <c r="IX291" s="23"/>
      <c r="IY291" s="23"/>
      <c r="IZ291" s="23"/>
      <c r="JA291" s="23"/>
      <c r="JB291" s="23"/>
      <c r="JC291" s="23"/>
      <c r="JD291" s="23"/>
      <c r="JE291" s="23"/>
      <c r="JF291" s="23"/>
      <c r="JG291" s="23"/>
      <c r="JH291" s="23"/>
      <c r="JI291" s="23"/>
      <c r="JJ291" s="23"/>
      <c r="JK291" s="23"/>
      <c r="JL291" s="23"/>
      <c r="JM291" s="23"/>
      <c r="JN291" s="23"/>
      <c r="JO291" s="23"/>
      <c r="JP291" s="23"/>
      <c r="JQ291" s="23"/>
      <c r="JR291" s="23"/>
      <c r="JS291" s="23"/>
      <c r="JT291" s="23"/>
      <c r="JU291" s="23"/>
      <c r="JV291" s="23"/>
      <c r="JW291" s="23"/>
      <c r="JX291" s="23"/>
      <c r="JY291" s="23"/>
      <c r="JZ291" s="23"/>
      <c r="KA291" s="23"/>
      <c r="KB291" s="23"/>
      <c r="KC291" s="23"/>
      <c r="KD291" s="23"/>
      <c r="KE291" s="23"/>
      <c r="KF291" s="23"/>
      <c r="KG291" s="23"/>
      <c r="KH291" s="23"/>
      <c r="KI291" s="23"/>
      <c r="KJ291" s="23"/>
      <c r="KK291" s="23"/>
      <c r="KL291" s="23"/>
      <c r="KM291" s="23"/>
      <c r="KN291" s="23"/>
      <c r="KO291" s="23"/>
      <c r="KP291" s="23"/>
      <c r="KQ291" s="23"/>
      <c r="KR291" s="23"/>
      <c r="KS291" s="23"/>
      <c r="KT291" s="23"/>
      <c r="KU291" s="23"/>
      <c r="KV291" s="23"/>
      <c r="KW291" s="23"/>
      <c r="KX291" s="23"/>
      <c r="KY291" s="23"/>
      <c r="KZ291" s="23"/>
      <c r="LA291" s="23"/>
      <c r="LB291" s="23"/>
      <c r="LC291" s="23"/>
      <c r="LD291" s="23"/>
      <c r="LE291" s="23"/>
      <c r="LF291" s="23"/>
      <c r="LG291" s="23"/>
      <c r="LH291" s="23"/>
      <c r="LI291" s="23"/>
      <c r="LJ291" s="23"/>
      <c r="LK291" s="23"/>
      <c r="LL291" s="23"/>
      <c r="LM291" s="23"/>
      <c r="LN291" s="23"/>
      <c r="LO291" s="23"/>
      <c r="LP291" s="23"/>
      <c r="LQ291" s="23"/>
      <c r="LR291" s="23"/>
      <c r="LS291" s="23"/>
      <c r="LT291" s="23"/>
      <c r="LU291" s="23"/>
      <c r="LV291" s="23"/>
      <c r="LW291" s="23"/>
      <c r="LX291" s="23"/>
      <c r="LY291" s="23"/>
      <c r="LZ291" s="23"/>
      <c r="MA291" s="23"/>
      <c r="MB291" s="23"/>
      <c r="MC291" s="23"/>
      <c r="MD291" s="23"/>
      <c r="ME291" s="23"/>
      <c r="MF291" s="23"/>
      <c r="MG291" s="23"/>
      <c r="MH291" s="23"/>
      <c r="MI291" s="23"/>
      <c r="MJ291" s="23"/>
      <c r="MK291" s="23"/>
      <c r="ML291" s="23"/>
      <c r="MM291" s="23"/>
      <c r="MN291" s="23"/>
      <c r="MO291" s="23"/>
      <c r="MP291" s="23"/>
      <c r="MQ291" s="23"/>
      <c r="MR291" s="23"/>
      <c r="MS291" s="23"/>
      <c r="MT291" s="23"/>
      <c r="MU291" s="23"/>
      <c r="MV291" s="23"/>
      <c r="MW291" s="23"/>
      <c r="MX291" s="23"/>
      <c r="MY291" s="23"/>
      <c r="MZ291" s="23"/>
      <c r="NA291" s="23"/>
      <c r="NB291" s="23"/>
      <c r="NC291" s="23"/>
      <c r="ND291" s="23"/>
      <c r="NE291" s="23"/>
      <c r="NF291" s="23"/>
      <c r="NG291" s="23"/>
      <c r="NH291" s="23"/>
      <c r="NI291" s="23"/>
      <c r="NJ291" s="23"/>
      <c r="NK291" s="23"/>
      <c r="NL291" s="23"/>
      <c r="NM291" s="23"/>
      <c r="NN291" s="23"/>
    </row>
    <row r="292" spans="5:378" ht="15" customHeight="1"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  <c r="IL292" s="23"/>
      <c r="IM292" s="23"/>
      <c r="IN292" s="23"/>
      <c r="IO292" s="23"/>
      <c r="IP292" s="23"/>
      <c r="IQ292" s="23"/>
      <c r="IR292" s="23"/>
      <c r="IS292" s="23"/>
      <c r="IT292" s="23"/>
      <c r="IU292" s="23"/>
      <c r="IV292" s="23"/>
      <c r="IW292" s="23"/>
      <c r="IX292" s="23"/>
      <c r="IY292" s="23"/>
      <c r="IZ292" s="23"/>
      <c r="JA292" s="23"/>
      <c r="JB292" s="23"/>
      <c r="JC292" s="23"/>
      <c r="JD292" s="23"/>
      <c r="JE292" s="23"/>
      <c r="JF292" s="23"/>
      <c r="JG292" s="23"/>
      <c r="JH292" s="23"/>
      <c r="JI292" s="23"/>
      <c r="JJ292" s="23"/>
      <c r="JK292" s="23"/>
      <c r="JL292" s="23"/>
      <c r="JM292" s="23"/>
      <c r="JN292" s="23"/>
      <c r="JO292" s="23"/>
      <c r="JP292" s="23"/>
      <c r="JQ292" s="23"/>
      <c r="JR292" s="23"/>
      <c r="JS292" s="23"/>
      <c r="JT292" s="23"/>
      <c r="JU292" s="23"/>
      <c r="JV292" s="23"/>
      <c r="JW292" s="23"/>
      <c r="JX292" s="23"/>
      <c r="JY292" s="23"/>
      <c r="JZ292" s="23"/>
      <c r="KA292" s="23"/>
      <c r="KB292" s="23"/>
      <c r="KC292" s="23"/>
      <c r="KD292" s="23"/>
      <c r="KE292" s="23"/>
      <c r="KF292" s="23"/>
      <c r="KG292" s="23"/>
      <c r="KH292" s="23"/>
      <c r="KI292" s="23"/>
      <c r="KJ292" s="23"/>
      <c r="KK292" s="23"/>
      <c r="KL292" s="23"/>
      <c r="KM292" s="23"/>
      <c r="KN292" s="23"/>
      <c r="KO292" s="23"/>
      <c r="KP292" s="23"/>
      <c r="KQ292" s="23"/>
      <c r="KR292" s="23"/>
      <c r="KS292" s="23"/>
      <c r="KT292" s="23"/>
      <c r="KU292" s="23"/>
      <c r="KV292" s="23"/>
      <c r="KW292" s="23"/>
      <c r="KX292" s="23"/>
      <c r="KY292" s="23"/>
      <c r="KZ292" s="23"/>
      <c r="LA292" s="23"/>
      <c r="LB292" s="23"/>
      <c r="LC292" s="23"/>
      <c r="LD292" s="23"/>
      <c r="LE292" s="23"/>
      <c r="LF292" s="23"/>
      <c r="LG292" s="23"/>
      <c r="LH292" s="23"/>
      <c r="LI292" s="23"/>
      <c r="LJ292" s="23"/>
      <c r="LK292" s="23"/>
      <c r="LL292" s="23"/>
      <c r="LM292" s="23"/>
      <c r="LN292" s="23"/>
      <c r="LO292" s="23"/>
      <c r="LP292" s="23"/>
      <c r="LQ292" s="23"/>
      <c r="LR292" s="23"/>
      <c r="LS292" s="23"/>
      <c r="LT292" s="23"/>
      <c r="LU292" s="23"/>
      <c r="LV292" s="23"/>
      <c r="LW292" s="23"/>
      <c r="LX292" s="23"/>
      <c r="LY292" s="23"/>
      <c r="LZ292" s="23"/>
      <c r="MA292" s="23"/>
      <c r="MB292" s="23"/>
      <c r="MC292" s="23"/>
      <c r="MD292" s="23"/>
      <c r="ME292" s="23"/>
      <c r="MF292" s="23"/>
      <c r="MG292" s="23"/>
      <c r="MH292" s="23"/>
      <c r="MI292" s="23"/>
      <c r="MJ292" s="23"/>
      <c r="MK292" s="23"/>
      <c r="ML292" s="23"/>
      <c r="MM292" s="23"/>
      <c r="MN292" s="23"/>
      <c r="MO292" s="23"/>
      <c r="MP292" s="23"/>
      <c r="MQ292" s="23"/>
      <c r="MR292" s="23"/>
      <c r="MS292" s="23"/>
      <c r="MT292" s="23"/>
      <c r="MU292" s="23"/>
      <c r="MV292" s="23"/>
      <c r="MW292" s="23"/>
      <c r="MX292" s="23"/>
      <c r="MY292" s="23"/>
      <c r="MZ292" s="23"/>
      <c r="NA292" s="23"/>
      <c r="NB292" s="23"/>
      <c r="NC292" s="23"/>
      <c r="ND292" s="23"/>
      <c r="NE292" s="23"/>
      <c r="NF292" s="23"/>
      <c r="NG292" s="23"/>
      <c r="NH292" s="23"/>
      <c r="NI292" s="23"/>
      <c r="NJ292" s="23"/>
      <c r="NK292" s="23"/>
      <c r="NL292" s="23"/>
      <c r="NM292" s="23"/>
      <c r="NN292" s="23"/>
    </row>
    <row r="293" spans="5:378" ht="15" customHeight="1"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  <c r="IL293" s="23"/>
      <c r="IM293" s="23"/>
      <c r="IN293" s="23"/>
      <c r="IO293" s="23"/>
      <c r="IP293" s="23"/>
      <c r="IQ293" s="23"/>
      <c r="IR293" s="23"/>
      <c r="IS293" s="23"/>
      <c r="IT293" s="23"/>
      <c r="IU293" s="23"/>
      <c r="IV293" s="23"/>
      <c r="IW293" s="23"/>
      <c r="IX293" s="23"/>
      <c r="IY293" s="23"/>
      <c r="IZ293" s="23"/>
      <c r="JA293" s="23"/>
      <c r="JB293" s="23"/>
      <c r="JC293" s="23"/>
      <c r="JD293" s="23"/>
      <c r="JE293" s="23"/>
      <c r="JF293" s="23"/>
      <c r="JG293" s="23"/>
      <c r="JH293" s="23"/>
      <c r="JI293" s="23"/>
      <c r="JJ293" s="23"/>
      <c r="JK293" s="23"/>
      <c r="JL293" s="23"/>
      <c r="JM293" s="23"/>
      <c r="JN293" s="23"/>
      <c r="JO293" s="23"/>
      <c r="JP293" s="23"/>
      <c r="JQ293" s="23"/>
      <c r="JR293" s="23"/>
      <c r="JS293" s="23"/>
      <c r="JT293" s="23"/>
      <c r="JU293" s="23"/>
      <c r="JV293" s="23"/>
      <c r="JW293" s="23"/>
      <c r="JX293" s="23"/>
      <c r="JY293" s="23"/>
      <c r="JZ293" s="23"/>
      <c r="KA293" s="23"/>
      <c r="KB293" s="23"/>
      <c r="KC293" s="23"/>
      <c r="KD293" s="23"/>
      <c r="KE293" s="23"/>
      <c r="KF293" s="23"/>
      <c r="KG293" s="23"/>
      <c r="KH293" s="23"/>
      <c r="KI293" s="23"/>
      <c r="KJ293" s="23"/>
      <c r="KK293" s="23"/>
      <c r="KL293" s="23"/>
      <c r="KM293" s="23"/>
      <c r="KN293" s="23"/>
      <c r="KO293" s="23"/>
      <c r="KP293" s="23"/>
      <c r="KQ293" s="23"/>
      <c r="KR293" s="23"/>
      <c r="KS293" s="23"/>
      <c r="KT293" s="23"/>
      <c r="KU293" s="23"/>
      <c r="KV293" s="23"/>
      <c r="KW293" s="23"/>
      <c r="KX293" s="23"/>
      <c r="KY293" s="23"/>
      <c r="KZ293" s="23"/>
      <c r="LA293" s="23"/>
      <c r="LB293" s="23"/>
      <c r="LC293" s="23"/>
      <c r="LD293" s="23"/>
      <c r="LE293" s="23"/>
      <c r="LF293" s="23"/>
      <c r="LG293" s="23"/>
      <c r="LH293" s="23"/>
      <c r="LI293" s="23"/>
      <c r="LJ293" s="23"/>
      <c r="LK293" s="23"/>
      <c r="LL293" s="23"/>
      <c r="LM293" s="23"/>
      <c r="LN293" s="23"/>
      <c r="LO293" s="23"/>
      <c r="LP293" s="23"/>
      <c r="LQ293" s="23"/>
      <c r="LR293" s="23"/>
      <c r="LS293" s="23"/>
      <c r="LT293" s="23"/>
      <c r="LU293" s="23"/>
      <c r="LV293" s="23"/>
      <c r="LW293" s="23"/>
      <c r="LX293" s="23"/>
      <c r="LY293" s="23"/>
      <c r="LZ293" s="23"/>
      <c r="MA293" s="23"/>
      <c r="MB293" s="23"/>
      <c r="MC293" s="23"/>
      <c r="MD293" s="23"/>
      <c r="ME293" s="23"/>
      <c r="MF293" s="23"/>
      <c r="MG293" s="23"/>
      <c r="MH293" s="23"/>
      <c r="MI293" s="23"/>
      <c r="MJ293" s="23"/>
      <c r="MK293" s="23"/>
      <c r="ML293" s="23"/>
      <c r="MM293" s="23"/>
      <c r="MN293" s="23"/>
      <c r="MO293" s="23"/>
      <c r="MP293" s="23"/>
      <c r="MQ293" s="23"/>
      <c r="MR293" s="23"/>
      <c r="MS293" s="23"/>
      <c r="MT293" s="23"/>
      <c r="MU293" s="23"/>
      <c r="MV293" s="23"/>
      <c r="MW293" s="23"/>
      <c r="MX293" s="23"/>
      <c r="MY293" s="23"/>
      <c r="MZ293" s="23"/>
      <c r="NA293" s="23"/>
      <c r="NB293" s="23"/>
      <c r="NC293" s="23"/>
      <c r="ND293" s="23"/>
      <c r="NE293" s="23"/>
      <c r="NF293" s="23"/>
      <c r="NG293" s="23"/>
      <c r="NH293" s="23"/>
      <c r="NI293" s="23"/>
      <c r="NJ293" s="23"/>
      <c r="NK293" s="23"/>
      <c r="NL293" s="23"/>
      <c r="NM293" s="23"/>
      <c r="NN293" s="23"/>
    </row>
    <row r="294" spans="5:378" ht="15" customHeight="1"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  <c r="IL294" s="23"/>
      <c r="IM294" s="23"/>
      <c r="IN294" s="23"/>
      <c r="IO294" s="23"/>
      <c r="IP294" s="23"/>
      <c r="IQ294" s="23"/>
      <c r="IR294" s="23"/>
      <c r="IS294" s="23"/>
      <c r="IT294" s="23"/>
      <c r="IU294" s="23"/>
      <c r="IV294" s="23"/>
      <c r="IW294" s="23"/>
      <c r="IX294" s="23"/>
      <c r="IY294" s="23"/>
      <c r="IZ294" s="23"/>
      <c r="JA294" s="23"/>
      <c r="JB294" s="23"/>
      <c r="JC294" s="23"/>
      <c r="JD294" s="23"/>
      <c r="JE294" s="23"/>
      <c r="JF294" s="23"/>
      <c r="JG294" s="23"/>
      <c r="JH294" s="23"/>
      <c r="JI294" s="23"/>
      <c r="JJ294" s="23"/>
      <c r="JK294" s="23"/>
      <c r="JL294" s="23"/>
      <c r="JM294" s="23"/>
      <c r="JN294" s="23"/>
      <c r="JO294" s="23"/>
      <c r="JP294" s="23"/>
      <c r="JQ294" s="23"/>
      <c r="JR294" s="23"/>
      <c r="JS294" s="23"/>
      <c r="JT294" s="23"/>
      <c r="JU294" s="23"/>
      <c r="JV294" s="23"/>
      <c r="JW294" s="23"/>
      <c r="JX294" s="23"/>
      <c r="JY294" s="23"/>
      <c r="JZ294" s="23"/>
      <c r="KA294" s="23"/>
      <c r="KB294" s="23"/>
      <c r="KC294" s="23"/>
      <c r="KD294" s="23"/>
      <c r="KE294" s="23"/>
      <c r="KF294" s="23"/>
      <c r="KG294" s="23"/>
      <c r="KH294" s="23"/>
      <c r="KI294" s="23"/>
      <c r="KJ294" s="23"/>
      <c r="KK294" s="23"/>
      <c r="KL294" s="23"/>
      <c r="KM294" s="23"/>
      <c r="KN294" s="23"/>
      <c r="KO294" s="23"/>
      <c r="KP294" s="23"/>
      <c r="KQ294" s="23"/>
      <c r="KR294" s="23"/>
      <c r="KS294" s="23"/>
      <c r="KT294" s="23"/>
      <c r="KU294" s="23"/>
      <c r="KV294" s="23"/>
      <c r="KW294" s="23"/>
      <c r="KX294" s="23"/>
      <c r="KY294" s="23"/>
      <c r="KZ294" s="23"/>
      <c r="LA294" s="23"/>
      <c r="LB294" s="23"/>
      <c r="LC294" s="23"/>
      <c r="LD294" s="23"/>
      <c r="LE294" s="23"/>
      <c r="LF294" s="23"/>
      <c r="LG294" s="23"/>
      <c r="LH294" s="23"/>
      <c r="LI294" s="23"/>
      <c r="LJ294" s="23"/>
      <c r="LK294" s="23"/>
      <c r="LL294" s="23"/>
      <c r="LM294" s="23"/>
      <c r="LN294" s="23"/>
      <c r="LO294" s="23"/>
      <c r="LP294" s="23"/>
      <c r="LQ294" s="23"/>
      <c r="LR294" s="23"/>
      <c r="LS294" s="23"/>
      <c r="LT294" s="23"/>
      <c r="LU294" s="23"/>
      <c r="LV294" s="23"/>
      <c r="LW294" s="23"/>
      <c r="LX294" s="23"/>
      <c r="LY294" s="23"/>
      <c r="LZ294" s="23"/>
      <c r="MA294" s="23"/>
      <c r="MB294" s="23"/>
      <c r="MC294" s="23"/>
      <c r="MD294" s="23"/>
      <c r="ME294" s="23"/>
      <c r="MF294" s="23"/>
      <c r="MG294" s="23"/>
      <c r="MH294" s="23"/>
      <c r="MI294" s="23"/>
      <c r="MJ294" s="23"/>
      <c r="MK294" s="23"/>
      <c r="ML294" s="23"/>
      <c r="MM294" s="23"/>
      <c r="MN294" s="23"/>
      <c r="MO294" s="23"/>
      <c r="MP294" s="23"/>
      <c r="MQ294" s="23"/>
      <c r="MR294" s="23"/>
      <c r="MS294" s="23"/>
      <c r="MT294" s="23"/>
      <c r="MU294" s="23"/>
      <c r="MV294" s="23"/>
      <c r="MW294" s="23"/>
      <c r="MX294" s="23"/>
      <c r="MY294" s="23"/>
      <c r="MZ294" s="23"/>
      <c r="NA294" s="23"/>
      <c r="NB294" s="23"/>
      <c r="NC294" s="23"/>
      <c r="ND294" s="23"/>
      <c r="NE294" s="23"/>
      <c r="NF294" s="23"/>
      <c r="NG294" s="23"/>
      <c r="NH294" s="23"/>
      <c r="NI294" s="23"/>
      <c r="NJ294" s="23"/>
      <c r="NK294" s="23"/>
      <c r="NL294" s="23"/>
      <c r="NM294" s="23"/>
      <c r="NN294" s="23"/>
    </row>
    <row r="295" spans="5:378" ht="15" customHeight="1"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  <c r="IL295" s="23"/>
      <c r="IM295" s="23"/>
      <c r="IN295" s="23"/>
      <c r="IO295" s="23"/>
      <c r="IP295" s="23"/>
      <c r="IQ295" s="23"/>
      <c r="IR295" s="23"/>
      <c r="IS295" s="23"/>
      <c r="IT295" s="23"/>
      <c r="IU295" s="23"/>
      <c r="IV295" s="23"/>
      <c r="IW295" s="23"/>
      <c r="IX295" s="23"/>
      <c r="IY295" s="23"/>
      <c r="IZ295" s="23"/>
      <c r="JA295" s="23"/>
      <c r="JB295" s="23"/>
      <c r="JC295" s="23"/>
      <c r="JD295" s="23"/>
      <c r="JE295" s="23"/>
      <c r="JF295" s="23"/>
      <c r="JG295" s="23"/>
      <c r="JH295" s="23"/>
      <c r="JI295" s="23"/>
      <c r="JJ295" s="23"/>
      <c r="JK295" s="23"/>
      <c r="JL295" s="23"/>
      <c r="JM295" s="23"/>
      <c r="JN295" s="23"/>
      <c r="JO295" s="23"/>
      <c r="JP295" s="23"/>
      <c r="JQ295" s="23"/>
      <c r="JR295" s="23"/>
      <c r="JS295" s="23"/>
      <c r="JT295" s="23"/>
      <c r="JU295" s="23"/>
      <c r="JV295" s="23"/>
      <c r="JW295" s="23"/>
      <c r="JX295" s="23"/>
      <c r="JY295" s="23"/>
      <c r="JZ295" s="23"/>
      <c r="KA295" s="23"/>
      <c r="KB295" s="23"/>
      <c r="KC295" s="23"/>
      <c r="KD295" s="23"/>
      <c r="KE295" s="23"/>
      <c r="KF295" s="23"/>
      <c r="KG295" s="23"/>
      <c r="KH295" s="23"/>
      <c r="KI295" s="23"/>
      <c r="KJ295" s="23"/>
      <c r="KK295" s="23"/>
      <c r="KL295" s="23"/>
      <c r="KM295" s="23"/>
      <c r="KN295" s="23"/>
      <c r="KO295" s="23"/>
      <c r="KP295" s="23"/>
      <c r="KQ295" s="23"/>
      <c r="KR295" s="23"/>
      <c r="KS295" s="23"/>
      <c r="KT295" s="23"/>
      <c r="KU295" s="23"/>
      <c r="KV295" s="23"/>
      <c r="KW295" s="23"/>
      <c r="KX295" s="23"/>
      <c r="KY295" s="23"/>
      <c r="KZ295" s="23"/>
      <c r="LA295" s="23"/>
      <c r="LB295" s="23"/>
      <c r="LC295" s="23"/>
      <c r="LD295" s="23"/>
      <c r="LE295" s="23"/>
      <c r="LF295" s="23"/>
      <c r="LG295" s="23"/>
      <c r="LH295" s="23"/>
      <c r="LI295" s="23"/>
      <c r="LJ295" s="23"/>
      <c r="LK295" s="23"/>
      <c r="LL295" s="23"/>
      <c r="LM295" s="23"/>
      <c r="LN295" s="23"/>
      <c r="LO295" s="23"/>
      <c r="LP295" s="23"/>
      <c r="LQ295" s="23"/>
      <c r="LR295" s="23"/>
      <c r="LS295" s="23"/>
      <c r="LT295" s="23"/>
      <c r="LU295" s="23"/>
      <c r="LV295" s="23"/>
      <c r="LW295" s="23"/>
      <c r="LX295" s="23"/>
      <c r="LY295" s="23"/>
      <c r="LZ295" s="23"/>
      <c r="MA295" s="23"/>
      <c r="MB295" s="23"/>
      <c r="MC295" s="23"/>
      <c r="MD295" s="23"/>
      <c r="ME295" s="23"/>
      <c r="MF295" s="23"/>
      <c r="MG295" s="23"/>
      <c r="MH295" s="23"/>
      <c r="MI295" s="23"/>
      <c r="MJ295" s="23"/>
      <c r="MK295" s="23"/>
      <c r="ML295" s="23"/>
      <c r="MM295" s="23"/>
      <c r="MN295" s="23"/>
      <c r="MO295" s="23"/>
      <c r="MP295" s="23"/>
      <c r="MQ295" s="23"/>
      <c r="MR295" s="23"/>
      <c r="MS295" s="23"/>
      <c r="MT295" s="23"/>
      <c r="MU295" s="23"/>
      <c r="MV295" s="23"/>
      <c r="MW295" s="23"/>
      <c r="MX295" s="23"/>
      <c r="MY295" s="23"/>
      <c r="MZ295" s="23"/>
      <c r="NA295" s="23"/>
      <c r="NB295" s="23"/>
      <c r="NC295" s="23"/>
      <c r="ND295" s="23"/>
      <c r="NE295" s="23"/>
      <c r="NF295" s="23"/>
      <c r="NG295" s="23"/>
      <c r="NH295" s="23"/>
      <c r="NI295" s="23"/>
      <c r="NJ295" s="23"/>
      <c r="NK295" s="23"/>
      <c r="NL295" s="23"/>
      <c r="NM295" s="23"/>
      <c r="NN295" s="23"/>
    </row>
    <row r="296" spans="5:378" ht="15" customHeight="1"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  <c r="IL296" s="23"/>
      <c r="IM296" s="23"/>
      <c r="IN296" s="23"/>
      <c r="IO296" s="23"/>
      <c r="IP296" s="23"/>
      <c r="IQ296" s="23"/>
      <c r="IR296" s="23"/>
      <c r="IS296" s="23"/>
      <c r="IT296" s="23"/>
      <c r="IU296" s="23"/>
      <c r="IV296" s="23"/>
      <c r="IW296" s="23"/>
      <c r="IX296" s="23"/>
      <c r="IY296" s="23"/>
      <c r="IZ296" s="23"/>
      <c r="JA296" s="23"/>
      <c r="JB296" s="23"/>
      <c r="JC296" s="23"/>
      <c r="JD296" s="23"/>
      <c r="JE296" s="23"/>
      <c r="JF296" s="23"/>
      <c r="JG296" s="23"/>
      <c r="JH296" s="23"/>
      <c r="JI296" s="23"/>
      <c r="JJ296" s="23"/>
      <c r="JK296" s="23"/>
      <c r="JL296" s="23"/>
      <c r="JM296" s="23"/>
      <c r="JN296" s="23"/>
      <c r="JO296" s="23"/>
      <c r="JP296" s="23"/>
      <c r="JQ296" s="23"/>
      <c r="JR296" s="23"/>
      <c r="JS296" s="23"/>
      <c r="JT296" s="23"/>
      <c r="JU296" s="23"/>
      <c r="JV296" s="23"/>
      <c r="JW296" s="23"/>
      <c r="JX296" s="23"/>
      <c r="JY296" s="23"/>
      <c r="JZ296" s="23"/>
      <c r="KA296" s="23"/>
      <c r="KB296" s="23"/>
      <c r="KC296" s="23"/>
      <c r="KD296" s="23"/>
      <c r="KE296" s="23"/>
      <c r="KF296" s="23"/>
      <c r="KG296" s="23"/>
      <c r="KH296" s="23"/>
      <c r="KI296" s="23"/>
      <c r="KJ296" s="23"/>
      <c r="KK296" s="23"/>
      <c r="KL296" s="23"/>
      <c r="KM296" s="23"/>
      <c r="KN296" s="23"/>
      <c r="KO296" s="23"/>
      <c r="KP296" s="23"/>
      <c r="KQ296" s="23"/>
      <c r="KR296" s="23"/>
      <c r="KS296" s="23"/>
      <c r="KT296" s="23"/>
      <c r="KU296" s="23"/>
      <c r="KV296" s="23"/>
      <c r="KW296" s="23"/>
      <c r="KX296" s="23"/>
      <c r="KY296" s="23"/>
      <c r="KZ296" s="23"/>
      <c r="LA296" s="23"/>
      <c r="LB296" s="23"/>
      <c r="LC296" s="23"/>
      <c r="LD296" s="23"/>
      <c r="LE296" s="23"/>
      <c r="LF296" s="23"/>
      <c r="LG296" s="23"/>
      <c r="LH296" s="23"/>
      <c r="LI296" s="23"/>
      <c r="LJ296" s="23"/>
      <c r="LK296" s="23"/>
      <c r="LL296" s="23"/>
      <c r="LM296" s="23"/>
      <c r="LN296" s="23"/>
      <c r="LO296" s="23"/>
      <c r="LP296" s="23"/>
      <c r="LQ296" s="23"/>
      <c r="LR296" s="23"/>
      <c r="LS296" s="23"/>
      <c r="LT296" s="23"/>
      <c r="LU296" s="23"/>
      <c r="LV296" s="23"/>
      <c r="LW296" s="23"/>
      <c r="LX296" s="23"/>
      <c r="LY296" s="23"/>
      <c r="LZ296" s="23"/>
      <c r="MA296" s="23"/>
      <c r="MB296" s="23"/>
      <c r="MC296" s="23"/>
      <c r="MD296" s="23"/>
      <c r="ME296" s="23"/>
      <c r="MF296" s="23"/>
      <c r="MG296" s="23"/>
      <c r="MH296" s="23"/>
      <c r="MI296" s="23"/>
      <c r="MJ296" s="23"/>
      <c r="MK296" s="23"/>
      <c r="ML296" s="23"/>
      <c r="MM296" s="23"/>
      <c r="MN296" s="23"/>
      <c r="MO296" s="23"/>
      <c r="MP296" s="23"/>
      <c r="MQ296" s="23"/>
      <c r="MR296" s="23"/>
      <c r="MS296" s="23"/>
      <c r="MT296" s="23"/>
      <c r="MU296" s="23"/>
      <c r="MV296" s="23"/>
      <c r="MW296" s="23"/>
      <c r="MX296" s="23"/>
      <c r="MY296" s="23"/>
      <c r="MZ296" s="23"/>
      <c r="NA296" s="23"/>
      <c r="NB296" s="23"/>
      <c r="NC296" s="23"/>
      <c r="ND296" s="23"/>
      <c r="NE296" s="23"/>
      <c r="NF296" s="23"/>
      <c r="NG296" s="23"/>
      <c r="NH296" s="23"/>
      <c r="NI296" s="23"/>
      <c r="NJ296" s="23"/>
      <c r="NK296" s="23"/>
      <c r="NL296" s="23"/>
      <c r="NM296" s="23"/>
      <c r="NN296" s="23"/>
    </row>
    <row r="297" spans="5:378" ht="15" customHeight="1"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  <c r="IL297" s="23"/>
      <c r="IM297" s="23"/>
      <c r="IN297" s="23"/>
      <c r="IO297" s="23"/>
      <c r="IP297" s="23"/>
      <c r="IQ297" s="23"/>
      <c r="IR297" s="23"/>
      <c r="IS297" s="23"/>
      <c r="IT297" s="23"/>
      <c r="IU297" s="23"/>
      <c r="IV297" s="23"/>
      <c r="IW297" s="23"/>
      <c r="IX297" s="23"/>
      <c r="IY297" s="23"/>
      <c r="IZ297" s="23"/>
      <c r="JA297" s="23"/>
      <c r="JB297" s="23"/>
      <c r="JC297" s="23"/>
      <c r="JD297" s="23"/>
      <c r="JE297" s="23"/>
      <c r="JF297" s="23"/>
      <c r="JG297" s="23"/>
      <c r="JH297" s="23"/>
      <c r="JI297" s="23"/>
      <c r="JJ297" s="23"/>
      <c r="JK297" s="23"/>
      <c r="JL297" s="23"/>
      <c r="JM297" s="23"/>
      <c r="JN297" s="23"/>
      <c r="JO297" s="23"/>
      <c r="JP297" s="23"/>
      <c r="JQ297" s="23"/>
      <c r="JR297" s="23"/>
      <c r="JS297" s="23"/>
      <c r="JT297" s="23"/>
      <c r="JU297" s="23"/>
      <c r="JV297" s="23"/>
      <c r="JW297" s="23"/>
      <c r="JX297" s="23"/>
      <c r="JY297" s="23"/>
      <c r="JZ297" s="23"/>
      <c r="KA297" s="23"/>
      <c r="KB297" s="23"/>
      <c r="KC297" s="23"/>
      <c r="KD297" s="23"/>
      <c r="KE297" s="23"/>
      <c r="KF297" s="23"/>
      <c r="KG297" s="23"/>
      <c r="KH297" s="23"/>
      <c r="KI297" s="23"/>
      <c r="KJ297" s="23"/>
      <c r="KK297" s="23"/>
      <c r="KL297" s="23"/>
      <c r="KM297" s="23"/>
      <c r="KN297" s="23"/>
      <c r="KO297" s="23"/>
      <c r="KP297" s="23"/>
      <c r="KQ297" s="23"/>
      <c r="KR297" s="23"/>
      <c r="KS297" s="23"/>
      <c r="KT297" s="23"/>
      <c r="KU297" s="23"/>
      <c r="KV297" s="23"/>
      <c r="KW297" s="23"/>
      <c r="KX297" s="23"/>
      <c r="KY297" s="23"/>
      <c r="KZ297" s="23"/>
      <c r="LA297" s="23"/>
      <c r="LB297" s="23"/>
      <c r="LC297" s="23"/>
      <c r="LD297" s="23"/>
      <c r="LE297" s="23"/>
      <c r="LF297" s="23"/>
      <c r="LG297" s="23"/>
      <c r="LH297" s="23"/>
      <c r="LI297" s="23"/>
      <c r="LJ297" s="23"/>
      <c r="LK297" s="23"/>
      <c r="LL297" s="23"/>
      <c r="LM297" s="23"/>
      <c r="LN297" s="23"/>
      <c r="LO297" s="23"/>
      <c r="LP297" s="23"/>
      <c r="LQ297" s="23"/>
      <c r="LR297" s="23"/>
      <c r="LS297" s="23"/>
      <c r="LT297" s="23"/>
      <c r="LU297" s="23"/>
      <c r="LV297" s="23"/>
      <c r="LW297" s="23"/>
      <c r="LX297" s="23"/>
      <c r="LY297" s="23"/>
      <c r="LZ297" s="23"/>
      <c r="MA297" s="23"/>
      <c r="MB297" s="23"/>
      <c r="MC297" s="23"/>
      <c r="MD297" s="23"/>
      <c r="ME297" s="23"/>
      <c r="MF297" s="23"/>
      <c r="MG297" s="23"/>
      <c r="MH297" s="23"/>
      <c r="MI297" s="23"/>
      <c r="MJ297" s="23"/>
      <c r="MK297" s="23"/>
      <c r="ML297" s="23"/>
      <c r="MM297" s="23"/>
      <c r="MN297" s="23"/>
      <c r="MO297" s="23"/>
      <c r="MP297" s="23"/>
      <c r="MQ297" s="23"/>
      <c r="MR297" s="23"/>
      <c r="MS297" s="23"/>
      <c r="MT297" s="23"/>
      <c r="MU297" s="23"/>
      <c r="MV297" s="23"/>
      <c r="MW297" s="23"/>
      <c r="MX297" s="23"/>
      <c r="MY297" s="23"/>
      <c r="MZ297" s="23"/>
      <c r="NA297" s="23"/>
      <c r="NB297" s="23"/>
      <c r="NC297" s="23"/>
      <c r="ND297" s="23"/>
      <c r="NE297" s="23"/>
      <c r="NF297" s="23"/>
      <c r="NG297" s="23"/>
      <c r="NH297" s="23"/>
      <c r="NI297" s="23"/>
      <c r="NJ297" s="23"/>
      <c r="NK297" s="23"/>
      <c r="NL297" s="23"/>
      <c r="NM297" s="23"/>
      <c r="NN297" s="23"/>
    </row>
    <row r="298" spans="5:378" ht="15" customHeight="1"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  <c r="IL298" s="23"/>
      <c r="IM298" s="23"/>
      <c r="IN298" s="23"/>
      <c r="IO298" s="23"/>
      <c r="IP298" s="23"/>
      <c r="IQ298" s="23"/>
      <c r="IR298" s="23"/>
      <c r="IS298" s="23"/>
      <c r="IT298" s="23"/>
      <c r="IU298" s="23"/>
      <c r="IV298" s="23"/>
      <c r="IW298" s="23"/>
      <c r="IX298" s="23"/>
      <c r="IY298" s="23"/>
      <c r="IZ298" s="23"/>
      <c r="JA298" s="23"/>
      <c r="JB298" s="23"/>
      <c r="JC298" s="23"/>
      <c r="JD298" s="23"/>
      <c r="JE298" s="23"/>
      <c r="JF298" s="23"/>
      <c r="JG298" s="23"/>
      <c r="JH298" s="23"/>
      <c r="JI298" s="23"/>
      <c r="JJ298" s="23"/>
      <c r="JK298" s="23"/>
      <c r="JL298" s="23"/>
      <c r="JM298" s="23"/>
      <c r="JN298" s="23"/>
      <c r="JO298" s="23"/>
      <c r="JP298" s="23"/>
      <c r="JQ298" s="23"/>
      <c r="JR298" s="23"/>
      <c r="JS298" s="23"/>
      <c r="JT298" s="23"/>
      <c r="JU298" s="23"/>
      <c r="JV298" s="23"/>
      <c r="JW298" s="23"/>
      <c r="JX298" s="23"/>
      <c r="JY298" s="23"/>
      <c r="JZ298" s="23"/>
      <c r="KA298" s="23"/>
      <c r="KB298" s="23"/>
      <c r="KC298" s="23"/>
      <c r="KD298" s="23"/>
      <c r="KE298" s="23"/>
      <c r="KF298" s="23"/>
      <c r="KG298" s="23"/>
      <c r="KH298" s="23"/>
      <c r="KI298" s="23"/>
      <c r="KJ298" s="23"/>
      <c r="KK298" s="23"/>
      <c r="KL298" s="23"/>
      <c r="KM298" s="23"/>
      <c r="KN298" s="23"/>
      <c r="KO298" s="23"/>
      <c r="KP298" s="23"/>
      <c r="KQ298" s="23"/>
      <c r="KR298" s="23"/>
      <c r="KS298" s="23"/>
      <c r="KT298" s="23"/>
      <c r="KU298" s="23"/>
      <c r="KV298" s="23"/>
      <c r="KW298" s="23"/>
      <c r="KX298" s="23"/>
      <c r="KY298" s="23"/>
      <c r="KZ298" s="23"/>
      <c r="LA298" s="23"/>
      <c r="LB298" s="23"/>
      <c r="LC298" s="23"/>
      <c r="LD298" s="23"/>
      <c r="LE298" s="23"/>
      <c r="LF298" s="23"/>
      <c r="LG298" s="23"/>
      <c r="LH298" s="23"/>
      <c r="LI298" s="23"/>
      <c r="LJ298" s="23"/>
      <c r="LK298" s="23"/>
      <c r="LL298" s="23"/>
      <c r="LM298" s="23"/>
      <c r="LN298" s="23"/>
      <c r="LO298" s="23"/>
      <c r="LP298" s="23"/>
      <c r="LQ298" s="23"/>
      <c r="LR298" s="23"/>
      <c r="LS298" s="23"/>
      <c r="LT298" s="23"/>
      <c r="LU298" s="23"/>
      <c r="LV298" s="23"/>
      <c r="LW298" s="23"/>
      <c r="LX298" s="23"/>
      <c r="LY298" s="23"/>
      <c r="LZ298" s="23"/>
      <c r="MA298" s="23"/>
      <c r="MB298" s="23"/>
      <c r="MC298" s="23"/>
      <c r="MD298" s="23"/>
      <c r="ME298" s="23"/>
      <c r="MF298" s="23"/>
      <c r="MG298" s="23"/>
      <c r="MH298" s="23"/>
      <c r="MI298" s="23"/>
      <c r="MJ298" s="23"/>
      <c r="MK298" s="23"/>
      <c r="ML298" s="23"/>
      <c r="MM298" s="23"/>
      <c r="MN298" s="23"/>
      <c r="MO298" s="23"/>
      <c r="MP298" s="23"/>
      <c r="MQ298" s="23"/>
      <c r="MR298" s="23"/>
      <c r="MS298" s="23"/>
      <c r="MT298" s="23"/>
      <c r="MU298" s="23"/>
      <c r="MV298" s="23"/>
      <c r="MW298" s="23"/>
      <c r="MX298" s="23"/>
      <c r="MY298" s="23"/>
      <c r="MZ298" s="23"/>
      <c r="NA298" s="23"/>
      <c r="NB298" s="23"/>
      <c r="NC298" s="23"/>
      <c r="ND298" s="23"/>
      <c r="NE298" s="23"/>
      <c r="NF298" s="23"/>
      <c r="NG298" s="23"/>
      <c r="NH298" s="23"/>
      <c r="NI298" s="23"/>
      <c r="NJ298" s="23"/>
      <c r="NK298" s="23"/>
      <c r="NL298" s="23"/>
      <c r="NM298" s="23"/>
      <c r="NN298" s="23"/>
    </row>
    <row r="299" spans="5:378" ht="15" customHeight="1"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  <c r="IL299" s="23"/>
      <c r="IM299" s="23"/>
      <c r="IN299" s="23"/>
      <c r="IO299" s="23"/>
      <c r="IP299" s="23"/>
      <c r="IQ299" s="23"/>
      <c r="IR299" s="23"/>
      <c r="IS299" s="23"/>
      <c r="IT299" s="23"/>
      <c r="IU299" s="23"/>
      <c r="IV299" s="23"/>
      <c r="IW299" s="23"/>
      <c r="IX299" s="23"/>
      <c r="IY299" s="23"/>
      <c r="IZ299" s="23"/>
      <c r="JA299" s="23"/>
      <c r="JB299" s="23"/>
      <c r="JC299" s="23"/>
      <c r="JD299" s="23"/>
      <c r="JE299" s="23"/>
      <c r="JF299" s="23"/>
      <c r="JG299" s="23"/>
      <c r="JH299" s="23"/>
      <c r="JI299" s="23"/>
      <c r="JJ299" s="23"/>
      <c r="JK299" s="23"/>
      <c r="JL299" s="23"/>
      <c r="JM299" s="23"/>
      <c r="JN299" s="23"/>
      <c r="JO299" s="23"/>
      <c r="JP299" s="23"/>
      <c r="JQ299" s="23"/>
      <c r="JR299" s="23"/>
      <c r="JS299" s="23"/>
      <c r="JT299" s="23"/>
      <c r="JU299" s="23"/>
      <c r="JV299" s="23"/>
      <c r="JW299" s="23"/>
      <c r="JX299" s="23"/>
      <c r="JY299" s="23"/>
      <c r="JZ299" s="23"/>
      <c r="KA299" s="23"/>
      <c r="KB299" s="23"/>
      <c r="KC299" s="23"/>
      <c r="KD299" s="23"/>
      <c r="KE299" s="23"/>
      <c r="KF299" s="23"/>
      <c r="KG299" s="23"/>
      <c r="KH299" s="23"/>
      <c r="KI299" s="23"/>
      <c r="KJ299" s="23"/>
      <c r="KK299" s="23"/>
      <c r="KL299" s="23"/>
      <c r="KM299" s="23"/>
      <c r="KN299" s="23"/>
      <c r="KO299" s="23"/>
      <c r="KP299" s="23"/>
      <c r="KQ299" s="23"/>
      <c r="KR299" s="23"/>
      <c r="KS299" s="23"/>
      <c r="KT299" s="23"/>
      <c r="KU299" s="23"/>
      <c r="KV299" s="23"/>
      <c r="KW299" s="23"/>
      <c r="KX299" s="23"/>
      <c r="KY299" s="23"/>
      <c r="KZ299" s="23"/>
      <c r="LA299" s="23"/>
      <c r="LB299" s="23"/>
      <c r="LC299" s="23"/>
      <c r="LD299" s="23"/>
      <c r="LE299" s="23"/>
      <c r="LF299" s="23"/>
      <c r="LG299" s="23"/>
      <c r="LH299" s="23"/>
      <c r="LI299" s="23"/>
      <c r="LJ299" s="23"/>
      <c r="LK299" s="23"/>
      <c r="LL299" s="23"/>
      <c r="LM299" s="23"/>
      <c r="LN299" s="23"/>
      <c r="LO299" s="23"/>
      <c r="LP299" s="23"/>
      <c r="LQ299" s="23"/>
      <c r="LR299" s="23"/>
      <c r="LS299" s="23"/>
      <c r="LT299" s="23"/>
      <c r="LU299" s="23"/>
      <c r="LV299" s="23"/>
      <c r="LW299" s="23"/>
      <c r="LX299" s="23"/>
      <c r="LY299" s="23"/>
      <c r="LZ299" s="23"/>
      <c r="MA299" s="23"/>
      <c r="MB299" s="23"/>
      <c r="MC299" s="23"/>
      <c r="MD299" s="23"/>
      <c r="ME299" s="23"/>
      <c r="MF299" s="23"/>
      <c r="MG299" s="23"/>
      <c r="MH299" s="23"/>
      <c r="MI299" s="23"/>
      <c r="MJ299" s="23"/>
      <c r="MK299" s="23"/>
      <c r="ML299" s="23"/>
      <c r="MM299" s="23"/>
      <c r="MN299" s="23"/>
      <c r="MO299" s="23"/>
      <c r="MP299" s="23"/>
      <c r="MQ299" s="23"/>
      <c r="MR299" s="23"/>
      <c r="MS299" s="23"/>
      <c r="MT299" s="23"/>
      <c r="MU299" s="23"/>
      <c r="MV299" s="23"/>
      <c r="MW299" s="23"/>
      <c r="MX299" s="23"/>
      <c r="MY299" s="23"/>
      <c r="MZ299" s="23"/>
      <c r="NA299" s="23"/>
      <c r="NB299" s="23"/>
      <c r="NC299" s="23"/>
      <c r="ND299" s="23"/>
      <c r="NE299" s="23"/>
      <c r="NF299" s="23"/>
      <c r="NG299" s="23"/>
      <c r="NH299" s="23"/>
      <c r="NI299" s="23"/>
      <c r="NJ299" s="23"/>
      <c r="NK299" s="23"/>
      <c r="NL299" s="23"/>
      <c r="NM299" s="23"/>
      <c r="NN299" s="23"/>
    </row>
    <row r="300" spans="5:378" ht="15" customHeight="1"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  <c r="IL300" s="23"/>
      <c r="IM300" s="23"/>
      <c r="IN300" s="23"/>
      <c r="IO300" s="23"/>
      <c r="IP300" s="23"/>
      <c r="IQ300" s="23"/>
      <c r="IR300" s="23"/>
      <c r="IS300" s="23"/>
      <c r="IT300" s="23"/>
      <c r="IU300" s="23"/>
      <c r="IV300" s="23"/>
      <c r="IW300" s="23"/>
      <c r="IX300" s="23"/>
      <c r="IY300" s="23"/>
      <c r="IZ300" s="23"/>
      <c r="JA300" s="23"/>
      <c r="JB300" s="23"/>
      <c r="JC300" s="23"/>
      <c r="JD300" s="23"/>
      <c r="JE300" s="23"/>
      <c r="JF300" s="23"/>
      <c r="JG300" s="23"/>
      <c r="JH300" s="23"/>
      <c r="JI300" s="23"/>
      <c r="JJ300" s="23"/>
      <c r="JK300" s="23"/>
      <c r="JL300" s="23"/>
      <c r="JM300" s="23"/>
      <c r="JN300" s="23"/>
      <c r="JO300" s="23"/>
      <c r="JP300" s="23"/>
      <c r="JQ300" s="23"/>
      <c r="JR300" s="23"/>
      <c r="JS300" s="23"/>
      <c r="JT300" s="23"/>
      <c r="JU300" s="23"/>
      <c r="JV300" s="23"/>
      <c r="JW300" s="23"/>
      <c r="JX300" s="23"/>
      <c r="JY300" s="23"/>
      <c r="JZ300" s="23"/>
      <c r="KA300" s="23"/>
      <c r="KB300" s="23"/>
      <c r="KC300" s="23"/>
      <c r="KD300" s="23"/>
      <c r="KE300" s="23"/>
      <c r="KF300" s="23"/>
      <c r="KG300" s="23"/>
      <c r="KH300" s="23"/>
      <c r="KI300" s="23"/>
      <c r="KJ300" s="23"/>
      <c r="KK300" s="23"/>
      <c r="KL300" s="23"/>
      <c r="KM300" s="23"/>
      <c r="KN300" s="23"/>
      <c r="KO300" s="23"/>
      <c r="KP300" s="23"/>
      <c r="KQ300" s="23"/>
      <c r="KR300" s="23"/>
      <c r="KS300" s="23"/>
      <c r="KT300" s="23"/>
      <c r="KU300" s="23"/>
      <c r="KV300" s="23"/>
      <c r="KW300" s="23"/>
      <c r="KX300" s="23"/>
      <c r="KY300" s="23"/>
      <c r="KZ300" s="23"/>
      <c r="LA300" s="23"/>
      <c r="LB300" s="23"/>
      <c r="LC300" s="23"/>
      <c r="LD300" s="23"/>
      <c r="LE300" s="23"/>
      <c r="LF300" s="23"/>
      <c r="LG300" s="23"/>
      <c r="LH300" s="23"/>
      <c r="LI300" s="23"/>
      <c r="LJ300" s="23"/>
      <c r="LK300" s="23"/>
      <c r="LL300" s="23"/>
      <c r="LM300" s="23"/>
      <c r="LN300" s="23"/>
      <c r="LO300" s="23"/>
      <c r="LP300" s="23"/>
      <c r="LQ300" s="23"/>
      <c r="LR300" s="23"/>
      <c r="LS300" s="23"/>
      <c r="LT300" s="23"/>
      <c r="LU300" s="23"/>
      <c r="LV300" s="23"/>
      <c r="LW300" s="23"/>
      <c r="LX300" s="23"/>
      <c r="LY300" s="23"/>
      <c r="LZ300" s="23"/>
      <c r="MA300" s="23"/>
      <c r="MB300" s="23"/>
      <c r="MC300" s="23"/>
      <c r="MD300" s="23"/>
      <c r="ME300" s="23"/>
      <c r="MF300" s="23"/>
      <c r="MG300" s="23"/>
      <c r="MH300" s="23"/>
      <c r="MI300" s="23"/>
      <c r="MJ300" s="23"/>
      <c r="MK300" s="23"/>
      <c r="ML300" s="23"/>
      <c r="MM300" s="23"/>
      <c r="MN300" s="23"/>
      <c r="MO300" s="23"/>
      <c r="MP300" s="23"/>
      <c r="MQ300" s="23"/>
      <c r="MR300" s="23"/>
      <c r="MS300" s="23"/>
      <c r="MT300" s="23"/>
      <c r="MU300" s="23"/>
      <c r="MV300" s="23"/>
      <c r="MW300" s="23"/>
      <c r="MX300" s="23"/>
      <c r="MY300" s="23"/>
      <c r="MZ300" s="23"/>
      <c r="NA300" s="23"/>
      <c r="NB300" s="23"/>
      <c r="NC300" s="23"/>
      <c r="ND300" s="23"/>
      <c r="NE300" s="23"/>
      <c r="NF300" s="23"/>
      <c r="NG300" s="23"/>
      <c r="NH300" s="23"/>
      <c r="NI300" s="23"/>
      <c r="NJ300" s="23"/>
      <c r="NK300" s="23"/>
      <c r="NL300" s="23"/>
      <c r="NM300" s="23"/>
      <c r="NN300" s="23"/>
    </row>
    <row r="301" spans="5:378" ht="15" customHeight="1"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  <c r="IL301" s="23"/>
      <c r="IM301" s="23"/>
      <c r="IN301" s="23"/>
      <c r="IO301" s="23"/>
      <c r="IP301" s="23"/>
      <c r="IQ301" s="23"/>
      <c r="IR301" s="23"/>
      <c r="IS301" s="23"/>
      <c r="IT301" s="23"/>
      <c r="IU301" s="23"/>
      <c r="IV301" s="23"/>
      <c r="IW301" s="23"/>
      <c r="IX301" s="23"/>
      <c r="IY301" s="23"/>
      <c r="IZ301" s="23"/>
      <c r="JA301" s="23"/>
      <c r="JB301" s="23"/>
      <c r="JC301" s="23"/>
      <c r="JD301" s="23"/>
      <c r="JE301" s="23"/>
      <c r="JF301" s="23"/>
      <c r="JG301" s="23"/>
      <c r="JH301" s="23"/>
      <c r="JI301" s="23"/>
      <c r="JJ301" s="23"/>
      <c r="JK301" s="23"/>
      <c r="JL301" s="23"/>
      <c r="JM301" s="23"/>
      <c r="JN301" s="23"/>
      <c r="JO301" s="23"/>
      <c r="JP301" s="23"/>
      <c r="JQ301" s="23"/>
      <c r="JR301" s="23"/>
      <c r="JS301" s="23"/>
      <c r="JT301" s="23"/>
      <c r="JU301" s="23"/>
      <c r="JV301" s="23"/>
      <c r="JW301" s="23"/>
      <c r="JX301" s="23"/>
      <c r="JY301" s="23"/>
      <c r="JZ301" s="23"/>
      <c r="KA301" s="23"/>
      <c r="KB301" s="23"/>
      <c r="KC301" s="23"/>
      <c r="KD301" s="23"/>
      <c r="KE301" s="23"/>
      <c r="KF301" s="23"/>
      <c r="KG301" s="23"/>
      <c r="KH301" s="23"/>
      <c r="KI301" s="23"/>
      <c r="KJ301" s="23"/>
      <c r="KK301" s="23"/>
      <c r="KL301" s="23"/>
      <c r="KM301" s="23"/>
      <c r="KN301" s="23"/>
      <c r="KO301" s="23"/>
      <c r="KP301" s="23"/>
      <c r="KQ301" s="23"/>
      <c r="KR301" s="23"/>
      <c r="KS301" s="23"/>
      <c r="KT301" s="23"/>
      <c r="KU301" s="23"/>
      <c r="KV301" s="23"/>
      <c r="KW301" s="23"/>
      <c r="KX301" s="23"/>
      <c r="KY301" s="23"/>
      <c r="KZ301" s="23"/>
      <c r="LA301" s="23"/>
      <c r="LB301" s="23"/>
      <c r="LC301" s="23"/>
      <c r="LD301" s="23"/>
      <c r="LE301" s="23"/>
      <c r="LF301" s="23"/>
      <c r="LG301" s="23"/>
      <c r="LH301" s="23"/>
      <c r="LI301" s="23"/>
      <c r="LJ301" s="23"/>
      <c r="LK301" s="23"/>
      <c r="LL301" s="23"/>
      <c r="LM301" s="23"/>
      <c r="LN301" s="23"/>
      <c r="LO301" s="23"/>
      <c r="LP301" s="23"/>
      <c r="LQ301" s="23"/>
      <c r="LR301" s="23"/>
      <c r="LS301" s="23"/>
      <c r="LT301" s="23"/>
      <c r="LU301" s="23"/>
      <c r="LV301" s="23"/>
      <c r="LW301" s="23"/>
      <c r="LX301" s="23"/>
      <c r="LY301" s="23"/>
      <c r="LZ301" s="23"/>
      <c r="MA301" s="23"/>
      <c r="MB301" s="23"/>
      <c r="MC301" s="23"/>
      <c r="MD301" s="23"/>
      <c r="ME301" s="23"/>
      <c r="MF301" s="23"/>
      <c r="MG301" s="23"/>
      <c r="MH301" s="23"/>
      <c r="MI301" s="23"/>
      <c r="MJ301" s="23"/>
      <c r="MK301" s="23"/>
      <c r="ML301" s="23"/>
      <c r="MM301" s="23"/>
      <c r="MN301" s="23"/>
      <c r="MO301" s="23"/>
      <c r="MP301" s="23"/>
      <c r="MQ301" s="23"/>
      <c r="MR301" s="23"/>
      <c r="MS301" s="23"/>
      <c r="MT301" s="23"/>
      <c r="MU301" s="23"/>
      <c r="MV301" s="23"/>
      <c r="MW301" s="23"/>
      <c r="MX301" s="23"/>
      <c r="MY301" s="23"/>
      <c r="MZ301" s="23"/>
      <c r="NA301" s="23"/>
      <c r="NB301" s="23"/>
      <c r="NC301" s="23"/>
      <c r="ND301" s="23"/>
      <c r="NE301" s="23"/>
      <c r="NF301" s="23"/>
      <c r="NG301" s="23"/>
      <c r="NH301" s="23"/>
      <c r="NI301" s="23"/>
      <c r="NJ301" s="23"/>
      <c r="NK301" s="23"/>
      <c r="NL301" s="23"/>
      <c r="NM301" s="23"/>
      <c r="NN301" s="23"/>
    </row>
    <row r="302" spans="5:378" ht="15" customHeight="1"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  <c r="IL302" s="23"/>
      <c r="IM302" s="23"/>
      <c r="IN302" s="23"/>
      <c r="IO302" s="23"/>
      <c r="IP302" s="23"/>
      <c r="IQ302" s="23"/>
      <c r="IR302" s="23"/>
      <c r="IS302" s="23"/>
      <c r="IT302" s="23"/>
      <c r="IU302" s="23"/>
      <c r="IV302" s="23"/>
      <c r="IW302" s="23"/>
      <c r="IX302" s="23"/>
      <c r="IY302" s="23"/>
      <c r="IZ302" s="23"/>
      <c r="JA302" s="23"/>
      <c r="JB302" s="23"/>
      <c r="JC302" s="23"/>
      <c r="JD302" s="23"/>
      <c r="JE302" s="23"/>
      <c r="JF302" s="23"/>
      <c r="JG302" s="23"/>
      <c r="JH302" s="23"/>
      <c r="JI302" s="23"/>
      <c r="JJ302" s="23"/>
      <c r="JK302" s="23"/>
      <c r="JL302" s="23"/>
      <c r="JM302" s="23"/>
      <c r="JN302" s="23"/>
      <c r="JO302" s="23"/>
      <c r="JP302" s="23"/>
      <c r="JQ302" s="23"/>
      <c r="JR302" s="23"/>
      <c r="JS302" s="23"/>
      <c r="JT302" s="23"/>
      <c r="JU302" s="23"/>
      <c r="JV302" s="23"/>
      <c r="JW302" s="23"/>
      <c r="JX302" s="23"/>
      <c r="JY302" s="23"/>
      <c r="JZ302" s="23"/>
      <c r="KA302" s="23"/>
      <c r="KB302" s="23"/>
      <c r="KC302" s="23"/>
      <c r="KD302" s="23"/>
      <c r="KE302" s="23"/>
      <c r="KF302" s="23"/>
      <c r="KG302" s="23"/>
      <c r="KH302" s="23"/>
      <c r="KI302" s="23"/>
      <c r="KJ302" s="23"/>
      <c r="KK302" s="23"/>
      <c r="KL302" s="23"/>
      <c r="KM302" s="23"/>
      <c r="KN302" s="23"/>
      <c r="KO302" s="23"/>
      <c r="KP302" s="23"/>
      <c r="KQ302" s="23"/>
      <c r="KR302" s="23"/>
      <c r="KS302" s="23"/>
      <c r="KT302" s="23"/>
      <c r="KU302" s="23"/>
      <c r="KV302" s="23"/>
      <c r="KW302" s="23"/>
      <c r="KX302" s="23"/>
      <c r="KY302" s="23"/>
      <c r="KZ302" s="23"/>
      <c r="LA302" s="23"/>
      <c r="LB302" s="23"/>
      <c r="LC302" s="23"/>
      <c r="LD302" s="23"/>
      <c r="LE302" s="23"/>
      <c r="LF302" s="23"/>
      <c r="LG302" s="23"/>
      <c r="LH302" s="23"/>
      <c r="LI302" s="23"/>
      <c r="LJ302" s="23"/>
      <c r="LK302" s="23"/>
      <c r="LL302" s="23"/>
      <c r="LM302" s="23"/>
      <c r="LN302" s="23"/>
      <c r="LO302" s="23"/>
      <c r="LP302" s="23"/>
      <c r="LQ302" s="23"/>
      <c r="LR302" s="23"/>
      <c r="LS302" s="23"/>
      <c r="LT302" s="23"/>
      <c r="LU302" s="23"/>
      <c r="LV302" s="23"/>
      <c r="LW302" s="23"/>
      <c r="LX302" s="23"/>
      <c r="LY302" s="23"/>
      <c r="LZ302" s="23"/>
      <c r="MA302" s="23"/>
      <c r="MB302" s="23"/>
      <c r="MC302" s="23"/>
      <c r="MD302" s="23"/>
      <c r="ME302" s="23"/>
      <c r="MF302" s="23"/>
      <c r="MG302" s="23"/>
      <c r="MH302" s="23"/>
      <c r="MI302" s="23"/>
      <c r="MJ302" s="23"/>
      <c r="MK302" s="23"/>
      <c r="ML302" s="23"/>
      <c r="MM302" s="23"/>
      <c r="MN302" s="23"/>
      <c r="MO302" s="23"/>
      <c r="MP302" s="23"/>
      <c r="MQ302" s="23"/>
      <c r="MR302" s="23"/>
      <c r="MS302" s="23"/>
      <c r="MT302" s="23"/>
      <c r="MU302" s="23"/>
      <c r="MV302" s="23"/>
      <c r="MW302" s="23"/>
      <c r="MX302" s="23"/>
      <c r="MY302" s="23"/>
      <c r="MZ302" s="23"/>
      <c r="NA302" s="23"/>
      <c r="NB302" s="23"/>
      <c r="NC302" s="23"/>
      <c r="ND302" s="23"/>
      <c r="NE302" s="23"/>
      <c r="NF302" s="23"/>
      <c r="NG302" s="23"/>
      <c r="NH302" s="23"/>
      <c r="NI302" s="23"/>
      <c r="NJ302" s="23"/>
      <c r="NK302" s="23"/>
      <c r="NL302" s="23"/>
      <c r="NM302" s="23"/>
      <c r="NN302" s="23"/>
    </row>
    <row r="303" spans="5:378" ht="15" customHeight="1"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  <c r="IL303" s="23"/>
      <c r="IM303" s="23"/>
      <c r="IN303" s="23"/>
      <c r="IO303" s="23"/>
      <c r="IP303" s="23"/>
      <c r="IQ303" s="23"/>
      <c r="IR303" s="23"/>
      <c r="IS303" s="23"/>
      <c r="IT303" s="23"/>
      <c r="IU303" s="23"/>
      <c r="IV303" s="23"/>
      <c r="IW303" s="23"/>
      <c r="IX303" s="23"/>
      <c r="IY303" s="23"/>
      <c r="IZ303" s="23"/>
      <c r="JA303" s="23"/>
      <c r="JB303" s="23"/>
      <c r="JC303" s="23"/>
      <c r="JD303" s="23"/>
      <c r="JE303" s="23"/>
      <c r="JF303" s="23"/>
      <c r="JG303" s="23"/>
      <c r="JH303" s="23"/>
      <c r="JI303" s="23"/>
      <c r="JJ303" s="23"/>
      <c r="JK303" s="23"/>
      <c r="JL303" s="23"/>
      <c r="JM303" s="23"/>
      <c r="JN303" s="23"/>
      <c r="JO303" s="23"/>
      <c r="JP303" s="23"/>
      <c r="JQ303" s="23"/>
      <c r="JR303" s="23"/>
      <c r="JS303" s="23"/>
      <c r="JT303" s="23"/>
      <c r="JU303" s="23"/>
      <c r="JV303" s="23"/>
      <c r="JW303" s="23"/>
      <c r="JX303" s="23"/>
      <c r="JY303" s="23"/>
      <c r="JZ303" s="23"/>
      <c r="KA303" s="23"/>
      <c r="KB303" s="23"/>
      <c r="KC303" s="23"/>
      <c r="KD303" s="23"/>
      <c r="KE303" s="23"/>
      <c r="KF303" s="23"/>
      <c r="KG303" s="23"/>
      <c r="KH303" s="23"/>
      <c r="KI303" s="23"/>
      <c r="KJ303" s="23"/>
      <c r="KK303" s="23"/>
      <c r="KL303" s="23"/>
      <c r="KM303" s="23"/>
      <c r="KN303" s="23"/>
      <c r="KO303" s="23"/>
      <c r="KP303" s="23"/>
      <c r="KQ303" s="23"/>
      <c r="KR303" s="23"/>
      <c r="KS303" s="23"/>
      <c r="KT303" s="23"/>
      <c r="KU303" s="23"/>
      <c r="KV303" s="23"/>
      <c r="KW303" s="23"/>
      <c r="KX303" s="23"/>
      <c r="KY303" s="23"/>
      <c r="KZ303" s="23"/>
      <c r="LA303" s="23"/>
      <c r="LB303" s="23"/>
      <c r="LC303" s="23"/>
      <c r="LD303" s="23"/>
      <c r="LE303" s="23"/>
      <c r="LF303" s="23"/>
      <c r="LG303" s="23"/>
      <c r="LH303" s="23"/>
      <c r="LI303" s="23"/>
      <c r="LJ303" s="23"/>
      <c r="LK303" s="23"/>
      <c r="LL303" s="23"/>
      <c r="LM303" s="23"/>
      <c r="LN303" s="23"/>
      <c r="LO303" s="23"/>
      <c r="LP303" s="23"/>
      <c r="LQ303" s="23"/>
      <c r="LR303" s="23"/>
      <c r="LS303" s="23"/>
      <c r="LT303" s="23"/>
      <c r="LU303" s="23"/>
      <c r="LV303" s="23"/>
      <c r="LW303" s="23"/>
      <c r="LX303" s="23"/>
      <c r="LY303" s="23"/>
      <c r="LZ303" s="23"/>
      <c r="MA303" s="23"/>
      <c r="MB303" s="23"/>
      <c r="MC303" s="23"/>
      <c r="MD303" s="23"/>
      <c r="ME303" s="23"/>
      <c r="MF303" s="23"/>
      <c r="MG303" s="23"/>
      <c r="MH303" s="23"/>
      <c r="MI303" s="23"/>
      <c r="MJ303" s="23"/>
      <c r="MK303" s="23"/>
      <c r="ML303" s="23"/>
      <c r="MM303" s="23"/>
      <c r="MN303" s="23"/>
      <c r="MO303" s="23"/>
      <c r="MP303" s="23"/>
      <c r="MQ303" s="23"/>
      <c r="MR303" s="23"/>
      <c r="MS303" s="23"/>
      <c r="MT303" s="23"/>
      <c r="MU303" s="23"/>
      <c r="MV303" s="23"/>
      <c r="MW303" s="23"/>
      <c r="MX303" s="23"/>
      <c r="MY303" s="23"/>
      <c r="MZ303" s="23"/>
      <c r="NA303" s="23"/>
      <c r="NB303" s="23"/>
      <c r="NC303" s="23"/>
      <c r="ND303" s="23"/>
      <c r="NE303" s="23"/>
      <c r="NF303" s="23"/>
      <c r="NG303" s="23"/>
      <c r="NH303" s="23"/>
      <c r="NI303" s="23"/>
      <c r="NJ303" s="23"/>
      <c r="NK303" s="23"/>
      <c r="NL303" s="23"/>
      <c r="NM303" s="23"/>
      <c r="NN303" s="23"/>
    </row>
    <row r="304" spans="5:378" ht="15" customHeight="1"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  <c r="IL304" s="23"/>
      <c r="IM304" s="23"/>
      <c r="IN304" s="23"/>
      <c r="IO304" s="23"/>
      <c r="IP304" s="23"/>
      <c r="IQ304" s="23"/>
      <c r="IR304" s="23"/>
      <c r="IS304" s="23"/>
      <c r="IT304" s="23"/>
      <c r="IU304" s="23"/>
      <c r="IV304" s="23"/>
      <c r="IW304" s="23"/>
      <c r="IX304" s="23"/>
      <c r="IY304" s="23"/>
      <c r="IZ304" s="23"/>
      <c r="JA304" s="23"/>
      <c r="JB304" s="23"/>
      <c r="JC304" s="23"/>
      <c r="JD304" s="23"/>
      <c r="JE304" s="23"/>
      <c r="JF304" s="23"/>
      <c r="JG304" s="23"/>
      <c r="JH304" s="23"/>
      <c r="JI304" s="23"/>
      <c r="JJ304" s="23"/>
      <c r="JK304" s="23"/>
      <c r="JL304" s="23"/>
      <c r="JM304" s="23"/>
      <c r="JN304" s="23"/>
      <c r="JO304" s="23"/>
      <c r="JP304" s="23"/>
      <c r="JQ304" s="23"/>
      <c r="JR304" s="23"/>
      <c r="JS304" s="23"/>
      <c r="JT304" s="23"/>
      <c r="JU304" s="23"/>
      <c r="JV304" s="23"/>
      <c r="JW304" s="23"/>
      <c r="JX304" s="23"/>
      <c r="JY304" s="23"/>
      <c r="JZ304" s="23"/>
      <c r="KA304" s="23"/>
      <c r="KB304" s="23"/>
      <c r="KC304" s="23"/>
      <c r="KD304" s="23"/>
      <c r="KE304" s="23"/>
      <c r="KF304" s="23"/>
      <c r="KG304" s="23"/>
      <c r="KH304" s="23"/>
      <c r="KI304" s="23"/>
      <c r="KJ304" s="23"/>
      <c r="KK304" s="23"/>
      <c r="KL304" s="23"/>
      <c r="KM304" s="23"/>
      <c r="KN304" s="23"/>
      <c r="KO304" s="23"/>
      <c r="KP304" s="23"/>
      <c r="KQ304" s="23"/>
      <c r="KR304" s="23"/>
      <c r="KS304" s="23"/>
      <c r="KT304" s="23"/>
      <c r="KU304" s="23"/>
      <c r="KV304" s="23"/>
      <c r="KW304" s="23"/>
      <c r="KX304" s="23"/>
      <c r="KY304" s="23"/>
      <c r="KZ304" s="23"/>
      <c r="LA304" s="23"/>
      <c r="LB304" s="23"/>
      <c r="LC304" s="23"/>
      <c r="LD304" s="23"/>
      <c r="LE304" s="23"/>
      <c r="LF304" s="23"/>
      <c r="LG304" s="23"/>
      <c r="LH304" s="23"/>
      <c r="LI304" s="23"/>
      <c r="LJ304" s="23"/>
      <c r="LK304" s="23"/>
      <c r="LL304" s="23"/>
      <c r="LM304" s="23"/>
      <c r="LN304" s="23"/>
      <c r="LO304" s="23"/>
      <c r="LP304" s="23"/>
      <c r="LQ304" s="23"/>
      <c r="LR304" s="23"/>
      <c r="LS304" s="23"/>
      <c r="LT304" s="23"/>
      <c r="LU304" s="23"/>
      <c r="LV304" s="23"/>
      <c r="LW304" s="23"/>
      <c r="LX304" s="23"/>
      <c r="LY304" s="23"/>
      <c r="LZ304" s="23"/>
      <c r="MA304" s="23"/>
      <c r="MB304" s="23"/>
      <c r="MC304" s="23"/>
      <c r="MD304" s="23"/>
      <c r="ME304" s="23"/>
      <c r="MF304" s="23"/>
      <c r="MG304" s="23"/>
      <c r="MH304" s="23"/>
      <c r="MI304" s="23"/>
      <c r="MJ304" s="23"/>
      <c r="MK304" s="23"/>
      <c r="ML304" s="23"/>
      <c r="MM304" s="23"/>
      <c r="MN304" s="23"/>
      <c r="MO304" s="23"/>
      <c r="MP304" s="23"/>
      <c r="MQ304" s="23"/>
      <c r="MR304" s="23"/>
      <c r="MS304" s="23"/>
      <c r="MT304" s="23"/>
      <c r="MU304" s="23"/>
      <c r="MV304" s="23"/>
      <c r="MW304" s="23"/>
      <c r="MX304" s="23"/>
      <c r="MY304" s="23"/>
      <c r="MZ304" s="23"/>
      <c r="NA304" s="23"/>
      <c r="NB304" s="23"/>
      <c r="NC304" s="23"/>
      <c r="ND304" s="23"/>
      <c r="NE304" s="23"/>
      <c r="NF304" s="23"/>
      <c r="NG304" s="23"/>
      <c r="NH304" s="23"/>
      <c r="NI304" s="23"/>
      <c r="NJ304" s="23"/>
      <c r="NK304" s="23"/>
      <c r="NL304" s="23"/>
      <c r="NM304" s="23"/>
      <c r="NN304" s="23"/>
    </row>
    <row r="305" spans="5:378" ht="15" customHeight="1"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  <c r="IL305" s="23"/>
      <c r="IM305" s="23"/>
      <c r="IN305" s="23"/>
      <c r="IO305" s="23"/>
      <c r="IP305" s="23"/>
      <c r="IQ305" s="23"/>
      <c r="IR305" s="23"/>
      <c r="IS305" s="23"/>
      <c r="IT305" s="23"/>
      <c r="IU305" s="23"/>
      <c r="IV305" s="23"/>
      <c r="IW305" s="23"/>
      <c r="IX305" s="23"/>
      <c r="IY305" s="23"/>
      <c r="IZ305" s="23"/>
      <c r="JA305" s="23"/>
      <c r="JB305" s="23"/>
      <c r="JC305" s="23"/>
      <c r="JD305" s="23"/>
      <c r="JE305" s="23"/>
      <c r="JF305" s="23"/>
      <c r="JG305" s="23"/>
      <c r="JH305" s="23"/>
      <c r="JI305" s="23"/>
      <c r="JJ305" s="23"/>
      <c r="JK305" s="23"/>
      <c r="JL305" s="23"/>
      <c r="JM305" s="23"/>
      <c r="JN305" s="23"/>
      <c r="JO305" s="23"/>
      <c r="JP305" s="23"/>
      <c r="JQ305" s="23"/>
      <c r="JR305" s="23"/>
      <c r="JS305" s="23"/>
      <c r="JT305" s="23"/>
      <c r="JU305" s="23"/>
      <c r="JV305" s="23"/>
      <c r="JW305" s="23"/>
      <c r="JX305" s="23"/>
      <c r="JY305" s="23"/>
      <c r="JZ305" s="23"/>
      <c r="KA305" s="23"/>
      <c r="KB305" s="23"/>
      <c r="KC305" s="23"/>
      <c r="KD305" s="23"/>
      <c r="KE305" s="23"/>
      <c r="KF305" s="23"/>
      <c r="KG305" s="23"/>
      <c r="KH305" s="23"/>
      <c r="KI305" s="23"/>
      <c r="KJ305" s="23"/>
      <c r="KK305" s="23"/>
      <c r="KL305" s="23"/>
      <c r="KM305" s="23"/>
      <c r="KN305" s="23"/>
      <c r="KO305" s="23"/>
      <c r="KP305" s="23"/>
      <c r="KQ305" s="23"/>
      <c r="KR305" s="23"/>
      <c r="KS305" s="23"/>
      <c r="KT305" s="23"/>
      <c r="KU305" s="23"/>
      <c r="KV305" s="23"/>
      <c r="KW305" s="23"/>
      <c r="KX305" s="23"/>
      <c r="KY305" s="23"/>
      <c r="KZ305" s="23"/>
      <c r="LA305" s="23"/>
      <c r="LB305" s="23"/>
      <c r="LC305" s="23"/>
      <c r="LD305" s="23"/>
      <c r="LE305" s="23"/>
      <c r="LF305" s="23"/>
      <c r="LG305" s="23"/>
      <c r="LH305" s="23"/>
      <c r="LI305" s="23"/>
      <c r="LJ305" s="23"/>
      <c r="LK305" s="23"/>
      <c r="LL305" s="23"/>
      <c r="LM305" s="23"/>
      <c r="LN305" s="23"/>
      <c r="LO305" s="23"/>
      <c r="LP305" s="23"/>
      <c r="LQ305" s="23"/>
      <c r="LR305" s="23"/>
      <c r="LS305" s="23"/>
      <c r="LT305" s="23"/>
      <c r="LU305" s="23"/>
      <c r="LV305" s="23"/>
      <c r="LW305" s="23"/>
      <c r="LX305" s="23"/>
      <c r="LY305" s="23"/>
      <c r="LZ305" s="23"/>
      <c r="MA305" s="23"/>
      <c r="MB305" s="23"/>
      <c r="MC305" s="23"/>
      <c r="MD305" s="23"/>
      <c r="ME305" s="23"/>
      <c r="MF305" s="23"/>
      <c r="MG305" s="23"/>
      <c r="MH305" s="23"/>
      <c r="MI305" s="23"/>
      <c r="MJ305" s="23"/>
      <c r="MK305" s="23"/>
      <c r="ML305" s="23"/>
      <c r="MM305" s="23"/>
      <c r="MN305" s="23"/>
      <c r="MO305" s="23"/>
      <c r="MP305" s="23"/>
      <c r="MQ305" s="23"/>
      <c r="MR305" s="23"/>
      <c r="MS305" s="23"/>
      <c r="MT305" s="23"/>
      <c r="MU305" s="23"/>
      <c r="MV305" s="23"/>
      <c r="MW305" s="23"/>
      <c r="MX305" s="23"/>
      <c r="MY305" s="23"/>
      <c r="MZ305" s="23"/>
      <c r="NA305" s="23"/>
      <c r="NB305" s="23"/>
      <c r="NC305" s="23"/>
      <c r="ND305" s="23"/>
      <c r="NE305" s="23"/>
      <c r="NF305" s="23"/>
      <c r="NG305" s="23"/>
      <c r="NH305" s="23"/>
      <c r="NI305" s="23"/>
      <c r="NJ305" s="23"/>
      <c r="NK305" s="23"/>
      <c r="NL305" s="23"/>
      <c r="NM305" s="23"/>
      <c r="NN305" s="23"/>
    </row>
    <row r="306" spans="5:378" ht="15" customHeight="1"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  <c r="IL306" s="23"/>
      <c r="IM306" s="23"/>
      <c r="IN306" s="23"/>
      <c r="IO306" s="23"/>
      <c r="IP306" s="23"/>
      <c r="IQ306" s="23"/>
      <c r="IR306" s="23"/>
      <c r="IS306" s="23"/>
      <c r="IT306" s="23"/>
      <c r="IU306" s="23"/>
      <c r="IV306" s="23"/>
      <c r="IW306" s="23"/>
      <c r="IX306" s="23"/>
      <c r="IY306" s="23"/>
      <c r="IZ306" s="23"/>
      <c r="JA306" s="23"/>
      <c r="JB306" s="23"/>
      <c r="JC306" s="23"/>
      <c r="JD306" s="23"/>
      <c r="JE306" s="23"/>
      <c r="JF306" s="23"/>
      <c r="JG306" s="23"/>
      <c r="JH306" s="23"/>
      <c r="JI306" s="23"/>
      <c r="JJ306" s="23"/>
      <c r="JK306" s="23"/>
      <c r="JL306" s="23"/>
      <c r="JM306" s="23"/>
      <c r="JN306" s="23"/>
      <c r="JO306" s="23"/>
      <c r="JP306" s="23"/>
      <c r="JQ306" s="23"/>
      <c r="JR306" s="23"/>
      <c r="JS306" s="23"/>
      <c r="JT306" s="23"/>
      <c r="JU306" s="23"/>
      <c r="JV306" s="23"/>
      <c r="JW306" s="23"/>
      <c r="JX306" s="23"/>
      <c r="JY306" s="23"/>
      <c r="JZ306" s="23"/>
      <c r="KA306" s="23"/>
      <c r="KB306" s="23"/>
      <c r="KC306" s="23"/>
      <c r="KD306" s="23"/>
      <c r="KE306" s="23"/>
      <c r="KF306" s="23"/>
      <c r="KG306" s="23"/>
      <c r="KH306" s="23"/>
      <c r="KI306" s="23"/>
      <c r="KJ306" s="23"/>
      <c r="KK306" s="23"/>
      <c r="KL306" s="23"/>
      <c r="KM306" s="23"/>
      <c r="KN306" s="23"/>
      <c r="KO306" s="23"/>
      <c r="KP306" s="23"/>
      <c r="KQ306" s="23"/>
      <c r="KR306" s="23"/>
      <c r="KS306" s="23"/>
      <c r="KT306" s="23"/>
      <c r="KU306" s="23"/>
      <c r="KV306" s="23"/>
      <c r="KW306" s="23"/>
      <c r="KX306" s="23"/>
      <c r="KY306" s="23"/>
      <c r="KZ306" s="23"/>
      <c r="LA306" s="23"/>
      <c r="LB306" s="23"/>
      <c r="LC306" s="23"/>
      <c r="LD306" s="23"/>
      <c r="LE306" s="23"/>
      <c r="LF306" s="23"/>
      <c r="LG306" s="23"/>
      <c r="LH306" s="23"/>
      <c r="LI306" s="23"/>
      <c r="LJ306" s="23"/>
      <c r="LK306" s="23"/>
      <c r="LL306" s="23"/>
      <c r="LM306" s="23"/>
      <c r="LN306" s="23"/>
      <c r="LO306" s="23"/>
      <c r="LP306" s="23"/>
      <c r="LQ306" s="23"/>
      <c r="LR306" s="23"/>
      <c r="LS306" s="23"/>
      <c r="LT306" s="23"/>
      <c r="LU306" s="23"/>
      <c r="LV306" s="23"/>
      <c r="LW306" s="23"/>
      <c r="LX306" s="23"/>
      <c r="LY306" s="23"/>
      <c r="LZ306" s="23"/>
      <c r="MA306" s="23"/>
      <c r="MB306" s="23"/>
      <c r="MC306" s="23"/>
      <c r="MD306" s="23"/>
      <c r="ME306" s="23"/>
      <c r="MF306" s="23"/>
      <c r="MG306" s="23"/>
      <c r="MH306" s="23"/>
      <c r="MI306" s="23"/>
      <c r="MJ306" s="23"/>
      <c r="MK306" s="23"/>
      <c r="ML306" s="23"/>
      <c r="MM306" s="23"/>
      <c r="MN306" s="23"/>
      <c r="MO306" s="23"/>
      <c r="MP306" s="23"/>
      <c r="MQ306" s="23"/>
      <c r="MR306" s="23"/>
      <c r="MS306" s="23"/>
      <c r="MT306" s="23"/>
      <c r="MU306" s="23"/>
      <c r="MV306" s="23"/>
      <c r="MW306" s="23"/>
      <c r="MX306" s="23"/>
      <c r="MY306" s="23"/>
      <c r="MZ306" s="23"/>
      <c r="NA306" s="23"/>
      <c r="NB306" s="23"/>
      <c r="NC306" s="23"/>
      <c r="ND306" s="23"/>
      <c r="NE306" s="23"/>
      <c r="NF306" s="23"/>
      <c r="NG306" s="23"/>
      <c r="NH306" s="23"/>
      <c r="NI306" s="23"/>
      <c r="NJ306" s="23"/>
      <c r="NK306" s="23"/>
      <c r="NL306" s="23"/>
      <c r="NM306" s="23"/>
      <c r="NN306" s="23"/>
    </row>
    <row r="307" spans="5:378" ht="15" customHeight="1"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  <c r="IL307" s="23"/>
      <c r="IM307" s="23"/>
      <c r="IN307" s="23"/>
      <c r="IO307" s="23"/>
      <c r="IP307" s="23"/>
      <c r="IQ307" s="23"/>
      <c r="IR307" s="23"/>
      <c r="IS307" s="23"/>
      <c r="IT307" s="23"/>
      <c r="IU307" s="23"/>
      <c r="IV307" s="23"/>
      <c r="IW307" s="23"/>
      <c r="IX307" s="23"/>
      <c r="IY307" s="23"/>
      <c r="IZ307" s="23"/>
      <c r="JA307" s="23"/>
      <c r="JB307" s="23"/>
      <c r="JC307" s="23"/>
      <c r="JD307" s="23"/>
      <c r="JE307" s="23"/>
      <c r="JF307" s="23"/>
      <c r="JG307" s="23"/>
      <c r="JH307" s="23"/>
      <c r="JI307" s="23"/>
      <c r="JJ307" s="23"/>
      <c r="JK307" s="23"/>
      <c r="JL307" s="23"/>
      <c r="JM307" s="23"/>
      <c r="JN307" s="23"/>
      <c r="JO307" s="23"/>
      <c r="JP307" s="23"/>
      <c r="JQ307" s="23"/>
      <c r="JR307" s="23"/>
      <c r="JS307" s="23"/>
      <c r="JT307" s="23"/>
      <c r="JU307" s="23"/>
      <c r="JV307" s="23"/>
      <c r="JW307" s="23"/>
      <c r="JX307" s="23"/>
      <c r="JY307" s="23"/>
      <c r="JZ307" s="23"/>
      <c r="KA307" s="23"/>
      <c r="KB307" s="23"/>
      <c r="KC307" s="23"/>
      <c r="KD307" s="23"/>
      <c r="KE307" s="23"/>
      <c r="KF307" s="23"/>
      <c r="KG307" s="23"/>
      <c r="KH307" s="23"/>
      <c r="KI307" s="23"/>
      <c r="KJ307" s="23"/>
      <c r="KK307" s="23"/>
      <c r="KL307" s="23"/>
      <c r="KM307" s="23"/>
      <c r="KN307" s="23"/>
      <c r="KO307" s="23"/>
      <c r="KP307" s="23"/>
      <c r="KQ307" s="23"/>
      <c r="KR307" s="23"/>
      <c r="KS307" s="23"/>
      <c r="KT307" s="23"/>
      <c r="KU307" s="23"/>
      <c r="KV307" s="23"/>
      <c r="KW307" s="23"/>
      <c r="KX307" s="23"/>
      <c r="KY307" s="23"/>
      <c r="KZ307" s="23"/>
      <c r="LA307" s="23"/>
      <c r="LB307" s="23"/>
      <c r="LC307" s="23"/>
      <c r="LD307" s="23"/>
      <c r="LE307" s="23"/>
      <c r="LF307" s="23"/>
      <c r="LG307" s="23"/>
      <c r="LH307" s="23"/>
      <c r="LI307" s="23"/>
      <c r="LJ307" s="23"/>
      <c r="LK307" s="23"/>
      <c r="LL307" s="23"/>
      <c r="LM307" s="23"/>
      <c r="LN307" s="23"/>
      <c r="LO307" s="23"/>
      <c r="LP307" s="23"/>
      <c r="LQ307" s="23"/>
      <c r="LR307" s="23"/>
      <c r="LS307" s="23"/>
      <c r="LT307" s="23"/>
      <c r="LU307" s="23"/>
      <c r="LV307" s="23"/>
      <c r="LW307" s="23"/>
      <c r="LX307" s="23"/>
      <c r="LY307" s="23"/>
      <c r="LZ307" s="23"/>
      <c r="MA307" s="23"/>
      <c r="MB307" s="23"/>
      <c r="MC307" s="23"/>
      <c r="MD307" s="23"/>
      <c r="ME307" s="23"/>
      <c r="MF307" s="23"/>
      <c r="MG307" s="23"/>
      <c r="MH307" s="23"/>
      <c r="MI307" s="23"/>
      <c r="MJ307" s="23"/>
      <c r="MK307" s="23"/>
      <c r="ML307" s="23"/>
      <c r="MM307" s="23"/>
      <c r="MN307" s="23"/>
      <c r="MO307" s="23"/>
      <c r="MP307" s="23"/>
      <c r="MQ307" s="23"/>
      <c r="MR307" s="23"/>
      <c r="MS307" s="23"/>
      <c r="MT307" s="23"/>
      <c r="MU307" s="23"/>
      <c r="MV307" s="23"/>
      <c r="MW307" s="23"/>
      <c r="MX307" s="23"/>
      <c r="MY307" s="23"/>
      <c r="MZ307" s="23"/>
      <c r="NA307" s="23"/>
      <c r="NB307" s="23"/>
      <c r="NC307" s="23"/>
      <c r="ND307" s="23"/>
      <c r="NE307" s="23"/>
      <c r="NF307" s="23"/>
      <c r="NG307" s="23"/>
      <c r="NH307" s="23"/>
      <c r="NI307" s="23"/>
      <c r="NJ307" s="23"/>
      <c r="NK307" s="23"/>
      <c r="NL307" s="23"/>
      <c r="NM307" s="23"/>
      <c r="NN307" s="23"/>
    </row>
    <row r="308" spans="5:378" ht="15" customHeight="1"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  <c r="IL308" s="23"/>
      <c r="IM308" s="23"/>
      <c r="IN308" s="23"/>
      <c r="IO308" s="23"/>
      <c r="IP308" s="23"/>
      <c r="IQ308" s="23"/>
      <c r="IR308" s="23"/>
      <c r="IS308" s="23"/>
      <c r="IT308" s="23"/>
      <c r="IU308" s="23"/>
      <c r="IV308" s="23"/>
      <c r="IW308" s="23"/>
      <c r="IX308" s="23"/>
      <c r="IY308" s="23"/>
      <c r="IZ308" s="23"/>
      <c r="JA308" s="23"/>
      <c r="JB308" s="23"/>
      <c r="JC308" s="23"/>
      <c r="JD308" s="23"/>
      <c r="JE308" s="23"/>
      <c r="JF308" s="23"/>
      <c r="JG308" s="23"/>
      <c r="JH308" s="23"/>
      <c r="JI308" s="23"/>
      <c r="JJ308" s="23"/>
      <c r="JK308" s="23"/>
      <c r="JL308" s="23"/>
      <c r="JM308" s="23"/>
      <c r="JN308" s="23"/>
      <c r="JO308" s="23"/>
      <c r="JP308" s="23"/>
      <c r="JQ308" s="23"/>
      <c r="JR308" s="23"/>
      <c r="JS308" s="23"/>
      <c r="JT308" s="23"/>
      <c r="JU308" s="23"/>
      <c r="JV308" s="23"/>
      <c r="JW308" s="23"/>
      <c r="JX308" s="23"/>
      <c r="JY308" s="23"/>
      <c r="JZ308" s="23"/>
      <c r="KA308" s="23"/>
      <c r="KB308" s="23"/>
      <c r="KC308" s="23"/>
      <c r="KD308" s="23"/>
      <c r="KE308" s="23"/>
      <c r="KF308" s="23"/>
      <c r="KG308" s="23"/>
      <c r="KH308" s="23"/>
      <c r="KI308" s="23"/>
      <c r="KJ308" s="23"/>
      <c r="KK308" s="23"/>
      <c r="KL308" s="23"/>
      <c r="KM308" s="23"/>
      <c r="KN308" s="23"/>
      <c r="KO308" s="23"/>
      <c r="KP308" s="23"/>
      <c r="KQ308" s="23"/>
      <c r="KR308" s="23"/>
      <c r="KS308" s="23"/>
      <c r="KT308" s="23"/>
      <c r="KU308" s="23"/>
      <c r="KV308" s="23"/>
      <c r="KW308" s="23"/>
      <c r="KX308" s="23"/>
      <c r="KY308" s="23"/>
      <c r="KZ308" s="23"/>
      <c r="LA308" s="23"/>
      <c r="LB308" s="23"/>
      <c r="LC308" s="23"/>
      <c r="LD308" s="23"/>
      <c r="LE308" s="23"/>
      <c r="LF308" s="23"/>
      <c r="LG308" s="23"/>
      <c r="LH308" s="23"/>
      <c r="LI308" s="23"/>
      <c r="LJ308" s="23"/>
      <c r="LK308" s="23"/>
      <c r="LL308" s="23"/>
      <c r="LM308" s="23"/>
      <c r="LN308" s="23"/>
      <c r="LO308" s="23"/>
      <c r="LP308" s="23"/>
      <c r="LQ308" s="23"/>
      <c r="LR308" s="23"/>
      <c r="LS308" s="23"/>
      <c r="LT308" s="23"/>
      <c r="LU308" s="23"/>
      <c r="LV308" s="23"/>
      <c r="LW308" s="23"/>
      <c r="LX308" s="23"/>
      <c r="LY308" s="23"/>
      <c r="LZ308" s="23"/>
      <c r="MA308" s="23"/>
      <c r="MB308" s="23"/>
      <c r="MC308" s="23"/>
      <c r="MD308" s="23"/>
      <c r="ME308" s="23"/>
      <c r="MF308" s="23"/>
      <c r="MG308" s="23"/>
      <c r="MH308" s="23"/>
      <c r="MI308" s="23"/>
      <c r="MJ308" s="23"/>
      <c r="MK308" s="23"/>
      <c r="ML308" s="23"/>
      <c r="MM308" s="23"/>
      <c r="MN308" s="23"/>
      <c r="MO308" s="23"/>
      <c r="MP308" s="23"/>
      <c r="MQ308" s="23"/>
      <c r="MR308" s="23"/>
      <c r="MS308" s="23"/>
      <c r="MT308" s="23"/>
      <c r="MU308" s="23"/>
      <c r="MV308" s="23"/>
      <c r="MW308" s="23"/>
      <c r="MX308" s="23"/>
      <c r="MY308" s="23"/>
      <c r="MZ308" s="23"/>
      <c r="NA308" s="23"/>
      <c r="NB308" s="23"/>
      <c r="NC308" s="23"/>
      <c r="ND308" s="23"/>
      <c r="NE308" s="23"/>
      <c r="NF308" s="23"/>
      <c r="NG308" s="23"/>
      <c r="NH308" s="23"/>
      <c r="NI308" s="23"/>
      <c r="NJ308" s="23"/>
      <c r="NK308" s="23"/>
      <c r="NL308" s="23"/>
      <c r="NM308" s="23"/>
      <c r="NN308" s="23"/>
    </row>
    <row r="309" spans="5:378" ht="15" customHeight="1"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  <c r="IL309" s="23"/>
      <c r="IM309" s="23"/>
      <c r="IN309" s="23"/>
      <c r="IO309" s="23"/>
      <c r="IP309" s="23"/>
      <c r="IQ309" s="23"/>
      <c r="IR309" s="23"/>
      <c r="IS309" s="23"/>
      <c r="IT309" s="23"/>
      <c r="IU309" s="23"/>
      <c r="IV309" s="23"/>
      <c r="IW309" s="23"/>
      <c r="IX309" s="23"/>
      <c r="IY309" s="23"/>
      <c r="IZ309" s="23"/>
      <c r="JA309" s="23"/>
      <c r="JB309" s="23"/>
      <c r="JC309" s="23"/>
      <c r="JD309" s="23"/>
      <c r="JE309" s="23"/>
      <c r="JF309" s="23"/>
      <c r="JG309" s="23"/>
      <c r="JH309" s="23"/>
      <c r="JI309" s="23"/>
      <c r="JJ309" s="23"/>
      <c r="JK309" s="23"/>
      <c r="JL309" s="23"/>
      <c r="JM309" s="23"/>
      <c r="JN309" s="23"/>
      <c r="JO309" s="23"/>
      <c r="JP309" s="23"/>
      <c r="JQ309" s="23"/>
      <c r="JR309" s="23"/>
      <c r="JS309" s="23"/>
      <c r="JT309" s="23"/>
      <c r="JU309" s="23"/>
      <c r="JV309" s="23"/>
      <c r="JW309" s="23"/>
      <c r="JX309" s="23"/>
      <c r="JY309" s="23"/>
      <c r="JZ309" s="23"/>
      <c r="KA309" s="23"/>
      <c r="KB309" s="23"/>
      <c r="KC309" s="23"/>
      <c r="KD309" s="23"/>
      <c r="KE309" s="23"/>
      <c r="KF309" s="23"/>
      <c r="KG309" s="23"/>
      <c r="KH309" s="23"/>
      <c r="KI309" s="23"/>
      <c r="KJ309" s="23"/>
      <c r="KK309" s="23"/>
      <c r="KL309" s="23"/>
      <c r="KM309" s="23"/>
      <c r="KN309" s="23"/>
      <c r="KO309" s="23"/>
      <c r="KP309" s="23"/>
      <c r="KQ309" s="23"/>
      <c r="KR309" s="23"/>
      <c r="KS309" s="23"/>
      <c r="KT309" s="23"/>
      <c r="KU309" s="23"/>
      <c r="KV309" s="23"/>
      <c r="KW309" s="23"/>
      <c r="KX309" s="23"/>
      <c r="KY309" s="23"/>
      <c r="KZ309" s="23"/>
      <c r="LA309" s="23"/>
      <c r="LB309" s="23"/>
      <c r="LC309" s="23"/>
      <c r="LD309" s="23"/>
      <c r="LE309" s="23"/>
      <c r="LF309" s="23"/>
      <c r="LG309" s="23"/>
      <c r="LH309" s="23"/>
      <c r="LI309" s="23"/>
      <c r="LJ309" s="23"/>
      <c r="LK309" s="23"/>
      <c r="LL309" s="23"/>
      <c r="LM309" s="23"/>
      <c r="LN309" s="23"/>
      <c r="LO309" s="23"/>
      <c r="LP309" s="23"/>
      <c r="LQ309" s="23"/>
      <c r="LR309" s="23"/>
      <c r="LS309" s="23"/>
      <c r="LT309" s="23"/>
      <c r="LU309" s="23"/>
      <c r="LV309" s="23"/>
      <c r="LW309" s="23"/>
      <c r="LX309" s="23"/>
      <c r="LY309" s="23"/>
      <c r="LZ309" s="23"/>
      <c r="MA309" s="23"/>
      <c r="MB309" s="23"/>
      <c r="MC309" s="23"/>
      <c r="MD309" s="23"/>
      <c r="ME309" s="23"/>
      <c r="MF309" s="23"/>
      <c r="MG309" s="23"/>
      <c r="MH309" s="23"/>
      <c r="MI309" s="23"/>
      <c r="MJ309" s="23"/>
      <c r="MK309" s="23"/>
      <c r="ML309" s="23"/>
      <c r="MM309" s="23"/>
      <c r="MN309" s="23"/>
      <c r="MO309" s="23"/>
      <c r="MP309" s="23"/>
      <c r="MQ309" s="23"/>
      <c r="MR309" s="23"/>
      <c r="MS309" s="23"/>
      <c r="MT309" s="23"/>
      <c r="MU309" s="23"/>
      <c r="MV309" s="23"/>
      <c r="MW309" s="23"/>
      <c r="MX309" s="23"/>
      <c r="MY309" s="23"/>
      <c r="MZ309" s="23"/>
      <c r="NA309" s="23"/>
      <c r="NB309" s="23"/>
      <c r="NC309" s="23"/>
      <c r="ND309" s="23"/>
      <c r="NE309" s="23"/>
      <c r="NF309" s="23"/>
      <c r="NG309" s="23"/>
      <c r="NH309" s="23"/>
      <c r="NI309" s="23"/>
      <c r="NJ309" s="23"/>
      <c r="NK309" s="23"/>
      <c r="NL309" s="23"/>
      <c r="NM309" s="23"/>
      <c r="NN309" s="23"/>
    </row>
    <row r="310" spans="5:378" ht="15" customHeight="1"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  <c r="IL310" s="23"/>
      <c r="IM310" s="23"/>
      <c r="IN310" s="23"/>
      <c r="IO310" s="23"/>
      <c r="IP310" s="23"/>
      <c r="IQ310" s="23"/>
      <c r="IR310" s="23"/>
      <c r="IS310" s="23"/>
      <c r="IT310" s="23"/>
      <c r="IU310" s="23"/>
      <c r="IV310" s="23"/>
      <c r="IW310" s="23"/>
      <c r="IX310" s="23"/>
      <c r="IY310" s="23"/>
      <c r="IZ310" s="23"/>
      <c r="JA310" s="23"/>
      <c r="JB310" s="23"/>
      <c r="JC310" s="23"/>
      <c r="JD310" s="23"/>
      <c r="JE310" s="23"/>
      <c r="JF310" s="23"/>
      <c r="JG310" s="23"/>
      <c r="JH310" s="23"/>
      <c r="JI310" s="23"/>
      <c r="JJ310" s="23"/>
      <c r="JK310" s="23"/>
      <c r="JL310" s="23"/>
      <c r="JM310" s="23"/>
      <c r="JN310" s="23"/>
      <c r="JO310" s="23"/>
      <c r="JP310" s="23"/>
      <c r="JQ310" s="23"/>
      <c r="JR310" s="23"/>
      <c r="JS310" s="23"/>
      <c r="JT310" s="23"/>
      <c r="JU310" s="23"/>
      <c r="JV310" s="23"/>
      <c r="JW310" s="23"/>
      <c r="JX310" s="23"/>
      <c r="JY310" s="23"/>
      <c r="JZ310" s="23"/>
      <c r="KA310" s="23"/>
      <c r="KB310" s="23"/>
      <c r="KC310" s="23"/>
      <c r="KD310" s="23"/>
      <c r="KE310" s="23"/>
      <c r="KF310" s="23"/>
      <c r="KG310" s="23"/>
      <c r="KH310" s="23"/>
      <c r="KI310" s="23"/>
      <c r="KJ310" s="23"/>
      <c r="KK310" s="23"/>
      <c r="KL310" s="23"/>
      <c r="KM310" s="23"/>
      <c r="KN310" s="23"/>
      <c r="KO310" s="23"/>
      <c r="KP310" s="23"/>
      <c r="KQ310" s="23"/>
      <c r="KR310" s="23"/>
      <c r="KS310" s="23"/>
      <c r="KT310" s="23"/>
      <c r="KU310" s="23"/>
      <c r="KV310" s="23"/>
      <c r="KW310" s="23"/>
      <c r="KX310" s="23"/>
      <c r="KY310" s="23"/>
      <c r="KZ310" s="23"/>
      <c r="LA310" s="23"/>
      <c r="LB310" s="23"/>
      <c r="LC310" s="23"/>
      <c r="LD310" s="23"/>
      <c r="LE310" s="23"/>
      <c r="LF310" s="23"/>
      <c r="LG310" s="23"/>
      <c r="LH310" s="23"/>
      <c r="LI310" s="23"/>
      <c r="LJ310" s="23"/>
      <c r="LK310" s="23"/>
      <c r="LL310" s="23"/>
      <c r="LM310" s="23"/>
      <c r="LN310" s="23"/>
      <c r="LO310" s="23"/>
      <c r="LP310" s="23"/>
      <c r="LQ310" s="23"/>
      <c r="LR310" s="23"/>
      <c r="LS310" s="23"/>
      <c r="LT310" s="23"/>
      <c r="LU310" s="23"/>
      <c r="LV310" s="23"/>
      <c r="LW310" s="23"/>
      <c r="LX310" s="23"/>
      <c r="LY310" s="23"/>
      <c r="LZ310" s="23"/>
      <c r="MA310" s="23"/>
      <c r="MB310" s="23"/>
      <c r="MC310" s="23"/>
      <c r="MD310" s="23"/>
      <c r="ME310" s="23"/>
      <c r="MF310" s="23"/>
      <c r="MG310" s="23"/>
      <c r="MH310" s="23"/>
      <c r="MI310" s="23"/>
      <c r="MJ310" s="23"/>
      <c r="MK310" s="23"/>
      <c r="ML310" s="23"/>
      <c r="MM310" s="23"/>
      <c r="MN310" s="23"/>
      <c r="MO310" s="23"/>
      <c r="MP310" s="23"/>
      <c r="MQ310" s="23"/>
      <c r="MR310" s="23"/>
      <c r="MS310" s="23"/>
      <c r="MT310" s="23"/>
      <c r="MU310" s="23"/>
      <c r="MV310" s="23"/>
      <c r="MW310" s="23"/>
      <c r="MX310" s="23"/>
      <c r="MY310" s="23"/>
      <c r="MZ310" s="23"/>
      <c r="NA310" s="23"/>
      <c r="NB310" s="23"/>
      <c r="NC310" s="23"/>
      <c r="ND310" s="23"/>
      <c r="NE310" s="23"/>
      <c r="NF310" s="23"/>
      <c r="NG310" s="23"/>
      <c r="NH310" s="23"/>
      <c r="NI310" s="23"/>
      <c r="NJ310" s="23"/>
      <c r="NK310" s="23"/>
      <c r="NL310" s="23"/>
      <c r="NM310" s="23"/>
      <c r="NN310" s="23"/>
    </row>
    <row r="311" spans="5:378" ht="15" customHeight="1"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  <c r="IL311" s="23"/>
      <c r="IM311" s="23"/>
      <c r="IN311" s="23"/>
      <c r="IO311" s="23"/>
      <c r="IP311" s="23"/>
      <c r="IQ311" s="23"/>
      <c r="IR311" s="23"/>
      <c r="IS311" s="23"/>
      <c r="IT311" s="23"/>
      <c r="IU311" s="23"/>
      <c r="IV311" s="23"/>
      <c r="IW311" s="23"/>
      <c r="IX311" s="23"/>
      <c r="IY311" s="23"/>
      <c r="IZ311" s="23"/>
      <c r="JA311" s="23"/>
      <c r="JB311" s="23"/>
      <c r="JC311" s="23"/>
      <c r="JD311" s="23"/>
      <c r="JE311" s="23"/>
      <c r="JF311" s="23"/>
      <c r="JG311" s="23"/>
      <c r="JH311" s="23"/>
      <c r="JI311" s="23"/>
      <c r="JJ311" s="23"/>
      <c r="JK311" s="23"/>
      <c r="JL311" s="23"/>
      <c r="JM311" s="23"/>
      <c r="JN311" s="23"/>
      <c r="JO311" s="23"/>
      <c r="JP311" s="23"/>
      <c r="JQ311" s="23"/>
      <c r="JR311" s="23"/>
      <c r="JS311" s="23"/>
      <c r="JT311" s="23"/>
      <c r="JU311" s="23"/>
      <c r="JV311" s="23"/>
      <c r="JW311" s="23"/>
      <c r="JX311" s="23"/>
      <c r="JY311" s="23"/>
      <c r="JZ311" s="23"/>
      <c r="KA311" s="23"/>
      <c r="KB311" s="23"/>
      <c r="KC311" s="23"/>
      <c r="KD311" s="23"/>
      <c r="KE311" s="23"/>
      <c r="KF311" s="23"/>
      <c r="KG311" s="23"/>
      <c r="KH311" s="23"/>
      <c r="KI311" s="23"/>
      <c r="KJ311" s="23"/>
      <c r="KK311" s="23"/>
      <c r="KL311" s="23"/>
      <c r="KM311" s="23"/>
      <c r="KN311" s="23"/>
      <c r="KO311" s="23"/>
      <c r="KP311" s="23"/>
      <c r="KQ311" s="23"/>
      <c r="KR311" s="23"/>
      <c r="KS311" s="23"/>
      <c r="KT311" s="23"/>
      <c r="KU311" s="23"/>
      <c r="KV311" s="23"/>
      <c r="KW311" s="23"/>
      <c r="KX311" s="23"/>
      <c r="KY311" s="23"/>
      <c r="KZ311" s="23"/>
      <c r="LA311" s="23"/>
      <c r="LB311" s="23"/>
      <c r="LC311" s="23"/>
      <c r="LD311" s="23"/>
      <c r="LE311" s="23"/>
      <c r="LF311" s="23"/>
      <c r="LG311" s="23"/>
      <c r="LH311" s="23"/>
      <c r="LI311" s="23"/>
      <c r="LJ311" s="23"/>
      <c r="LK311" s="23"/>
      <c r="LL311" s="23"/>
      <c r="LM311" s="23"/>
      <c r="LN311" s="23"/>
      <c r="LO311" s="23"/>
      <c r="LP311" s="23"/>
      <c r="LQ311" s="23"/>
      <c r="LR311" s="23"/>
      <c r="LS311" s="23"/>
      <c r="LT311" s="23"/>
      <c r="LU311" s="23"/>
      <c r="LV311" s="23"/>
      <c r="LW311" s="23"/>
      <c r="LX311" s="23"/>
      <c r="LY311" s="23"/>
      <c r="LZ311" s="23"/>
      <c r="MA311" s="23"/>
      <c r="MB311" s="23"/>
      <c r="MC311" s="23"/>
      <c r="MD311" s="23"/>
      <c r="ME311" s="23"/>
      <c r="MF311" s="23"/>
      <c r="MG311" s="23"/>
      <c r="MH311" s="23"/>
      <c r="MI311" s="23"/>
      <c r="MJ311" s="23"/>
      <c r="MK311" s="23"/>
      <c r="ML311" s="23"/>
      <c r="MM311" s="23"/>
      <c r="MN311" s="23"/>
      <c r="MO311" s="23"/>
      <c r="MP311" s="23"/>
      <c r="MQ311" s="23"/>
      <c r="MR311" s="23"/>
      <c r="MS311" s="23"/>
      <c r="MT311" s="23"/>
      <c r="MU311" s="23"/>
      <c r="MV311" s="23"/>
      <c r="MW311" s="23"/>
      <c r="MX311" s="23"/>
      <c r="MY311" s="23"/>
      <c r="MZ311" s="23"/>
      <c r="NA311" s="23"/>
      <c r="NB311" s="23"/>
      <c r="NC311" s="23"/>
      <c r="ND311" s="23"/>
      <c r="NE311" s="23"/>
      <c r="NF311" s="23"/>
      <c r="NG311" s="23"/>
      <c r="NH311" s="23"/>
      <c r="NI311" s="23"/>
      <c r="NJ311" s="23"/>
      <c r="NK311" s="23"/>
      <c r="NL311" s="23"/>
      <c r="NM311" s="23"/>
      <c r="NN311" s="23"/>
    </row>
    <row r="312" spans="5:378" ht="15" customHeight="1"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  <c r="IL312" s="23"/>
      <c r="IM312" s="23"/>
      <c r="IN312" s="23"/>
      <c r="IO312" s="23"/>
      <c r="IP312" s="23"/>
      <c r="IQ312" s="23"/>
      <c r="IR312" s="23"/>
      <c r="IS312" s="23"/>
      <c r="IT312" s="23"/>
      <c r="IU312" s="23"/>
      <c r="IV312" s="23"/>
      <c r="IW312" s="23"/>
      <c r="IX312" s="23"/>
      <c r="IY312" s="23"/>
      <c r="IZ312" s="23"/>
      <c r="JA312" s="23"/>
      <c r="JB312" s="23"/>
      <c r="JC312" s="23"/>
      <c r="JD312" s="23"/>
      <c r="JE312" s="23"/>
      <c r="JF312" s="23"/>
      <c r="JG312" s="23"/>
      <c r="JH312" s="23"/>
      <c r="JI312" s="23"/>
      <c r="JJ312" s="23"/>
      <c r="JK312" s="23"/>
      <c r="JL312" s="23"/>
      <c r="JM312" s="23"/>
      <c r="JN312" s="23"/>
      <c r="JO312" s="23"/>
      <c r="JP312" s="23"/>
      <c r="JQ312" s="23"/>
      <c r="JR312" s="23"/>
      <c r="JS312" s="23"/>
      <c r="JT312" s="23"/>
      <c r="JU312" s="23"/>
      <c r="JV312" s="23"/>
      <c r="JW312" s="23"/>
      <c r="JX312" s="23"/>
      <c r="JY312" s="23"/>
      <c r="JZ312" s="23"/>
      <c r="KA312" s="23"/>
      <c r="KB312" s="23"/>
      <c r="KC312" s="23"/>
      <c r="KD312" s="23"/>
      <c r="KE312" s="23"/>
      <c r="KF312" s="23"/>
      <c r="KG312" s="23"/>
      <c r="KH312" s="23"/>
      <c r="KI312" s="23"/>
      <c r="KJ312" s="23"/>
      <c r="KK312" s="23"/>
      <c r="KL312" s="23"/>
      <c r="KM312" s="23"/>
      <c r="KN312" s="23"/>
      <c r="KO312" s="23"/>
      <c r="KP312" s="23"/>
      <c r="KQ312" s="23"/>
      <c r="KR312" s="23"/>
      <c r="KS312" s="23"/>
      <c r="KT312" s="23"/>
      <c r="KU312" s="23"/>
      <c r="KV312" s="23"/>
      <c r="KW312" s="23"/>
      <c r="KX312" s="23"/>
      <c r="KY312" s="23"/>
      <c r="KZ312" s="23"/>
      <c r="LA312" s="23"/>
      <c r="LB312" s="23"/>
      <c r="LC312" s="23"/>
      <c r="LD312" s="23"/>
      <c r="LE312" s="23"/>
      <c r="LF312" s="23"/>
      <c r="LG312" s="23"/>
      <c r="LH312" s="23"/>
      <c r="LI312" s="23"/>
      <c r="LJ312" s="23"/>
      <c r="LK312" s="23"/>
      <c r="LL312" s="23"/>
      <c r="LM312" s="23"/>
      <c r="LN312" s="23"/>
      <c r="LO312" s="23"/>
      <c r="LP312" s="23"/>
      <c r="LQ312" s="23"/>
      <c r="LR312" s="23"/>
      <c r="LS312" s="23"/>
      <c r="LT312" s="23"/>
      <c r="LU312" s="23"/>
      <c r="LV312" s="23"/>
      <c r="LW312" s="23"/>
      <c r="LX312" s="23"/>
      <c r="LY312" s="23"/>
      <c r="LZ312" s="23"/>
      <c r="MA312" s="23"/>
      <c r="MB312" s="23"/>
      <c r="MC312" s="23"/>
      <c r="MD312" s="23"/>
      <c r="ME312" s="23"/>
      <c r="MF312" s="23"/>
      <c r="MG312" s="23"/>
      <c r="MH312" s="23"/>
      <c r="MI312" s="23"/>
      <c r="MJ312" s="23"/>
      <c r="MK312" s="23"/>
      <c r="ML312" s="23"/>
      <c r="MM312" s="23"/>
      <c r="MN312" s="23"/>
      <c r="MO312" s="23"/>
      <c r="MP312" s="23"/>
      <c r="MQ312" s="23"/>
      <c r="MR312" s="23"/>
      <c r="MS312" s="23"/>
      <c r="MT312" s="23"/>
      <c r="MU312" s="23"/>
      <c r="MV312" s="23"/>
      <c r="MW312" s="23"/>
      <c r="MX312" s="23"/>
      <c r="MY312" s="23"/>
      <c r="MZ312" s="23"/>
      <c r="NA312" s="23"/>
      <c r="NB312" s="23"/>
      <c r="NC312" s="23"/>
      <c r="ND312" s="23"/>
      <c r="NE312" s="23"/>
      <c r="NF312" s="23"/>
      <c r="NG312" s="23"/>
      <c r="NH312" s="23"/>
      <c r="NI312" s="23"/>
      <c r="NJ312" s="23"/>
      <c r="NK312" s="23"/>
      <c r="NL312" s="23"/>
      <c r="NM312" s="23"/>
      <c r="NN312" s="23"/>
    </row>
    <row r="313" spans="5:378" ht="15" customHeight="1"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  <c r="IL313" s="23"/>
      <c r="IM313" s="23"/>
      <c r="IN313" s="23"/>
      <c r="IO313" s="23"/>
      <c r="IP313" s="23"/>
      <c r="IQ313" s="23"/>
      <c r="IR313" s="23"/>
      <c r="IS313" s="23"/>
      <c r="IT313" s="23"/>
      <c r="IU313" s="23"/>
      <c r="IV313" s="23"/>
      <c r="IW313" s="23"/>
      <c r="IX313" s="23"/>
      <c r="IY313" s="23"/>
      <c r="IZ313" s="23"/>
      <c r="JA313" s="23"/>
      <c r="JB313" s="23"/>
      <c r="JC313" s="23"/>
      <c r="JD313" s="23"/>
      <c r="JE313" s="23"/>
      <c r="JF313" s="23"/>
      <c r="JG313" s="23"/>
      <c r="JH313" s="23"/>
      <c r="JI313" s="23"/>
      <c r="JJ313" s="23"/>
      <c r="JK313" s="23"/>
      <c r="JL313" s="23"/>
      <c r="JM313" s="23"/>
      <c r="JN313" s="23"/>
      <c r="JO313" s="23"/>
      <c r="JP313" s="23"/>
      <c r="JQ313" s="23"/>
      <c r="JR313" s="23"/>
      <c r="JS313" s="23"/>
      <c r="JT313" s="23"/>
      <c r="JU313" s="23"/>
      <c r="JV313" s="23"/>
      <c r="JW313" s="23"/>
      <c r="JX313" s="23"/>
      <c r="JY313" s="23"/>
      <c r="JZ313" s="23"/>
      <c r="KA313" s="23"/>
      <c r="KB313" s="23"/>
      <c r="KC313" s="23"/>
      <c r="KD313" s="23"/>
      <c r="KE313" s="23"/>
      <c r="KF313" s="23"/>
      <c r="KG313" s="23"/>
      <c r="KH313" s="23"/>
      <c r="KI313" s="23"/>
      <c r="KJ313" s="23"/>
      <c r="KK313" s="23"/>
      <c r="KL313" s="23"/>
      <c r="KM313" s="23"/>
      <c r="KN313" s="23"/>
      <c r="KO313" s="23"/>
      <c r="KP313" s="23"/>
      <c r="KQ313" s="23"/>
      <c r="KR313" s="23"/>
      <c r="KS313" s="23"/>
      <c r="KT313" s="23"/>
      <c r="KU313" s="23"/>
      <c r="KV313" s="23"/>
      <c r="KW313" s="23"/>
      <c r="KX313" s="23"/>
      <c r="KY313" s="23"/>
      <c r="KZ313" s="23"/>
      <c r="LA313" s="23"/>
      <c r="LB313" s="23"/>
      <c r="LC313" s="23"/>
      <c r="LD313" s="23"/>
      <c r="LE313" s="23"/>
      <c r="LF313" s="23"/>
      <c r="LG313" s="23"/>
      <c r="LH313" s="23"/>
      <c r="LI313" s="23"/>
      <c r="LJ313" s="23"/>
      <c r="LK313" s="23"/>
      <c r="LL313" s="23"/>
      <c r="LM313" s="23"/>
      <c r="LN313" s="23"/>
      <c r="LO313" s="23"/>
      <c r="LP313" s="23"/>
      <c r="LQ313" s="23"/>
      <c r="LR313" s="23"/>
      <c r="LS313" s="23"/>
      <c r="LT313" s="23"/>
      <c r="LU313" s="23"/>
      <c r="LV313" s="23"/>
      <c r="LW313" s="23"/>
      <c r="LX313" s="23"/>
      <c r="LY313" s="23"/>
      <c r="LZ313" s="23"/>
      <c r="MA313" s="23"/>
      <c r="MB313" s="23"/>
      <c r="MC313" s="23"/>
      <c r="MD313" s="23"/>
      <c r="ME313" s="23"/>
      <c r="MF313" s="23"/>
      <c r="MG313" s="23"/>
      <c r="MH313" s="23"/>
      <c r="MI313" s="23"/>
      <c r="MJ313" s="23"/>
      <c r="MK313" s="23"/>
      <c r="ML313" s="23"/>
      <c r="MM313" s="23"/>
      <c r="MN313" s="23"/>
      <c r="MO313" s="23"/>
      <c r="MP313" s="23"/>
      <c r="MQ313" s="23"/>
      <c r="MR313" s="23"/>
      <c r="MS313" s="23"/>
      <c r="MT313" s="23"/>
      <c r="MU313" s="23"/>
      <c r="MV313" s="23"/>
      <c r="MW313" s="23"/>
      <c r="MX313" s="23"/>
      <c r="MY313" s="23"/>
      <c r="MZ313" s="23"/>
      <c r="NA313" s="23"/>
      <c r="NB313" s="23"/>
      <c r="NC313" s="23"/>
      <c r="ND313" s="23"/>
      <c r="NE313" s="23"/>
      <c r="NF313" s="23"/>
      <c r="NG313" s="23"/>
      <c r="NH313" s="23"/>
      <c r="NI313" s="23"/>
      <c r="NJ313" s="23"/>
      <c r="NK313" s="23"/>
      <c r="NL313" s="23"/>
      <c r="NM313" s="23"/>
      <c r="NN313" s="23"/>
    </row>
    <row r="314" spans="5:378" ht="15" customHeight="1"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  <c r="IL314" s="23"/>
      <c r="IM314" s="23"/>
      <c r="IN314" s="23"/>
      <c r="IO314" s="23"/>
      <c r="IP314" s="23"/>
      <c r="IQ314" s="23"/>
      <c r="IR314" s="23"/>
      <c r="IS314" s="23"/>
      <c r="IT314" s="23"/>
      <c r="IU314" s="23"/>
      <c r="IV314" s="23"/>
      <c r="IW314" s="23"/>
      <c r="IX314" s="23"/>
      <c r="IY314" s="23"/>
      <c r="IZ314" s="23"/>
      <c r="JA314" s="23"/>
      <c r="JB314" s="23"/>
      <c r="JC314" s="23"/>
      <c r="JD314" s="23"/>
      <c r="JE314" s="23"/>
      <c r="JF314" s="23"/>
      <c r="JG314" s="23"/>
      <c r="JH314" s="23"/>
      <c r="JI314" s="23"/>
      <c r="JJ314" s="23"/>
      <c r="JK314" s="23"/>
      <c r="JL314" s="23"/>
      <c r="JM314" s="23"/>
      <c r="JN314" s="23"/>
      <c r="JO314" s="23"/>
      <c r="JP314" s="23"/>
      <c r="JQ314" s="23"/>
      <c r="JR314" s="23"/>
      <c r="JS314" s="23"/>
      <c r="JT314" s="23"/>
      <c r="JU314" s="23"/>
      <c r="JV314" s="23"/>
      <c r="JW314" s="23"/>
      <c r="JX314" s="23"/>
      <c r="JY314" s="23"/>
      <c r="JZ314" s="23"/>
      <c r="KA314" s="23"/>
      <c r="KB314" s="23"/>
      <c r="KC314" s="23"/>
      <c r="KD314" s="23"/>
      <c r="KE314" s="23"/>
      <c r="KF314" s="23"/>
      <c r="KG314" s="23"/>
      <c r="KH314" s="23"/>
      <c r="KI314" s="23"/>
      <c r="KJ314" s="23"/>
      <c r="KK314" s="23"/>
      <c r="KL314" s="23"/>
      <c r="KM314" s="23"/>
      <c r="KN314" s="23"/>
      <c r="KO314" s="23"/>
      <c r="KP314" s="23"/>
      <c r="KQ314" s="23"/>
      <c r="KR314" s="23"/>
      <c r="KS314" s="23"/>
      <c r="KT314" s="23"/>
      <c r="KU314" s="23"/>
      <c r="KV314" s="23"/>
      <c r="KW314" s="23"/>
      <c r="KX314" s="23"/>
      <c r="KY314" s="23"/>
      <c r="KZ314" s="23"/>
      <c r="LA314" s="23"/>
      <c r="LB314" s="23"/>
      <c r="LC314" s="23"/>
      <c r="LD314" s="23"/>
      <c r="LE314" s="23"/>
      <c r="LF314" s="23"/>
      <c r="LG314" s="23"/>
      <c r="LH314" s="23"/>
      <c r="LI314" s="23"/>
      <c r="LJ314" s="23"/>
      <c r="LK314" s="23"/>
      <c r="LL314" s="23"/>
      <c r="LM314" s="23"/>
      <c r="LN314" s="23"/>
      <c r="LO314" s="23"/>
      <c r="LP314" s="23"/>
      <c r="LQ314" s="23"/>
      <c r="LR314" s="23"/>
      <c r="LS314" s="23"/>
      <c r="LT314" s="23"/>
      <c r="LU314" s="23"/>
      <c r="LV314" s="23"/>
      <c r="LW314" s="23"/>
      <c r="LX314" s="23"/>
      <c r="LY314" s="23"/>
      <c r="LZ314" s="23"/>
      <c r="MA314" s="23"/>
      <c r="MB314" s="23"/>
      <c r="MC314" s="23"/>
      <c r="MD314" s="23"/>
      <c r="ME314" s="23"/>
      <c r="MF314" s="23"/>
      <c r="MG314" s="23"/>
      <c r="MH314" s="23"/>
      <c r="MI314" s="23"/>
      <c r="MJ314" s="23"/>
      <c r="MK314" s="23"/>
      <c r="ML314" s="23"/>
      <c r="MM314" s="23"/>
      <c r="MN314" s="23"/>
      <c r="MO314" s="23"/>
      <c r="MP314" s="23"/>
      <c r="MQ314" s="23"/>
      <c r="MR314" s="23"/>
      <c r="MS314" s="23"/>
      <c r="MT314" s="23"/>
      <c r="MU314" s="23"/>
      <c r="MV314" s="23"/>
      <c r="MW314" s="23"/>
      <c r="MX314" s="23"/>
      <c r="MY314" s="23"/>
      <c r="MZ314" s="23"/>
      <c r="NA314" s="23"/>
      <c r="NB314" s="23"/>
      <c r="NC314" s="23"/>
      <c r="ND314" s="23"/>
      <c r="NE314" s="23"/>
      <c r="NF314" s="23"/>
      <c r="NG314" s="23"/>
      <c r="NH314" s="23"/>
      <c r="NI314" s="23"/>
      <c r="NJ314" s="23"/>
      <c r="NK314" s="23"/>
      <c r="NL314" s="23"/>
      <c r="NM314" s="23"/>
      <c r="NN314" s="23"/>
    </row>
    <row r="315" spans="5:378" ht="15" customHeight="1"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  <c r="IL315" s="23"/>
      <c r="IM315" s="23"/>
      <c r="IN315" s="23"/>
      <c r="IO315" s="23"/>
      <c r="IP315" s="23"/>
      <c r="IQ315" s="23"/>
      <c r="IR315" s="23"/>
      <c r="IS315" s="23"/>
      <c r="IT315" s="23"/>
      <c r="IU315" s="23"/>
      <c r="IV315" s="23"/>
      <c r="IW315" s="23"/>
      <c r="IX315" s="23"/>
      <c r="IY315" s="23"/>
      <c r="IZ315" s="23"/>
      <c r="JA315" s="23"/>
      <c r="JB315" s="23"/>
      <c r="JC315" s="23"/>
      <c r="JD315" s="23"/>
      <c r="JE315" s="23"/>
      <c r="JF315" s="23"/>
      <c r="JG315" s="23"/>
      <c r="JH315" s="23"/>
      <c r="JI315" s="23"/>
      <c r="JJ315" s="23"/>
      <c r="JK315" s="23"/>
      <c r="JL315" s="23"/>
      <c r="JM315" s="23"/>
      <c r="JN315" s="23"/>
      <c r="JO315" s="23"/>
      <c r="JP315" s="23"/>
      <c r="JQ315" s="23"/>
      <c r="JR315" s="23"/>
      <c r="JS315" s="23"/>
      <c r="JT315" s="23"/>
      <c r="JU315" s="23"/>
      <c r="JV315" s="23"/>
      <c r="JW315" s="23"/>
      <c r="JX315" s="23"/>
      <c r="JY315" s="23"/>
      <c r="JZ315" s="23"/>
      <c r="KA315" s="23"/>
      <c r="KB315" s="23"/>
      <c r="KC315" s="23"/>
      <c r="KD315" s="23"/>
      <c r="KE315" s="23"/>
      <c r="KF315" s="23"/>
      <c r="KG315" s="23"/>
      <c r="KH315" s="23"/>
      <c r="KI315" s="23"/>
      <c r="KJ315" s="23"/>
      <c r="KK315" s="23"/>
      <c r="KL315" s="23"/>
      <c r="KM315" s="23"/>
      <c r="KN315" s="23"/>
      <c r="KO315" s="23"/>
      <c r="KP315" s="23"/>
      <c r="KQ315" s="23"/>
      <c r="KR315" s="23"/>
      <c r="KS315" s="23"/>
      <c r="KT315" s="23"/>
      <c r="KU315" s="23"/>
      <c r="KV315" s="23"/>
      <c r="KW315" s="23"/>
      <c r="KX315" s="23"/>
      <c r="KY315" s="23"/>
      <c r="KZ315" s="23"/>
      <c r="LA315" s="23"/>
      <c r="LB315" s="23"/>
      <c r="LC315" s="23"/>
      <c r="LD315" s="23"/>
      <c r="LE315" s="23"/>
      <c r="LF315" s="23"/>
      <c r="LG315" s="23"/>
      <c r="LH315" s="23"/>
      <c r="LI315" s="23"/>
      <c r="LJ315" s="23"/>
      <c r="LK315" s="23"/>
      <c r="LL315" s="23"/>
      <c r="LM315" s="23"/>
      <c r="LN315" s="23"/>
      <c r="LO315" s="23"/>
      <c r="LP315" s="23"/>
      <c r="LQ315" s="23"/>
      <c r="LR315" s="23"/>
      <c r="LS315" s="23"/>
      <c r="LT315" s="23"/>
      <c r="LU315" s="23"/>
      <c r="LV315" s="23"/>
      <c r="LW315" s="23"/>
      <c r="LX315" s="23"/>
      <c r="LY315" s="23"/>
      <c r="LZ315" s="23"/>
      <c r="MA315" s="23"/>
      <c r="MB315" s="23"/>
      <c r="MC315" s="23"/>
      <c r="MD315" s="23"/>
      <c r="ME315" s="23"/>
      <c r="MF315" s="23"/>
      <c r="MG315" s="23"/>
      <c r="MH315" s="23"/>
      <c r="MI315" s="23"/>
      <c r="MJ315" s="23"/>
      <c r="MK315" s="23"/>
      <c r="ML315" s="23"/>
      <c r="MM315" s="23"/>
      <c r="MN315" s="23"/>
      <c r="MO315" s="23"/>
      <c r="MP315" s="23"/>
      <c r="MQ315" s="23"/>
      <c r="MR315" s="23"/>
      <c r="MS315" s="23"/>
      <c r="MT315" s="23"/>
      <c r="MU315" s="23"/>
      <c r="MV315" s="23"/>
      <c r="MW315" s="23"/>
      <c r="MX315" s="23"/>
      <c r="MY315" s="23"/>
      <c r="MZ315" s="23"/>
      <c r="NA315" s="23"/>
      <c r="NB315" s="23"/>
      <c r="NC315" s="23"/>
      <c r="ND315" s="23"/>
      <c r="NE315" s="23"/>
      <c r="NF315" s="23"/>
      <c r="NG315" s="23"/>
      <c r="NH315" s="23"/>
      <c r="NI315" s="23"/>
      <c r="NJ315" s="23"/>
      <c r="NK315" s="23"/>
      <c r="NL315" s="23"/>
      <c r="NM315" s="23"/>
      <c r="NN315" s="23"/>
    </row>
    <row r="316" spans="5:378" ht="15" customHeight="1"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  <c r="IL316" s="23"/>
      <c r="IM316" s="23"/>
      <c r="IN316" s="23"/>
      <c r="IO316" s="23"/>
      <c r="IP316" s="23"/>
      <c r="IQ316" s="23"/>
      <c r="IR316" s="23"/>
      <c r="IS316" s="23"/>
      <c r="IT316" s="23"/>
      <c r="IU316" s="23"/>
      <c r="IV316" s="23"/>
      <c r="IW316" s="23"/>
      <c r="IX316" s="23"/>
      <c r="IY316" s="23"/>
      <c r="IZ316" s="23"/>
      <c r="JA316" s="23"/>
      <c r="JB316" s="23"/>
      <c r="JC316" s="23"/>
      <c r="JD316" s="23"/>
      <c r="JE316" s="23"/>
      <c r="JF316" s="23"/>
      <c r="JG316" s="23"/>
      <c r="JH316" s="23"/>
      <c r="JI316" s="23"/>
      <c r="JJ316" s="23"/>
      <c r="JK316" s="23"/>
      <c r="JL316" s="23"/>
      <c r="JM316" s="23"/>
      <c r="JN316" s="23"/>
      <c r="JO316" s="23"/>
      <c r="JP316" s="23"/>
      <c r="JQ316" s="23"/>
      <c r="JR316" s="23"/>
      <c r="JS316" s="23"/>
      <c r="JT316" s="23"/>
      <c r="JU316" s="23"/>
      <c r="JV316" s="23"/>
      <c r="JW316" s="23"/>
      <c r="JX316" s="23"/>
      <c r="JY316" s="23"/>
      <c r="JZ316" s="23"/>
      <c r="KA316" s="23"/>
      <c r="KB316" s="23"/>
      <c r="KC316" s="23"/>
      <c r="KD316" s="23"/>
      <c r="KE316" s="23"/>
      <c r="KF316" s="23"/>
      <c r="KG316" s="23"/>
      <c r="KH316" s="23"/>
      <c r="KI316" s="23"/>
      <c r="KJ316" s="23"/>
      <c r="KK316" s="23"/>
      <c r="KL316" s="23"/>
      <c r="KM316" s="23"/>
      <c r="KN316" s="23"/>
      <c r="KO316" s="23"/>
      <c r="KP316" s="23"/>
      <c r="KQ316" s="23"/>
      <c r="KR316" s="23"/>
      <c r="KS316" s="23"/>
      <c r="KT316" s="23"/>
      <c r="KU316" s="23"/>
      <c r="KV316" s="23"/>
      <c r="KW316" s="23"/>
      <c r="KX316" s="23"/>
      <c r="KY316" s="23"/>
      <c r="KZ316" s="23"/>
      <c r="LA316" s="23"/>
      <c r="LB316" s="23"/>
      <c r="LC316" s="23"/>
      <c r="LD316" s="23"/>
      <c r="LE316" s="23"/>
      <c r="LF316" s="23"/>
      <c r="LG316" s="23"/>
      <c r="LH316" s="23"/>
      <c r="LI316" s="23"/>
      <c r="LJ316" s="23"/>
      <c r="LK316" s="23"/>
      <c r="LL316" s="23"/>
      <c r="LM316" s="23"/>
      <c r="LN316" s="23"/>
      <c r="LO316" s="23"/>
      <c r="LP316" s="23"/>
      <c r="LQ316" s="23"/>
      <c r="LR316" s="23"/>
      <c r="LS316" s="23"/>
      <c r="LT316" s="23"/>
      <c r="LU316" s="23"/>
      <c r="LV316" s="23"/>
      <c r="LW316" s="23"/>
      <c r="LX316" s="23"/>
      <c r="LY316" s="23"/>
      <c r="LZ316" s="23"/>
      <c r="MA316" s="23"/>
      <c r="MB316" s="23"/>
      <c r="MC316" s="23"/>
      <c r="MD316" s="23"/>
      <c r="ME316" s="23"/>
      <c r="MF316" s="23"/>
      <c r="MG316" s="23"/>
      <c r="MH316" s="23"/>
      <c r="MI316" s="23"/>
      <c r="MJ316" s="23"/>
      <c r="MK316" s="23"/>
      <c r="ML316" s="23"/>
      <c r="MM316" s="23"/>
      <c r="MN316" s="23"/>
      <c r="MO316" s="23"/>
      <c r="MP316" s="23"/>
      <c r="MQ316" s="23"/>
      <c r="MR316" s="23"/>
      <c r="MS316" s="23"/>
      <c r="MT316" s="23"/>
      <c r="MU316" s="23"/>
      <c r="MV316" s="23"/>
      <c r="MW316" s="23"/>
      <c r="MX316" s="23"/>
      <c r="MY316" s="23"/>
      <c r="MZ316" s="23"/>
      <c r="NA316" s="23"/>
      <c r="NB316" s="23"/>
      <c r="NC316" s="23"/>
      <c r="ND316" s="23"/>
      <c r="NE316" s="23"/>
      <c r="NF316" s="23"/>
      <c r="NG316" s="23"/>
      <c r="NH316" s="23"/>
      <c r="NI316" s="23"/>
      <c r="NJ316" s="23"/>
      <c r="NK316" s="23"/>
      <c r="NL316" s="23"/>
      <c r="NM316" s="23"/>
      <c r="NN316" s="23"/>
    </row>
    <row r="317" spans="5:378" ht="15" customHeight="1"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  <c r="IL317" s="23"/>
      <c r="IM317" s="23"/>
      <c r="IN317" s="23"/>
      <c r="IO317" s="23"/>
      <c r="IP317" s="23"/>
      <c r="IQ317" s="23"/>
      <c r="IR317" s="23"/>
      <c r="IS317" s="23"/>
      <c r="IT317" s="23"/>
      <c r="IU317" s="23"/>
      <c r="IV317" s="23"/>
      <c r="IW317" s="23"/>
      <c r="IX317" s="23"/>
      <c r="IY317" s="23"/>
      <c r="IZ317" s="23"/>
      <c r="JA317" s="23"/>
      <c r="JB317" s="23"/>
      <c r="JC317" s="23"/>
      <c r="JD317" s="23"/>
      <c r="JE317" s="23"/>
      <c r="JF317" s="23"/>
      <c r="JG317" s="23"/>
      <c r="JH317" s="23"/>
      <c r="JI317" s="23"/>
      <c r="JJ317" s="23"/>
      <c r="JK317" s="23"/>
      <c r="JL317" s="23"/>
      <c r="JM317" s="23"/>
      <c r="JN317" s="23"/>
      <c r="JO317" s="23"/>
      <c r="JP317" s="23"/>
      <c r="JQ317" s="23"/>
      <c r="JR317" s="23"/>
      <c r="JS317" s="23"/>
      <c r="JT317" s="23"/>
      <c r="JU317" s="23"/>
      <c r="JV317" s="23"/>
      <c r="JW317" s="23"/>
      <c r="JX317" s="23"/>
      <c r="JY317" s="23"/>
      <c r="JZ317" s="23"/>
      <c r="KA317" s="23"/>
      <c r="KB317" s="23"/>
      <c r="KC317" s="23"/>
      <c r="KD317" s="23"/>
      <c r="KE317" s="23"/>
      <c r="KF317" s="23"/>
      <c r="KG317" s="23"/>
      <c r="KH317" s="23"/>
      <c r="KI317" s="23"/>
      <c r="KJ317" s="23"/>
      <c r="KK317" s="23"/>
      <c r="KL317" s="23"/>
      <c r="KM317" s="23"/>
      <c r="KN317" s="23"/>
      <c r="KO317" s="23"/>
      <c r="KP317" s="23"/>
      <c r="KQ317" s="23"/>
      <c r="KR317" s="23"/>
      <c r="KS317" s="23"/>
      <c r="KT317" s="23"/>
      <c r="KU317" s="23"/>
      <c r="KV317" s="23"/>
      <c r="KW317" s="23"/>
      <c r="KX317" s="23"/>
      <c r="KY317" s="23"/>
      <c r="KZ317" s="23"/>
      <c r="LA317" s="23"/>
      <c r="LB317" s="23"/>
      <c r="LC317" s="23"/>
      <c r="LD317" s="23"/>
      <c r="LE317" s="23"/>
      <c r="LF317" s="23"/>
      <c r="LG317" s="23"/>
      <c r="LH317" s="23"/>
      <c r="LI317" s="23"/>
      <c r="LJ317" s="23"/>
      <c r="LK317" s="23"/>
      <c r="LL317" s="23"/>
      <c r="LM317" s="23"/>
      <c r="LN317" s="23"/>
      <c r="LO317" s="23"/>
      <c r="LP317" s="23"/>
      <c r="LQ317" s="23"/>
      <c r="LR317" s="23"/>
      <c r="LS317" s="23"/>
      <c r="LT317" s="23"/>
      <c r="LU317" s="23"/>
      <c r="LV317" s="23"/>
      <c r="LW317" s="23"/>
      <c r="LX317" s="23"/>
      <c r="LY317" s="23"/>
      <c r="LZ317" s="23"/>
      <c r="MA317" s="23"/>
      <c r="MB317" s="23"/>
      <c r="MC317" s="23"/>
      <c r="MD317" s="23"/>
      <c r="ME317" s="23"/>
      <c r="MF317" s="23"/>
      <c r="MG317" s="23"/>
      <c r="MH317" s="23"/>
      <c r="MI317" s="23"/>
      <c r="MJ317" s="23"/>
      <c r="MK317" s="23"/>
      <c r="ML317" s="23"/>
      <c r="MM317" s="23"/>
      <c r="MN317" s="23"/>
      <c r="MO317" s="23"/>
      <c r="MP317" s="23"/>
      <c r="MQ317" s="23"/>
      <c r="MR317" s="23"/>
      <c r="MS317" s="23"/>
      <c r="MT317" s="23"/>
      <c r="MU317" s="23"/>
      <c r="MV317" s="23"/>
      <c r="MW317" s="23"/>
      <c r="MX317" s="23"/>
      <c r="MY317" s="23"/>
      <c r="MZ317" s="23"/>
      <c r="NA317" s="23"/>
      <c r="NB317" s="23"/>
      <c r="NC317" s="23"/>
      <c r="ND317" s="23"/>
      <c r="NE317" s="23"/>
      <c r="NF317" s="23"/>
      <c r="NG317" s="23"/>
      <c r="NH317" s="23"/>
      <c r="NI317" s="23"/>
      <c r="NJ317" s="23"/>
      <c r="NK317" s="23"/>
      <c r="NL317" s="23"/>
      <c r="NM317" s="23"/>
      <c r="NN317" s="23"/>
    </row>
    <row r="318" spans="5:378" ht="15" customHeight="1"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  <c r="IL318" s="23"/>
      <c r="IM318" s="23"/>
      <c r="IN318" s="23"/>
      <c r="IO318" s="23"/>
      <c r="IP318" s="23"/>
      <c r="IQ318" s="23"/>
      <c r="IR318" s="23"/>
      <c r="IS318" s="23"/>
      <c r="IT318" s="23"/>
      <c r="IU318" s="23"/>
      <c r="IV318" s="23"/>
      <c r="IW318" s="23"/>
      <c r="IX318" s="23"/>
      <c r="IY318" s="23"/>
      <c r="IZ318" s="23"/>
      <c r="JA318" s="23"/>
      <c r="JB318" s="23"/>
      <c r="JC318" s="23"/>
      <c r="JD318" s="23"/>
      <c r="JE318" s="23"/>
      <c r="JF318" s="23"/>
      <c r="JG318" s="23"/>
      <c r="JH318" s="23"/>
      <c r="JI318" s="23"/>
      <c r="JJ318" s="23"/>
      <c r="JK318" s="23"/>
      <c r="JL318" s="23"/>
      <c r="JM318" s="23"/>
      <c r="JN318" s="23"/>
      <c r="JO318" s="23"/>
      <c r="JP318" s="23"/>
      <c r="JQ318" s="23"/>
      <c r="JR318" s="23"/>
      <c r="JS318" s="23"/>
      <c r="JT318" s="23"/>
      <c r="JU318" s="23"/>
      <c r="JV318" s="23"/>
      <c r="JW318" s="23"/>
      <c r="JX318" s="23"/>
      <c r="JY318" s="23"/>
      <c r="JZ318" s="23"/>
      <c r="KA318" s="23"/>
      <c r="KB318" s="23"/>
      <c r="KC318" s="23"/>
      <c r="KD318" s="23"/>
      <c r="KE318" s="23"/>
      <c r="KF318" s="23"/>
      <c r="KG318" s="23"/>
      <c r="KH318" s="23"/>
      <c r="KI318" s="23"/>
      <c r="KJ318" s="23"/>
      <c r="KK318" s="23"/>
      <c r="KL318" s="23"/>
      <c r="KM318" s="23"/>
      <c r="KN318" s="23"/>
      <c r="KO318" s="23"/>
      <c r="KP318" s="23"/>
      <c r="KQ318" s="23"/>
      <c r="KR318" s="23"/>
      <c r="KS318" s="23"/>
      <c r="KT318" s="23"/>
      <c r="KU318" s="23"/>
      <c r="KV318" s="23"/>
      <c r="KW318" s="23"/>
      <c r="KX318" s="23"/>
      <c r="KY318" s="23"/>
      <c r="KZ318" s="23"/>
      <c r="LA318" s="23"/>
      <c r="LB318" s="23"/>
      <c r="LC318" s="23"/>
      <c r="LD318" s="23"/>
      <c r="LE318" s="23"/>
      <c r="LF318" s="23"/>
      <c r="LG318" s="23"/>
      <c r="LH318" s="23"/>
      <c r="LI318" s="23"/>
      <c r="LJ318" s="23"/>
      <c r="LK318" s="23"/>
      <c r="LL318" s="23"/>
      <c r="LM318" s="23"/>
      <c r="LN318" s="23"/>
      <c r="LO318" s="23"/>
      <c r="LP318" s="23"/>
      <c r="LQ318" s="23"/>
      <c r="LR318" s="23"/>
      <c r="LS318" s="23"/>
      <c r="LT318" s="23"/>
      <c r="LU318" s="23"/>
      <c r="LV318" s="23"/>
      <c r="LW318" s="23"/>
      <c r="LX318" s="23"/>
      <c r="LY318" s="23"/>
      <c r="LZ318" s="23"/>
      <c r="MA318" s="23"/>
      <c r="MB318" s="23"/>
      <c r="MC318" s="23"/>
      <c r="MD318" s="23"/>
      <c r="ME318" s="23"/>
      <c r="MF318" s="23"/>
      <c r="MG318" s="23"/>
      <c r="MH318" s="23"/>
      <c r="MI318" s="23"/>
      <c r="MJ318" s="23"/>
      <c r="MK318" s="23"/>
      <c r="ML318" s="23"/>
      <c r="MM318" s="23"/>
      <c r="MN318" s="23"/>
      <c r="MO318" s="23"/>
      <c r="MP318" s="23"/>
      <c r="MQ318" s="23"/>
      <c r="MR318" s="23"/>
      <c r="MS318" s="23"/>
      <c r="MT318" s="23"/>
      <c r="MU318" s="23"/>
      <c r="MV318" s="23"/>
      <c r="MW318" s="23"/>
      <c r="MX318" s="23"/>
      <c r="MY318" s="23"/>
      <c r="MZ318" s="23"/>
      <c r="NA318" s="23"/>
      <c r="NB318" s="23"/>
      <c r="NC318" s="23"/>
      <c r="ND318" s="23"/>
      <c r="NE318" s="23"/>
      <c r="NF318" s="23"/>
      <c r="NG318" s="23"/>
      <c r="NH318" s="23"/>
      <c r="NI318" s="23"/>
      <c r="NJ318" s="23"/>
      <c r="NK318" s="23"/>
      <c r="NL318" s="23"/>
      <c r="NM318" s="23"/>
      <c r="NN318" s="23"/>
    </row>
    <row r="319" spans="5:378" ht="15" customHeight="1"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  <c r="IL319" s="23"/>
      <c r="IM319" s="23"/>
      <c r="IN319" s="23"/>
      <c r="IO319" s="23"/>
      <c r="IP319" s="23"/>
      <c r="IQ319" s="23"/>
      <c r="IR319" s="23"/>
      <c r="IS319" s="23"/>
      <c r="IT319" s="23"/>
      <c r="IU319" s="23"/>
      <c r="IV319" s="23"/>
      <c r="IW319" s="23"/>
      <c r="IX319" s="23"/>
      <c r="IY319" s="23"/>
      <c r="IZ319" s="23"/>
      <c r="JA319" s="23"/>
      <c r="JB319" s="23"/>
      <c r="JC319" s="23"/>
      <c r="JD319" s="23"/>
      <c r="JE319" s="23"/>
      <c r="JF319" s="23"/>
      <c r="JG319" s="23"/>
      <c r="JH319" s="23"/>
      <c r="JI319" s="23"/>
      <c r="JJ319" s="23"/>
      <c r="JK319" s="23"/>
      <c r="JL319" s="23"/>
      <c r="JM319" s="23"/>
      <c r="JN319" s="23"/>
      <c r="JO319" s="23"/>
      <c r="JP319" s="23"/>
      <c r="JQ319" s="23"/>
      <c r="JR319" s="23"/>
      <c r="JS319" s="23"/>
      <c r="JT319" s="23"/>
      <c r="JU319" s="23"/>
      <c r="JV319" s="23"/>
      <c r="JW319" s="23"/>
      <c r="JX319" s="23"/>
      <c r="JY319" s="23"/>
      <c r="JZ319" s="23"/>
      <c r="KA319" s="23"/>
      <c r="KB319" s="23"/>
      <c r="KC319" s="23"/>
      <c r="KD319" s="23"/>
      <c r="KE319" s="23"/>
      <c r="KF319" s="23"/>
      <c r="KG319" s="23"/>
      <c r="KH319" s="23"/>
      <c r="KI319" s="23"/>
      <c r="KJ319" s="23"/>
      <c r="KK319" s="23"/>
      <c r="KL319" s="23"/>
      <c r="KM319" s="23"/>
      <c r="KN319" s="23"/>
      <c r="KO319" s="23"/>
      <c r="KP319" s="23"/>
      <c r="KQ319" s="23"/>
      <c r="KR319" s="23"/>
      <c r="KS319" s="23"/>
      <c r="KT319" s="23"/>
      <c r="KU319" s="23"/>
      <c r="KV319" s="23"/>
      <c r="KW319" s="23"/>
      <c r="KX319" s="23"/>
      <c r="KY319" s="23"/>
      <c r="KZ319" s="23"/>
      <c r="LA319" s="23"/>
      <c r="LB319" s="23"/>
      <c r="LC319" s="23"/>
      <c r="LD319" s="23"/>
      <c r="LE319" s="23"/>
      <c r="LF319" s="23"/>
      <c r="LG319" s="23"/>
      <c r="LH319" s="23"/>
      <c r="LI319" s="23"/>
      <c r="LJ319" s="23"/>
      <c r="LK319" s="23"/>
      <c r="LL319" s="23"/>
      <c r="LM319" s="23"/>
      <c r="LN319" s="23"/>
      <c r="LO319" s="23"/>
      <c r="LP319" s="23"/>
      <c r="LQ319" s="23"/>
      <c r="LR319" s="23"/>
      <c r="LS319" s="23"/>
      <c r="LT319" s="23"/>
      <c r="LU319" s="23"/>
      <c r="LV319" s="23"/>
      <c r="LW319" s="23"/>
      <c r="LX319" s="23"/>
      <c r="LY319" s="23"/>
      <c r="LZ319" s="23"/>
      <c r="MA319" s="23"/>
      <c r="MB319" s="23"/>
      <c r="MC319" s="23"/>
      <c r="MD319" s="23"/>
      <c r="ME319" s="23"/>
      <c r="MF319" s="23"/>
      <c r="MG319" s="23"/>
      <c r="MH319" s="23"/>
      <c r="MI319" s="23"/>
      <c r="MJ319" s="23"/>
      <c r="MK319" s="23"/>
      <c r="ML319" s="23"/>
      <c r="MM319" s="23"/>
      <c r="MN319" s="23"/>
      <c r="MO319" s="23"/>
      <c r="MP319" s="23"/>
      <c r="MQ319" s="23"/>
      <c r="MR319" s="23"/>
      <c r="MS319" s="23"/>
      <c r="MT319" s="23"/>
      <c r="MU319" s="23"/>
      <c r="MV319" s="23"/>
      <c r="MW319" s="23"/>
      <c r="MX319" s="23"/>
      <c r="MY319" s="23"/>
      <c r="MZ319" s="23"/>
      <c r="NA319" s="23"/>
      <c r="NB319" s="23"/>
      <c r="NC319" s="23"/>
      <c r="ND319" s="23"/>
      <c r="NE319" s="23"/>
      <c r="NF319" s="23"/>
      <c r="NG319" s="23"/>
      <c r="NH319" s="23"/>
      <c r="NI319" s="23"/>
      <c r="NJ319" s="23"/>
      <c r="NK319" s="23"/>
      <c r="NL319" s="23"/>
      <c r="NM319" s="23"/>
      <c r="NN319" s="23"/>
    </row>
    <row r="320" spans="5:378" ht="15" customHeight="1"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  <c r="IL320" s="23"/>
      <c r="IM320" s="23"/>
      <c r="IN320" s="23"/>
      <c r="IO320" s="23"/>
      <c r="IP320" s="23"/>
      <c r="IQ320" s="23"/>
      <c r="IR320" s="23"/>
      <c r="IS320" s="23"/>
      <c r="IT320" s="23"/>
      <c r="IU320" s="23"/>
      <c r="IV320" s="23"/>
      <c r="IW320" s="23"/>
      <c r="IX320" s="23"/>
      <c r="IY320" s="23"/>
      <c r="IZ320" s="23"/>
      <c r="JA320" s="23"/>
      <c r="JB320" s="23"/>
      <c r="JC320" s="23"/>
      <c r="JD320" s="23"/>
      <c r="JE320" s="23"/>
      <c r="JF320" s="23"/>
      <c r="JG320" s="23"/>
      <c r="JH320" s="23"/>
      <c r="JI320" s="23"/>
      <c r="JJ320" s="23"/>
      <c r="JK320" s="23"/>
      <c r="JL320" s="23"/>
      <c r="JM320" s="23"/>
      <c r="JN320" s="23"/>
      <c r="JO320" s="23"/>
      <c r="JP320" s="23"/>
      <c r="JQ320" s="23"/>
      <c r="JR320" s="23"/>
      <c r="JS320" s="23"/>
      <c r="JT320" s="23"/>
      <c r="JU320" s="23"/>
      <c r="JV320" s="23"/>
      <c r="JW320" s="23"/>
      <c r="JX320" s="23"/>
      <c r="JY320" s="23"/>
      <c r="JZ320" s="23"/>
      <c r="KA320" s="23"/>
      <c r="KB320" s="23"/>
      <c r="KC320" s="23"/>
      <c r="KD320" s="23"/>
      <c r="KE320" s="23"/>
      <c r="KF320" s="23"/>
      <c r="KG320" s="23"/>
      <c r="KH320" s="23"/>
      <c r="KI320" s="23"/>
      <c r="KJ320" s="23"/>
      <c r="KK320" s="23"/>
      <c r="KL320" s="23"/>
      <c r="KM320" s="23"/>
      <c r="KN320" s="23"/>
      <c r="KO320" s="23"/>
      <c r="KP320" s="23"/>
      <c r="KQ320" s="23"/>
      <c r="KR320" s="23"/>
      <c r="KS320" s="23"/>
      <c r="KT320" s="23"/>
      <c r="KU320" s="23"/>
      <c r="KV320" s="23"/>
      <c r="KW320" s="23"/>
      <c r="KX320" s="23"/>
      <c r="KY320" s="23"/>
      <c r="KZ320" s="23"/>
      <c r="LA320" s="23"/>
      <c r="LB320" s="23"/>
      <c r="LC320" s="23"/>
      <c r="LD320" s="23"/>
      <c r="LE320" s="23"/>
      <c r="LF320" s="23"/>
      <c r="LG320" s="23"/>
      <c r="LH320" s="23"/>
      <c r="LI320" s="23"/>
      <c r="LJ320" s="23"/>
      <c r="LK320" s="23"/>
      <c r="LL320" s="23"/>
      <c r="LM320" s="23"/>
      <c r="LN320" s="23"/>
      <c r="LO320" s="23"/>
      <c r="LP320" s="23"/>
      <c r="LQ320" s="23"/>
      <c r="LR320" s="23"/>
      <c r="LS320" s="23"/>
      <c r="LT320" s="23"/>
      <c r="LU320" s="23"/>
      <c r="LV320" s="23"/>
      <c r="LW320" s="23"/>
      <c r="LX320" s="23"/>
      <c r="LY320" s="23"/>
      <c r="LZ320" s="23"/>
      <c r="MA320" s="23"/>
      <c r="MB320" s="23"/>
      <c r="MC320" s="23"/>
      <c r="MD320" s="23"/>
      <c r="ME320" s="23"/>
      <c r="MF320" s="23"/>
      <c r="MG320" s="23"/>
      <c r="MH320" s="23"/>
      <c r="MI320" s="23"/>
      <c r="MJ320" s="23"/>
      <c r="MK320" s="23"/>
      <c r="ML320" s="23"/>
      <c r="MM320" s="23"/>
      <c r="MN320" s="23"/>
      <c r="MO320" s="23"/>
      <c r="MP320" s="23"/>
      <c r="MQ320" s="23"/>
      <c r="MR320" s="23"/>
      <c r="MS320" s="23"/>
      <c r="MT320" s="23"/>
      <c r="MU320" s="23"/>
      <c r="MV320" s="23"/>
      <c r="MW320" s="23"/>
      <c r="MX320" s="23"/>
      <c r="MY320" s="23"/>
      <c r="MZ320" s="23"/>
      <c r="NA320" s="23"/>
      <c r="NB320" s="23"/>
      <c r="NC320" s="23"/>
      <c r="ND320" s="23"/>
      <c r="NE320" s="23"/>
      <c r="NF320" s="23"/>
      <c r="NG320" s="23"/>
      <c r="NH320" s="23"/>
      <c r="NI320" s="23"/>
      <c r="NJ320" s="23"/>
      <c r="NK320" s="23"/>
      <c r="NL320" s="23"/>
      <c r="NM320" s="23"/>
      <c r="NN320" s="23"/>
    </row>
    <row r="321" spans="5:378" ht="15" customHeight="1"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  <c r="IL321" s="23"/>
      <c r="IM321" s="23"/>
      <c r="IN321" s="23"/>
      <c r="IO321" s="23"/>
      <c r="IP321" s="23"/>
      <c r="IQ321" s="23"/>
      <c r="IR321" s="23"/>
      <c r="IS321" s="23"/>
      <c r="IT321" s="23"/>
      <c r="IU321" s="23"/>
      <c r="IV321" s="23"/>
      <c r="IW321" s="23"/>
      <c r="IX321" s="23"/>
      <c r="IY321" s="23"/>
      <c r="IZ321" s="23"/>
      <c r="JA321" s="23"/>
      <c r="JB321" s="23"/>
      <c r="JC321" s="23"/>
      <c r="JD321" s="23"/>
      <c r="JE321" s="23"/>
      <c r="JF321" s="23"/>
      <c r="JG321" s="23"/>
      <c r="JH321" s="23"/>
      <c r="JI321" s="23"/>
      <c r="JJ321" s="23"/>
      <c r="JK321" s="23"/>
      <c r="JL321" s="23"/>
      <c r="JM321" s="23"/>
      <c r="JN321" s="23"/>
      <c r="JO321" s="23"/>
      <c r="JP321" s="23"/>
      <c r="JQ321" s="23"/>
      <c r="JR321" s="23"/>
      <c r="JS321" s="23"/>
      <c r="JT321" s="23"/>
      <c r="JU321" s="23"/>
      <c r="JV321" s="23"/>
      <c r="JW321" s="23"/>
      <c r="JX321" s="23"/>
      <c r="JY321" s="23"/>
      <c r="JZ321" s="23"/>
      <c r="KA321" s="23"/>
      <c r="KB321" s="23"/>
      <c r="KC321" s="23"/>
      <c r="KD321" s="23"/>
      <c r="KE321" s="23"/>
      <c r="KF321" s="23"/>
      <c r="KG321" s="23"/>
      <c r="KH321" s="23"/>
      <c r="KI321" s="23"/>
      <c r="KJ321" s="23"/>
      <c r="KK321" s="23"/>
      <c r="KL321" s="23"/>
      <c r="KM321" s="23"/>
      <c r="KN321" s="23"/>
      <c r="KO321" s="23"/>
      <c r="KP321" s="23"/>
      <c r="KQ321" s="23"/>
      <c r="KR321" s="23"/>
      <c r="KS321" s="23"/>
      <c r="KT321" s="23"/>
      <c r="KU321" s="23"/>
      <c r="KV321" s="23"/>
      <c r="KW321" s="23"/>
      <c r="KX321" s="23"/>
      <c r="KY321" s="23"/>
      <c r="KZ321" s="23"/>
      <c r="LA321" s="23"/>
      <c r="LB321" s="23"/>
      <c r="LC321" s="23"/>
      <c r="LD321" s="23"/>
      <c r="LE321" s="23"/>
      <c r="LF321" s="23"/>
      <c r="LG321" s="23"/>
      <c r="LH321" s="23"/>
      <c r="LI321" s="23"/>
      <c r="LJ321" s="23"/>
      <c r="LK321" s="23"/>
      <c r="LL321" s="23"/>
      <c r="LM321" s="23"/>
      <c r="LN321" s="23"/>
      <c r="LO321" s="23"/>
      <c r="LP321" s="23"/>
      <c r="LQ321" s="23"/>
      <c r="LR321" s="23"/>
      <c r="LS321" s="23"/>
      <c r="LT321" s="23"/>
      <c r="LU321" s="23"/>
      <c r="LV321" s="23"/>
      <c r="LW321" s="23"/>
      <c r="LX321" s="23"/>
      <c r="LY321" s="23"/>
      <c r="LZ321" s="23"/>
      <c r="MA321" s="23"/>
      <c r="MB321" s="23"/>
      <c r="MC321" s="23"/>
      <c r="MD321" s="23"/>
      <c r="ME321" s="23"/>
      <c r="MF321" s="23"/>
      <c r="MG321" s="23"/>
      <c r="MH321" s="23"/>
      <c r="MI321" s="23"/>
      <c r="MJ321" s="23"/>
      <c r="MK321" s="23"/>
      <c r="ML321" s="23"/>
      <c r="MM321" s="23"/>
      <c r="MN321" s="23"/>
      <c r="MO321" s="23"/>
      <c r="MP321" s="23"/>
      <c r="MQ321" s="23"/>
      <c r="MR321" s="23"/>
      <c r="MS321" s="23"/>
      <c r="MT321" s="23"/>
      <c r="MU321" s="23"/>
      <c r="MV321" s="23"/>
      <c r="MW321" s="23"/>
      <c r="MX321" s="23"/>
      <c r="MY321" s="23"/>
      <c r="MZ321" s="23"/>
      <c r="NA321" s="23"/>
      <c r="NB321" s="23"/>
      <c r="NC321" s="23"/>
      <c r="ND321" s="23"/>
      <c r="NE321" s="23"/>
      <c r="NF321" s="23"/>
      <c r="NG321" s="23"/>
      <c r="NH321" s="23"/>
      <c r="NI321" s="23"/>
      <c r="NJ321" s="23"/>
      <c r="NK321" s="23"/>
      <c r="NL321" s="23"/>
      <c r="NM321" s="23"/>
      <c r="NN321" s="23"/>
    </row>
    <row r="322" spans="5:378" ht="15" customHeight="1"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  <c r="IL322" s="23"/>
      <c r="IM322" s="23"/>
      <c r="IN322" s="23"/>
      <c r="IO322" s="23"/>
      <c r="IP322" s="23"/>
      <c r="IQ322" s="23"/>
      <c r="IR322" s="23"/>
      <c r="IS322" s="23"/>
      <c r="IT322" s="23"/>
      <c r="IU322" s="23"/>
      <c r="IV322" s="23"/>
      <c r="IW322" s="23"/>
      <c r="IX322" s="23"/>
      <c r="IY322" s="23"/>
      <c r="IZ322" s="23"/>
      <c r="JA322" s="23"/>
      <c r="JB322" s="23"/>
      <c r="JC322" s="23"/>
      <c r="JD322" s="23"/>
      <c r="JE322" s="23"/>
      <c r="JF322" s="23"/>
      <c r="JG322" s="23"/>
      <c r="JH322" s="23"/>
      <c r="JI322" s="23"/>
      <c r="JJ322" s="23"/>
      <c r="JK322" s="23"/>
      <c r="JL322" s="23"/>
      <c r="JM322" s="23"/>
      <c r="JN322" s="23"/>
      <c r="JO322" s="23"/>
      <c r="JP322" s="23"/>
      <c r="JQ322" s="23"/>
      <c r="JR322" s="23"/>
      <c r="JS322" s="23"/>
      <c r="JT322" s="23"/>
      <c r="JU322" s="23"/>
      <c r="JV322" s="23"/>
      <c r="JW322" s="23"/>
      <c r="JX322" s="23"/>
      <c r="JY322" s="23"/>
      <c r="JZ322" s="23"/>
      <c r="KA322" s="23"/>
      <c r="KB322" s="23"/>
      <c r="KC322" s="23"/>
      <c r="KD322" s="23"/>
      <c r="KE322" s="23"/>
      <c r="KF322" s="23"/>
      <c r="KG322" s="23"/>
      <c r="KH322" s="23"/>
      <c r="KI322" s="23"/>
      <c r="KJ322" s="23"/>
      <c r="KK322" s="23"/>
      <c r="KL322" s="23"/>
      <c r="KM322" s="23"/>
      <c r="KN322" s="23"/>
      <c r="KO322" s="23"/>
      <c r="KP322" s="23"/>
      <c r="KQ322" s="23"/>
      <c r="KR322" s="23"/>
      <c r="KS322" s="23"/>
      <c r="KT322" s="23"/>
      <c r="KU322" s="23"/>
      <c r="KV322" s="23"/>
      <c r="KW322" s="23"/>
      <c r="KX322" s="23"/>
      <c r="KY322" s="23"/>
      <c r="KZ322" s="23"/>
      <c r="LA322" s="23"/>
      <c r="LB322" s="23"/>
      <c r="LC322" s="23"/>
      <c r="LD322" s="23"/>
      <c r="LE322" s="23"/>
      <c r="LF322" s="23"/>
      <c r="LG322" s="23"/>
      <c r="LH322" s="23"/>
      <c r="LI322" s="23"/>
      <c r="LJ322" s="23"/>
      <c r="LK322" s="23"/>
      <c r="LL322" s="23"/>
      <c r="LM322" s="23"/>
      <c r="LN322" s="23"/>
      <c r="LO322" s="23"/>
      <c r="LP322" s="23"/>
      <c r="LQ322" s="23"/>
      <c r="LR322" s="23"/>
      <c r="LS322" s="23"/>
      <c r="LT322" s="23"/>
      <c r="LU322" s="23"/>
      <c r="LV322" s="23"/>
      <c r="LW322" s="23"/>
      <c r="LX322" s="23"/>
      <c r="LY322" s="23"/>
      <c r="LZ322" s="23"/>
      <c r="MA322" s="23"/>
      <c r="MB322" s="23"/>
      <c r="MC322" s="23"/>
      <c r="MD322" s="23"/>
      <c r="ME322" s="23"/>
      <c r="MF322" s="23"/>
      <c r="MG322" s="23"/>
      <c r="MH322" s="23"/>
      <c r="MI322" s="23"/>
      <c r="MJ322" s="23"/>
      <c r="MK322" s="23"/>
      <c r="ML322" s="23"/>
      <c r="MM322" s="23"/>
      <c r="MN322" s="23"/>
      <c r="MO322" s="23"/>
      <c r="MP322" s="23"/>
      <c r="MQ322" s="23"/>
      <c r="MR322" s="23"/>
      <c r="MS322" s="23"/>
      <c r="MT322" s="23"/>
      <c r="MU322" s="23"/>
      <c r="MV322" s="23"/>
      <c r="MW322" s="23"/>
      <c r="MX322" s="23"/>
      <c r="MY322" s="23"/>
      <c r="MZ322" s="23"/>
      <c r="NA322" s="23"/>
      <c r="NB322" s="23"/>
      <c r="NC322" s="23"/>
      <c r="ND322" s="23"/>
      <c r="NE322" s="23"/>
      <c r="NF322" s="23"/>
      <c r="NG322" s="23"/>
      <c r="NH322" s="23"/>
      <c r="NI322" s="23"/>
      <c r="NJ322" s="23"/>
      <c r="NK322" s="23"/>
      <c r="NL322" s="23"/>
      <c r="NM322" s="23"/>
      <c r="NN322" s="23"/>
    </row>
    <row r="323" spans="5:378" ht="15" customHeight="1"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  <c r="IL323" s="23"/>
      <c r="IM323" s="23"/>
      <c r="IN323" s="23"/>
      <c r="IO323" s="23"/>
      <c r="IP323" s="23"/>
      <c r="IQ323" s="23"/>
      <c r="IR323" s="23"/>
      <c r="IS323" s="23"/>
      <c r="IT323" s="23"/>
      <c r="IU323" s="23"/>
      <c r="IV323" s="23"/>
      <c r="IW323" s="23"/>
      <c r="IX323" s="23"/>
      <c r="IY323" s="23"/>
      <c r="IZ323" s="23"/>
      <c r="JA323" s="23"/>
      <c r="JB323" s="23"/>
      <c r="JC323" s="23"/>
      <c r="JD323" s="23"/>
      <c r="JE323" s="23"/>
      <c r="JF323" s="23"/>
      <c r="JG323" s="23"/>
      <c r="JH323" s="23"/>
      <c r="JI323" s="23"/>
      <c r="JJ323" s="23"/>
      <c r="JK323" s="23"/>
      <c r="JL323" s="23"/>
      <c r="JM323" s="23"/>
      <c r="JN323" s="23"/>
      <c r="JO323" s="23"/>
      <c r="JP323" s="23"/>
      <c r="JQ323" s="23"/>
      <c r="JR323" s="23"/>
      <c r="JS323" s="23"/>
      <c r="JT323" s="23"/>
      <c r="JU323" s="23"/>
      <c r="JV323" s="23"/>
      <c r="JW323" s="23"/>
      <c r="JX323" s="23"/>
      <c r="JY323" s="23"/>
      <c r="JZ323" s="23"/>
      <c r="KA323" s="23"/>
      <c r="KB323" s="23"/>
      <c r="KC323" s="23"/>
      <c r="KD323" s="23"/>
      <c r="KE323" s="23"/>
      <c r="KF323" s="23"/>
      <c r="KG323" s="23"/>
      <c r="KH323" s="23"/>
      <c r="KI323" s="23"/>
      <c r="KJ323" s="23"/>
      <c r="KK323" s="23"/>
      <c r="KL323" s="23"/>
      <c r="KM323" s="23"/>
      <c r="KN323" s="23"/>
      <c r="KO323" s="23"/>
      <c r="KP323" s="23"/>
      <c r="KQ323" s="23"/>
      <c r="KR323" s="23"/>
      <c r="KS323" s="23"/>
      <c r="KT323" s="23"/>
      <c r="KU323" s="23"/>
      <c r="KV323" s="23"/>
      <c r="KW323" s="23"/>
      <c r="KX323" s="23"/>
      <c r="KY323" s="23"/>
      <c r="KZ323" s="23"/>
      <c r="LA323" s="23"/>
      <c r="LB323" s="23"/>
      <c r="LC323" s="23"/>
      <c r="LD323" s="23"/>
      <c r="LE323" s="23"/>
      <c r="LF323" s="23"/>
      <c r="LG323" s="23"/>
      <c r="LH323" s="23"/>
      <c r="LI323" s="23"/>
      <c r="LJ323" s="23"/>
      <c r="LK323" s="23"/>
      <c r="LL323" s="23"/>
      <c r="LM323" s="23"/>
      <c r="LN323" s="23"/>
      <c r="LO323" s="23"/>
      <c r="LP323" s="23"/>
      <c r="LQ323" s="23"/>
      <c r="LR323" s="23"/>
      <c r="LS323" s="23"/>
      <c r="LT323" s="23"/>
      <c r="LU323" s="23"/>
      <c r="LV323" s="23"/>
      <c r="LW323" s="23"/>
      <c r="LX323" s="23"/>
      <c r="LY323" s="23"/>
      <c r="LZ323" s="23"/>
      <c r="MA323" s="23"/>
      <c r="MB323" s="23"/>
      <c r="MC323" s="23"/>
      <c r="MD323" s="23"/>
      <c r="ME323" s="23"/>
      <c r="MF323" s="23"/>
      <c r="MG323" s="23"/>
      <c r="MH323" s="23"/>
      <c r="MI323" s="23"/>
      <c r="MJ323" s="23"/>
      <c r="MK323" s="23"/>
      <c r="ML323" s="23"/>
      <c r="MM323" s="23"/>
      <c r="MN323" s="23"/>
      <c r="MO323" s="23"/>
      <c r="MP323" s="23"/>
      <c r="MQ323" s="23"/>
      <c r="MR323" s="23"/>
      <c r="MS323" s="23"/>
      <c r="MT323" s="23"/>
      <c r="MU323" s="23"/>
      <c r="MV323" s="23"/>
      <c r="MW323" s="23"/>
      <c r="MX323" s="23"/>
      <c r="MY323" s="23"/>
      <c r="MZ323" s="23"/>
      <c r="NA323" s="23"/>
      <c r="NB323" s="23"/>
      <c r="NC323" s="23"/>
      <c r="ND323" s="23"/>
      <c r="NE323" s="23"/>
      <c r="NF323" s="23"/>
      <c r="NG323" s="23"/>
      <c r="NH323" s="23"/>
      <c r="NI323" s="23"/>
      <c r="NJ323" s="23"/>
      <c r="NK323" s="23"/>
      <c r="NL323" s="23"/>
      <c r="NM323" s="23"/>
      <c r="NN323" s="23"/>
    </row>
    <row r="324" spans="5:378" ht="15" customHeight="1"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  <c r="IL324" s="23"/>
      <c r="IM324" s="23"/>
      <c r="IN324" s="23"/>
      <c r="IO324" s="23"/>
      <c r="IP324" s="23"/>
      <c r="IQ324" s="23"/>
      <c r="IR324" s="23"/>
      <c r="IS324" s="23"/>
      <c r="IT324" s="23"/>
      <c r="IU324" s="23"/>
      <c r="IV324" s="23"/>
      <c r="IW324" s="23"/>
      <c r="IX324" s="23"/>
      <c r="IY324" s="23"/>
      <c r="IZ324" s="23"/>
      <c r="JA324" s="23"/>
      <c r="JB324" s="23"/>
      <c r="JC324" s="23"/>
      <c r="JD324" s="23"/>
      <c r="JE324" s="23"/>
      <c r="JF324" s="23"/>
      <c r="JG324" s="23"/>
      <c r="JH324" s="23"/>
      <c r="JI324" s="23"/>
      <c r="JJ324" s="23"/>
      <c r="JK324" s="23"/>
      <c r="JL324" s="23"/>
      <c r="JM324" s="23"/>
      <c r="JN324" s="23"/>
      <c r="JO324" s="23"/>
      <c r="JP324" s="23"/>
      <c r="JQ324" s="23"/>
      <c r="JR324" s="23"/>
      <c r="JS324" s="23"/>
      <c r="JT324" s="23"/>
      <c r="JU324" s="23"/>
      <c r="JV324" s="23"/>
      <c r="JW324" s="23"/>
      <c r="JX324" s="23"/>
      <c r="JY324" s="23"/>
      <c r="JZ324" s="23"/>
      <c r="KA324" s="23"/>
      <c r="KB324" s="23"/>
      <c r="KC324" s="23"/>
      <c r="KD324" s="23"/>
      <c r="KE324" s="23"/>
      <c r="KF324" s="23"/>
      <c r="KG324" s="23"/>
      <c r="KH324" s="23"/>
      <c r="KI324" s="23"/>
      <c r="KJ324" s="23"/>
      <c r="KK324" s="23"/>
      <c r="KL324" s="23"/>
      <c r="KM324" s="23"/>
      <c r="KN324" s="23"/>
      <c r="KO324" s="23"/>
      <c r="KP324" s="23"/>
      <c r="KQ324" s="23"/>
      <c r="KR324" s="23"/>
      <c r="KS324" s="23"/>
      <c r="KT324" s="23"/>
      <c r="KU324" s="23"/>
      <c r="KV324" s="23"/>
      <c r="KW324" s="23"/>
      <c r="KX324" s="23"/>
      <c r="KY324" s="23"/>
      <c r="KZ324" s="23"/>
      <c r="LA324" s="23"/>
      <c r="LB324" s="23"/>
      <c r="LC324" s="23"/>
      <c r="LD324" s="23"/>
      <c r="LE324" s="23"/>
      <c r="LF324" s="23"/>
      <c r="LG324" s="23"/>
      <c r="LH324" s="23"/>
      <c r="LI324" s="23"/>
      <c r="LJ324" s="23"/>
      <c r="LK324" s="23"/>
      <c r="LL324" s="23"/>
      <c r="LM324" s="23"/>
      <c r="LN324" s="23"/>
      <c r="LO324" s="23"/>
      <c r="LP324" s="23"/>
      <c r="LQ324" s="23"/>
      <c r="LR324" s="23"/>
      <c r="LS324" s="23"/>
      <c r="LT324" s="23"/>
      <c r="LU324" s="23"/>
      <c r="LV324" s="23"/>
      <c r="LW324" s="23"/>
      <c r="LX324" s="23"/>
      <c r="LY324" s="23"/>
      <c r="LZ324" s="23"/>
      <c r="MA324" s="23"/>
      <c r="MB324" s="23"/>
      <c r="MC324" s="23"/>
      <c r="MD324" s="23"/>
      <c r="ME324" s="23"/>
      <c r="MF324" s="23"/>
      <c r="MG324" s="23"/>
      <c r="MH324" s="23"/>
      <c r="MI324" s="23"/>
      <c r="MJ324" s="23"/>
      <c r="MK324" s="23"/>
      <c r="ML324" s="23"/>
      <c r="MM324" s="23"/>
      <c r="MN324" s="23"/>
      <c r="MO324" s="23"/>
      <c r="MP324" s="23"/>
      <c r="MQ324" s="23"/>
      <c r="MR324" s="23"/>
      <c r="MS324" s="23"/>
      <c r="MT324" s="23"/>
      <c r="MU324" s="23"/>
      <c r="MV324" s="23"/>
      <c r="MW324" s="23"/>
      <c r="MX324" s="23"/>
      <c r="MY324" s="23"/>
      <c r="MZ324" s="23"/>
      <c r="NA324" s="23"/>
      <c r="NB324" s="23"/>
      <c r="NC324" s="23"/>
      <c r="ND324" s="23"/>
      <c r="NE324" s="23"/>
      <c r="NF324" s="23"/>
      <c r="NG324" s="23"/>
      <c r="NH324" s="23"/>
      <c r="NI324" s="23"/>
      <c r="NJ324" s="23"/>
      <c r="NK324" s="23"/>
      <c r="NL324" s="23"/>
      <c r="NM324" s="23"/>
      <c r="NN324" s="23"/>
    </row>
    <row r="325" spans="5:378" ht="15" customHeight="1"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  <c r="IL325" s="23"/>
      <c r="IM325" s="23"/>
      <c r="IN325" s="23"/>
      <c r="IO325" s="23"/>
      <c r="IP325" s="23"/>
      <c r="IQ325" s="23"/>
      <c r="IR325" s="23"/>
      <c r="IS325" s="23"/>
      <c r="IT325" s="23"/>
      <c r="IU325" s="23"/>
      <c r="IV325" s="23"/>
      <c r="IW325" s="23"/>
      <c r="IX325" s="23"/>
      <c r="IY325" s="23"/>
      <c r="IZ325" s="23"/>
      <c r="JA325" s="23"/>
      <c r="JB325" s="23"/>
      <c r="JC325" s="23"/>
      <c r="JD325" s="23"/>
      <c r="JE325" s="23"/>
      <c r="JF325" s="23"/>
      <c r="JG325" s="23"/>
      <c r="JH325" s="23"/>
      <c r="JI325" s="23"/>
      <c r="JJ325" s="23"/>
      <c r="JK325" s="23"/>
      <c r="JL325" s="23"/>
      <c r="JM325" s="23"/>
      <c r="JN325" s="23"/>
      <c r="JO325" s="23"/>
      <c r="JP325" s="23"/>
      <c r="JQ325" s="23"/>
      <c r="JR325" s="23"/>
      <c r="JS325" s="23"/>
      <c r="JT325" s="23"/>
      <c r="JU325" s="23"/>
      <c r="JV325" s="23"/>
      <c r="JW325" s="23"/>
      <c r="JX325" s="23"/>
      <c r="JY325" s="23"/>
      <c r="JZ325" s="23"/>
      <c r="KA325" s="23"/>
      <c r="KB325" s="23"/>
      <c r="KC325" s="23"/>
      <c r="KD325" s="23"/>
      <c r="KE325" s="23"/>
      <c r="KF325" s="23"/>
      <c r="KG325" s="23"/>
      <c r="KH325" s="23"/>
      <c r="KI325" s="23"/>
      <c r="KJ325" s="23"/>
      <c r="KK325" s="23"/>
      <c r="KL325" s="23"/>
      <c r="KM325" s="23"/>
      <c r="KN325" s="23"/>
      <c r="KO325" s="23"/>
      <c r="KP325" s="23"/>
      <c r="KQ325" s="23"/>
      <c r="KR325" s="23"/>
      <c r="KS325" s="23"/>
      <c r="KT325" s="23"/>
      <c r="KU325" s="23"/>
      <c r="KV325" s="23"/>
      <c r="KW325" s="23"/>
      <c r="KX325" s="23"/>
      <c r="KY325" s="23"/>
      <c r="KZ325" s="23"/>
      <c r="LA325" s="23"/>
      <c r="LB325" s="23"/>
      <c r="LC325" s="23"/>
      <c r="LD325" s="23"/>
      <c r="LE325" s="23"/>
      <c r="LF325" s="23"/>
      <c r="LG325" s="23"/>
      <c r="LH325" s="23"/>
      <c r="LI325" s="23"/>
      <c r="LJ325" s="23"/>
      <c r="LK325" s="23"/>
      <c r="LL325" s="23"/>
      <c r="LM325" s="23"/>
      <c r="LN325" s="23"/>
      <c r="LO325" s="23"/>
      <c r="LP325" s="23"/>
      <c r="LQ325" s="23"/>
      <c r="LR325" s="23"/>
      <c r="LS325" s="23"/>
      <c r="LT325" s="23"/>
      <c r="LU325" s="23"/>
      <c r="LV325" s="23"/>
      <c r="LW325" s="23"/>
      <c r="LX325" s="23"/>
      <c r="LY325" s="23"/>
      <c r="LZ325" s="23"/>
      <c r="MA325" s="23"/>
      <c r="MB325" s="23"/>
      <c r="MC325" s="23"/>
      <c r="MD325" s="23"/>
      <c r="ME325" s="23"/>
      <c r="MF325" s="23"/>
      <c r="MG325" s="23"/>
      <c r="MH325" s="23"/>
      <c r="MI325" s="23"/>
      <c r="MJ325" s="23"/>
      <c r="MK325" s="23"/>
      <c r="ML325" s="23"/>
      <c r="MM325" s="23"/>
      <c r="MN325" s="23"/>
      <c r="MO325" s="23"/>
      <c r="MP325" s="23"/>
      <c r="MQ325" s="23"/>
      <c r="MR325" s="23"/>
      <c r="MS325" s="23"/>
      <c r="MT325" s="23"/>
      <c r="MU325" s="23"/>
      <c r="MV325" s="23"/>
      <c r="MW325" s="23"/>
      <c r="MX325" s="23"/>
      <c r="MY325" s="23"/>
      <c r="MZ325" s="23"/>
      <c r="NA325" s="23"/>
      <c r="NB325" s="23"/>
      <c r="NC325" s="23"/>
      <c r="ND325" s="23"/>
      <c r="NE325" s="23"/>
      <c r="NF325" s="23"/>
      <c r="NG325" s="23"/>
      <c r="NH325" s="23"/>
      <c r="NI325" s="23"/>
      <c r="NJ325" s="23"/>
      <c r="NK325" s="23"/>
      <c r="NL325" s="23"/>
      <c r="NM325" s="23"/>
      <c r="NN325" s="23"/>
    </row>
    <row r="326" spans="5:378" ht="15" customHeight="1"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  <c r="IL326" s="23"/>
      <c r="IM326" s="23"/>
      <c r="IN326" s="23"/>
      <c r="IO326" s="23"/>
      <c r="IP326" s="23"/>
      <c r="IQ326" s="23"/>
      <c r="IR326" s="23"/>
      <c r="IS326" s="23"/>
      <c r="IT326" s="23"/>
      <c r="IU326" s="23"/>
      <c r="IV326" s="23"/>
      <c r="IW326" s="23"/>
      <c r="IX326" s="23"/>
      <c r="IY326" s="23"/>
      <c r="IZ326" s="23"/>
      <c r="JA326" s="23"/>
      <c r="JB326" s="23"/>
      <c r="JC326" s="23"/>
      <c r="JD326" s="23"/>
      <c r="JE326" s="23"/>
      <c r="JF326" s="23"/>
      <c r="JG326" s="23"/>
      <c r="JH326" s="23"/>
      <c r="JI326" s="23"/>
      <c r="JJ326" s="23"/>
      <c r="JK326" s="23"/>
      <c r="JL326" s="23"/>
      <c r="JM326" s="23"/>
      <c r="JN326" s="23"/>
      <c r="JO326" s="23"/>
      <c r="JP326" s="23"/>
      <c r="JQ326" s="23"/>
      <c r="JR326" s="23"/>
      <c r="JS326" s="23"/>
      <c r="JT326" s="23"/>
      <c r="JU326" s="23"/>
      <c r="JV326" s="23"/>
      <c r="JW326" s="23"/>
      <c r="JX326" s="23"/>
      <c r="JY326" s="23"/>
      <c r="JZ326" s="23"/>
      <c r="KA326" s="23"/>
      <c r="KB326" s="23"/>
      <c r="KC326" s="23"/>
      <c r="KD326" s="23"/>
      <c r="KE326" s="23"/>
      <c r="KF326" s="23"/>
      <c r="KG326" s="23"/>
      <c r="KH326" s="23"/>
      <c r="KI326" s="23"/>
      <c r="KJ326" s="23"/>
      <c r="KK326" s="23"/>
      <c r="KL326" s="23"/>
      <c r="KM326" s="23"/>
      <c r="KN326" s="23"/>
      <c r="KO326" s="23"/>
      <c r="KP326" s="23"/>
      <c r="KQ326" s="23"/>
      <c r="KR326" s="23"/>
      <c r="KS326" s="23"/>
      <c r="KT326" s="23"/>
      <c r="KU326" s="23"/>
      <c r="KV326" s="23"/>
      <c r="KW326" s="23"/>
      <c r="KX326" s="23"/>
      <c r="KY326" s="23"/>
      <c r="KZ326" s="23"/>
      <c r="LA326" s="23"/>
      <c r="LB326" s="23"/>
      <c r="LC326" s="23"/>
      <c r="LD326" s="23"/>
      <c r="LE326" s="23"/>
      <c r="LF326" s="23"/>
      <c r="LG326" s="23"/>
      <c r="LH326" s="23"/>
      <c r="LI326" s="23"/>
      <c r="LJ326" s="23"/>
      <c r="LK326" s="23"/>
      <c r="LL326" s="23"/>
      <c r="LM326" s="23"/>
      <c r="LN326" s="23"/>
      <c r="LO326" s="23"/>
      <c r="LP326" s="23"/>
      <c r="LQ326" s="23"/>
      <c r="LR326" s="23"/>
      <c r="LS326" s="23"/>
      <c r="LT326" s="23"/>
      <c r="LU326" s="23"/>
      <c r="LV326" s="23"/>
      <c r="LW326" s="23"/>
      <c r="LX326" s="23"/>
      <c r="LY326" s="23"/>
      <c r="LZ326" s="23"/>
      <c r="MA326" s="23"/>
      <c r="MB326" s="23"/>
      <c r="MC326" s="23"/>
      <c r="MD326" s="23"/>
      <c r="ME326" s="23"/>
      <c r="MF326" s="23"/>
      <c r="MG326" s="23"/>
      <c r="MH326" s="23"/>
      <c r="MI326" s="23"/>
      <c r="MJ326" s="23"/>
      <c r="MK326" s="23"/>
      <c r="ML326" s="23"/>
      <c r="MM326" s="23"/>
      <c r="MN326" s="23"/>
      <c r="MO326" s="23"/>
      <c r="MP326" s="23"/>
      <c r="MQ326" s="23"/>
      <c r="MR326" s="23"/>
      <c r="MS326" s="23"/>
      <c r="MT326" s="23"/>
      <c r="MU326" s="23"/>
      <c r="MV326" s="23"/>
      <c r="MW326" s="23"/>
      <c r="MX326" s="23"/>
      <c r="MY326" s="23"/>
      <c r="MZ326" s="23"/>
      <c r="NA326" s="23"/>
      <c r="NB326" s="23"/>
      <c r="NC326" s="23"/>
      <c r="ND326" s="23"/>
      <c r="NE326" s="23"/>
      <c r="NF326" s="23"/>
      <c r="NG326" s="23"/>
      <c r="NH326" s="23"/>
      <c r="NI326" s="23"/>
      <c r="NJ326" s="23"/>
      <c r="NK326" s="23"/>
      <c r="NL326" s="23"/>
      <c r="NM326" s="23"/>
      <c r="NN326" s="23"/>
    </row>
    <row r="327" spans="5:378" ht="15" customHeight="1"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  <c r="IL327" s="23"/>
      <c r="IM327" s="23"/>
      <c r="IN327" s="23"/>
      <c r="IO327" s="23"/>
      <c r="IP327" s="23"/>
      <c r="IQ327" s="23"/>
      <c r="IR327" s="23"/>
      <c r="IS327" s="23"/>
      <c r="IT327" s="23"/>
      <c r="IU327" s="23"/>
      <c r="IV327" s="23"/>
      <c r="IW327" s="23"/>
      <c r="IX327" s="23"/>
      <c r="IY327" s="23"/>
      <c r="IZ327" s="23"/>
      <c r="JA327" s="23"/>
      <c r="JB327" s="23"/>
      <c r="JC327" s="23"/>
      <c r="JD327" s="23"/>
      <c r="JE327" s="23"/>
      <c r="JF327" s="23"/>
      <c r="JG327" s="23"/>
      <c r="JH327" s="23"/>
      <c r="JI327" s="23"/>
      <c r="JJ327" s="23"/>
      <c r="JK327" s="23"/>
      <c r="JL327" s="23"/>
      <c r="JM327" s="23"/>
      <c r="JN327" s="23"/>
      <c r="JO327" s="23"/>
      <c r="JP327" s="23"/>
      <c r="JQ327" s="23"/>
      <c r="JR327" s="23"/>
      <c r="JS327" s="23"/>
      <c r="JT327" s="23"/>
      <c r="JU327" s="23"/>
      <c r="JV327" s="23"/>
      <c r="JW327" s="23"/>
      <c r="JX327" s="23"/>
      <c r="JY327" s="23"/>
      <c r="JZ327" s="23"/>
      <c r="KA327" s="23"/>
      <c r="KB327" s="23"/>
      <c r="KC327" s="23"/>
      <c r="KD327" s="23"/>
      <c r="KE327" s="23"/>
      <c r="KF327" s="23"/>
      <c r="KG327" s="23"/>
      <c r="KH327" s="23"/>
      <c r="KI327" s="23"/>
      <c r="KJ327" s="23"/>
      <c r="KK327" s="23"/>
      <c r="KL327" s="23"/>
      <c r="KM327" s="23"/>
      <c r="KN327" s="23"/>
      <c r="KO327" s="23"/>
      <c r="KP327" s="23"/>
      <c r="KQ327" s="23"/>
      <c r="KR327" s="23"/>
      <c r="KS327" s="23"/>
      <c r="KT327" s="23"/>
      <c r="KU327" s="23"/>
      <c r="KV327" s="23"/>
      <c r="KW327" s="23"/>
      <c r="KX327" s="23"/>
      <c r="KY327" s="23"/>
      <c r="KZ327" s="23"/>
      <c r="LA327" s="23"/>
      <c r="LB327" s="23"/>
      <c r="LC327" s="23"/>
      <c r="LD327" s="23"/>
      <c r="LE327" s="23"/>
      <c r="LF327" s="23"/>
      <c r="LG327" s="23"/>
      <c r="LH327" s="23"/>
      <c r="LI327" s="23"/>
      <c r="LJ327" s="23"/>
      <c r="LK327" s="23"/>
      <c r="LL327" s="23"/>
      <c r="LM327" s="23"/>
      <c r="LN327" s="23"/>
      <c r="LO327" s="23"/>
      <c r="LP327" s="23"/>
      <c r="LQ327" s="23"/>
      <c r="LR327" s="23"/>
      <c r="LS327" s="23"/>
      <c r="LT327" s="23"/>
      <c r="LU327" s="23"/>
      <c r="LV327" s="23"/>
      <c r="LW327" s="23"/>
      <c r="LX327" s="23"/>
      <c r="LY327" s="23"/>
      <c r="LZ327" s="23"/>
      <c r="MA327" s="23"/>
      <c r="MB327" s="23"/>
      <c r="MC327" s="23"/>
      <c r="MD327" s="23"/>
      <c r="ME327" s="23"/>
      <c r="MF327" s="23"/>
      <c r="MG327" s="23"/>
      <c r="MH327" s="23"/>
      <c r="MI327" s="23"/>
      <c r="MJ327" s="23"/>
      <c r="MK327" s="23"/>
      <c r="ML327" s="23"/>
      <c r="MM327" s="23"/>
      <c r="MN327" s="23"/>
      <c r="MO327" s="23"/>
      <c r="MP327" s="23"/>
      <c r="MQ327" s="23"/>
      <c r="MR327" s="23"/>
      <c r="MS327" s="23"/>
      <c r="MT327" s="23"/>
      <c r="MU327" s="23"/>
      <c r="MV327" s="23"/>
      <c r="MW327" s="23"/>
      <c r="MX327" s="23"/>
      <c r="MY327" s="23"/>
      <c r="MZ327" s="23"/>
      <c r="NA327" s="23"/>
      <c r="NB327" s="23"/>
      <c r="NC327" s="23"/>
      <c r="ND327" s="23"/>
      <c r="NE327" s="23"/>
      <c r="NF327" s="23"/>
      <c r="NG327" s="23"/>
      <c r="NH327" s="23"/>
      <c r="NI327" s="23"/>
      <c r="NJ327" s="23"/>
      <c r="NK327" s="23"/>
      <c r="NL327" s="23"/>
      <c r="NM327" s="23"/>
      <c r="NN327" s="23"/>
    </row>
    <row r="328" spans="5:378" ht="15" customHeight="1"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  <c r="IL328" s="23"/>
      <c r="IM328" s="23"/>
      <c r="IN328" s="23"/>
      <c r="IO328" s="23"/>
      <c r="IP328" s="23"/>
      <c r="IQ328" s="23"/>
      <c r="IR328" s="23"/>
      <c r="IS328" s="23"/>
      <c r="IT328" s="23"/>
      <c r="IU328" s="23"/>
      <c r="IV328" s="23"/>
      <c r="IW328" s="23"/>
      <c r="IX328" s="23"/>
      <c r="IY328" s="23"/>
      <c r="IZ328" s="23"/>
      <c r="JA328" s="23"/>
      <c r="JB328" s="23"/>
      <c r="JC328" s="23"/>
      <c r="JD328" s="23"/>
      <c r="JE328" s="23"/>
      <c r="JF328" s="23"/>
      <c r="JG328" s="23"/>
      <c r="JH328" s="23"/>
      <c r="JI328" s="23"/>
      <c r="JJ328" s="23"/>
      <c r="JK328" s="23"/>
      <c r="JL328" s="23"/>
      <c r="JM328" s="23"/>
      <c r="JN328" s="23"/>
      <c r="JO328" s="23"/>
      <c r="JP328" s="23"/>
      <c r="JQ328" s="23"/>
      <c r="JR328" s="23"/>
      <c r="JS328" s="23"/>
      <c r="JT328" s="23"/>
      <c r="JU328" s="23"/>
      <c r="JV328" s="23"/>
      <c r="JW328" s="23"/>
      <c r="JX328" s="23"/>
      <c r="JY328" s="23"/>
      <c r="JZ328" s="23"/>
      <c r="KA328" s="23"/>
      <c r="KB328" s="23"/>
      <c r="KC328" s="23"/>
      <c r="KD328" s="23"/>
      <c r="KE328" s="23"/>
      <c r="KF328" s="23"/>
      <c r="KG328" s="23"/>
      <c r="KH328" s="23"/>
      <c r="KI328" s="23"/>
      <c r="KJ328" s="23"/>
      <c r="KK328" s="23"/>
      <c r="KL328" s="23"/>
      <c r="KM328" s="23"/>
      <c r="KN328" s="23"/>
      <c r="KO328" s="23"/>
      <c r="KP328" s="23"/>
      <c r="KQ328" s="23"/>
      <c r="KR328" s="23"/>
      <c r="KS328" s="23"/>
      <c r="KT328" s="23"/>
      <c r="KU328" s="23"/>
      <c r="KV328" s="23"/>
      <c r="KW328" s="23"/>
      <c r="KX328" s="23"/>
      <c r="KY328" s="23"/>
      <c r="KZ328" s="23"/>
      <c r="LA328" s="23"/>
      <c r="LB328" s="23"/>
      <c r="LC328" s="23"/>
      <c r="LD328" s="23"/>
      <c r="LE328" s="23"/>
      <c r="LF328" s="23"/>
      <c r="LG328" s="23"/>
      <c r="LH328" s="23"/>
      <c r="LI328" s="23"/>
      <c r="LJ328" s="23"/>
      <c r="LK328" s="23"/>
      <c r="LL328" s="23"/>
      <c r="LM328" s="23"/>
      <c r="LN328" s="23"/>
      <c r="LO328" s="23"/>
      <c r="LP328" s="23"/>
      <c r="LQ328" s="23"/>
      <c r="LR328" s="23"/>
      <c r="LS328" s="23"/>
      <c r="LT328" s="23"/>
      <c r="LU328" s="23"/>
      <c r="LV328" s="23"/>
      <c r="LW328" s="23"/>
      <c r="LX328" s="23"/>
      <c r="LY328" s="23"/>
      <c r="LZ328" s="23"/>
      <c r="MA328" s="23"/>
      <c r="MB328" s="23"/>
      <c r="MC328" s="23"/>
      <c r="MD328" s="23"/>
      <c r="ME328" s="23"/>
      <c r="MF328" s="23"/>
      <c r="MG328" s="23"/>
      <c r="MH328" s="23"/>
      <c r="MI328" s="23"/>
      <c r="MJ328" s="23"/>
      <c r="MK328" s="23"/>
      <c r="ML328" s="23"/>
      <c r="MM328" s="23"/>
      <c r="MN328" s="23"/>
      <c r="MO328" s="23"/>
      <c r="MP328" s="23"/>
      <c r="MQ328" s="23"/>
      <c r="MR328" s="23"/>
      <c r="MS328" s="23"/>
      <c r="MT328" s="23"/>
      <c r="MU328" s="23"/>
      <c r="MV328" s="23"/>
      <c r="MW328" s="23"/>
      <c r="MX328" s="23"/>
      <c r="MY328" s="23"/>
      <c r="MZ328" s="23"/>
      <c r="NA328" s="23"/>
      <c r="NB328" s="23"/>
      <c r="NC328" s="23"/>
      <c r="ND328" s="23"/>
      <c r="NE328" s="23"/>
      <c r="NF328" s="23"/>
      <c r="NG328" s="23"/>
      <c r="NH328" s="23"/>
      <c r="NI328" s="23"/>
      <c r="NJ328" s="23"/>
      <c r="NK328" s="23"/>
      <c r="NL328" s="23"/>
      <c r="NM328" s="23"/>
      <c r="NN328" s="23"/>
    </row>
    <row r="329" spans="5:378" ht="15" customHeight="1"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  <c r="IL329" s="23"/>
      <c r="IM329" s="23"/>
      <c r="IN329" s="23"/>
      <c r="IO329" s="23"/>
      <c r="IP329" s="23"/>
      <c r="IQ329" s="23"/>
      <c r="IR329" s="23"/>
      <c r="IS329" s="23"/>
      <c r="IT329" s="23"/>
      <c r="IU329" s="23"/>
      <c r="IV329" s="23"/>
      <c r="IW329" s="23"/>
      <c r="IX329" s="23"/>
      <c r="IY329" s="23"/>
      <c r="IZ329" s="23"/>
      <c r="JA329" s="23"/>
      <c r="JB329" s="23"/>
      <c r="JC329" s="23"/>
      <c r="JD329" s="23"/>
      <c r="JE329" s="23"/>
      <c r="JF329" s="23"/>
      <c r="JG329" s="23"/>
      <c r="JH329" s="23"/>
      <c r="JI329" s="23"/>
      <c r="JJ329" s="23"/>
      <c r="JK329" s="23"/>
      <c r="JL329" s="23"/>
      <c r="JM329" s="23"/>
      <c r="JN329" s="23"/>
      <c r="JO329" s="23"/>
      <c r="JP329" s="23"/>
      <c r="JQ329" s="23"/>
      <c r="JR329" s="23"/>
      <c r="JS329" s="23"/>
      <c r="JT329" s="23"/>
      <c r="JU329" s="23"/>
      <c r="JV329" s="23"/>
      <c r="JW329" s="23"/>
      <c r="JX329" s="23"/>
      <c r="JY329" s="23"/>
      <c r="JZ329" s="23"/>
      <c r="KA329" s="23"/>
      <c r="KB329" s="23"/>
      <c r="KC329" s="23"/>
      <c r="KD329" s="23"/>
      <c r="KE329" s="23"/>
      <c r="KF329" s="23"/>
      <c r="KG329" s="23"/>
      <c r="KH329" s="23"/>
      <c r="KI329" s="23"/>
      <c r="KJ329" s="23"/>
      <c r="KK329" s="23"/>
      <c r="KL329" s="23"/>
      <c r="KM329" s="23"/>
      <c r="KN329" s="23"/>
      <c r="KO329" s="23"/>
      <c r="KP329" s="23"/>
      <c r="KQ329" s="23"/>
      <c r="KR329" s="23"/>
      <c r="KS329" s="23"/>
      <c r="KT329" s="23"/>
      <c r="KU329" s="23"/>
      <c r="KV329" s="23"/>
      <c r="KW329" s="23"/>
      <c r="KX329" s="23"/>
      <c r="KY329" s="23"/>
      <c r="KZ329" s="23"/>
      <c r="LA329" s="23"/>
      <c r="LB329" s="23"/>
      <c r="LC329" s="23"/>
      <c r="LD329" s="23"/>
      <c r="LE329" s="23"/>
      <c r="LF329" s="23"/>
      <c r="LG329" s="23"/>
      <c r="LH329" s="23"/>
      <c r="LI329" s="23"/>
      <c r="LJ329" s="23"/>
      <c r="LK329" s="23"/>
      <c r="LL329" s="23"/>
      <c r="LM329" s="23"/>
      <c r="LN329" s="23"/>
      <c r="LO329" s="23"/>
      <c r="LP329" s="23"/>
      <c r="LQ329" s="23"/>
      <c r="LR329" s="23"/>
      <c r="LS329" s="23"/>
      <c r="LT329" s="23"/>
      <c r="LU329" s="23"/>
      <c r="LV329" s="23"/>
      <c r="LW329" s="23"/>
      <c r="LX329" s="23"/>
      <c r="LY329" s="23"/>
      <c r="LZ329" s="23"/>
      <c r="MA329" s="23"/>
      <c r="MB329" s="23"/>
      <c r="MC329" s="23"/>
      <c r="MD329" s="23"/>
      <c r="ME329" s="23"/>
      <c r="MF329" s="23"/>
      <c r="MG329" s="23"/>
      <c r="MH329" s="23"/>
      <c r="MI329" s="23"/>
      <c r="MJ329" s="23"/>
      <c r="MK329" s="23"/>
      <c r="ML329" s="23"/>
      <c r="MM329" s="23"/>
      <c r="MN329" s="23"/>
      <c r="MO329" s="23"/>
      <c r="MP329" s="23"/>
      <c r="MQ329" s="23"/>
      <c r="MR329" s="23"/>
      <c r="MS329" s="23"/>
      <c r="MT329" s="23"/>
      <c r="MU329" s="23"/>
      <c r="MV329" s="23"/>
      <c r="MW329" s="23"/>
      <c r="MX329" s="23"/>
      <c r="MY329" s="23"/>
      <c r="MZ329" s="23"/>
      <c r="NA329" s="23"/>
      <c r="NB329" s="23"/>
      <c r="NC329" s="23"/>
      <c r="ND329" s="23"/>
      <c r="NE329" s="23"/>
      <c r="NF329" s="23"/>
      <c r="NG329" s="23"/>
      <c r="NH329" s="23"/>
      <c r="NI329" s="23"/>
      <c r="NJ329" s="23"/>
      <c r="NK329" s="23"/>
      <c r="NL329" s="23"/>
      <c r="NM329" s="23"/>
      <c r="NN329" s="23"/>
    </row>
    <row r="330" spans="5:378" ht="15" customHeight="1"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  <c r="IL330" s="23"/>
      <c r="IM330" s="23"/>
      <c r="IN330" s="23"/>
      <c r="IO330" s="23"/>
      <c r="IP330" s="23"/>
      <c r="IQ330" s="23"/>
      <c r="IR330" s="23"/>
      <c r="IS330" s="23"/>
      <c r="IT330" s="23"/>
      <c r="IU330" s="23"/>
      <c r="IV330" s="23"/>
      <c r="IW330" s="23"/>
      <c r="IX330" s="23"/>
      <c r="IY330" s="23"/>
      <c r="IZ330" s="23"/>
      <c r="JA330" s="23"/>
      <c r="JB330" s="23"/>
      <c r="JC330" s="23"/>
      <c r="JD330" s="23"/>
      <c r="JE330" s="23"/>
      <c r="JF330" s="23"/>
      <c r="JG330" s="23"/>
      <c r="JH330" s="23"/>
      <c r="JI330" s="23"/>
      <c r="JJ330" s="23"/>
      <c r="JK330" s="23"/>
      <c r="JL330" s="23"/>
      <c r="JM330" s="23"/>
      <c r="JN330" s="23"/>
      <c r="JO330" s="23"/>
      <c r="JP330" s="23"/>
      <c r="JQ330" s="23"/>
      <c r="JR330" s="23"/>
      <c r="JS330" s="23"/>
      <c r="JT330" s="23"/>
      <c r="JU330" s="23"/>
      <c r="JV330" s="23"/>
      <c r="JW330" s="23"/>
      <c r="JX330" s="23"/>
      <c r="JY330" s="23"/>
      <c r="JZ330" s="23"/>
      <c r="KA330" s="23"/>
      <c r="KB330" s="23"/>
      <c r="KC330" s="23"/>
      <c r="KD330" s="23"/>
      <c r="KE330" s="23"/>
      <c r="KF330" s="23"/>
      <c r="KG330" s="23"/>
      <c r="KH330" s="23"/>
      <c r="KI330" s="23"/>
      <c r="KJ330" s="23"/>
      <c r="KK330" s="23"/>
      <c r="KL330" s="23"/>
      <c r="KM330" s="23"/>
      <c r="KN330" s="23"/>
      <c r="KO330" s="23"/>
      <c r="KP330" s="23"/>
      <c r="KQ330" s="23"/>
      <c r="KR330" s="23"/>
      <c r="KS330" s="23"/>
      <c r="KT330" s="23"/>
      <c r="KU330" s="23"/>
      <c r="KV330" s="23"/>
      <c r="KW330" s="23"/>
      <c r="KX330" s="23"/>
      <c r="KY330" s="23"/>
      <c r="KZ330" s="23"/>
      <c r="LA330" s="23"/>
      <c r="LB330" s="23"/>
      <c r="LC330" s="23"/>
      <c r="LD330" s="23"/>
      <c r="LE330" s="23"/>
      <c r="LF330" s="23"/>
      <c r="LG330" s="23"/>
      <c r="LH330" s="23"/>
      <c r="LI330" s="23"/>
      <c r="LJ330" s="23"/>
      <c r="LK330" s="23"/>
      <c r="LL330" s="23"/>
      <c r="LM330" s="23"/>
      <c r="LN330" s="23"/>
      <c r="LO330" s="23"/>
      <c r="LP330" s="23"/>
      <c r="LQ330" s="23"/>
      <c r="LR330" s="23"/>
      <c r="LS330" s="23"/>
      <c r="LT330" s="23"/>
      <c r="LU330" s="23"/>
      <c r="LV330" s="23"/>
      <c r="LW330" s="23"/>
      <c r="LX330" s="23"/>
      <c r="LY330" s="23"/>
      <c r="LZ330" s="23"/>
      <c r="MA330" s="23"/>
      <c r="MB330" s="23"/>
      <c r="MC330" s="23"/>
      <c r="MD330" s="23"/>
      <c r="ME330" s="23"/>
      <c r="MF330" s="23"/>
      <c r="MG330" s="23"/>
      <c r="MH330" s="23"/>
      <c r="MI330" s="23"/>
      <c r="MJ330" s="23"/>
      <c r="MK330" s="23"/>
      <c r="ML330" s="23"/>
      <c r="MM330" s="23"/>
      <c r="MN330" s="23"/>
      <c r="MO330" s="23"/>
      <c r="MP330" s="23"/>
      <c r="MQ330" s="23"/>
      <c r="MR330" s="23"/>
      <c r="MS330" s="23"/>
      <c r="MT330" s="23"/>
      <c r="MU330" s="23"/>
      <c r="MV330" s="23"/>
      <c r="MW330" s="23"/>
      <c r="MX330" s="23"/>
      <c r="MY330" s="23"/>
      <c r="MZ330" s="23"/>
      <c r="NA330" s="23"/>
      <c r="NB330" s="23"/>
      <c r="NC330" s="23"/>
      <c r="ND330" s="23"/>
      <c r="NE330" s="23"/>
      <c r="NF330" s="23"/>
      <c r="NG330" s="23"/>
      <c r="NH330" s="23"/>
      <c r="NI330" s="23"/>
      <c r="NJ330" s="23"/>
      <c r="NK330" s="23"/>
      <c r="NL330" s="23"/>
      <c r="NM330" s="23"/>
      <c r="NN330" s="23"/>
    </row>
    <row r="331" spans="5:378" ht="15" customHeight="1"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  <c r="IL331" s="23"/>
      <c r="IM331" s="23"/>
      <c r="IN331" s="23"/>
      <c r="IO331" s="23"/>
      <c r="IP331" s="23"/>
      <c r="IQ331" s="23"/>
      <c r="IR331" s="23"/>
      <c r="IS331" s="23"/>
      <c r="IT331" s="23"/>
      <c r="IU331" s="23"/>
      <c r="IV331" s="23"/>
      <c r="IW331" s="23"/>
      <c r="IX331" s="23"/>
      <c r="IY331" s="23"/>
      <c r="IZ331" s="23"/>
      <c r="JA331" s="23"/>
      <c r="JB331" s="23"/>
      <c r="JC331" s="23"/>
      <c r="JD331" s="23"/>
      <c r="JE331" s="23"/>
      <c r="JF331" s="23"/>
      <c r="JG331" s="23"/>
      <c r="JH331" s="23"/>
      <c r="JI331" s="23"/>
      <c r="JJ331" s="23"/>
      <c r="JK331" s="23"/>
      <c r="JL331" s="23"/>
      <c r="JM331" s="23"/>
      <c r="JN331" s="23"/>
      <c r="JO331" s="23"/>
      <c r="JP331" s="23"/>
      <c r="JQ331" s="23"/>
      <c r="JR331" s="23"/>
      <c r="JS331" s="23"/>
      <c r="JT331" s="23"/>
      <c r="JU331" s="23"/>
      <c r="JV331" s="23"/>
      <c r="JW331" s="23"/>
      <c r="JX331" s="23"/>
      <c r="JY331" s="23"/>
      <c r="JZ331" s="23"/>
      <c r="KA331" s="23"/>
      <c r="KB331" s="23"/>
      <c r="KC331" s="23"/>
      <c r="KD331" s="23"/>
      <c r="KE331" s="23"/>
      <c r="KF331" s="23"/>
      <c r="KG331" s="23"/>
      <c r="KH331" s="23"/>
      <c r="KI331" s="23"/>
      <c r="KJ331" s="23"/>
      <c r="KK331" s="23"/>
      <c r="KL331" s="23"/>
      <c r="KM331" s="23"/>
      <c r="KN331" s="23"/>
      <c r="KO331" s="23"/>
      <c r="KP331" s="23"/>
      <c r="KQ331" s="23"/>
      <c r="KR331" s="23"/>
      <c r="KS331" s="23"/>
      <c r="KT331" s="23"/>
      <c r="KU331" s="23"/>
      <c r="KV331" s="23"/>
      <c r="KW331" s="23"/>
      <c r="KX331" s="23"/>
      <c r="KY331" s="23"/>
      <c r="KZ331" s="23"/>
      <c r="LA331" s="23"/>
      <c r="LB331" s="23"/>
      <c r="LC331" s="23"/>
      <c r="LD331" s="23"/>
      <c r="LE331" s="23"/>
      <c r="LF331" s="23"/>
      <c r="LG331" s="23"/>
      <c r="LH331" s="23"/>
      <c r="LI331" s="23"/>
      <c r="LJ331" s="23"/>
      <c r="LK331" s="23"/>
      <c r="LL331" s="23"/>
      <c r="LM331" s="23"/>
      <c r="LN331" s="23"/>
      <c r="LO331" s="23"/>
      <c r="LP331" s="23"/>
      <c r="LQ331" s="23"/>
      <c r="LR331" s="23"/>
      <c r="LS331" s="23"/>
      <c r="LT331" s="23"/>
      <c r="LU331" s="23"/>
      <c r="LV331" s="23"/>
      <c r="LW331" s="23"/>
      <c r="LX331" s="23"/>
      <c r="LY331" s="23"/>
      <c r="LZ331" s="23"/>
      <c r="MA331" s="23"/>
      <c r="MB331" s="23"/>
      <c r="MC331" s="23"/>
      <c r="MD331" s="23"/>
      <c r="ME331" s="23"/>
      <c r="MF331" s="23"/>
      <c r="MG331" s="23"/>
      <c r="MH331" s="23"/>
      <c r="MI331" s="23"/>
      <c r="MJ331" s="23"/>
      <c r="MK331" s="23"/>
      <c r="ML331" s="23"/>
      <c r="MM331" s="23"/>
      <c r="MN331" s="23"/>
      <c r="MO331" s="23"/>
      <c r="MP331" s="23"/>
      <c r="MQ331" s="23"/>
      <c r="MR331" s="23"/>
      <c r="MS331" s="23"/>
      <c r="MT331" s="23"/>
      <c r="MU331" s="23"/>
      <c r="MV331" s="23"/>
      <c r="MW331" s="23"/>
      <c r="MX331" s="23"/>
      <c r="MY331" s="23"/>
      <c r="MZ331" s="23"/>
      <c r="NA331" s="23"/>
      <c r="NB331" s="23"/>
      <c r="NC331" s="23"/>
      <c r="ND331" s="23"/>
      <c r="NE331" s="23"/>
      <c r="NF331" s="23"/>
      <c r="NG331" s="23"/>
      <c r="NH331" s="23"/>
      <c r="NI331" s="23"/>
      <c r="NJ331" s="23"/>
      <c r="NK331" s="23"/>
      <c r="NL331" s="23"/>
      <c r="NM331" s="23"/>
      <c r="NN331" s="23"/>
    </row>
    <row r="332" spans="5:378" ht="15" customHeight="1"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  <c r="IL332" s="23"/>
      <c r="IM332" s="23"/>
      <c r="IN332" s="23"/>
      <c r="IO332" s="23"/>
      <c r="IP332" s="23"/>
      <c r="IQ332" s="23"/>
      <c r="IR332" s="23"/>
      <c r="IS332" s="23"/>
      <c r="IT332" s="23"/>
      <c r="IU332" s="23"/>
      <c r="IV332" s="23"/>
      <c r="IW332" s="23"/>
      <c r="IX332" s="23"/>
      <c r="IY332" s="23"/>
      <c r="IZ332" s="23"/>
      <c r="JA332" s="23"/>
      <c r="JB332" s="23"/>
      <c r="JC332" s="23"/>
      <c r="JD332" s="23"/>
      <c r="JE332" s="23"/>
      <c r="JF332" s="23"/>
      <c r="JG332" s="23"/>
      <c r="JH332" s="23"/>
      <c r="JI332" s="23"/>
      <c r="JJ332" s="23"/>
      <c r="JK332" s="23"/>
      <c r="JL332" s="23"/>
      <c r="JM332" s="23"/>
      <c r="JN332" s="23"/>
      <c r="JO332" s="23"/>
      <c r="JP332" s="23"/>
      <c r="JQ332" s="23"/>
      <c r="JR332" s="23"/>
      <c r="JS332" s="23"/>
      <c r="JT332" s="23"/>
      <c r="JU332" s="23"/>
      <c r="JV332" s="23"/>
      <c r="JW332" s="23"/>
      <c r="JX332" s="23"/>
      <c r="JY332" s="23"/>
      <c r="JZ332" s="23"/>
      <c r="KA332" s="23"/>
      <c r="KB332" s="23"/>
      <c r="KC332" s="23"/>
      <c r="KD332" s="23"/>
      <c r="KE332" s="23"/>
      <c r="KF332" s="23"/>
      <c r="KG332" s="23"/>
      <c r="KH332" s="23"/>
      <c r="KI332" s="23"/>
      <c r="KJ332" s="23"/>
      <c r="KK332" s="23"/>
      <c r="KL332" s="23"/>
      <c r="KM332" s="23"/>
      <c r="KN332" s="23"/>
      <c r="KO332" s="23"/>
      <c r="KP332" s="23"/>
      <c r="KQ332" s="23"/>
      <c r="KR332" s="23"/>
      <c r="KS332" s="23"/>
      <c r="KT332" s="23"/>
      <c r="KU332" s="23"/>
      <c r="KV332" s="23"/>
      <c r="KW332" s="23"/>
      <c r="KX332" s="23"/>
      <c r="KY332" s="23"/>
      <c r="KZ332" s="23"/>
      <c r="LA332" s="23"/>
      <c r="LB332" s="23"/>
      <c r="LC332" s="23"/>
      <c r="LD332" s="23"/>
      <c r="LE332" s="23"/>
      <c r="LF332" s="23"/>
      <c r="LG332" s="23"/>
      <c r="LH332" s="23"/>
      <c r="LI332" s="23"/>
      <c r="LJ332" s="23"/>
      <c r="LK332" s="23"/>
      <c r="LL332" s="23"/>
      <c r="LM332" s="23"/>
      <c r="LN332" s="23"/>
      <c r="LO332" s="23"/>
      <c r="LP332" s="23"/>
      <c r="LQ332" s="23"/>
      <c r="LR332" s="23"/>
      <c r="LS332" s="23"/>
      <c r="LT332" s="23"/>
      <c r="LU332" s="23"/>
      <c r="LV332" s="23"/>
      <c r="LW332" s="23"/>
      <c r="LX332" s="23"/>
      <c r="LY332" s="23"/>
      <c r="LZ332" s="23"/>
      <c r="MA332" s="23"/>
      <c r="MB332" s="23"/>
      <c r="MC332" s="23"/>
      <c r="MD332" s="23"/>
      <c r="ME332" s="23"/>
      <c r="MF332" s="23"/>
      <c r="MG332" s="23"/>
      <c r="MH332" s="23"/>
      <c r="MI332" s="23"/>
      <c r="MJ332" s="23"/>
      <c r="MK332" s="23"/>
      <c r="ML332" s="23"/>
      <c r="MM332" s="23"/>
      <c r="MN332" s="23"/>
      <c r="MO332" s="23"/>
      <c r="MP332" s="23"/>
      <c r="MQ332" s="23"/>
      <c r="MR332" s="23"/>
      <c r="MS332" s="23"/>
      <c r="MT332" s="23"/>
      <c r="MU332" s="23"/>
      <c r="MV332" s="23"/>
      <c r="MW332" s="23"/>
      <c r="MX332" s="23"/>
      <c r="MY332" s="23"/>
      <c r="MZ332" s="23"/>
      <c r="NA332" s="23"/>
      <c r="NB332" s="23"/>
      <c r="NC332" s="23"/>
      <c r="ND332" s="23"/>
      <c r="NE332" s="23"/>
      <c r="NF332" s="23"/>
      <c r="NG332" s="23"/>
      <c r="NH332" s="23"/>
      <c r="NI332" s="23"/>
      <c r="NJ332" s="23"/>
      <c r="NK332" s="23"/>
      <c r="NL332" s="23"/>
      <c r="NM332" s="23"/>
      <c r="NN332" s="23"/>
    </row>
    <row r="333" spans="5:378" ht="15" customHeight="1"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  <c r="IL333" s="23"/>
      <c r="IM333" s="23"/>
      <c r="IN333" s="23"/>
      <c r="IO333" s="23"/>
      <c r="IP333" s="23"/>
      <c r="IQ333" s="23"/>
      <c r="IR333" s="23"/>
      <c r="IS333" s="23"/>
      <c r="IT333" s="23"/>
      <c r="IU333" s="23"/>
      <c r="IV333" s="23"/>
      <c r="IW333" s="23"/>
      <c r="IX333" s="23"/>
      <c r="IY333" s="23"/>
      <c r="IZ333" s="23"/>
      <c r="JA333" s="23"/>
      <c r="JB333" s="23"/>
      <c r="JC333" s="23"/>
      <c r="JD333" s="23"/>
      <c r="JE333" s="23"/>
      <c r="JF333" s="23"/>
      <c r="JG333" s="23"/>
      <c r="JH333" s="23"/>
      <c r="JI333" s="23"/>
      <c r="JJ333" s="23"/>
      <c r="JK333" s="23"/>
      <c r="JL333" s="23"/>
      <c r="JM333" s="23"/>
      <c r="JN333" s="23"/>
      <c r="JO333" s="23"/>
      <c r="JP333" s="23"/>
      <c r="JQ333" s="23"/>
      <c r="JR333" s="23"/>
      <c r="JS333" s="23"/>
      <c r="JT333" s="23"/>
      <c r="JU333" s="23"/>
      <c r="JV333" s="23"/>
      <c r="JW333" s="23"/>
      <c r="JX333" s="23"/>
      <c r="JY333" s="23"/>
      <c r="JZ333" s="23"/>
      <c r="KA333" s="23"/>
      <c r="KB333" s="23"/>
      <c r="KC333" s="23"/>
      <c r="KD333" s="23"/>
      <c r="KE333" s="23"/>
      <c r="KF333" s="23"/>
      <c r="KG333" s="23"/>
      <c r="KH333" s="23"/>
      <c r="KI333" s="23"/>
      <c r="KJ333" s="23"/>
      <c r="KK333" s="23"/>
      <c r="KL333" s="23"/>
      <c r="KM333" s="23"/>
      <c r="KN333" s="23"/>
      <c r="KO333" s="23"/>
      <c r="KP333" s="23"/>
      <c r="KQ333" s="23"/>
      <c r="KR333" s="23"/>
      <c r="KS333" s="23"/>
      <c r="KT333" s="23"/>
      <c r="KU333" s="23"/>
      <c r="KV333" s="23"/>
      <c r="KW333" s="23"/>
      <c r="KX333" s="23"/>
      <c r="KY333" s="23"/>
      <c r="KZ333" s="23"/>
      <c r="LA333" s="23"/>
      <c r="LB333" s="23"/>
      <c r="LC333" s="23"/>
      <c r="LD333" s="23"/>
      <c r="LE333" s="23"/>
      <c r="LF333" s="23"/>
      <c r="LG333" s="23"/>
      <c r="LH333" s="23"/>
      <c r="LI333" s="23"/>
      <c r="LJ333" s="23"/>
      <c r="LK333" s="23"/>
      <c r="LL333" s="23"/>
      <c r="LM333" s="23"/>
      <c r="LN333" s="23"/>
      <c r="LO333" s="23"/>
      <c r="LP333" s="23"/>
      <c r="LQ333" s="23"/>
      <c r="LR333" s="23"/>
      <c r="LS333" s="23"/>
      <c r="LT333" s="23"/>
      <c r="LU333" s="23"/>
      <c r="LV333" s="23"/>
      <c r="LW333" s="23"/>
      <c r="LX333" s="23"/>
      <c r="LY333" s="23"/>
      <c r="LZ333" s="23"/>
      <c r="MA333" s="23"/>
      <c r="MB333" s="23"/>
      <c r="MC333" s="23"/>
      <c r="MD333" s="23"/>
      <c r="ME333" s="23"/>
      <c r="MF333" s="23"/>
      <c r="MG333" s="23"/>
      <c r="MH333" s="23"/>
      <c r="MI333" s="23"/>
      <c r="MJ333" s="23"/>
      <c r="MK333" s="23"/>
      <c r="ML333" s="23"/>
      <c r="MM333" s="23"/>
      <c r="MN333" s="23"/>
      <c r="MO333" s="23"/>
      <c r="MP333" s="23"/>
      <c r="MQ333" s="23"/>
      <c r="MR333" s="23"/>
      <c r="MS333" s="23"/>
      <c r="MT333" s="23"/>
      <c r="MU333" s="23"/>
      <c r="MV333" s="23"/>
      <c r="MW333" s="23"/>
      <c r="MX333" s="23"/>
      <c r="MY333" s="23"/>
      <c r="MZ333" s="23"/>
      <c r="NA333" s="23"/>
      <c r="NB333" s="23"/>
      <c r="NC333" s="23"/>
      <c r="ND333" s="23"/>
      <c r="NE333" s="23"/>
      <c r="NF333" s="23"/>
      <c r="NG333" s="23"/>
      <c r="NH333" s="23"/>
      <c r="NI333" s="23"/>
      <c r="NJ333" s="23"/>
      <c r="NK333" s="23"/>
      <c r="NL333" s="23"/>
      <c r="NM333" s="23"/>
      <c r="NN333" s="23"/>
    </row>
    <row r="334" spans="5:378" ht="15" customHeight="1"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  <c r="IL334" s="23"/>
      <c r="IM334" s="23"/>
      <c r="IN334" s="23"/>
      <c r="IO334" s="23"/>
      <c r="IP334" s="23"/>
      <c r="IQ334" s="23"/>
      <c r="IR334" s="23"/>
      <c r="IS334" s="23"/>
      <c r="IT334" s="23"/>
      <c r="IU334" s="23"/>
      <c r="IV334" s="23"/>
      <c r="IW334" s="23"/>
      <c r="IX334" s="23"/>
      <c r="IY334" s="23"/>
      <c r="IZ334" s="23"/>
      <c r="JA334" s="23"/>
      <c r="JB334" s="23"/>
      <c r="JC334" s="23"/>
      <c r="JD334" s="23"/>
      <c r="JE334" s="23"/>
      <c r="JF334" s="23"/>
      <c r="JG334" s="23"/>
      <c r="JH334" s="23"/>
      <c r="JI334" s="23"/>
      <c r="JJ334" s="23"/>
      <c r="JK334" s="23"/>
      <c r="JL334" s="23"/>
      <c r="JM334" s="23"/>
      <c r="JN334" s="23"/>
      <c r="JO334" s="23"/>
      <c r="JP334" s="23"/>
      <c r="JQ334" s="23"/>
      <c r="JR334" s="23"/>
      <c r="JS334" s="23"/>
      <c r="JT334" s="23"/>
      <c r="JU334" s="23"/>
      <c r="JV334" s="23"/>
      <c r="JW334" s="23"/>
      <c r="JX334" s="23"/>
      <c r="JY334" s="23"/>
      <c r="JZ334" s="23"/>
      <c r="KA334" s="23"/>
      <c r="KB334" s="23"/>
      <c r="KC334" s="23"/>
      <c r="KD334" s="23"/>
      <c r="KE334" s="23"/>
      <c r="KF334" s="23"/>
      <c r="KG334" s="23"/>
      <c r="KH334" s="23"/>
      <c r="KI334" s="23"/>
      <c r="KJ334" s="23"/>
      <c r="KK334" s="23"/>
      <c r="KL334" s="23"/>
      <c r="KM334" s="23"/>
      <c r="KN334" s="23"/>
      <c r="KO334" s="23"/>
      <c r="KP334" s="23"/>
      <c r="KQ334" s="23"/>
      <c r="KR334" s="23"/>
      <c r="KS334" s="23"/>
      <c r="KT334" s="23"/>
      <c r="KU334" s="23"/>
      <c r="KV334" s="23"/>
      <c r="KW334" s="23"/>
      <c r="KX334" s="23"/>
      <c r="KY334" s="23"/>
      <c r="KZ334" s="23"/>
      <c r="LA334" s="23"/>
      <c r="LB334" s="23"/>
      <c r="LC334" s="23"/>
      <c r="LD334" s="23"/>
      <c r="LE334" s="23"/>
      <c r="LF334" s="23"/>
      <c r="LG334" s="23"/>
      <c r="LH334" s="23"/>
      <c r="LI334" s="23"/>
      <c r="LJ334" s="23"/>
      <c r="LK334" s="23"/>
      <c r="LL334" s="23"/>
      <c r="LM334" s="23"/>
      <c r="LN334" s="23"/>
      <c r="LO334" s="23"/>
      <c r="LP334" s="23"/>
      <c r="LQ334" s="23"/>
      <c r="LR334" s="23"/>
      <c r="LS334" s="23"/>
      <c r="LT334" s="23"/>
      <c r="LU334" s="23"/>
      <c r="LV334" s="23"/>
      <c r="LW334" s="23"/>
      <c r="LX334" s="23"/>
      <c r="LY334" s="23"/>
      <c r="LZ334" s="23"/>
      <c r="MA334" s="23"/>
      <c r="MB334" s="23"/>
      <c r="MC334" s="23"/>
      <c r="MD334" s="23"/>
      <c r="ME334" s="23"/>
      <c r="MF334" s="23"/>
      <c r="MG334" s="23"/>
      <c r="MH334" s="23"/>
      <c r="MI334" s="23"/>
      <c r="MJ334" s="23"/>
      <c r="MK334" s="23"/>
      <c r="ML334" s="23"/>
      <c r="MM334" s="23"/>
      <c r="MN334" s="23"/>
      <c r="MO334" s="23"/>
      <c r="MP334" s="23"/>
      <c r="MQ334" s="23"/>
      <c r="MR334" s="23"/>
      <c r="MS334" s="23"/>
      <c r="MT334" s="23"/>
      <c r="MU334" s="23"/>
      <c r="MV334" s="23"/>
      <c r="MW334" s="23"/>
      <c r="MX334" s="23"/>
      <c r="MY334" s="23"/>
      <c r="MZ334" s="23"/>
      <c r="NA334" s="23"/>
      <c r="NB334" s="23"/>
      <c r="NC334" s="23"/>
      <c r="ND334" s="23"/>
      <c r="NE334" s="23"/>
      <c r="NF334" s="23"/>
      <c r="NG334" s="23"/>
      <c r="NH334" s="23"/>
      <c r="NI334" s="23"/>
      <c r="NJ334" s="23"/>
      <c r="NK334" s="23"/>
      <c r="NL334" s="23"/>
      <c r="NM334" s="23"/>
      <c r="NN334" s="23"/>
    </row>
    <row r="335" spans="5:378" ht="15" customHeight="1"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  <c r="IL335" s="23"/>
      <c r="IM335" s="23"/>
      <c r="IN335" s="23"/>
      <c r="IO335" s="23"/>
      <c r="IP335" s="23"/>
      <c r="IQ335" s="23"/>
      <c r="IR335" s="23"/>
      <c r="IS335" s="23"/>
      <c r="IT335" s="23"/>
      <c r="IU335" s="23"/>
      <c r="IV335" s="23"/>
      <c r="IW335" s="23"/>
      <c r="IX335" s="23"/>
      <c r="IY335" s="23"/>
      <c r="IZ335" s="23"/>
      <c r="JA335" s="23"/>
      <c r="JB335" s="23"/>
      <c r="JC335" s="23"/>
      <c r="JD335" s="23"/>
      <c r="JE335" s="23"/>
      <c r="JF335" s="23"/>
      <c r="JG335" s="23"/>
      <c r="JH335" s="23"/>
      <c r="JI335" s="23"/>
      <c r="JJ335" s="23"/>
      <c r="JK335" s="23"/>
      <c r="JL335" s="23"/>
      <c r="JM335" s="23"/>
      <c r="JN335" s="23"/>
      <c r="JO335" s="23"/>
      <c r="JP335" s="23"/>
      <c r="JQ335" s="23"/>
      <c r="JR335" s="23"/>
      <c r="JS335" s="23"/>
      <c r="JT335" s="23"/>
      <c r="JU335" s="23"/>
      <c r="JV335" s="23"/>
      <c r="JW335" s="23"/>
      <c r="JX335" s="23"/>
      <c r="JY335" s="23"/>
      <c r="JZ335" s="23"/>
      <c r="KA335" s="23"/>
      <c r="KB335" s="23"/>
      <c r="KC335" s="23"/>
      <c r="KD335" s="23"/>
      <c r="KE335" s="23"/>
      <c r="KF335" s="23"/>
      <c r="KG335" s="23"/>
      <c r="KH335" s="23"/>
      <c r="KI335" s="23"/>
      <c r="KJ335" s="23"/>
      <c r="KK335" s="23"/>
      <c r="KL335" s="23"/>
      <c r="KM335" s="23"/>
      <c r="KN335" s="23"/>
      <c r="KO335" s="23"/>
      <c r="KP335" s="23"/>
      <c r="KQ335" s="23"/>
      <c r="KR335" s="23"/>
      <c r="KS335" s="23"/>
      <c r="KT335" s="23"/>
      <c r="KU335" s="23"/>
      <c r="KV335" s="23"/>
      <c r="KW335" s="23"/>
      <c r="KX335" s="23"/>
      <c r="KY335" s="23"/>
      <c r="KZ335" s="23"/>
      <c r="LA335" s="23"/>
      <c r="LB335" s="23"/>
      <c r="LC335" s="23"/>
      <c r="LD335" s="23"/>
      <c r="LE335" s="23"/>
      <c r="LF335" s="23"/>
      <c r="LG335" s="23"/>
      <c r="LH335" s="23"/>
      <c r="LI335" s="23"/>
      <c r="LJ335" s="23"/>
      <c r="LK335" s="23"/>
      <c r="LL335" s="23"/>
      <c r="LM335" s="23"/>
      <c r="LN335" s="23"/>
      <c r="LO335" s="23"/>
      <c r="LP335" s="23"/>
      <c r="LQ335" s="23"/>
      <c r="LR335" s="23"/>
      <c r="LS335" s="23"/>
      <c r="LT335" s="23"/>
      <c r="LU335" s="23"/>
      <c r="LV335" s="23"/>
      <c r="LW335" s="23"/>
      <c r="LX335" s="23"/>
      <c r="LY335" s="23"/>
      <c r="LZ335" s="23"/>
      <c r="MA335" s="23"/>
      <c r="MB335" s="23"/>
      <c r="MC335" s="23"/>
      <c r="MD335" s="23"/>
      <c r="ME335" s="23"/>
      <c r="MF335" s="23"/>
      <c r="MG335" s="23"/>
      <c r="MH335" s="23"/>
      <c r="MI335" s="23"/>
      <c r="MJ335" s="23"/>
      <c r="MK335" s="23"/>
      <c r="ML335" s="23"/>
      <c r="MM335" s="23"/>
      <c r="MN335" s="23"/>
      <c r="MO335" s="23"/>
      <c r="MP335" s="23"/>
      <c r="MQ335" s="23"/>
      <c r="MR335" s="23"/>
      <c r="MS335" s="23"/>
      <c r="MT335" s="23"/>
      <c r="MU335" s="23"/>
      <c r="MV335" s="23"/>
      <c r="MW335" s="23"/>
      <c r="MX335" s="23"/>
      <c r="MY335" s="23"/>
      <c r="MZ335" s="23"/>
      <c r="NA335" s="23"/>
      <c r="NB335" s="23"/>
      <c r="NC335" s="23"/>
      <c r="ND335" s="23"/>
      <c r="NE335" s="23"/>
      <c r="NF335" s="23"/>
      <c r="NG335" s="23"/>
      <c r="NH335" s="23"/>
      <c r="NI335" s="23"/>
      <c r="NJ335" s="23"/>
      <c r="NK335" s="23"/>
      <c r="NL335" s="23"/>
      <c r="NM335" s="23"/>
      <c r="NN335" s="23"/>
    </row>
    <row r="336" spans="5:378" ht="15" customHeight="1"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  <c r="IL336" s="23"/>
      <c r="IM336" s="23"/>
      <c r="IN336" s="23"/>
      <c r="IO336" s="23"/>
      <c r="IP336" s="23"/>
      <c r="IQ336" s="23"/>
      <c r="IR336" s="23"/>
      <c r="IS336" s="23"/>
      <c r="IT336" s="23"/>
      <c r="IU336" s="23"/>
      <c r="IV336" s="23"/>
      <c r="IW336" s="23"/>
      <c r="IX336" s="23"/>
      <c r="IY336" s="23"/>
      <c r="IZ336" s="23"/>
      <c r="JA336" s="23"/>
      <c r="JB336" s="23"/>
      <c r="JC336" s="23"/>
      <c r="JD336" s="23"/>
      <c r="JE336" s="23"/>
      <c r="JF336" s="23"/>
      <c r="JG336" s="23"/>
      <c r="JH336" s="23"/>
      <c r="JI336" s="23"/>
      <c r="JJ336" s="23"/>
      <c r="JK336" s="23"/>
      <c r="JL336" s="23"/>
      <c r="JM336" s="23"/>
      <c r="JN336" s="23"/>
      <c r="JO336" s="23"/>
      <c r="JP336" s="23"/>
      <c r="JQ336" s="23"/>
      <c r="JR336" s="23"/>
      <c r="JS336" s="23"/>
      <c r="JT336" s="23"/>
      <c r="JU336" s="23"/>
      <c r="JV336" s="23"/>
      <c r="JW336" s="23"/>
      <c r="JX336" s="23"/>
      <c r="JY336" s="23"/>
      <c r="JZ336" s="23"/>
      <c r="KA336" s="23"/>
      <c r="KB336" s="23"/>
      <c r="KC336" s="23"/>
      <c r="KD336" s="23"/>
      <c r="KE336" s="23"/>
      <c r="KF336" s="23"/>
      <c r="KG336" s="23"/>
      <c r="KH336" s="23"/>
      <c r="KI336" s="23"/>
      <c r="KJ336" s="23"/>
      <c r="KK336" s="23"/>
      <c r="KL336" s="23"/>
      <c r="KM336" s="23"/>
      <c r="KN336" s="23"/>
      <c r="KO336" s="23"/>
      <c r="KP336" s="23"/>
      <c r="KQ336" s="23"/>
      <c r="KR336" s="23"/>
      <c r="KS336" s="23"/>
      <c r="KT336" s="23"/>
      <c r="KU336" s="23"/>
      <c r="KV336" s="23"/>
      <c r="KW336" s="23"/>
      <c r="KX336" s="23"/>
      <c r="KY336" s="23"/>
      <c r="KZ336" s="23"/>
      <c r="LA336" s="23"/>
      <c r="LB336" s="23"/>
      <c r="LC336" s="23"/>
      <c r="LD336" s="23"/>
      <c r="LE336" s="23"/>
      <c r="LF336" s="23"/>
      <c r="LG336" s="23"/>
      <c r="LH336" s="23"/>
      <c r="LI336" s="23"/>
      <c r="LJ336" s="23"/>
      <c r="LK336" s="23"/>
      <c r="LL336" s="23"/>
      <c r="LM336" s="23"/>
      <c r="LN336" s="23"/>
      <c r="LO336" s="23"/>
      <c r="LP336" s="23"/>
      <c r="LQ336" s="23"/>
      <c r="LR336" s="23"/>
      <c r="LS336" s="23"/>
      <c r="LT336" s="23"/>
      <c r="LU336" s="23"/>
      <c r="LV336" s="23"/>
      <c r="LW336" s="23"/>
      <c r="LX336" s="23"/>
      <c r="LY336" s="23"/>
      <c r="LZ336" s="23"/>
      <c r="MA336" s="23"/>
      <c r="MB336" s="23"/>
      <c r="MC336" s="23"/>
      <c r="MD336" s="23"/>
      <c r="ME336" s="23"/>
      <c r="MF336" s="23"/>
      <c r="MG336" s="23"/>
      <c r="MH336" s="23"/>
      <c r="MI336" s="23"/>
      <c r="MJ336" s="23"/>
      <c r="MK336" s="23"/>
      <c r="ML336" s="23"/>
      <c r="MM336" s="23"/>
      <c r="MN336" s="23"/>
      <c r="MO336" s="23"/>
      <c r="MP336" s="23"/>
      <c r="MQ336" s="23"/>
      <c r="MR336" s="23"/>
      <c r="MS336" s="23"/>
      <c r="MT336" s="23"/>
      <c r="MU336" s="23"/>
      <c r="MV336" s="23"/>
      <c r="MW336" s="23"/>
      <c r="MX336" s="23"/>
      <c r="MY336" s="23"/>
      <c r="MZ336" s="23"/>
      <c r="NA336" s="23"/>
      <c r="NB336" s="23"/>
      <c r="NC336" s="23"/>
      <c r="ND336" s="23"/>
      <c r="NE336" s="23"/>
      <c r="NF336" s="23"/>
      <c r="NG336" s="23"/>
      <c r="NH336" s="23"/>
      <c r="NI336" s="23"/>
      <c r="NJ336" s="23"/>
      <c r="NK336" s="23"/>
      <c r="NL336" s="23"/>
      <c r="NM336" s="23"/>
      <c r="NN336" s="23"/>
    </row>
    <row r="337" spans="5:378" ht="15" customHeight="1"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  <c r="IL337" s="23"/>
      <c r="IM337" s="23"/>
      <c r="IN337" s="23"/>
      <c r="IO337" s="23"/>
      <c r="IP337" s="23"/>
      <c r="IQ337" s="23"/>
      <c r="IR337" s="23"/>
      <c r="IS337" s="23"/>
      <c r="IT337" s="23"/>
      <c r="IU337" s="23"/>
      <c r="IV337" s="23"/>
      <c r="IW337" s="23"/>
      <c r="IX337" s="23"/>
      <c r="IY337" s="23"/>
      <c r="IZ337" s="23"/>
      <c r="JA337" s="23"/>
      <c r="JB337" s="23"/>
      <c r="JC337" s="23"/>
      <c r="JD337" s="23"/>
      <c r="JE337" s="23"/>
      <c r="JF337" s="23"/>
      <c r="JG337" s="23"/>
      <c r="JH337" s="23"/>
      <c r="JI337" s="23"/>
      <c r="JJ337" s="23"/>
      <c r="JK337" s="23"/>
      <c r="JL337" s="23"/>
      <c r="JM337" s="23"/>
      <c r="JN337" s="23"/>
      <c r="JO337" s="23"/>
      <c r="JP337" s="23"/>
      <c r="JQ337" s="23"/>
      <c r="JR337" s="23"/>
      <c r="JS337" s="23"/>
      <c r="JT337" s="23"/>
      <c r="JU337" s="23"/>
      <c r="JV337" s="23"/>
      <c r="JW337" s="23"/>
      <c r="JX337" s="23"/>
      <c r="JY337" s="23"/>
      <c r="JZ337" s="23"/>
      <c r="KA337" s="23"/>
      <c r="KB337" s="23"/>
      <c r="KC337" s="23"/>
      <c r="KD337" s="23"/>
      <c r="KE337" s="23"/>
      <c r="KF337" s="23"/>
      <c r="KG337" s="23"/>
      <c r="KH337" s="23"/>
      <c r="KI337" s="23"/>
      <c r="KJ337" s="23"/>
      <c r="KK337" s="23"/>
      <c r="KL337" s="23"/>
      <c r="KM337" s="23"/>
      <c r="KN337" s="23"/>
      <c r="KO337" s="23"/>
      <c r="KP337" s="23"/>
      <c r="KQ337" s="23"/>
      <c r="KR337" s="23"/>
      <c r="KS337" s="23"/>
      <c r="KT337" s="23"/>
      <c r="KU337" s="23"/>
      <c r="KV337" s="23"/>
      <c r="KW337" s="23"/>
      <c r="KX337" s="23"/>
      <c r="KY337" s="23"/>
      <c r="KZ337" s="23"/>
      <c r="LA337" s="23"/>
      <c r="LB337" s="23"/>
      <c r="LC337" s="23"/>
      <c r="LD337" s="23"/>
      <c r="LE337" s="23"/>
      <c r="LF337" s="23"/>
      <c r="LG337" s="23"/>
      <c r="LH337" s="23"/>
      <c r="LI337" s="23"/>
      <c r="LJ337" s="23"/>
      <c r="LK337" s="23"/>
      <c r="LL337" s="23"/>
      <c r="LM337" s="23"/>
      <c r="LN337" s="23"/>
      <c r="LO337" s="23"/>
      <c r="LP337" s="23"/>
      <c r="LQ337" s="23"/>
      <c r="LR337" s="23"/>
      <c r="LS337" s="23"/>
      <c r="LT337" s="23"/>
      <c r="LU337" s="23"/>
      <c r="LV337" s="23"/>
      <c r="LW337" s="23"/>
      <c r="LX337" s="23"/>
      <c r="LY337" s="23"/>
      <c r="LZ337" s="23"/>
      <c r="MA337" s="23"/>
      <c r="MB337" s="23"/>
      <c r="MC337" s="23"/>
      <c r="MD337" s="23"/>
      <c r="ME337" s="23"/>
      <c r="MF337" s="23"/>
      <c r="MG337" s="23"/>
      <c r="MH337" s="23"/>
      <c r="MI337" s="23"/>
      <c r="MJ337" s="23"/>
      <c r="MK337" s="23"/>
      <c r="ML337" s="23"/>
      <c r="MM337" s="23"/>
      <c r="MN337" s="23"/>
      <c r="MO337" s="23"/>
      <c r="MP337" s="23"/>
      <c r="MQ337" s="23"/>
      <c r="MR337" s="23"/>
      <c r="MS337" s="23"/>
      <c r="MT337" s="23"/>
      <c r="MU337" s="23"/>
      <c r="MV337" s="23"/>
      <c r="MW337" s="23"/>
      <c r="MX337" s="23"/>
      <c r="MY337" s="23"/>
      <c r="MZ337" s="23"/>
      <c r="NA337" s="23"/>
      <c r="NB337" s="23"/>
      <c r="NC337" s="23"/>
      <c r="ND337" s="23"/>
      <c r="NE337" s="23"/>
      <c r="NF337" s="23"/>
      <c r="NG337" s="23"/>
      <c r="NH337" s="23"/>
      <c r="NI337" s="23"/>
      <c r="NJ337" s="23"/>
      <c r="NK337" s="23"/>
      <c r="NL337" s="23"/>
      <c r="NM337" s="23"/>
      <c r="NN337" s="23"/>
    </row>
    <row r="338" spans="5:378" ht="15" customHeight="1"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  <c r="IL338" s="23"/>
      <c r="IM338" s="23"/>
      <c r="IN338" s="23"/>
      <c r="IO338" s="23"/>
      <c r="IP338" s="23"/>
      <c r="IQ338" s="23"/>
      <c r="IR338" s="23"/>
      <c r="IS338" s="23"/>
      <c r="IT338" s="23"/>
      <c r="IU338" s="23"/>
      <c r="IV338" s="23"/>
      <c r="IW338" s="23"/>
      <c r="IX338" s="23"/>
      <c r="IY338" s="23"/>
      <c r="IZ338" s="23"/>
      <c r="JA338" s="23"/>
      <c r="JB338" s="23"/>
      <c r="JC338" s="23"/>
      <c r="JD338" s="23"/>
      <c r="JE338" s="23"/>
      <c r="JF338" s="23"/>
      <c r="JG338" s="23"/>
      <c r="JH338" s="23"/>
      <c r="JI338" s="23"/>
      <c r="JJ338" s="23"/>
      <c r="JK338" s="23"/>
      <c r="JL338" s="23"/>
      <c r="JM338" s="23"/>
      <c r="JN338" s="23"/>
      <c r="JO338" s="23"/>
      <c r="JP338" s="23"/>
      <c r="JQ338" s="23"/>
      <c r="JR338" s="23"/>
      <c r="JS338" s="23"/>
      <c r="JT338" s="23"/>
      <c r="JU338" s="23"/>
      <c r="JV338" s="23"/>
      <c r="JW338" s="23"/>
      <c r="JX338" s="23"/>
      <c r="JY338" s="23"/>
      <c r="JZ338" s="23"/>
      <c r="KA338" s="23"/>
      <c r="KB338" s="23"/>
      <c r="KC338" s="23"/>
      <c r="KD338" s="23"/>
      <c r="KE338" s="23"/>
      <c r="KF338" s="23"/>
      <c r="KG338" s="23"/>
      <c r="KH338" s="23"/>
      <c r="KI338" s="23"/>
      <c r="KJ338" s="23"/>
      <c r="KK338" s="23"/>
      <c r="KL338" s="23"/>
      <c r="KM338" s="23"/>
      <c r="KN338" s="23"/>
      <c r="KO338" s="23"/>
      <c r="KP338" s="23"/>
      <c r="KQ338" s="23"/>
      <c r="KR338" s="23"/>
      <c r="KS338" s="23"/>
      <c r="KT338" s="23"/>
      <c r="KU338" s="23"/>
      <c r="KV338" s="23"/>
      <c r="KW338" s="23"/>
      <c r="KX338" s="23"/>
      <c r="KY338" s="23"/>
      <c r="KZ338" s="23"/>
      <c r="LA338" s="23"/>
      <c r="LB338" s="23"/>
      <c r="LC338" s="23"/>
      <c r="LD338" s="23"/>
      <c r="LE338" s="23"/>
      <c r="LF338" s="23"/>
      <c r="LG338" s="23"/>
      <c r="LH338" s="23"/>
      <c r="LI338" s="23"/>
      <c r="LJ338" s="23"/>
      <c r="LK338" s="23"/>
      <c r="LL338" s="23"/>
      <c r="LM338" s="23"/>
      <c r="LN338" s="23"/>
      <c r="LO338" s="23"/>
      <c r="LP338" s="23"/>
      <c r="LQ338" s="23"/>
      <c r="LR338" s="23"/>
      <c r="LS338" s="23"/>
      <c r="LT338" s="23"/>
      <c r="LU338" s="23"/>
      <c r="LV338" s="23"/>
      <c r="LW338" s="23"/>
      <c r="LX338" s="23"/>
      <c r="LY338" s="23"/>
      <c r="LZ338" s="23"/>
      <c r="MA338" s="23"/>
      <c r="MB338" s="23"/>
      <c r="MC338" s="23"/>
      <c r="MD338" s="23"/>
      <c r="ME338" s="23"/>
      <c r="MF338" s="23"/>
      <c r="MG338" s="23"/>
      <c r="MH338" s="23"/>
      <c r="MI338" s="23"/>
      <c r="MJ338" s="23"/>
      <c r="MK338" s="23"/>
      <c r="ML338" s="23"/>
      <c r="MM338" s="23"/>
      <c r="MN338" s="23"/>
      <c r="MO338" s="23"/>
      <c r="MP338" s="23"/>
      <c r="MQ338" s="23"/>
      <c r="MR338" s="23"/>
      <c r="MS338" s="23"/>
      <c r="MT338" s="23"/>
      <c r="MU338" s="23"/>
      <c r="MV338" s="23"/>
      <c r="MW338" s="23"/>
      <c r="MX338" s="23"/>
      <c r="MY338" s="23"/>
      <c r="MZ338" s="23"/>
      <c r="NA338" s="23"/>
      <c r="NB338" s="23"/>
      <c r="NC338" s="23"/>
      <c r="ND338" s="23"/>
      <c r="NE338" s="23"/>
      <c r="NF338" s="23"/>
      <c r="NG338" s="23"/>
      <c r="NH338" s="23"/>
      <c r="NI338" s="23"/>
      <c r="NJ338" s="23"/>
      <c r="NK338" s="23"/>
      <c r="NL338" s="23"/>
      <c r="NM338" s="23"/>
      <c r="NN338" s="23"/>
    </row>
    <row r="339" spans="5:378" ht="15" customHeight="1"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  <c r="IL339" s="23"/>
      <c r="IM339" s="23"/>
      <c r="IN339" s="23"/>
      <c r="IO339" s="23"/>
      <c r="IP339" s="23"/>
      <c r="IQ339" s="23"/>
      <c r="IR339" s="23"/>
      <c r="IS339" s="23"/>
      <c r="IT339" s="23"/>
      <c r="IU339" s="23"/>
      <c r="IV339" s="23"/>
      <c r="IW339" s="23"/>
      <c r="IX339" s="23"/>
      <c r="IY339" s="23"/>
      <c r="IZ339" s="23"/>
      <c r="JA339" s="23"/>
      <c r="JB339" s="23"/>
      <c r="JC339" s="23"/>
      <c r="JD339" s="23"/>
      <c r="JE339" s="23"/>
      <c r="JF339" s="23"/>
      <c r="JG339" s="23"/>
      <c r="JH339" s="23"/>
      <c r="JI339" s="23"/>
      <c r="JJ339" s="23"/>
      <c r="JK339" s="23"/>
      <c r="JL339" s="23"/>
      <c r="JM339" s="23"/>
      <c r="JN339" s="23"/>
      <c r="JO339" s="23"/>
      <c r="JP339" s="23"/>
      <c r="JQ339" s="23"/>
      <c r="JR339" s="23"/>
      <c r="JS339" s="23"/>
      <c r="JT339" s="23"/>
      <c r="JU339" s="23"/>
      <c r="JV339" s="23"/>
      <c r="JW339" s="23"/>
      <c r="JX339" s="23"/>
      <c r="JY339" s="23"/>
      <c r="JZ339" s="23"/>
      <c r="KA339" s="23"/>
      <c r="KB339" s="23"/>
      <c r="KC339" s="23"/>
      <c r="KD339" s="23"/>
      <c r="KE339" s="23"/>
      <c r="KF339" s="23"/>
      <c r="KG339" s="23"/>
      <c r="KH339" s="23"/>
      <c r="KI339" s="23"/>
      <c r="KJ339" s="23"/>
      <c r="KK339" s="23"/>
      <c r="KL339" s="23"/>
      <c r="KM339" s="23"/>
      <c r="KN339" s="23"/>
      <c r="KO339" s="23"/>
      <c r="KP339" s="23"/>
      <c r="KQ339" s="23"/>
      <c r="KR339" s="23"/>
      <c r="KS339" s="23"/>
      <c r="KT339" s="23"/>
      <c r="KU339" s="23"/>
      <c r="KV339" s="23"/>
      <c r="KW339" s="23"/>
      <c r="KX339" s="23"/>
      <c r="KY339" s="23"/>
      <c r="KZ339" s="23"/>
      <c r="LA339" s="23"/>
      <c r="LB339" s="23"/>
      <c r="LC339" s="23"/>
      <c r="LD339" s="23"/>
      <c r="LE339" s="23"/>
      <c r="LF339" s="23"/>
      <c r="LG339" s="23"/>
      <c r="LH339" s="23"/>
      <c r="LI339" s="23"/>
      <c r="LJ339" s="23"/>
      <c r="LK339" s="23"/>
      <c r="LL339" s="23"/>
      <c r="LM339" s="23"/>
      <c r="LN339" s="23"/>
      <c r="LO339" s="23"/>
      <c r="LP339" s="23"/>
      <c r="LQ339" s="23"/>
      <c r="LR339" s="23"/>
      <c r="LS339" s="23"/>
      <c r="LT339" s="23"/>
      <c r="LU339" s="23"/>
      <c r="LV339" s="23"/>
      <c r="LW339" s="23"/>
      <c r="LX339" s="23"/>
      <c r="LY339" s="23"/>
      <c r="LZ339" s="23"/>
      <c r="MA339" s="23"/>
      <c r="MB339" s="23"/>
      <c r="MC339" s="23"/>
      <c r="MD339" s="23"/>
      <c r="ME339" s="23"/>
      <c r="MF339" s="23"/>
      <c r="MG339" s="23"/>
      <c r="MH339" s="23"/>
      <c r="MI339" s="23"/>
      <c r="MJ339" s="23"/>
      <c r="MK339" s="23"/>
      <c r="ML339" s="23"/>
      <c r="MM339" s="23"/>
      <c r="MN339" s="23"/>
      <c r="MO339" s="23"/>
      <c r="MP339" s="23"/>
      <c r="MQ339" s="23"/>
      <c r="MR339" s="23"/>
      <c r="MS339" s="23"/>
      <c r="MT339" s="23"/>
      <c r="MU339" s="23"/>
      <c r="MV339" s="23"/>
      <c r="MW339" s="23"/>
      <c r="MX339" s="23"/>
      <c r="MY339" s="23"/>
      <c r="MZ339" s="23"/>
      <c r="NA339" s="23"/>
      <c r="NB339" s="23"/>
      <c r="NC339" s="23"/>
      <c r="ND339" s="23"/>
      <c r="NE339" s="23"/>
      <c r="NF339" s="23"/>
      <c r="NG339" s="23"/>
      <c r="NH339" s="23"/>
      <c r="NI339" s="23"/>
      <c r="NJ339" s="23"/>
      <c r="NK339" s="23"/>
      <c r="NL339" s="23"/>
      <c r="NM339" s="23"/>
      <c r="NN339" s="23"/>
    </row>
    <row r="340" spans="5:378" ht="15" customHeight="1"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  <c r="IL340" s="23"/>
      <c r="IM340" s="23"/>
      <c r="IN340" s="23"/>
      <c r="IO340" s="23"/>
      <c r="IP340" s="23"/>
      <c r="IQ340" s="23"/>
      <c r="IR340" s="23"/>
      <c r="IS340" s="23"/>
      <c r="IT340" s="23"/>
      <c r="IU340" s="23"/>
      <c r="IV340" s="23"/>
      <c r="IW340" s="23"/>
      <c r="IX340" s="23"/>
      <c r="IY340" s="23"/>
      <c r="IZ340" s="23"/>
      <c r="JA340" s="23"/>
      <c r="JB340" s="23"/>
      <c r="JC340" s="23"/>
      <c r="JD340" s="23"/>
      <c r="JE340" s="23"/>
      <c r="JF340" s="23"/>
      <c r="JG340" s="23"/>
      <c r="JH340" s="23"/>
      <c r="JI340" s="23"/>
      <c r="JJ340" s="23"/>
      <c r="JK340" s="23"/>
      <c r="JL340" s="23"/>
      <c r="JM340" s="23"/>
      <c r="JN340" s="23"/>
      <c r="JO340" s="23"/>
      <c r="JP340" s="23"/>
      <c r="JQ340" s="23"/>
      <c r="JR340" s="23"/>
      <c r="JS340" s="23"/>
      <c r="JT340" s="23"/>
      <c r="JU340" s="23"/>
      <c r="JV340" s="23"/>
      <c r="JW340" s="23"/>
      <c r="JX340" s="23"/>
      <c r="JY340" s="23"/>
      <c r="JZ340" s="23"/>
      <c r="KA340" s="23"/>
      <c r="KB340" s="23"/>
      <c r="KC340" s="23"/>
      <c r="KD340" s="23"/>
      <c r="KE340" s="23"/>
      <c r="KF340" s="23"/>
      <c r="KG340" s="23"/>
      <c r="KH340" s="23"/>
      <c r="KI340" s="23"/>
      <c r="KJ340" s="23"/>
      <c r="KK340" s="23"/>
      <c r="KL340" s="23"/>
      <c r="KM340" s="23"/>
      <c r="KN340" s="23"/>
      <c r="KO340" s="23"/>
      <c r="KP340" s="23"/>
      <c r="KQ340" s="23"/>
      <c r="KR340" s="23"/>
      <c r="KS340" s="23"/>
      <c r="KT340" s="23"/>
      <c r="KU340" s="23"/>
      <c r="KV340" s="23"/>
      <c r="KW340" s="23"/>
      <c r="KX340" s="23"/>
      <c r="KY340" s="23"/>
      <c r="KZ340" s="23"/>
      <c r="LA340" s="23"/>
      <c r="LB340" s="23"/>
      <c r="LC340" s="23"/>
      <c r="LD340" s="23"/>
      <c r="LE340" s="23"/>
      <c r="LF340" s="23"/>
      <c r="LG340" s="23"/>
      <c r="LH340" s="23"/>
      <c r="LI340" s="23"/>
      <c r="LJ340" s="23"/>
      <c r="LK340" s="23"/>
      <c r="LL340" s="23"/>
      <c r="LM340" s="23"/>
      <c r="LN340" s="23"/>
      <c r="LO340" s="23"/>
      <c r="LP340" s="23"/>
      <c r="LQ340" s="23"/>
      <c r="LR340" s="23"/>
      <c r="LS340" s="23"/>
      <c r="LT340" s="23"/>
      <c r="LU340" s="23"/>
      <c r="LV340" s="23"/>
      <c r="LW340" s="23"/>
      <c r="LX340" s="23"/>
      <c r="LY340" s="23"/>
      <c r="LZ340" s="23"/>
      <c r="MA340" s="23"/>
      <c r="MB340" s="23"/>
      <c r="MC340" s="23"/>
      <c r="MD340" s="23"/>
      <c r="ME340" s="23"/>
      <c r="MF340" s="23"/>
      <c r="MG340" s="23"/>
      <c r="MH340" s="23"/>
      <c r="MI340" s="23"/>
      <c r="MJ340" s="23"/>
      <c r="MK340" s="23"/>
      <c r="ML340" s="23"/>
      <c r="MM340" s="23"/>
      <c r="MN340" s="23"/>
      <c r="MO340" s="23"/>
      <c r="MP340" s="23"/>
      <c r="MQ340" s="23"/>
      <c r="MR340" s="23"/>
      <c r="MS340" s="23"/>
      <c r="MT340" s="23"/>
      <c r="MU340" s="23"/>
      <c r="MV340" s="23"/>
      <c r="MW340" s="23"/>
      <c r="MX340" s="23"/>
      <c r="MY340" s="23"/>
      <c r="MZ340" s="23"/>
      <c r="NA340" s="23"/>
      <c r="NB340" s="23"/>
      <c r="NC340" s="23"/>
      <c r="ND340" s="23"/>
      <c r="NE340" s="23"/>
      <c r="NF340" s="23"/>
      <c r="NG340" s="23"/>
      <c r="NH340" s="23"/>
      <c r="NI340" s="23"/>
      <c r="NJ340" s="23"/>
      <c r="NK340" s="23"/>
      <c r="NL340" s="23"/>
      <c r="NM340" s="23"/>
      <c r="NN340" s="23"/>
    </row>
    <row r="341" spans="5:378" ht="15" customHeight="1"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  <c r="IL341" s="23"/>
      <c r="IM341" s="23"/>
      <c r="IN341" s="23"/>
      <c r="IO341" s="23"/>
      <c r="IP341" s="23"/>
      <c r="IQ341" s="23"/>
      <c r="IR341" s="23"/>
      <c r="IS341" s="23"/>
      <c r="IT341" s="23"/>
      <c r="IU341" s="23"/>
      <c r="IV341" s="23"/>
      <c r="IW341" s="23"/>
      <c r="IX341" s="23"/>
      <c r="IY341" s="23"/>
      <c r="IZ341" s="23"/>
      <c r="JA341" s="23"/>
      <c r="JB341" s="23"/>
      <c r="JC341" s="23"/>
      <c r="JD341" s="23"/>
      <c r="JE341" s="23"/>
      <c r="JF341" s="23"/>
      <c r="JG341" s="23"/>
      <c r="JH341" s="23"/>
      <c r="JI341" s="23"/>
      <c r="JJ341" s="23"/>
      <c r="JK341" s="23"/>
      <c r="JL341" s="23"/>
      <c r="JM341" s="23"/>
      <c r="JN341" s="23"/>
      <c r="JO341" s="23"/>
      <c r="JP341" s="23"/>
      <c r="JQ341" s="23"/>
      <c r="JR341" s="23"/>
      <c r="JS341" s="23"/>
      <c r="JT341" s="23"/>
      <c r="JU341" s="23"/>
      <c r="JV341" s="23"/>
      <c r="JW341" s="23"/>
      <c r="JX341" s="23"/>
      <c r="JY341" s="23"/>
      <c r="JZ341" s="23"/>
      <c r="KA341" s="23"/>
      <c r="KB341" s="23"/>
      <c r="KC341" s="23"/>
      <c r="KD341" s="23"/>
      <c r="KE341" s="23"/>
      <c r="KF341" s="23"/>
      <c r="KG341" s="23"/>
      <c r="KH341" s="23"/>
      <c r="KI341" s="23"/>
      <c r="KJ341" s="23"/>
      <c r="KK341" s="23"/>
      <c r="KL341" s="23"/>
      <c r="KM341" s="23"/>
      <c r="KN341" s="23"/>
      <c r="KO341" s="23"/>
      <c r="KP341" s="23"/>
      <c r="KQ341" s="23"/>
      <c r="KR341" s="23"/>
      <c r="KS341" s="23"/>
      <c r="KT341" s="23"/>
      <c r="KU341" s="23"/>
      <c r="KV341" s="23"/>
      <c r="KW341" s="23"/>
      <c r="KX341" s="23"/>
      <c r="KY341" s="23"/>
      <c r="KZ341" s="23"/>
      <c r="LA341" s="23"/>
      <c r="LB341" s="23"/>
      <c r="LC341" s="23"/>
      <c r="LD341" s="23"/>
      <c r="LE341" s="23"/>
      <c r="LF341" s="23"/>
      <c r="LG341" s="23"/>
      <c r="LH341" s="23"/>
      <c r="LI341" s="23"/>
      <c r="LJ341" s="23"/>
      <c r="LK341" s="23"/>
      <c r="LL341" s="23"/>
      <c r="LM341" s="23"/>
      <c r="LN341" s="23"/>
      <c r="LO341" s="23"/>
      <c r="LP341" s="23"/>
      <c r="LQ341" s="23"/>
      <c r="LR341" s="23"/>
      <c r="LS341" s="23"/>
      <c r="LT341" s="23"/>
      <c r="LU341" s="23"/>
      <c r="LV341" s="23"/>
      <c r="LW341" s="23"/>
      <c r="LX341" s="23"/>
      <c r="LY341" s="23"/>
      <c r="LZ341" s="23"/>
      <c r="MA341" s="23"/>
      <c r="MB341" s="23"/>
      <c r="MC341" s="23"/>
      <c r="MD341" s="23"/>
      <c r="ME341" s="23"/>
      <c r="MF341" s="23"/>
      <c r="MG341" s="23"/>
      <c r="MH341" s="23"/>
      <c r="MI341" s="23"/>
      <c r="MJ341" s="23"/>
      <c r="MK341" s="23"/>
      <c r="ML341" s="23"/>
      <c r="MM341" s="23"/>
      <c r="MN341" s="23"/>
      <c r="MO341" s="23"/>
      <c r="MP341" s="23"/>
      <c r="MQ341" s="23"/>
      <c r="MR341" s="23"/>
      <c r="MS341" s="23"/>
      <c r="MT341" s="23"/>
      <c r="MU341" s="23"/>
      <c r="MV341" s="23"/>
      <c r="MW341" s="23"/>
      <c r="MX341" s="23"/>
      <c r="MY341" s="23"/>
      <c r="MZ341" s="23"/>
      <c r="NA341" s="23"/>
      <c r="NB341" s="23"/>
      <c r="NC341" s="23"/>
      <c r="ND341" s="23"/>
      <c r="NE341" s="23"/>
      <c r="NF341" s="23"/>
      <c r="NG341" s="23"/>
      <c r="NH341" s="23"/>
      <c r="NI341" s="23"/>
      <c r="NJ341" s="23"/>
      <c r="NK341" s="23"/>
      <c r="NL341" s="23"/>
      <c r="NM341" s="23"/>
      <c r="NN341" s="23"/>
    </row>
    <row r="342" spans="5:378" ht="15" customHeight="1"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  <c r="IL342" s="23"/>
      <c r="IM342" s="23"/>
      <c r="IN342" s="23"/>
      <c r="IO342" s="23"/>
      <c r="IP342" s="23"/>
      <c r="IQ342" s="23"/>
      <c r="IR342" s="23"/>
      <c r="IS342" s="23"/>
      <c r="IT342" s="23"/>
      <c r="IU342" s="23"/>
      <c r="IV342" s="23"/>
      <c r="IW342" s="23"/>
      <c r="IX342" s="23"/>
      <c r="IY342" s="23"/>
      <c r="IZ342" s="23"/>
      <c r="JA342" s="23"/>
      <c r="JB342" s="23"/>
      <c r="JC342" s="23"/>
      <c r="JD342" s="23"/>
      <c r="JE342" s="23"/>
      <c r="JF342" s="23"/>
      <c r="JG342" s="23"/>
      <c r="JH342" s="23"/>
      <c r="JI342" s="23"/>
      <c r="JJ342" s="23"/>
      <c r="JK342" s="23"/>
      <c r="JL342" s="23"/>
      <c r="JM342" s="23"/>
      <c r="JN342" s="23"/>
      <c r="JO342" s="23"/>
      <c r="JP342" s="23"/>
      <c r="JQ342" s="23"/>
      <c r="JR342" s="23"/>
      <c r="JS342" s="23"/>
      <c r="JT342" s="23"/>
      <c r="JU342" s="23"/>
      <c r="JV342" s="23"/>
      <c r="JW342" s="23"/>
      <c r="JX342" s="23"/>
      <c r="JY342" s="23"/>
      <c r="JZ342" s="23"/>
      <c r="KA342" s="23"/>
      <c r="KB342" s="23"/>
      <c r="KC342" s="23"/>
      <c r="KD342" s="23"/>
      <c r="KE342" s="23"/>
      <c r="KF342" s="23"/>
      <c r="KG342" s="23"/>
      <c r="KH342" s="23"/>
      <c r="KI342" s="23"/>
      <c r="KJ342" s="23"/>
      <c r="KK342" s="23"/>
      <c r="KL342" s="23"/>
      <c r="KM342" s="23"/>
      <c r="KN342" s="23"/>
      <c r="KO342" s="23"/>
      <c r="KP342" s="23"/>
      <c r="KQ342" s="23"/>
      <c r="KR342" s="23"/>
      <c r="KS342" s="23"/>
      <c r="KT342" s="23"/>
      <c r="KU342" s="23"/>
      <c r="KV342" s="23"/>
      <c r="KW342" s="23"/>
      <c r="KX342" s="23"/>
      <c r="KY342" s="23"/>
      <c r="KZ342" s="23"/>
      <c r="LA342" s="23"/>
      <c r="LB342" s="23"/>
      <c r="LC342" s="23"/>
      <c r="LD342" s="23"/>
      <c r="LE342" s="23"/>
      <c r="LF342" s="23"/>
      <c r="LG342" s="23"/>
      <c r="LH342" s="23"/>
      <c r="LI342" s="23"/>
      <c r="LJ342" s="23"/>
      <c r="LK342" s="23"/>
      <c r="LL342" s="23"/>
      <c r="LM342" s="23"/>
      <c r="LN342" s="23"/>
      <c r="LO342" s="23"/>
      <c r="LP342" s="23"/>
      <c r="LQ342" s="23"/>
      <c r="LR342" s="23"/>
      <c r="LS342" s="23"/>
      <c r="LT342" s="23"/>
      <c r="LU342" s="23"/>
      <c r="LV342" s="23"/>
      <c r="LW342" s="23"/>
      <c r="LX342" s="23"/>
      <c r="LY342" s="23"/>
      <c r="LZ342" s="23"/>
      <c r="MA342" s="23"/>
      <c r="MB342" s="23"/>
      <c r="MC342" s="23"/>
      <c r="MD342" s="23"/>
      <c r="ME342" s="23"/>
      <c r="MF342" s="23"/>
      <c r="MG342" s="23"/>
      <c r="MH342" s="23"/>
      <c r="MI342" s="23"/>
      <c r="MJ342" s="23"/>
      <c r="MK342" s="23"/>
      <c r="ML342" s="23"/>
      <c r="MM342" s="23"/>
      <c r="MN342" s="23"/>
      <c r="MO342" s="23"/>
      <c r="MP342" s="23"/>
      <c r="MQ342" s="23"/>
      <c r="MR342" s="23"/>
      <c r="MS342" s="23"/>
      <c r="MT342" s="23"/>
      <c r="MU342" s="23"/>
      <c r="MV342" s="23"/>
      <c r="MW342" s="23"/>
      <c r="MX342" s="23"/>
      <c r="MY342" s="23"/>
      <c r="MZ342" s="23"/>
      <c r="NA342" s="23"/>
      <c r="NB342" s="23"/>
      <c r="NC342" s="23"/>
      <c r="ND342" s="23"/>
      <c r="NE342" s="23"/>
      <c r="NF342" s="23"/>
      <c r="NG342" s="23"/>
      <c r="NH342" s="23"/>
      <c r="NI342" s="23"/>
      <c r="NJ342" s="23"/>
      <c r="NK342" s="23"/>
      <c r="NL342" s="23"/>
      <c r="NM342" s="23"/>
      <c r="NN342" s="23"/>
    </row>
    <row r="343" spans="5:378" ht="15" customHeight="1"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  <c r="IL343" s="23"/>
      <c r="IM343" s="23"/>
      <c r="IN343" s="23"/>
      <c r="IO343" s="23"/>
      <c r="IP343" s="23"/>
      <c r="IQ343" s="23"/>
      <c r="IR343" s="23"/>
      <c r="IS343" s="23"/>
      <c r="IT343" s="23"/>
      <c r="IU343" s="23"/>
      <c r="IV343" s="23"/>
      <c r="IW343" s="23"/>
      <c r="IX343" s="23"/>
      <c r="IY343" s="23"/>
      <c r="IZ343" s="23"/>
      <c r="JA343" s="23"/>
      <c r="JB343" s="23"/>
      <c r="JC343" s="23"/>
      <c r="JD343" s="23"/>
      <c r="JE343" s="23"/>
      <c r="JF343" s="23"/>
      <c r="JG343" s="23"/>
      <c r="JH343" s="23"/>
      <c r="JI343" s="23"/>
      <c r="JJ343" s="23"/>
      <c r="JK343" s="23"/>
      <c r="JL343" s="23"/>
      <c r="JM343" s="23"/>
      <c r="JN343" s="23"/>
      <c r="JO343" s="23"/>
      <c r="JP343" s="23"/>
      <c r="JQ343" s="23"/>
      <c r="JR343" s="23"/>
      <c r="JS343" s="23"/>
      <c r="JT343" s="23"/>
      <c r="JU343" s="23"/>
      <c r="JV343" s="23"/>
      <c r="JW343" s="23"/>
      <c r="JX343" s="23"/>
      <c r="JY343" s="23"/>
      <c r="JZ343" s="23"/>
      <c r="KA343" s="23"/>
      <c r="KB343" s="23"/>
      <c r="KC343" s="23"/>
      <c r="KD343" s="23"/>
      <c r="KE343" s="23"/>
      <c r="KF343" s="23"/>
      <c r="KG343" s="23"/>
      <c r="KH343" s="23"/>
      <c r="KI343" s="23"/>
      <c r="KJ343" s="23"/>
      <c r="KK343" s="23"/>
      <c r="KL343" s="23"/>
      <c r="KM343" s="23"/>
      <c r="KN343" s="23"/>
      <c r="KO343" s="23"/>
      <c r="KP343" s="23"/>
      <c r="KQ343" s="23"/>
      <c r="KR343" s="23"/>
      <c r="KS343" s="23"/>
      <c r="KT343" s="23"/>
      <c r="KU343" s="23"/>
      <c r="KV343" s="23"/>
      <c r="KW343" s="23"/>
      <c r="KX343" s="23"/>
      <c r="KY343" s="23"/>
      <c r="KZ343" s="23"/>
      <c r="LA343" s="23"/>
      <c r="LB343" s="23"/>
      <c r="LC343" s="23"/>
      <c r="LD343" s="23"/>
      <c r="LE343" s="23"/>
      <c r="LF343" s="23"/>
      <c r="LG343" s="23"/>
      <c r="LH343" s="23"/>
      <c r="LI343" s="23"/>
      <c r="LJ343" s="23"/>
      <c r="LK343" s="23"/>
      <c r="LL343" s="23"/>
      <c r="LM343" s="23"/>
      <c r="LN343" s="23"/>
      <c r="LO343" s="23"/>
      <c r="LP343" s="23"/>
      <c r="LQ343" s="23"/>
      <c r="LR343" s="23"/>
      <c r="LS343" s="23"/>
      <c r="LT343" s="23"/>
      <c r="LU343" s="23"/>
      <c r="LV343" s="23"/>
      <c r="LW343" s="23"/>
      <c r="LX343" s="23"/>
      <c r="LY343" s="23"/>
      <c r="LZ343" s="23"/>
      <c r="MA343" s="23"/>
      <c r="MB343" s="23"/>
      <c r="MC343" s="23"/>
      <c r="MD343" s="23"/>
      <c r="ME343" s="23"/>
      <c r="MF343" s="23"/>
      <c r="MG343" s="23"/>
      <c r="MH343" s="23"/>
      <c r="MI343" s="23"/>
      <c r="MJ343" s="23"/>
      <c r="MK343" s="23"/>
      <c r="ML343" s="23"/>
      <c r="MM343" s="23"/>
      <c r="MN343" s="23"/>
      <c r="MO343" s="23"/>
      <c r="MP343" s="23"/>
      <c r="MQ343" s="23"/>
      <c r="MR343" s="23"/>
      <c r="MS343" s="23"/>
      <c r="MT343" s="23"/>
      <c r="MU343" s="23"/>
      <c r="MV343" s="23"/>
      <c r="MW343" s="23"/>
      <c r="MX343" s="23"/>
      <c r="MY343" s="23"/>
      <c r="MZ343" s="23"/>
      <c r="NA343" s="23"/>
      <c r="NB343" s="23"/>
      <c r="NC343" s="23"/>
      <c r="ND343" s="23"/>
      <c r="NE343" s="23"/>
      <c r="NF343" s="23"/>
      <c r="NG343" s="23"/>
      <c r="NH343" s="23"/>
      <c r="NI343" s="23"/>
      <c r="NJ343" s="23"/>
      <c r="NK343" s="23"/>
      <c r="NL343" s="23"/>
      <c r="NM343" s="23"/>
      <c r="NN343" s="23"/>
    </row>
    <row r="344" spans="5:378" ht="15" customHeight="1"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  <c r="IL344" s="23"/>
      <c r="IM344" s="23"/>
      <c r="IN344" s="23"/>
      <c r="IO344" s="23"/>
      <c r="IP344" s="23"/>
      <c r="IQ344" s="23"/>
      <c r="IR344" s="23"/>
      <c r="IS344" s="23"/>
      <c r="IT344" s="23"/>
      <c r="IU344" s="23"/>
      <c r="IV344" s="23"/>
      <c r="IW344" s="23"/>
      <c r="IX344" s="23"/>
      <c r="IY344" s="23"/>
      <c r="IZ344" s="23"/>
      <c r="JA344" s="23"/>
      <c r="JB344" s="23"/>
      <c r="JC344" s="23"/>
      <c r="JD344" s="23"/>
      <c r="JE344" s="23"/>
      <c r="JF344" s="23"/>
      <c r="JG344" s="23"/>
      <c r="JH344" s="23"/>
      <c r="JI344" s="23"/>
      <c r="JJ344" s="23"/>
      <c r="JK344" s="23"/>
      <c r="JL344" s="23"/>
      <c r="JM344" s="23"/>
      <c r="JN344" s="23"/>
      <c r="JO344" s="23"/>
      <c r="JP344" s="23"/>
      <c r="JQ344" s="23"/>
      <c r="JR344" s="23"/>
      <c r="JS344" s="23"/>
      <c r="JT344" s="23"/>
      <c r="JU344" s="23"/>
      <c r="JV344" s="23"/>
      <c r="JW344" s="23"/>
      <c r="JX344" s="23"/>
      <c r="JY344" s="23"/>
      <c r="JZ344" s="23"/>
      <c r="KA344" s="23"/>
      <c r="KB344" s="23"/>
      <c r="KC344" s="23"/>
      <c r="KD344" s="23"/>
      <c r="KE344" s="23"/>
      <c r="KF344" s="23"/>
      <c r="KG344" s="23"/>
      <c r="KH344" s="23"/>
      <c r="KI344" s="23"/>
      <c r="KJ344" s="23"/>
      <c r="KK344" s="23"/>
      <c r="KL344" s="23"/>
      <c r="KM344" s="23"/>
      <c r="KN344" s="23"/>
      <c r="KO344" s="23"/>
      <c r="KP344" s="23"/>
      <c r="KQ344" s="23"/>
      <c r="KR344" s="23"/>
      <c r="KS344" s="23"/>
      <c r="KT344" s="23"/>
      <c r="KU344" s="23"/>
      <c r="KV344" s="23"/>
      <c r="KW344" s="23"/>
      <c r="KX344" s="23"/>
      <c r="KY344" s="23"/>
      <c r="KZ344" s="23"/>
      <c r="LA344" s="23"/>
      <c r="LB344" s="23"/>
      <c r="LC344" s="23"/>
      <c r="LD344" s="23"/>
      <c r="LE344" s="23"/>
      <c r="LF344" s="23"/>
      <c r="LG344" s="23"/>
      <c r="LH344" s="23"/>
      <c r="LI344" s="23"/>
      <c r="LJ344" s="23"/>
      <c r="LK344" s="23"/>
      <c r="LL344" s="23"/>
      <c r="LM344" s="23"/>
      <c r="LN344" s="23"/>
      <c r="LO344" s="23"/>
      <c r="LP344" s="23"/>
      <c r="LQ344" s="23"/>
      <c r="LR344" s="23"/>
      <c r="LS344" s="23"/>
      <c r="LT344" s="23"/>
      <c r="LU344" s="23"/>
      <c r="LV344" s="23"/>
      <c r="LW344" s="23"/>
      <c r="LX344" s="23"/>
      <c r="LY344" s="23"/>
      <c r="LZ344" s="23"/>
      <c r="MA344" s="23"/>
      <c r="MB344" s="23"/>
      <c r="MC344" s="23"/>
      <c r="MD344" s="23"/>
      <c r="ME344" s="23"/>
      <c r="MF344" s="23"/>
      <c r="MG344" s="23"/>
      <c r="MH344" s="23"/>
      <c r="MI344" s="23"/>
      <c r="MJ344" s="23"/>
      <c r="MK344" s="23"/>
      <c r="ML344" s="23"/>
      <c r="MM344" s="23"/>
      <c r="MN344" s="23"/>
      <c r="MO344" s="23"/>
      <c r="MP344" s="23"/>
      <c r="MQ344" s="23"/>
      <c r="MR344" s="23"/>
      <c r="MS344" s="23"/>
      <c r="MT344" s="23"/>
      <c r="MU344" s="23"/>
      <c r="MV344" s="23"/>
      <c r="MW344" s="23"/>
      <c r="MX344" s="23"/>
      <c r="MY344" s="23"/>
      <c r="MZ344" s="23"/>
      <c r="NA344" s="23"/>
      <c r="NB344" s="23"/>
      <c r="NC344" s="23"/>
      <c r="ND344" s="23"/>
      <c r="NE344" s="23"/>
      <c r="NF344" s="23"/>
      <c r="NG344" s="23"/>
      <c r="NH344" s="23"/>
      <c r="NI344" s="23"/>
      <c r="NJ344" s="23"/>
      <c r="NK344" s="23"/>
      <c r="NL344" s="23"/>
      <c r="NM344" s="23"/>
      <c r="NN344" s="23"/>
    </row>
    <row r="345" spans="5:378" ht="15" customHeight="1"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  <c r="IL345" s="23"/>
      <c r="IM345" s="23"/>
      <c r="IN345" s="23"/>
      <c r="IO345" s="23"/>
      <c r="IP345" s="23"/>
      <c r="IQ345" s="23"/>
      <c r="IR345" s="23"/>
      <c r="IS345" s="23"/>
      <c r="IT345" s="23"/>
      <c r="IU345" s="23"/>
      <c r="IV345" s="23"/>
      <c r="IW345" s="23"/>
      <c r="IX345" s="23"/>
      <c r="IY345" s="23"/>
      <c r="IZ345" s="23"/>
      <c r="JA345" s="23"/>
      <c r="JB345" s="23"/>
      <c r="JC345" s="23"/>
      <c r="JD345" s="23"/>
      <c r="JE345" s="23"/>
      <c r="JF345" s="23"/>
      <c r="JG345" s="23"/>
      <c r="JH345" s="23"/>
      <c r="JI345" s="23"/>
      <c r="JJ345" s="23"/>
      <c r="JK345" s="23"/>
      <c r="JL345" s="23"/>
      <c r="JM345" s="23"/>
      <c r="JN345" s="23"/>
      <c r="JO345" s="23"/>
      <c r="JP345" s="23"/>
      <c r="JQ345" s="23"/>
      <c r="JR345" s="23"/>
      <c r="JS345" s="23"/>
      <c r="JT345" s="23"/>
      <c r="JU345" s="23"/>
      <c r="JV345" s="23"/>
      <c r="JW345" s="23"/>
      <c r="JX345" s="23"/>
      <c r="JY345" s="23"/>
      <c r="JZ345" s="23"/>
      <c r="KA345" s="23"/>
      <c r="KB345" s="23"/>
      <c r="KC345" s="23"/>
      <c r="KD345" s="23"/>
      <c r="KE345" s="23"/>
      <c r="KF345" s="23"/>
      <c r="KG345" s="23"/>
      <c r="KH345" s="23"/>
      <c r="KI345" s="23"/>
      <c r="KJ345" s="23"/>
      <c r="KK345" s="23"/>
      <c r="KL345" s="23"/>
      <c r="KM345" s="23"/>
      <c r="KN345" s="23"/>
      <c r="KO345" s="23"/>
      <c r="KP345" s="23"/>
      <c r="KQ345" s="23"/>
      <c r="KR345" s="23"/>
      <c r="KS345" s="23"/>
      <c r="KT345" s="23"/>
      <c r="KU345" s="23"/>
      <c r="KV345" s="23"/>
      <c r="KW345" s="23"/>
      <c r="KX345" s="23"/>
      <c r="KY345" s="23"/>
      <c r="KZ345" s="23"/>
      <c r="LA345" s="23"/>
      <c r="LB345" s="23"/>
      <c r="LC345" s="23"/>
      <c r="LD345" s="23"/>
      <c r="LE345" s="23"/>
      <c r="LF345" s="23"/>
      <c r="LG345" s="23"/>
      <c r="LH345" s="23"/>
      <c r="LI345" s="23"/>
      <c r="LJ345" s="23"/>
      <c r="LK345" s="23"/>
      <c r="LL345" s="23"/>
      <c r="LM345" s="23"/>
      <c r="LN345" s="23"/>
      <c r="LO345" s="23"/>
      <c r="LP345" s="23"/>
      <c r="LQ345" s="23"/>
      <c r="LR345" s="23"/>
      <c r="LS345" s="23"/>
      <c r="LT345" s="23"/>
      <c r="LU345" s="23"/>
      <c r="LV345" s="23"/>
      <c r="LW345" s="23"/>
      <c r="LX345" s="23"/>
      <c r="LY345" s="23"/>
      <c r="LZ345" s="23"/>
      <c r="MA345" s="23"/>
      <c r="MB345" s="23"/>
      <c r="MC345" s="23"/>
      <c r="MD345" s="23"/>
      <c r="ME345" s="23"/>
      <c r="MF345" s="23"/>
      <c r="MG345" s="23"/>
      <c r="MH345" s="23"/>
      <c r="MI345" s="23"/>
      <c r="MJ345" s="23"/>
      <c r="MK345" s="23"/>
      <c r="ML345" s="23"/>
      <c r="MM345" s="23"/>
      <c r="MN345" s="23"/>
      <c r="MO345" s="23"/>
      <c r="MP345" s="23"/>
      <c r="MQ345" s="23"/>
      <c r="MR345" s="23"/>
      <c r="MS345" s="23"/>
      <c r="MT345" s="23"/>
      <c r="MU345" s="23"/>
      <c r="MV345" s="23"/>
      <c r="MW345" s="23"/>
      <c r="MX345" s="23"/>
      <c r="MY345" s="23"/>
      <c r="MZ345" s="23"/>
      <c r="NA345" s="23"/>
      <c r="NB345" s="23"/>
      <c r="NC345" s="23"/>
      <c r="ND345" s="23"/>
      <c r="NE345" s="23"/>
      <c r="NF345" s="23"/>
      <c r="NG345" s="23"/>
      <c r="NH345" s="23"/>
      <c r="NI345" s="23"/>
      <c r="NJ345" s="23"/>
      <c r="NK345" s="23"/>
      <c r="NL345" s="23"/>
      <c r="NM345" s="23"/>
      <c r="NN345" s="23"/>
    </row>
    <row r="346" spans="5:378" ht="15" customHeight="1"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  <c r="IL346" s="23"/>
      <c r="IM346" s="23"/>
      <c r="IN346" s="23"/>
      <c r="IO346" s="23"/>
      <c r="IP346" s="23"/>
      <c r="IQ346" s="23"/>
      <c r="IR346" s="23"/>
      <c r="IS346" s="23"/>
      <c r="IT346" s="23"/>
      <c r="IU346" s="23"/>
      <c r="IV346" s="23"/>
      <c r="IW346" s="23"/>
      <c r="IX346" s="23"/>
      <c r="IY346" s="23"/>
      <c r="IZ346" s="23"/>
      <c r="JA346" s="23"/>
      <c r="JB346" s="23"/>
      <c r="JC346" s="23"/>
      <c r="JD346" s="23"/>
      <c r="JE346" s="23"/>
      <c r="JF346" s="23"/>
      <c r="JG346" s="23"/>
      <c r="JH346" s="23"/>
      <c r="JI346" s="23"/>
      <c r="JJ346" s="23"/>
      <c r="JK346" s="23"/>
      <c r="JL346" s="23"/>
      <c r="JM346" s="23"/>
      <c r="JN346" s="23"/>
      <c r="JO346" s="23"/>
      <c r="JP346" s="23"/>
      <c r="JQ346" s="23"/>
      <c r="JR346" s="23"/>
      <c r="JS346" s="23"/>
      <c r="JT346" s="23"/>
      <c r="JU346" s="23"/>
      <c r="JV346" s="23"/>
      <c r="JW346" s="23"/>
      <c r="JX346" s="23"/>
      <c r="JY346" s="23"/>
      <c r="JZ346" s="23"/>
      <c r="KA346" s="23"/>
      <c r="KB346" s="23"/>
      <c r="KC346" s="23"/>
      <c r="KD346" s="23"/>
      <c r="KE346" s="23"/>
      <c r="KF346" s="23"/>
      <c r="KG346" s="23"/>
      <c r="KH346" s="23"/>
      <c r="KI346" s="23"/>
      <c r="KJ346" s="23"/>
      <c r="KK346" s="23"/>
      <c r="KL346" s="23"/>
      <c r="KM346" s="23"/>
      <c r="KN346" s="23"/>
      <c r="KO346" s="23"/>
      <c r="KP346" s="23"/>
      <c r="KQ346" s="23"/>
      <c r="KR346" s="23"/>
      <c r="KS346" s="23"/>
      <c r="KT346" s="23"/>
      <c r="KU346" s="23"/>
      <c r="KV346" s="23"/>
      <c r="KW346" s="23"/>
      <c r="KX346" s="23"/>
      <c r="KY346" s="23"/>
      <c r="KZ346" s="23"/>
      <c r="LA346" s="23"/>
      <c r="LB346" s="23"/>
      <c r="LC346" s="23"/>
      <c r="LD346" s="23"/>
      <c r="LE346" s="23"/>
      <c r="LF346" s="23"/>
      <c r="LG346" s="23"/>
      <c r="LH346" s="23"/>
      <c r="LI346" s="23"/>
      <c r="LJ346" s="23"/>
      <c r="LK346" s="23"/>
      <c r="LL346" s="23"/>
      <c r="LM346" s="23"/>
      <c r="LN346" s="23"/>
      <c r="LO346" s="23"/>
      <c r="LP346" s="23"/>
      <c r="LQ346" s="23"/>
      <c r="LR346" s="23"/>
      <c r="LS346" s="23"/>
      <c r="LT346" s="23"/>
      <c r="LU346" s="23"/>
      <c r="LV346" s="23"/>
      <c r="LW346" s="23"/>
      <c r="LX346" s="23"/>
      <c r="LY346" s="23"/>
      <c r="LZ346" s="23"/>
      <c r="MA346" s="23"/>
      <c r="MB346" s="23"/>
      <c r="MC346" s="23"/>
      <c r="MD346" s="23"/>
      <c r="ME346" s="23"/>
      <c r="MF346" s="23"/>
      <c r="MG346" s="23"/>
      <c r="MH346" s="23"/>
      <c r="MI346" s="23"/>
      <c r="MJ346" s="23"/>
      <c r="MK346" s="23"/>
      <c r="ML346" s="23"/>
      <c r="MM346" s="23"/>
      <c r="MN346" s="23"/>
      <c r="MO346" s="23"/>
      <c r="MP346" s="23"/>
      <c r="MQ346" s="23"/>
      <c r="MR346" s="23"/>
      <c r="MS346" s="23"/>
      <c r="MT346" s="23"/>
      <c r="MU346" s="23"/>
      <c r="MV346" s="23"/>
      <c r="MW346" s="23"/>
      <c r="MX346" s="23"/>
      <c r="MY346" s="23"/>
      <c r="MZ346" s="23"/>
      <c r="NA346" s="23"/>
      <c r="NB346" s="23"/>
      <c r="NC346" s="23"/>
      <c r="ND346" s="23"/>
      <c r="NE346" s="23"/>
      <c r="NF346" s="23"/>
      <c r="NG346" s="23"/>
      <c r="NH346" s="23"/>
      <c r="NI346" s="23"/>
      <c r="NJ346" s="23"/>
      <c r="NK346" s="23"/>
      <c r="NL346" s="23"/>
      <c r="NM346" s="23"/>
      <c r="NN346" s="23"/>
    </row>
    <row r="347" spans="5:378" ht="15" customHeight="1"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  <c r="IL347" s="23"/>
      <c r="IM347" s="23"/>
      <c r="IN347" s="23"/>
      <c r="IO347" s="23"/>
      <c r="IP347" s="23"/>
      <c r="IQ347" s="23"/>
      <c r="IR347" s="23"/>
      <c r="IS347" s="23"/>
      <c r="IT347" s="23"/>
      <c r="IU347" s="23"/>
      <c r="IV347" s="23"/>
      <c r="IW347" s="23"/>
      <c r="IX347" s="23"/>
      <c r="IY347" s="23"/>
      <c r="IZ347" s="23"/>
      <c r="JA347" s="23"/>
      <c r="JB347" s="23"/>
      <c r="JC347" s="23"/>
      <c r="JD347" s="23"/>
      <c r="JE347" s="23"/>
      <c r="JF347" s="23"/>
      <c r="JG347" s="23"/>
      <c r="JH347" s="23"/>
      <c r="JI347" s="23"/>
      <c r="JJ347" s="23"/>
      <c r="JK347" s="23"/>
      <c r="JL347" s="23"/>
      <c r="JM347" s="23"/>
      <c r="JN347" s="23"/>
      <c r="JO347" s="23"/>
      <c r="JP347" s="23"/>
      <c r="JQ347" s="23"/>
      <c r="JR347" s="23"/>
      <c r="JS347" s="23"/>
      <c r="JT347" s="23"/>
      <c r="JU347" s="23"/>
      <c r="JV347" s="23"/>
      <c r="JW347" s="23"/>
      <c r="JX347" s="23"/>
      <c r="JY347" s="23"/>
      <c r="JZ347" s="23"/>
      <c r="KA347" s="23"/>
      <c r="KB347" s="23"/>
      <c r="KC347" s="23"/>
      <c r="KD347" s="23"/>
      <c r="KE347" s="23"/>
      <c r="KF347" s="23"/>
      <c r="KG347" s="23"/>
      <c r="KH347" s="23"/>
      <c r="KI347" s="23"/>
      <c r="KJ347" s="23"/>
      <c r="KK347" s="23"/>
      <c r="KL347" s="23"/>
      <c r="KM347" s="23"/>
      <c r="KN347" s="23"/>
      <c r="KO347" s="23"/>
      <c r="KP347" s="23"/>
      <c r="KQ347" s="23"/>
      <c r="KR347" s="23"/>
      <c r="KS347" s="23"/>
      <c r="KT347" s="23"/>
      <c r="KU347" s="23"/>
      <c r="KV347" s="23"/>
      <c r="KW347" s="23"/>
      <c r="KX347" s="23"/>
      <c r="KY347" s="23"/>
      <c r="KZ347" s="23"/>
      <c r="LA347" s="23"/>
      <c r="LB347" s="23"/>
      <c r="LC347" s="23"/>
      <c r="LD347" s="23"/>
      <c r="LE347" s="23"/>
      <c r="LF347" s="23"/>
      <c r="LG347" s="23"/>
      <c r="LH347" s="23"/>
      <c r="LI347" s="23"/>
      <c r="LJ347" s="23"/>
      <c r="LK347" s="23"/>
      <c r="LL347" s="23"/>
      <c r="LM347" s="23"/>
      <c r="LN347" s="23"/>
      <c r="LO347" s="23"/>
      <c r="LP347" s="23"/>
      <c r="LQ347" s="23"/>
      <c r="LR347" s="23"/>
      <c r="LS347" s="23"/>
      <c r="LT347" s="23"/>
      <c r="LU347" s="23"/>
      <c r="LV347" s="23"/>
      <c r="LW347" s="23"/>
      <c r="LX347" s="23"/>
      <c r="LY347" s="23"/>
      <c r="LZ347" s="23"/>
      <c r="MA347" s="23"/>
      <c r="MB347" s="23"/>
      <c r="MC347" s="23"/>
      <c r="MD347" s="23"/>
      <c r="ME347" s="23"/>
      <c r="MF347" s="23"/>
      <c r="MG347" s="23"/>
      <c r="MH347" s="23"/>
      <c r="MI347" s="23"/>
      <c r="MJ347" s="23"/>
      <c r="MK347" s="23"/>
      <c r="ML347" s="23"/>
      <c r="MM347" s="23"/>
      <c r="MN347" s="23"/>
      <c r="MO347" s="23"/>
      <c r="MP347" s="23"/>
      <c r="MQ347" s="23"/>
      <c r="MR347" s="23"/>
      <c r="MS347" s="23"/>
      <c r="MT347" s="23"/>
      <c r="MU347" s="23"/>
      <c r="MV347" s="23"/>
      <c r="MW347" s="23"/>
      <c r="MX347" s="23"/>
      <c r="MY347" s="23"/>
      <c r="MZ347" s="23"/>
      <c r="NA347" s="23"/>
      <c r="NB347" s="23"/>
      <c r="NC347" s="23"/>
      <c r="ND347" s="23"/>
      <c r="NE347" s="23"/>
      <c r="NF347" s="23"/>
      <c r="NG347" s="23"/>
      <c r="NH347" s="23"/>
      <c r="NI347" s="23"/>
      <c r="NJ347" s="23"/>
      <c r="NK347" s="23"/>
      <c r="NL347" s="23"/>
      <c r="NM347" s="23"/>
      <c r="NN347" s="23"/>
    </row>
    <row r="348" spans="5:378" ht="15" customHeight="1"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  <c r="IL348" s="23"/>
      <c r="IM348" s="23"/>
      <c r="IN348" s="23"/>
      <c r="IO348" s="23"/>
      <c r="IP348" s="23"/>
      <c r="IQ348" s="23"/>
      <c r="IR348" s="23"/>
      <c r="IS348" s="23"/>
      <c r="IT348" s="23"/>
      <c r="IU348" s="23"/>
      <c r="IV348" s="23"/>
      <c r="IW348" s="23"/>
      <c r="IX348" s="23"/>
      <c r="IY348" s="23"/>
      <c r="IZ348" s="23"/>
      <c r="JA348" s="23"/>
      <c r="JB348" s="23"/>
      <c r="JC348" s="23"/>
      <c r="JD348" s="23"/>
      <c r="JE348" s="23"/>
      <c r="JF348" s="23"/>
      <c r="JG348" s="23"/>
      <c r="JH348" s="23"/>
      <c r="JI348" s="23"/>
      <c r="JJ348" s="23"/>
      <c r="JK348" s="23"/>
      <c r="JL348" s="23"/>
      <c r="JM348" s="23"/>
      <c r="JN348" s="23"/>
      <c r="JO348" s="23"/>
      <c r="JP348" s="23"/>
      <c r="JQ348" s="23"/>
      <c r="JR348" s="23"/>
      <c r="JS348" s="23"/>
      <c r="JT348" s="23"/>
      <c r="JU348" s="23"/>
      <c r="JV348" s="23"/>
      <c r="JW348" s="23"/>
      <c r="JX348" s="23"/>
      <c r="JY348" s="23"/>
      <c r="JZ348" s="23"/>
      <c r="KA348" s="23"/>
      <c r="KB348" s="23"/>
      <c r="KC348" s="23"/>
      <c r="KD348" s="23"/>
      <c r="KE348" s="23"/>
      <c r="KF348" s="23"/>
      <c r="KG348" s="23"/>
      <c r="KH348" s="23"/>
      <c r="KI348" s="23"/>
      <c r="KJ348" s="23"/>
      <c r="KK348" s="23"/>
      <c r="KL348" s="23"/>
      <c r="KM348" s="23"/>
      <c r="KN348" s="23"/>
      <c r="KO348" s="23"/>
      <c r="KP348" s="23"/>
      <c r="KQ348" s="23"/>
      <c r="KR348" s="23"/>
      <c r="KS348" s="23"/>
      <c r="KT348" s="23"/>
      <c r="KU348" s="23"/>
      <c r="KV348" s="23"/>
      <c r="KW348" s="23"/>
      <c r="KX348" s="23"/>
      <c r="KY348" s="23"/>
      <c r="KZ348" s="23"/>
      <c r="LA348" s="23"/>
      <c r="LB348" s="23"/>
      <c r="LC348" s="23"/>
      <c r="LD348" s="23"/>
      <c r="LE348" s="23"/>
      <c r="LF348" s="23"/>
      <c r="LG348" s="23"/>
      <c r="LH348" s="23"/>
      <c r="LI348" s="23"/>
      <c r="LJ348" s="23"/>
      <c r="LK348" s="23"/>
      <c r="LL348" s="23"/>
      <c r="LM348" s="23"/>
      <c r="LN348" s="23"/>
      <c r="LO348" s="23"/>
      <c r="LP348" s="23"/>
      <c r="LQ348" s="23"/>
      <c r="LR348" s="23"/>
      <c r="LS348" s="23"/>
      <c r="LT348" s="23"/>
      <c r="LU348" s="23"/>
      <c r="LV348" s="23"/>
      <c r="LW348" s="23"/>
      <c r="LX348" s="23"/>
      <c r="LY348" s="23"/>
      <c r="LZ348" s="23"/>
      <c r="MA348" s="23"/>
      <c r="MB348" s="23"/>
      <c r="MC348" s="23"/>
      <c r="MD348" s="23"/>
      <c r="ME348" s="23"/>
      <c r="MF348" s="23"/>
      <c r="MG348" s="23"/>
      <c r="MH348" s="23"/>
      <c r="MI348" s="23"/>
      <c r="MJ348" s="23"/>
      <c r="MK348" s="23"/>
      <c r="ML348" s="23"/>
      <c r="MM348" s="23"/>
      <c r="MN348" s="23"/>
      <c r="MO348" s="23"/>
      <c r="MP348" s="23"/>
      <c r="MQ348" s="23"/>
      <c r="MR348" s="23"/>
      <c r="MS348" s="23"/>
      <c r="MT348" s="23"/>
      <c r="MU348" s="23"/>
      <c r="MV348" s="23"/>
      <c r="MW348" s="23"/>
      <c r="MX348" s="23"/>
      <c r="MY348" s="23"/>
      <c r="MZ348" s="23"/>
      <c r="NA348" s="23"/>
      <c r="NB348" s="23"/>
      <c r="NC348" s="23"/>
      <c r="ND348" s="23"/>
      <c r="NE348" s="23"/>
      <c r="NF348" s="23"/>
      <c r="NG348" s="23"/>
      <c r="NH348" s="23"/>
      <c r="NI348" s="23"/>
      <c r="NJ348" s="23"/>
      <c r="NK348" s="23"/>
      <c r="NL348" s="23"/>
      <c r="NM348" s="23"/>
      <c r="NN348" s="23"/>
    </row>
    <row r="349" spans="5:378" ht="15" customHeight="1"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  <c r="IL349" s="23"/>
      <c r="IM349" s="23"/>
      <c r="IN349" s="23"/>
      <c r="IO349" s="23"/>
      <c r="IP349" s="23"/>
      <c r="IQ349" s="23"/>
      <c r="IR349" s="23"/>
      <c r="IS349" s="23"/>
      <c r="IT349" s="23"/>
      <c r="IU349" s="23"/>
      <c r="IV349" s="23"/>
      <c r="IW349" s="23"/>
      <c r="IX349" s="23"/>
      <c r="IY349" s="23"/>
      <c r="IZ349" s="23"/>
      <c r="JA349" s="23"/>
      <c r="JB349" s="23"/>
      <c r="JC349" s="23"/>
      <c r="JD349" s="23"/>
      <c r="JE349" s="23"/>
      <c r="JF349" s="23"/>
      <c r="JG349" s="23"/>
      <c r="JH349" s="23"/>
      <c r="JI349" s="23"/>
      <c r="JJ349" s="23"/>
      <c r="JK349" s="23"/>
      <c r="JL349" s="23"/>
      <c r="JM349" s="23"/>
      <c r="JN349" s="23"/>
      <c r="JO349" s="23"/>
      <c r="JP349" s="23"/>
      <c r="JQ349" s="23"/>
      <c r="JR349" s="23"/>
      <c r="JS349" s="23"/>
      <c r="JT349" s="23"/>
      <c r="JU349" s="23"/>
      <c r="JV349" s="23"/>
      <c r="JW349" s="23"/>
      <c r="JX349" s="23"/>
      <c r="JY349" s="23"/>
      <c r="JZ349" s="23"/>
      <c r="KA349" s="23"/>
      <c r="KB349" s="23"/>
      <c r="KC349" s="23"/>
      <c r="KD349" s="23"/>
      <c r="KE349" s="23"/>
      <c r="KF349" s="23"/>
      <c r="KG349" s="23"/>
      <c r="KH349" s="23"/>
      <c r="KI349" s="23"/>
      <c r="KJ349" s="23"/>
      <c r="KK349" s="23"/>
      <c r="KL349" s="23"/>
      <c r="KM349" s="23"/>
      <c r="KN349" s="23"/>
      <c r="KO349" s="23"/>
      <c r="KP349" s="23"/>
      <c r="KQ349" s="23"/>
      <c r="KR349" s="23"/>
      <c r="KS349" s="23"/>
      <c r="KT349" s="23"/>
      <c r="KU349" s="23"/>
      <c r="KV349" s="23"/>
      <c r="KW349" s="23"/>
      <c r="KX349" s="23"/>
      <c r="KY349" s="23"/>
      <c r="KZ349" s="23"/>
      <c r="LA349" s="23"/>
      <c r="LB349" s="23"/>
      <c r="LC349" s="23"/>
      <c r="LD349" s="23"/>
      <c r="LE349" s="23"/>
      <c r="LF349" s="23"/>
      <c r="LG349" s="23"/>
      <c r="LH349" s="23"/>
      <c r="LI349" s="23"/>
      <c r="LJ349" s="23"/>
      <c r="LK349" s="23"/>
      <c r="LL349" s="23"/>
      <c r="LM349" s="23"/>
      <c r="LN349" s="23"/>
      <c r="LO349" s="23"/>
      <c r="LP349" s="23"/>
      <c r="LQ349" s="23"/>
      <c r="LR349" s="23"/>
      <c r="LS349" s="23"/>
      <c r="LT349" s="23"/>
      <c r="LU349" s="23"/>
      <c r="LV349" s="23"/>
      <c r="LW349" s="23"/>
      <c r="LX349" s="23"/>
      <c r="LY349" s="23"/>
      <c r="LZ349" s="23"/>
      <c r="MA349" s="23"/>
      <c r="MB349" s="23"/>
      <c r="MC349" s="23"/>
      <c r="MD349" s="23"/>
      <c r="ME349" s="23"/>
      <c r="MF349" s="23"/>
      <c r="MG349" s="23"/>
      <c r="MH349" s="23"/>
      <c r="MI349" s="23"/>
      <c r="MJ349" s="23"/>
      <c r="MK349" s="23"/>
      <c r="ML349" s="23"/>
      <c r="MM349" s="23"/>
      <c r="MN349" s="23"/>
      <c r="MO349" s="23"/>
      <c r="MP349" s="23"/>
      <c r="MQ349" s="23"/>
      <c r="MR349" s="23"/>
      <c r="MS349" s="23"/>
      <c r="MT349" s="23"/>
      <c r="MU349" s="23"/>
      <c r="MV349" s="23"/>
      <c r="MW349" s="23"/>
      <c r="MX349" s="23"/>
      <c r="MY349" s="23"/>
      <c r="MZ349" s="23"/>
      <c r="NA349" s="23"/>
      <c r="NB349" s="23"/>
      <c r="NC349" s="23"/>
      <c r="ND349" s="23"/>
      <c r="NE349" s="23"/>
      <c r="NF349" s="23"/>
      <c r="NG349" s="23"/>
      <c r="NH349" s="23"/>
      <c r="NI349" s="23"/>
      <c r="NJ349" s="23"/>
      <c r="NK349" s="23"/>
      <c r="NL349" s="23"/>
      <c r="NM349" s="23"/>
      <c r="NN349" s="23"/>
    </row>
    <row r="350" spans="5:378" ht="15" customHeight="1"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  <c r="IL350" s="23"/>
      <c r="IM350" s="23"/>
      <c r="IN350" s="23"/>
      <c r="IO350" s="23"/>
      <c r="IP350" s="23"/>
      <c r="IQ350" s="23"/>
      <c r="IR350" s="23"/>
      <c r="IS350" s="23"/>
      <c r="IT350" s="23"/>
      <c r="IU350" s="23"/>
      <c r="IV350" s="23"/>
      <c r="IW350" s="23"/>
      <c r="IX350" s="23"/>
      <c r="IY350" s="23"/>
      <c r="IZ350" s="23"/>
      <c r="JA350" s="23"/>
      <c r="JB350" s="23"/>
      <c r="JC350" s="23"/>
      <c r="JD350" s="23"/>
      <c r="JE350" s="23"/>
      <c r="JF350" s="23"/>
      <c r="JG350" s="23"/>
      <c r="JH350" s="23"/>
      <c r="JI350" s="23"/>
      <c r="JJ350" s="23"/>
      <c r="JK350" s="23"/>
      <c r="JL350" s="23"/>
      <c r="JM350" s="23"/>
      <c r="JN350" s="23"/>
      <c r="JO350" s="23"/>
      <c r="JP350" s="23"/>
      <c r="JQ350" s="23"/>
      <c r="JR350" s="23"/>
      <c r="JS350" s="23"/>
      <c r="JT350" s="23"/>
      <c r="JU350" s="23"/>
      <c r="JV350" s="23"/>
      <c r="JW350" s="23"/>
      <c r="JX350" s="23"/>
      <c r="JY350" s="23"/>
      <c r="JZ350" s="23"/>
      <c r="KA350" s="23"/>
      <c r="KB350" s="23"/>
      <c r="KC350" s="23"/>
      <c r="KD350" s="23"/>
      <c r="KE350" s="23"/>
      <c r="KF350" s="23"/>
      <c r="KG350" s="23"/>
      <c r="KH350" s="23"/>
      <c r="KI350" s="23"/>
      <c r="KJ350" s="23"/>
      <c r="KK350" s="23"/>
      <c r="KL350" s="23"/>
      <c r="KM350" s="23"/>
      <c r="KN350" s="23"/>
      <c r="KO350" s="23"/>
      <c r="KP350" s="23"/>
      <c r="KQ350" s="23"/>
      <c r="KR350" s="23"/>
      <c r="KS350" s="23"/>
      <c r="KT350" s="23"/>
      <c r="KU350" s="23"/>
      <c r="KV350" s="23"/>
      <c r="KW350" s="23"/>
      <c r="KX350" s="23"/>
      <c r="KY350" s="23"/>
      <c r="KZ350" s="23"/>
      <c r="LA350" s="23"/>
      <c r="LB350" s="23"/>
      <c r="LC350" s="23"/>
      <c r="LD350" s="23"/>
      <c r="LE350" s="23"/>
      <c r="LF350" s="23"/>
      <c r="LG350" s="23"/>
      <c r="LH350" s="23"/>
      <c r="LI350" s="23"/>
      <c r="LJ350" s="23"/>
      <c r="LK350" s="23"/>
      <c r="LL350" s="23"/>
      <c r="LM350" s="23"/>
      <c r="LN350" s="23"/>
      <c r="LO350" s="23"/>
      <c r="LP350" s="23"/>
      <c r="LQ350" s="23"/>
      <c r="LR350" s="23"/>
      <c r="LS350" s="23"/>
      <c r="LT350" s="23"/>
      <c r="LU350" s="23"/>
      <c r="LV350" s="23"/>
      <c r="LW350" s="23"/>
      <c r="LX350" s="23"/>
      <c r="LY350" s="23"/>
      <c r="LZ350" s="23"/>
      <c r="MA350" s="23"/>
      <c r="MB350" s="23"/>
      <c r="MC350" s="23"/>
      <c r="MD350" s="23"/>
      <c r="ME350" s="23"/>
      <c r="MF350" s="23"/>
      <c r="MG350" s="23"/>
      <c r="MH350" s="23"/>
      <c r="MI350" s="23"/>
      <c r="MJ350" s="23"/>
      <c r="MK350" s="23"/>
      <c r="ML350" s="23"/>
      <c r="MM350" s="23"/>
      <c r="MN350" s="23"/>
      <c r="MO350" s="23"/>
      <c r="MP350" s="23"/>
      <c r="MQ350" s="23"/>
      <c r="MR350" s="23"/>
      <c r="MS350" s="23"/>
      <c r="MT350" s="23"/>
      <c r="MU350" s="23"/>
      <c r="MV350" s="23"/>
      <c r="MW350" s="23"/>
      <c r="MX350" s="23"/>
      <c r="MY350" s="23"/>
      <c r="MZ350" s="23"/>
      <c r="NA350" s="23"/>
      <c r="NB350" s="23"/>
      <c r="NC350" s="23"/>
      <c r="ND350" s="23"/>
      <c r="NE350" s="23"/>
      <c r="NF350" s="23"/>
      <c r="NG350" s="23"/>
      <c r="NH350" s="23"/>
      <c r="NI350" s="23"/>
      <c r="NJ350" s="23"/>
      <c r="NK350" s="23"/>
      <c r="NL350" s="23"/>
      <c r="NM350" s="23"/>
      <c r="NN350" s="23"/>
    </row>
    <row r="351" spans="5:378" ht="15" customHeight="1"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  <c r="IL351" s="23"/>
      <c r="IM351" s="23"/>
      <c r="IN351" s="23"/>
      <c r="IO351" s="23"/>
      <c r="IP351" s="23"/>
      <c r="IQ351" s="23"/>
      <c r="IR351" s="23"/>
      <c r="IS351" s="23"/>
      <c r="IT351" s="23"/>
      <c r="IU351" s="23"/>
      <c r="IV351" s="23"/>
      <c r="IW351" s="23"/>
      <c r="IX351" s="23"/>
      <c r="IY351" s="23"/>
      <c r="IZ351" s="23"/>
      <c r="JA351" s="23"/>
      <c r="JB351" s="23"/>
      <c r="JC351" s="23"/>
      <c r="JD351" s="23"/>
      <c r="JE351" s="23"/>
      <c r="JF351" s="23"/>
      <c r="JG351" s="23"/>
      <c r="JH351" s="23"/>
      <c r="JI351" s="23"/>
      <c r="JJ351" s="23"/>
      <c r="JK351" s="23"/>
      <c r="JL351" s="23"/>
      <c r="JM351" s="23"/>
      <c r="JN351" s="23"/>
      <c r="JO351" s="23"/>
      <c r="JP351" s="23"/>
      <c r="JQ351" s="23"/>
      <c r="JR351" s="23"/>
      <c r="JS351" s="23"/>
      <c r="JT351" s="23"/>
      <c r="JU351" s="23"/>
      <c r="JV351" s="23"/>
      <c r="JW351" s="23"/>
      <c r="JX351" s="23"/>
      <c r="JY351" s="23"/>
      <c r="JZ351" s="23"/>
      <c r="KA351" s="23"/>
      <c r="KB351" s="23"/>
      <c r="KC351" s="23"/>
      <c r="KD351" s="23"/>
      <c r="KE351" s="23"/>
      <c r="KF351" s="23"/>
      <c r="KG351" s="23"/>
      <c r="KH351" s="23"/>
      <c r="KI351" s="23"/>
      <c r="KJ351" s="23"/>
      <c r="KK351" s="23"/>
      <c r="KL351" s="23"/>
      <c r="KM351" s="23"/>
      <c r="KN351" s="23"/>
      <c r="KO351" s="23"/>
      <c r="KP351" s="23"/>
      <c r="KQ351" s="23"/>
      <c r="KR351" s="23"/>
      <c r="KS351" s="23"/>
      <c r="KT351" s="23"/>
      <c r="KU351" s="23"/>
      <c r="KV351" s="23"/>
      <c r="KW351" s="23"/>
      <c r="KX351" s="23"/>
      <c r="KY351" s="23"/>
      <c r="KZ351" s="23"/>
      <c r="LA351" s="23"/>
      <c r="LB351" s="23"/>
      <c r="LC351" s="23"/>
      <c r="LD351" s="23"/>
      <c r="LE351" s="23"/>
      <c r="LF351" s="23"/>
      <c r="LG351" s="23"/>
      <c r="LH351" s="23"/>
      <c r="LI351" s="23"/>
      <c r="LJ351" s="23"/>
      <c r="LK351" s="23"/>
      <c r="LL351" s="23"/>
      <c r="LM351" s="23"/>
      <c r="LN351" s="23"/>
      <c r="LO351" s="23"/>
      <c r="LP351" s="23"/>
      <c r="LQ351" s="23"/>
      <c r="LR351" s="23"/>
      <c r="LS351" s="23"/>
      <c r="LT351" s="23"/>
      <c r="LU351" s="23"/>
      <c r="LV351" s="23"/>
      <c r="LW351" s="23"/>
      <c r="LX351" s="23"/>
      <c r="LY351" s="23"/>
      <c r="LZ351" s="23"/>
      <c r="MA351" s="23"/>
      <c r="MB351" s="23"/>
      <c r="MC351" s="23"/>
      <c r="MD351" s="23"/>
      <c r="ME351" s="23"/>
      <c r="MF351" s="23"/>
      <c r="MG351" s="23"/>
      <c r="MH351" s="23"/>
      <c r="MI351" s="23"/>
      <c r="MJ351" s="23"/>
      <c r="MK351" s="23"/>
      <c r="ML351" s="23"/>
      <c r="MM351" s="23"/>
      <c r="MN351" s="23"/>
      <c r="MO351" s="23"/>
      <c r="MP351" s="23"/>
      <c r="MQ351" s="23"/>
      <c r="MR351" s="23"/>
      <c r="MS351" s="23"/>
      <c r="MT351" s="23"/>
      <c r="MU351" s="23"/>
      <c r="MV351" s="23"/>
      <c r="MW351" s="23"/>
      <c r="MX351" s="23"/>
      <c r="MY351" s="23"/>
      <c r="MZ351" s="23"/>
      <c r="NA351" s="23"/>
      <c r="NB351" s="23"/>
      <c r="NC351" s="23"/>
      <c r="ND351" s="23"/>
      <c r="NE351" s="23"/>
      <c r="NF351" s="23"/>
      <c r="NG351" s="23"/>
      <c r="NH351" s="23"/>
      <c r="NI351" s="23"/>
      <c r="NJ351" s="23"/>
      <c r="NK351" s="23"/>
      <c r="NL351" s="23"/>
      <c r="NM351" s="23"/>
      <c r="NN351" s="23"/>
    </row>
    <row r="352" spans="5:378" ht="15" customHeight="1"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  <c r="IL352" s="23"/>
      <c r="IM352" s="23"/>
      <c r="IN352" s="23"/>
      <c r="IO352" s="23"/>
      <c r="IP352" s="23"/>
      <c r="IQ352" s="23"/>
      <c r="IR352" s="23"/>
      <c r="IS352" s="23"/>
      <c r="IT352" s="23"/>
      <c r="IU352" s="23"/>
      <c r="IV352" s="23"/>
      <c r="IW352" s="23"/>
      <c r="IX352" s="23"/>
      <c r="IY352" s="23"/>
      <c r="IZ352" s="23"/>
      <c r="JA352" s="23"/>
      <c r="JB352" s="23"/>
      <c r="JC352" s="23"/>
      <c r="JD352" s="23"/>
      <c r="JE352" s="23"/>
      <c r="JF352" s="23"/>
      <c r="JG352" s="23"/>
      <c r="JH352" s="23"/>
      <c r="JI352" s="23"/>
      <c r="JJ352" s="23"/>
      <c r="JK352" s="23"/>
      <c r="JL352" s="23"/>
      <c r="JM352" s="23"/>
      <c r="JN352" s="23"/>
      <c r="JO352" s="23"/>
      <c r="JP352" s="23"/>
      <c r="JQ352" s="23"/>
      <c r="JR352" s="23"/>
      <c r="JS352" s="23"/>
      <c r="JT352" s="23"/>
      <c r="JU352" s="23"/>
      <c r="JV352" s="23"/>
      <c r="JW352" s="23"/>
      <c r="JX352" s="23"/>
      <c r="JY352" s="23"/>
      <c r="JZ352" s="23"/>
      <c r="KA352" s="23"/>
      <c r="KB352" s="23"/>
      <c r="KC352" s="23"/>
      <c r="KD352" s="23"/>
      <c r="KE352" s="23"/>
      <c r="KF352" s="23"/>
      <c r="KG352" s="23"/>
      <c r="KH352" s="23"/>
      <c r="KI352" s="23"/>
      <c r="KJ352" s="23"/>
      <c r="KK352" s="23"/>
      <c r="KL352" s="23"/>
      <c r="KM352" s="23"/>
      <c r="KN352" s="23"/>
      <c r="KO352" s="23"/>
      <c r="KP352" s="23"/>
      <c r="KQ352" s="23"/>
      <c r="KR352" s="23"/>
      <c r="KS352" s="23"/>
      <c r="KT352" s="23"/>
      <c r="KU352" s="23"/>
      <c r="KV352" s="23"/>
      <c r="KW352" s="23"/>
      <c r="KX352" s="23"/>
      <c r="KY352" s="23"/>
      <c r="KZ352" s="23"/>
      <c r="LA352" s="23"/>
      <c r="LB352" s="23"/>
      <c r="LC352" s="23"/>
      <c r="LD352" s="23"/>
      <c r="LE352" s="23"/>
      <c r="LF352" s="23"/>
      <c r="LG352" s="23"/>
      <c r="LH352" s="23"/>
      <c r="LI352" s="23"/>
      <c r="LJ352" s="23"/>
      <c r="LK352" s="23"/>
      <c r="LL352" s="23"/>
      <c r="LM352" s="23"/>
      <c r="LN352" s="23"/>
      <c r="LO352" s="23"/>
      <c r="LP352" s="23"/>
      <c r="LQ352" s="23"/>
      <c r="LR352" s="23"/>
      <c r="LS352" s="23"/>
      <c r="LT352" s="23"/>
      <c r="LU352" s="23"/>
      <c r="LV352" s="23"/>
      <c r="LW352" s="23"/>
      <c r="LX352" s="23"/>
      <c r="LY352" s="23"/>
      <c r="LZ352" s="23"/>
      <c r="MA352" s="23"/>
      <c r="MB352" s="23"/>
      <c r="MC352" s="23"/>
      <c r="MD352" s="23"/>
      <c r="ME352" s="23"/>
      <c r="MF352" s="23"/>
      <c r="MG352" s="23"/>
      <c r="MH352" s="23"/>
      <c r="MI352" s="23"/>
      <c r="MJ352" s="23"/>
      <c r="MK352" s="23"/>
      <c r="ML352" s="23"/>
      <c r="MM352" s="23"/>
      <c r="MN352" s="23"/>
      <c r="MO352" s="23"/>
      <c r="MP352" s="23"/>
      <c r="MQ352" s="23"/>
      <c r="MR352" s="23"/>
      <c r="MS352" s="23"/>
      <c r="MT352" s="23"/>
      <c r="MU352" s="23"/>
      <c r="MV352" s="23"/>
      <c r="MW352" s="23"/>
      <c r="MX352" s="23"/>
      <c r="MY352" s="23"/>
      <c r="MZ352" s="23"/>
      <c r="NA352" s="23"/>
      <c r="NB352" s="23"/>
      <c r="NC352" s="23"/>
      <c r="ND352" s="23"/>
      <c r="NE352" s="23"/>
      <c r="NF352" s="23"/>
      <c r="NG352" s="23"/>
      <c r="NH352" s="23"/>
      <c r="NI352" s="23"/>
      <c r="NJ352" s="23"/>
      <c r="NK352" s="23"/>
      <c r="NL352" s="23"/>
      <c r="NM352" s="23"/>
      <c r="NN352" s="23"/>
    </row>
    <row r="353" spans="5:378" ht="15" customHeight="1"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  <c r="IL353" s="23"/>
      <c r="IM353" s="23"/>
      <c r="IN353" s="23"/>
      <c r="IO353" s="23"/>
      <c r="IP353" s="23"/>
      <c r="IQ353" s="23"/>
      <c r="IR353" s="23"/>
      <c r="IS353" s="23"/>
      <c r="IT353" s="23"/>
      <c r="IU353" s="23"/>
      <c r="IV353" s="23"/>
      <c r="IW353" s="23"/>
      <c r="IX353" s="23"/>
      <c r="IY353" s="23"/>
      <c r="IZ353" s="23"/>
      <c r="JA353" s="23"/>
      <c r="JB353" s="23"/>
      <c r="JC353" s="23"/>
      <c r="JD353" s="23"/>
      <c r="JE353" s="23"/>
      <c r="JF353" s="23"/>
      <c r="JG353" s="23"/>
      <c r="JH353" s="23"/>
      <c r="JI353" s="23"/>
      <c r="JJ353" s="23"/>
      <c r="JK353" s="23"/>
      <c r="JL353" s="23"/>
      <c r="JM353" s="23"/>
      <c r="JN353" s="23"/>
      <c r="JO353" s="23"/>
      <c r="JP353" s="23"/>
      <c r="JQ353" s="23"/>
      <c r="JR353" s="23"/>
      <c r="JS353" s="23"/>
      <c r="JT353" s="23"/>
      <c r="JU353" s="23"/>
      <c r="JV353" s="23"/>
      <c r="JW353" s="23"/>
      <c r="JX353" s="23"/>
      <c r="JY353" s="23"/>
      <c r="JZ353" s="23"/>
      <c r="KA353" s="23"/>
      <c r="KB353" s="23"/>
      <c r="KC353" s="23"/>
      <c r="KD353" s="23"/>
      <c r="KE353" s="23"/>
      <c r="KF353" s="23"/>
      <c r="KG353" s="23"/>
      <c r="KH353" s="23"/>
      <c r="KI353" s="23"/>
      <c r="KJ353" s="23"/>
      <c r="KK353" s="23"/>
      <c r="KL353" s="23"/>
      <c r="KM353" s="23"/>
      <c r="KN353" s="23"/>
      <c r="KO353" s="23"/>
      <c r="KP353" s="23"/>
      <c r="KQ353" s="23"/>
      <c r="KR353" s="23"/>
      <c r="KS353" s="23"/>
      <c r="KT353" s="23"/>
      <c r="KU353" s="23"/>
      <c r="KV353" s="23"/>
      <c r="KW353" s="23"/>
      <c r="KX353" s="23"/>
      <c r="KY353" s="23"/>
      <c r="KZ353" s="23"/>
      <c r="LA353" s="23"/>
      <c r="LB353" s="23"/>
      <c r="LC353" s="23"/>
      <c r="LD353" s="23"/>
      <c r="LE353" s="23"/>
      <c r="LF353" s="23"/>
      <c r="LG353" s="23"/>
      <c r="LH353" s="23"/>
      <c r="LI353" s="23"/>
      <c r="LJ353" s="23"/>
      <c r="LK353" s="23"/>
      <c r="LL353" s="23"/>
      <c r="LM353" s="23"/>
      <c r="LN353" s="23"/>
      <c r="LO353" s="23"/>
      <c r="LP353" s="23"/>
      <c r="LQ353" s="23"/>
      <c r="LR353" s="23"/>
      <c r="LS353" s="23"/>
      <c r="LT353" s="23"/>
      <c r="LU353" s="23"/>
      <c r="LV353" s="23"/>
      <c r="LW353" s="23"/>
      <c r="LX353" s="23"/>
      <c r="LY353" s="23"/>
      <c r="LZ353" s="23"/>
      <c r="MA353" s="23"/>
      <c r="MB353" s="23"/>
      <c r="MC353" s="23"/>
      <c r="MD353" s="23"/>
      <c r="ME353" s="23"/>
      <c r="MF353" s="23"/>
      <c r="MG353" s="23"/>
      <c r="MH353" s="23"/>
      <c r="MI353" s="23"/>
      <c r="MJ353" s="23"/>
      <c r="MK353" s="23"/>
      <c r="ML353" s="23"/>
      <c r="MM353" s="23"/>
      <c r="MN353" s="23"/>
      <c r="MO353" s="23"/>
      <c r="MP353" s="23"/>
      <c r="MQ353" s="23"/>
      <c r="MR353" s="23"/>
      <c r="MS353" s="23"/>
      <c r="MT353" s="23"/>
      <c r="MU353" s="23"/>
      <c r="MV353" s="23"/>
      <c r="MW353" s="23"/>
      <c r="MX353" s="23"/>
      <c r="MY353" s="23"/>
      <c r="MZ353" s="23"/>
      <c r="NA353" s="23"/>
      <c r="NB353" s="23"/>
      <c r="NC353" s="23"/>
      <c r="ND353" s="23"/>
      <c r="NE353" s="23"/>
      <c r="NF353" s="23"/>
      <c r="NG353" s="23"/>
      <c r="NH353" s="23"/>
      <c r="NI353" s="23"/>
      <c r="NJ353" s="23"/>
      <c r="NK353" s="23"/>
      <c r="NL353" s="23"/>
      <c r="NM353" s="23"/>
      <c r="NN353" s="23"/>
    </row>
    <row r="354" spans="5:378" ht="15" customHeight="1"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  <c r="IL354" s="23"/>
      <c r="IM354" s="23"/>
      <c r="IN354" s="23"/>
      <c r="IO354" s="23"/>
      <c r="IP354" s="23"/>
      <c r="IQ354" s="23"/>
      <c r="IR354" s="23"/>
      <c r="IS354" s="23"/>
      <c r="IT354" s="23"/>
      <c r="IU354" s="23"/>
      <c r="IV354" s="23"/>
      <c r="IW354" s="23"/>
      <c r="IX354" s="23"/>
      <c r="IY354" s="23"/>
      <c r="IZ354" s="23"/>
      <c r="JA354" s="23"/>
      <c r="JB354" s="23"/>
      <c r="JC354" s="23"/>
      <c r="JD354" s="23"/>
      <c r="JE354" s="23"/>
      <c r="JF354" s="23"/>
      <c r="JG354" s="23"/>
      <c r="JH354" s="23"/>
      <c r="JI354" s="23"/>
      <c r="JJ354" s="23"/>
      <c r="JK354" s="23"/>
      <c r="JL354" s="23"/>
      <c r="JM354" s="23"/>
      <c r="JN354" s="23"/>
      <c r="JO354" s="23"/>
      <c r="JP354" s="23"/>
      <c r="JQ354" s="23"/>
      <c r="JR354" s="23"/>
      <c r="JS354" s="23"/>
      <c r="JT354" s="23"/>
      <c r="JU354" s="23"/>
      <c r="JV354" s="23"/>
      <c r="JW354" s="23"/>
      <c r="JX354" s="23"/>
      <c r="JY354" s="23"/>
      <c r="JZ354" s="23"/>
      <c r="KA354" s="23"/>
      <c r="KB354" s="23"/>
      <c r="KC354" s="23"/>
      <c r="KD354" s="23"/>
      <c r="KE354" s="23"/>
      <c r="KF354" s="23"/>
      <c r="KG354" s="23"/>
      <c r="KH354" s="23"/>
      <c r="KI354" s="23"/>
      <c r="KJ354" s="23"/>
      <c r="KK354" s="23"/>
      <c r="KL354" s="23"/>
      <c r="KM354" s="23"/>
      <c r="KN354" s="23"/>
      <c r="KO354" s="23"/>
      <c r="KP354" s="23"/>
      <c r="KQ354" s="23"/>
      <c r="KR354" s="23"/>
      <c r="KS354" s="23"/>
      <c r="KT354" s="23"/>
      <c r="KU354" s="23"/>
      <c r="KV354" s="23"/>
      <c r="KW354" s="23"/>
      <c r="KX354" s="23"/>
      <c r="KY354" s="23"/>
      <c r="KZ354" s="23"/>
      <c r="LA354" s="23"/>
      <c r="LB354" s="23"/>
      <c r="LC354" s="23"/>
      <c r="LD354" s="23"/>
      <c r="LE354" s="23"/>
      <c r="LF354" s="23"/>
      <c r="LG354" s="23"/>
      <c r="LH354" s="23"/>
      <c r="LI354" s="23"/>
      <c r="LJ354" s="23"/>
      <c r="LK354" s="23"/>
      <c r="LL354" s="23"/>
      <c r="LM354" s="23"/>
      <c r="LN354" s="23"/>
      <c r="LO354" s="23"/>
      <c r="LP354" s="23"/>
      <c r="LQ354" s="23"/>
      <c r="LR354" s="23"/>
      <c r="LS354" s="23"/>
      <c r="LT354" s="23"/>
      <c r="LU354" s="23"/>
      <c r="LV354" s="23"/>
      <c r="LW354" s="23"/>
      <c r="LX354" s="23"/>
      <c r="LY354" s="23"/>
      <c r="LZ354" s="23"/>
      <c r="MA354" s="23"/>
      <c r="MB354" s="23"/>
      <c r="MC354" s="23"/>
      <c r="MD354" s="23"/>
      <c r="ME354" s="23"/>
      <c r="MF354" s="23"/>
      <c r="MG354" s="23"/>
      <c r="MH354" s="23"/>
      <c r="MI354" s="23"/>
      <c r="MJ354" s="23"/>
      <c r="MK354" s="23"/>
      <c r="ML354" s="23"/>
      <c r="MM354" s="23"/>
      <c r="MN354" s="23"/>
      <c r="MO354" s="23"/>
      <c r="MP354" s="23"/>
      <c r="MQ354" s="23"/>
      <c r="MR354" s="23"/>
      <c r="MS354" s="23"/>
      <c r="MT354" s="23"/>
      <c r="MU354" s="23"/>
      <c r="MV354" s="23"/>
      <c r="MW354" s="23"/>
      <c r="MX354" s="23"/>
      <c r="MY354" s="23"/>
      <c r="MZ354" s="23"/>
      <c r="NA354" s="23"/>
      <c r="NB354" s="23"/>
      <c r="NC354" s="23"/>
      <c r="ND354" s="23"/>
      <c r="NE354" s="23"/>
      <c r="NF354" s="23"/>
      <c r="NG354" s="23"/>
      <c r="NH354" s="23"/>
      <c r="NI354" s="23"/>
      <c r="NJ354" s="23"/>
      <c r="NK354" s="23"/>
      <c r="NL354" s="23"/>
      <c r="NM354" s="23"/>
      <c r="NN354" s="23"/>
    </row>
    <row r="355" spans="5:378" ht="15" customHeight="1"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  <c r="IL355" s="23"/>
      <c r="IM355" s="23"/>
      <c r="IN355" s="23"/>
      <c r="IO355" s="23"/>
      <c r="IP355" s="23"/>
      <c r="IQ355" s="23"/>
      <c r="IR355" s="23"/>
      <c r="IS355" s="23"/>
      <c r="IT355" s="23"/>
      <c r="IU355" s="23"/>
      <c r="IV355" s="23"/>
      <c r="IW355" s="23"/>
      <c r="IX355" s="23"/>
      <c r="IY355" s="23"/>
      <c r="IZ355" s="23"/>
      <c r="JA355" s="23"/>
      <c r="JB355" s="23"/>
      <c r="JC355" s="23"/>
      <c r="JD355" s="23"/>
      <c r="JE355" s="23"/>
      <c r="JF355" s="23"/>
      <c r="JG355" s="23"/>
      <c r="JH355" s="23"/>
      <c r="JI355" s="23"/>
      <c r="JJ355" s="23"/>
      <c r="JK355" s="23"/>
      <c r="JL355" s="23"/>
      <c r="JM355" s="23"/>
      <c r="JN355" s="23"/>
      <c r="JO355" s="23"/>
      <c r="JP355" s="23"/>
      <c r="JQ355" s="23"/>
      <c r="JR355" s="23"/>
      <c r="JS355" s="23"/>
      <c r="JT355" s="23"/>
      <c r="JU355" s="23"/>
      <c r="JV355" s="23"/>
      <c r="JW355" s="23"/>
      <c r="JX355" s="23"/>
      <c r="JY355" s="23"/>
      <c r="JZ355" s="23"/>
      <c r="KA355" s="23"/>
      <c r="KB355" s="23"/>
      <c r="KC355" s="23"/>
      <c r="KD355" s="23"/>
      <c r="KE355" s="23"/>
      <c r="KF355" s="23"/>
      <c r="KG355" s="23"/>
      <c r="KH355" s="23"/>
      <c r="KI355" s="23"/>
      <c r="KJ355" s="23"/>
      <c r="KK355" s="23"/>
      <c r="KL355" s="23"/>
      <c r="KM355" s="23"/>
      <c r="KN355" s="23"/>
      <c r="KO355" s="23"/>
      <c r="KP355" s="23"/>
      <c r="KQ355" s="23"/>
      <c r="KR355" s="23"/>
      <c r="KS355" s="23"/>
      <c r="KT355" s="23"/>
      <c r="KU355" s="23"/>
      <c r="KV355" s="23"/>
      <c r="KW355" s="23"/>
      <c r="KX355" s="23"/>
      <c r="KY355" s="23"/>
      <c r="KZ355" s="23"/>
      <c r="LA355" s="23"/>
      <c r="LB355" s="23"/>
      <c r="LC355" s="23"/>
      <c r="LD355" s="23"/>
      <c r="LE355" s="23"/>
      <c r="LF355" s="23"/>
      <c r="LG355" s="23"/>
      <c r="LH355" s="23"/>
      <c r="LI355" s="23"/>
      <c r="LJ355" s="23"/>
      <c r="LK355" s="23"/>
      <c r="LL355" s="23"/>
      <c r="LM355" s="23"/>
      <c r="LN355" s="23"/>
      <c r="LO355" s="23"/>
      <c r="LP355" s="23"/>
      <c r="LQ355" s="23"/>
      <c r="LR355" s="23"/>
      <c r="LS355" s="23"/>
      <c r="LT355" s="23"/>
      <c r="LU355" s="23"/>
      <c r="LV355" s="23"/>
      <c r="LW355" s="23"/>
      <c r="LX355" s="23"/>
      <c r="LY355" s="23"/>
      <c r="LZ355" s="23"/>
      <c r="MA355" s="23"/>
      <c r="MB355" s="23"/>
      <c r="MC355" s="23"/>
      <c r="MD355" s="23"/>
      <c r="ME355" s="23"/>
      <c r="MF355" s="23"/>
      <c r="MG355" s="23"/>
      <c r="MH355" s="23"/>
      <c r="MI355" s="23"/>
      <c r="MJ355" s="23"/>
      <c r="MK355" s="23"/>
      <c r="ML355" s="23"/>
      <c r="MM355" s="23"/>
      <c r="MN355" s="23"/>
      <c r="MO355" s="23"/>
      <c r="MP355" s="23"/>
      <c r="MQ355" s="23"/>
      <c r="MR355" s="23"/>
      <c r="MS355" s="23"/>
      <c r="MT355" s="23"/>
      <c r="MU355" s="23"/>
      <c r="MV355" s="23"/>
      <c r="MW355" s="23"/>
      <c r="MX355" s="23"/>
      <c r="MY355" s="23"/>
      <c r="MZ355" s="23"/>
      <c r="NA355" s="23"/>
      <c r="NB355" s="23"/>
      <c r="NC355" s="23"/>
      <c r="ND355" s="23"/>
      <c r="NE355" s="23"/>
      <c r="NF355" s="23"/>
      <c r="NG355" s="23"/>
      <c r="NH355" s="23"/>
      <c r="NI355" s="23"/>
      <c r="NJ355" s="23"/>
      <c r="NK355" s="23"/>
      <c r="NL355" s="23"/>
      <c r="NM355" s="23"/>
      <c r="NN355" s="23"/>
    </row>
    <row r="356" spans="5:378" ht="15" customHeight="1"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  <c r="IL356" s="23"/>
      <c r="IM356" s="23"/>
      <c r="IN356" s="23"/>
      <c r="IO356" s="23"/>
      <c r="IP356" s="23"/>
      <c r="IQ356" s="23"/>
      <c r="IR356" s="23"/>
      <c r="IS356" s="23"/>
      <c r="IT356" s="23"/>
      <c r="IU356" s="23"/>
      <c r="IV356" s="23"/>
      <c r="IW356" s="23"/>
      <c r="IX356" s="23"/>
      <c r="IY356" s="23"/>
      <c r="IZ356" s="23"/>
      <c r="JA356" s="23"/>
      <c r="JB356" s="23"/>
      <c r="JC356" s="23"/>
      <c r="JD356" s="23"/>
      <c r="JE356" s="23"/>
      <c r="JF356" s="23"/>
      <c r="JG356" s="23"/>
      <c r="JH356" s="23"/>
      <c r="JI356" s="23"/>
      <c r="JJ356" s="23"/>
      <c r="JK356" s="23"/>
      <c r="JL356" s="23"/>
      <c r="JM356" s="23"/>
      <c r="JN356" s="23"/>
      <c r="JO356" s="23"/>
      <c r="JP356" s="23"/>
      <c r="JQ356" s="23"/>
      <c r="JR356" s="23"/>
      <c r="JS356" s="23"/>
      <c r="JT356" s="23"/>
      <c r="JU356" s="23"/>
      <c r="JV356" s="23"/>
      <c r="JW356" s="23"/>
      <c r="JX356" s="23"/>
      <c r="JY356" s="23"/>
      <c r="JZ356" s="23"/>
      <c r="KA356" s="23"/>
      <c r="KB356" s="23"/>
      <c r="KC356" s="23"/>
      <c r="KD356" s="23"/>
      <c r="KE356" s="23"/>
      <c r="KF356" s="23"/>
      <c r="KG356" s="23"/>
      <c r="KH356" s="23"/>
      <c r="KI356" s="23"/>
      <c r="KJ356" s="23"/>
      <c r="KK356" s="23"/>
      <c r="KL356" s="23"/>
      <c r="KM356" s="23"/>
      <c r="KN356" s="23"/>
      <c r="KO356" s="23"/>
      <c r="KP356" s="23"/>
      <c r="KQ356" s="23"/>
      <c r="KR356" s="23"/>
      <c r="KS356" s="23"/>
      <c r="KT356" s="23"/>
      <c r="KU356" s="23"/>
      <c r="KV356" s="23"/>
      <c r="KW356" s="23"/>
      <c r="KX356" s="23"/>
      <c r="KY356" s="23"/>
      <c r="KZ356" s="23"/>
      <c r="LA356" s="23"/>
      <c r="LB356" s="23"/>
      <c r="LC356" s="23"/>
      <c r="LD356" s="23"/>
      <c r="LE356" s="23"/>
      <c r="LF356" s="23"/>
      <c r="LG356" s="23"/>
      <c r="LH356" s="23"/>
      <c r="LI356" s="23"/>
      <c r="LJ356" s="23"/>
      <c r="LK356" s="23"/>
      <c r="LL356" s="23"/>
      <c r="LM356" s="23"/>
      <c r="LN356" s="23"/>
      <c r="LO356" s="23"/>
      <c r="LP356" s="23"/>
      <c r="LQ356" s="23"/>
      <c r="LR356" s="23"/>
      <c r="LS356" s="23"/>
      <c r="LT356" s="23"/>
      <c r="LU356" s="23"/>
      <c r="LV356" s="23"/>
      <c r="LW356" s="23"/>
      <c r="LX356" s="23"/>
      <c r="LY356" s="23"/>
      <c r="LZ356" s="23"/>
      <c r="MA356" s="23"/>
      <c r="MB356" s="23"/>
      <c r="MC356" s="23"/>
      <c r="MD356" s="23"/>
      <c r="ME356" s="23"/>
      <c r="MF356" s="23"/>
      <c r="MG356" s="23"/>
      <c r="MH356" s="23"/>
      <c r="MI356" s="23"/>
      <c r="MJ356" s="23"/>
      <c r="MK356" s="23"/>
      <c r="ML356" s="23"/>
      <c r="MM356" s="23"/>
      <c r="MN356" s="23"/>
      <c r="MO356" s="23"/>
      <c r="MP356" s="23"/>
      <c r="MQ356" s="23"/>
      <c r="MR356" s="23"/>
      <c r="MS356" s="23"/>
      <c r="MT356" s="23"/>
      <c r="MU356" s="23"/>
      <c r="MV356" s="23"/>
      <c r="MW356" s="23"/>
      <c r="MX356" s="23"/>
      <c r="MY356" s="23"/>
      <c r="MZ356" s="23"/>
      <c r="NA356" s="23"/>
      <c r="NB356" s="23"/>
      <c r="NC356" s="23"/>
      <c r="ND356" s="23"/>
      <c r="NE356" s="23"/>
      <c r="NF356" s="23"/>
      <c r="NG356" s="23"/>
      <c r="NH356" s="23"/>
      <c r="NI356" s="23"/>
      <c r="NJ356" s="23"/>
      <c r="NK356" s="23"/>
      <c r="NL356" s="23"/>
      <c r="NM356" s="23"/>
      <c r="NN356" s="23"/>
    </row>
    <row r="357" spans="5:378" ht="15" customHeight="1"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  <c r="IL357" s="23"/>
      <c r="IM357" s="23"/>
      <c r="IN357" s="23"/>
      <c r="IO357" s="23"/>
      <c r="IP357" s="23"/>
      <c r="IQ357" s="23"/>
      <c r="IR357" s="23"/>
      <c r="IS357" s="23"/>
      <c r="IT357" s="23"/>
      <c r="IU357" s="23"/>
      <c r="IV357" s="23"/>
      <c r="IW357" s="23"/>
      <c r="IX357" s="23"/>
      <c r="IY357" s="23"/>
      <c r="IZ357" s="23"/>
      <c r="JA357" s="23"/>
      <c r="JB357" s="23"/>
      <c r="JC357" s="23"/>
      <c r="JD357" s="23"/>
      <c r="JE357" s="23"/>
      <c r="JF357" s="23"/>
      <c r="JG357" s="23"/>
      <c r="JH357" s="23"/>
      <c r="JI357" s="23"/>
      <c r="JJ357" s="23"/>
      <c r="JK357" s="23"/>
      <c r="JL357" s="23"/>
      <c r="JM357" s="23"/>
      <c r="JN357" s="23"/>
      <c r="JO357" s="23"/>
      <c r="JP357" s="23"/>
      <c r="JQ357" s="23"/>
      <c r="JR357" s="23"/>
      <c r="JS357" s="23"/>
      <c r="JT357" s="23"/>
      <c r="JU357" s="23"/>
      <c r="JV357" s="23"/>
      <c r="JW357" s="23"/>
      <c r="JX357" s="23"/>
      <c r="JY357" s="23"/>
      <c r="JZ357" s="23"/>
      <c r="KA357" s="23"/>
      <c r="KB357" s="23"/>
      <c r="KC357" s="23"/>
      <c r="KD357" s="23"/>
      <c r="KE357" s="23"/>
      <c r="KF357" s="23"/>
      <c r="KG357" s="23"/>
      <c r="KH357" s="23"/>
      <c r="KI357" s="23"/>
      <c r="KJ357" s="23"/>
      <c r="KK357" s="23"/>
      <c r="KL357" s="23"/>
      <c r="KM357" s="23"/>
      <c r="KN357" s="23"/>
      <c r="KO357" s="23"/>
      <c r="KP357" s="23"/>
      <c r="KQ357" s="23"/>
      <c r="KR357" s="23"/>
      <c r="KS357" s="23"/>
      <c r="KT357" s="23"/>
      <c r="KU357" s="23"/>
      <c r="KV357" s="23"/>
      <c r="KW357" s="23"/>
      <c r="KX357" s="23"/>
      <c r="KY357" s="23"/>
      <c r="KZ357" s="23"/>
      <c r="LA357" s="23"/>
      <c r="LB357" s="23"/>
      <c r="LC357" s="23"/>
      <c r="LD357" s="23"/>
      <c r="LE357" s="23"/>
      <c r="LF357" s="23"/>
      <c r="LG357" s="23"/>
      <c r="LH357" s="23"/>
      <c r="LI357" s="23"/>
      <c r="LJ357" s="23"/>
      <c r="LK357" s="23"/>
      <c r="LL357" s="23"/>
      <c r="LM357" s="23"/>
      <c r="LN357" s="23"/>
      <c r="LO357" s="23"/>
      <c r="LP357" s="23"/>
      <c r="LQ357" s="23"/>
      <c r="LR357" s="23"/>
      <c r="LS357" s="23"/>
      <c r="LT357" s="23"/>
      <c r="LU357" s="23"/>
      <c r="LV357" s="23"/>
      <c r="LW357" s="23"/>
      <c r="LX357" s="23"/>
      <c r="LY357" s="23"/>
      <c r="LZ357" s="23"/>
      <c r="MA357" s="23"/>
      <c r="MB357" s="23"/>
      <c r="MC357" s="23"/>
      <c r="MD357" s="23"/>
      <c r="ME357" s="23"/>
      <c r="MF357" s="23"/>
      <c r="MG357" s="23"/>
      <c r="MH357" s="23"/>
      <c r="MI357" s="23"/>
      <c r="MJ357" s="23"/>
      <c r="MK357" s="23"/>
      <c r="ML357" s="23"/>
      <c r="MM357" s="23"/>
      <c r="MN357" s="23"/>
      <c r="MO357" s="23"/>
      <c r="MP357" s="23"/>
      <c r="MQ357" s="23"/>
      <c r="MR357" s="23"/>
      <c r="MS357" s="23"/>
      <c r="MT357" s="23"/>
      <c r="MU357" s="23"/>
      <c r="MV357" s="23"/>
      <c r="MW357" s="23"/>
      <c r="MX357" s="23"/>
      <c r="MY357" s="23"/>
      <c r="MZ357" s="23"/>
      <c r="NA357" s="23"/>
      <c r="NB357" s="23"/>
      <c r="NC357" s="23"/>
      <c r="ND357" s="23"/>
      <c r="NE357" s="23"/>
      <c r="NF357" s="23"/>
      <c r="NG357" s="23"/>
      <c r="NH357" s="23"/>
      <c r="NI357" s="23"/>
      <c r="NJ357" s="23"/>
      <c r="NK357" s="23"/>
      <c r="NL357" s="23"/>
      <c r="NM357" s="23"/>
      <c r="NN357" s="23"/>
    </row>
    <row r="358" spans="5:378" ht="15" customHeight="1"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  <c r="IL358" s="23"/>
      <c r="IM358" s="23"/>
      <c r="IN358" s="23"/>
      <c r="IO358" s="23"/>
      <c r="IP358" s="23"/>
      <c r="IQ358" s="23"/>
      <c r="IR358" s="23"/>
      <c r="IS358" s="23"/>
      <c r="IT358" s="23"/>
      <c r="IU358" s="23"/>
      <c r="IV358" s="23"/>
      <c r="IW358" s="23"/>
      <c r="IX358" s="23"/>
      <c r="IY358" s="23"/>
      <c r="IZ358" s="23"/>
      <c r="JA358" s="23"/>
      <c r="JB358" s="23"/>
      <c r="JC358" s="23"/>
      <c r="JD358" s="23"/>
      <c r="JE358" s="23"/>
      <c r="JF358" s="23"/>
      <c r="JG358" s="23"/>
      <c r="JH358" s="23"/>
      <c r="JI358" s="23"/>
      <c r="JJ358" s="23"/>
      <c r="JK358" s="23"/>
      <c r="JL358" s="23"/>
      <c r="JM358" s="23"/>
      <c r="JN358" s="23"/>
      <c r="JO358" s="23"/>
      <c r="JP358" s="23"/>
      <c r="JQ358" s="23"/>
      <c r="JR358" s="23"/>
      <c r="JS358" s="23"/>
      <c r="JT358" s="23"/>
      <c r="JU358" s="23"/>
      <c r="JV358" s="23"/>
      <c r="JW358" s="23"/>
      <c r="JX358" s="23"/>
      <c r="JY358" s="23"/>
      <c r="JZ358" s="23"/>
      <c r="KA358" s="23"/>
      <c r="KB358" s="23"/>
      <c r="KC358" s="23"/>
      <c r="KD358" s="23"/>
      <c r="KE358" s="23"/>
      <c r="KF358" s="23"/>
      <c r="KG358" s="23"/>
      <c r="KH358" s="23"/>
      <c r="KI358" s="23"/>
      <c r="KJ358" s="23"/>
      <c r="KK358" s="23"/>
      <c r="KL358" s="23"/>
      <c r="KM358" s="23"/>
      <c r="KN358" s="23"/>
      <c r="KO358" s="23"/>
      <c r="KP358" s="23"/>
      <c r="KQ358" s="23"/>
      <c r="KR358" s="23"/>
      <c r="KS358" s="23"/>
      <c r="KT358" s="23"/>
      <c r="KU358" s="23"/>
      <c r="KV358" s="23"/>
      <c r="KW358" s="23"/>
      <c r="KX358" s="23"/>
      <c r="KY358" s="23"/>
      <c r="KZ358" s="23"/>
      <c r="LA358" s="23"/>
      <c r="LB358" s="23"/>
      <c r="LC358" s="23"/>
      <c r="LD358" s="23"/>
      <c r="LE358" s="23"/>
      <c r="LF358" s="23"/>
      <c r="LG358" s="23"/>
      <c r="LH358" s="23"/>
      <c r="LI358" s="23"/>
      <c r="LJ358" s="23"/>
      <c r="LK358" s="23"/>
      <c r="LL358" s="23"/>
      <c r="LM358" s="23"/>
      <c r="LN358" s="23"/>
      <c r="LO358" s="23"/>
      <c r="LP358" s="23"/>
      <c r="LQ358" s="23"/>
      <c r="LR358" s="23"/>
      <c r="LS358" s="23"/>
      <c r="LT358" s="23"/>
      <c r="LU358" s="23"/>
      <c r="LV358" s="23"/>
      <c r="LW358" s="23"/>
      <c r="LX358" s="23"/>
      <c r="LY358" s="23"/>
      <c r="LZ358" s="23"/>
      <c r="MA358" s="23"/>
      <c r="MB358" s="23"/>
      <c r="MC358" s="23"/>
      <c r="MD358" s="23"/>
      <c r="ME358" s="23"/>
      <c r="MF358" s="23"/>
      <c r="MG358" s="23"/>
      <c r="MH358" s="23"/>
      <c r="MI358" s="23"/>
      <c r="MJ358" s="23"/>
      <c r="MK358" s="23"/>
      <c r="ML358" s="23"/>
      <c r="MM358" s="23"/>
      <c r="MN358" s="23"/>
      <c r="MO358" s="23"/>
      <c r="MP358" s="23"/>
      <c r="MQ358" s="23"/>
      <c r="MR358" s="23"/>
      <c r="MS358" s="23"/>
      <c r="MT358" s="23"/>
      <c r="MU358" s="23"/>
      <c r="MV358" s="23"/>
      <c r="MW358" s="23"/>
      <c r="MX358" s="23"/>
      <c r="MY358" s="23"/>
      <c r="MZ358" s="23"/>
      <c r="NA358" s="23"/>
      <c r="NB358" s="23"/>
      <c r="NC358" s="23"/>
      <c r="ND358" s="23"/>
      <c r="NE358" s="23"/>
      <c r="NF358" s="23"/>
      <c r="NG358" s="23"/>
      <c r="NH358" s="23"/>
      <c r="NI358" s="23"/>
      <c r="NJ358" s="23"/>
      <c r="NK358" s="23"/>
      <c r="NL358" s="23"/>
      <c r="NM358" s="23"/>
      <c r="NN358" s="23"/>
    </row>
    <row r="359" spans="5:378" ht="15" customHeight="1"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  <c r="IL359" s="23"/>
      <c r="IM359" s="23"/>
      <c r="IN359" s="23"/>
      <c r="IO359" s="23"/>
      <c r="IP359" s="23"/>
      <c r="IQ359" s="23"/>
      <c r="IR359" s="23"/>
      <c r="IS359" s="23"/>
      <c r="IT359" s="23"/>
      <c r="IU359" s="23"/>
      <c r="IV359" s="23"/>
      <c r="IW359" s="23"/>
      <c r="IX359" s="23"/>
      <c r="IY359" s="23"/>
      <c r="IZ359" s="23"/>
      <c r="JA359" s="23"/>
      <c r="JB359" s="23"/>
      <c r="JC359" s="23"/>
      <c r="JD359" s="23"/>
      <c r="JE359" s="23"/>
      <c r="JF359" s="23"/>
      <c r="JG359" s="23"/>
      <c r="JH359" s="23"/>
      <c r="JI359" s="23"/>
      <c r="JJ359" s="23"/>
      <c r="JK359" s="23"/>
      <c r="JL359" s="23"/>
      <c r="JM359" s="23"/>
      <c r="JN359" s="23"/>
      <c r="JO359" s="23"/>
      <c r="JP359" s="23"/>
      <c r="JQ359" s="23"/>
      <c r="JR359" s="23"/>
      <c r="JS359" s="23"/>
      <c r="JT359" s="23"/>
      <c r="JU359" s="23"/>
      <c r="JV359" s="23"/>
      <c r="JW359" s="23"/>
      <c r="JX359" s="23"/>
      <c r="JY359" s="23"/>
      <c r="JZ359" s="23"/>
      <c r="KA359" s="23"/>
      <c r="KB359" s="23"/>
      <c r="KC359" s="23"/>
      <c r="KD359" s="23"/>
      <c r="KE359" s="23"/>
      <c r="KF359" s="23"/>
      <c r="KG359" s="23"/>
      <c r="KH359" s="23"/>
      <c r="KI359" s="23"/>
      <c r="KJ359" s="23"/>
      <c r="KK359" s="23"/>
      <c r="KL359" s="23"/>
      <c r="KM359" s="23"/>
      <c r="KN359" s="23"/>
      <c r="KO359" s="23"/>
      <c r="KP359" s="23"/>
      <c r="KQ359" s="23"/>
      <c r="KR359" s="23"/>
      <c r="KS359" s="23"/>
      <c r="KT359" s="23"/>
      <c r="KU359" s="23"/>
      <c r="KV359" s="23"/>
      <c r="KW359" s="23"/>
      <c r="KX359" s="23"/>
      <c r="KY359" s="23"/>
      <c r="KZ359" s="23"/>
      <c r="LA359" s="23"/>
      <c r="LB359" s="23"/>
      <c r="LC359" s="23"/>
      <c r="LD359" s="23"/>
      <c r="LE359" s="23"/>
      <c r="LF359" s="23"/>
      <c r="LG359" s="23"/>
      <c r="LH359" s="23"/>
      <c r="LI359" s="23"/>
      <c r="LJ359" s="23"/>
      <c r="LK359" s="23"/>
      <c r="LL359" s="23"/>
      <c r="LM359" s="23"/>
      <c r="LN359" s="23"/>
      <c r="LO359" s="23"/>
      <c r="LP359" s="23"/>
      <c r="LQ359" s="23"/>
      <c r="LR359" s="23"/>
      <c r="LS359" s="23"/>
      <c r="LT359" s="23"/>
      <c r="LU359" s="23"/>
      <c r="LV359" s="23"/>
      <c r="LW359" s="23"/>
      <c r="LX359" s="23"/>
      <c r="LY359" s="23"/>
      <c r="LZ359" s="23"/>
      <c r="MA359" s="23"/>
      <c r="MB359" s="23"/>
      <c r="MC359" s="23"/>
      <c r="MD359" s="23"/>
      <c r="ME359" s="23"/>
      <c r="MF359" s="23"/>
      <c r="MG359" s="23"/>
      <c r="MH359" s="23"/>
      <c r="MI359" s="23"/>
      <c r="MJ359" s="23"/>
      <c r="MK359" s="23"/>
      <c r="ML359" s="23"/>
      <c r="MM359" s="23"/>
      <c r="MN359" s="23"/>
      <c r="MO359" s="23"/>
      <c r="MP359" s="23"/>
      <c r="MQ359" s="23"/>
      <c r="MR359" s="23"/>
      <c r="MS359" s="23"/>
      <c r="MT359" s="23"/>
      <c r="MU359" s="23"/>
      <c r="MV359" s="23"/>
      <c r="MW359" s="23"/>
      <c r="MX359" s="23"/>
      <c r="MY359" s="23"/>
      <c r="MZ359" s="23"/>
      <c r="NA359" s="23"/>
      <c r="NB359" s="23"/>
      <c r="NC359" s="23"/>
      <c r="ND359" s="23"/>
      <c r="NE359" s="23"/>
      <c r="NF359" s="23"/>
      <c r="NG359" s="23"/>
      <c r="NH359" s="23"/>
      <c r="NI359" s="23"/>
      <c r="NJ359" s="23"/>
      <c r="NK359" s="23"/>
      <c r="NL359" s="23"/>
      <c r="NM359" s="23"/>
      <c r="NN359" s="23"/>
    </row>
    <row r="360" spans="5:378" ht="15" customHeight="1"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  <c r="IL360" s="23"/>
      <c r="IM360" s="23"/>
      <c r="IN360" s="23"/>
      <c r="IO360" s="23"/>
      <c r="IP360" s="23"/>
      <c r="IQ360" s="23"/>
      <c r="IR360" s="23"/>
      <c r="IS360" s="23"/>
      <c r="IT360" s="23"/>
      <c r="IU360" s="23"/>
      <c r="IV360" s="23"/>
      <c r="IW360" s="23"/>
      <c r="IX360" s="23"/>
      <c r="IY360" s="23"/>
      <c r="IZ360" s="23"/>
      <c r="JA360" s="23"/>
      <c r="JB360" s="23"/>
      <c r="JC360" s="23"/>
      <c r="JD360" s="23"/>
      <c r="JE360" s="23"/>
      <c r="JF360" s="23"/>
      <c r="JG360" s="23"/>
      <c r="JH360" s="23"/>
      <c r="JI360" s="23"/>
      <c r="JJ360" s="23"/>
      <c r="JK360" s="23"/>
      <c r="JL360" s="23"/>
      <c r="JM360" s="23"/>
      <c r="JN360" s="23"/>
      <c r="JO360" s="23"/>
      <c r="JP360" s="23"/>
      <c r="JQ360" s="23"/>
      <c r="JR360" s="23"/>
      <c r="JS360" s="23"/>
      <c r="JT360" s="23"/>
      <c r="JU360" s="23"/>
      <c r="JV360" s="23"/>
      <c r="JW360" s="23"/>
      <c r="JX360" s="23"/>
      <c r="JY360" s="23"/>
      <c r="JZ360" s="23"/>
      <c r="KA360" s="23"/>
      <c r="KB360" s="23"/>
      <c r="KC360" s="23"/>
      <c r="KD360" s="23"/>
      <c r="KE360" s="23"/>
      <c r="KF360" s="23"/>
      <c r="KG360" s="23"/>
      <c r="KH360" s="23"/>
      <c r="KI360" s="23"/>
      <c r="KJ360" s="23"/>
      <c r="KK360" s="23"/>
      <c r="KL360" s="23"/>
      <c r="KM360" s="23"/>
      <c r="KN360" s="23"/>
      <c r="KO360" s="23"/>
      <c r="KP360" s="23"/>
      <c r="KQ360" s="23"/>
      <c r="KR360" s="23"/>
      <c r="KS360" s="23"/>
      <c r="KT360" s="23"/>
      <c r="KU360" s="23"/>
      <c r="KV360" s="23"/>
      <c r="KW360" s="23"/>
      <c r="KX360" s="23"/>
      <c r="KY360" s="23"/>
      <c r="KZ360" s="23"/>
      <c r="LA360" s="23"/>
      <c r="LB360" s="23"/>
      <c r="LC360" s="23"/>
      <c r="LD360" s="23"/>
      <c r="LE360" s="23"/>
      <c r="LF360" s="23"/>
      <c r="LG360" s="23"/>
      <c r="LH360" s="23"/>
      <c r="LI360" s="23"/>
      <c r="LJ360" s="23"/>
      <c r="LK360" s="23"/>
      <c r="LL360" s="23"/>
      <c r="LM360" s="23"/>
      <c r="LN360" s="23"/>
      <c r="LO360" s="23"/>
      <c r="LP360" s="23"/>
      <c r="LQ360" s="23"/>
      <c r="LR360" s="23"/>
      <c r="LS360" s="23"/>
      <c r="LT360" s="23"/>
      <c r="LU360" s="23"/>
      <c r="LV360" s="23"/>
      <c r="LW360" s="23"/>
      <c r="LX360" s="23"/>
      <c r="LY360" s="23"/>
      <c r="LZ360" s="23"/>
      <c r="MA360" s="23"/>
      <c r="MB360" s="23"/>
      <c r="MC360" s="23"/>
      <c r="MD360" s="23"/>
      <c r="ME360" s="23"/>
      <c r="MF360" s="23"/>
      <c r="MG360" s="23"/>
      <c r="MH360" s="23"/>
      <c r="MI360" s="23"/>
      <c r="MJ360" s="23"/>
      <c r="MK360" s="23"/>
      <c r="ML360" s="23"/>
      <c r="MM360" s="23"/>
      <c r="MN360" s="23"/>
      <c r="MO360" s="23"/>
      <c r="MP360" s="23"/>
      <c r="MQ360" s="23"/>
      <c r="MR360" s="23"/>
      <c r="MS360" s="23"/>
      <c r="MT360" s="23"/>
      <c r="MU360" s="23"/>
      <c r="MV360" s="23"/>
      <c r="MW360" s="23"/>
      <c r="MX360" s="23"/>
      <c r="MY360" s="23"/>
      <c r="MZ360" s="23"/>
      <c r="NA360" s="23"/>
      <c r="NB360" s="23"/>
      <c r="NC360" s="23"/>
      <c r="ND360" s="23"/>
      <c r="NE360" s="23"/>
      <c r="NF360" s="23"/>
      <c r="NG360" s="23"/>
      <c r="NH360" s="23"/>
      <c r="NI360" s="23"/>
      <c r="NJ360" s="23"/>
      <c r="NK360" s="23"/>
      <c r="NL360" s="23"/>
      <c r="NM360" s="23"/>
      <c r="NN360" s="23"/>
    </row>
    <row r="361" spans="5:378" ht="15" customHeight="1"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  <c r="IL361" s="23"/>
      <c r="IM361" s="23"/>
      <c r="IN361" s="23"/>
      <c r="IO361" s="23"/>
      <c r="IP361" s="23"/>
      <c r="IQ361" s="23"/>
      <c r="IR361" s="23"/>
      <c r="IS361" s="23"/>
      <c r="IT361" s="23"/>
      <c r="IU361" s="23"/>
      <c r="IV361" s="23"/>
      <c r="IW361" s="23"/>
      <c r="IX361" s="23"/>
      <c r="IY361" s="23"/>
      <c r="IZ361" s="23"/>
      <c r="JA361" s="23"/>
      <c r="JB361" s="23"/>
      <c r="JC361" s="23"/>
      <c r="JD361" s="23"/>
      <c r="JE361" s="23"/>
      <c r="JF361" s="23"/>
      <c r="JG361" s="23"/>
      <c r="JH361" s="23"/>
      <c r="JI361" s="23"/>
      <c r="JJ361" s="23"/>
      <c r="JK361" s="23"/>
      <c r="JL361" s="23"/>
      <c r="JM361" s="23"/>
      <c r="JN361" s="23"/>
      <c r="JO361" s="23"/>
      <c r="JP361" s="23"/>
      <c r="JQ361" s="23"/>
      <c r="JR361" s="23"/>
      <c r="JS361" s="23"/>
      <c r="JT361" s="23"/>
      <c r="JU361" s="23"/>
      <c r="JV361" s="23"/>
      <c r="JW361" s="23"/>
      <c r="JX361" s="23"/>
      <c r="JY361" s="23"/>
      <c r="JZ361" s="23"/>
      <c r="KA361" s="23"/>
      <c r="KB361" s="23"/>
      <c r="KC361" s="23"/>
      <c r="KD361" s="23"/>
      <c r="KE361" s="23"/>
      <c r="KF361" s="23"/>
      <c r="KG361" s="23"/>
      <c r="KH361" s="23"/>
      <c r="KI361" s="23"/>
      <c r="KJ361" s="23"/>
      <c r="KK361" s="23"/>
      <c r="KL361" s="23"/>
      <c r="KM361" s="23"/>
      <c r="KN361" s="23"/>
      <c r="KO361" s="23"/>
      <c r="KP361" s="23"/>
      <c r="KQ361" s="23"/>
      <c r="KR361" s="23"/>
      <c r="KS361" s="23"/>
      <c r="KT361" s="23"/>
      <c r="KU361" s="23"/>
      <c r="KV361" s="23"/>
      <c r="KW361" s="23"/>
      <c r="KX361" s="23"/>
      <c r="KY361" s="23"/>
      <c r="KZ361" s="23"/>
      <c r="LA361" s="23"/>
      <c r="LB361" s="23"/>
      <c r="LC361" s="23"/>
      <c r="LD361" s="23"/>
      <c r="LE361" s="23"/>
      <c r="LF361" s="23"/>
      <c r="LG361" s="23"/>
      <c r="LH361" s="23"/>
      <c r="LI361" s="23"/>
      <c r="LJ361" s="23"/>
      <c r="LK361" s="23"/>
      <c r="LL361" s="23"/>
      <c r="LM361" s="23"/>
      <c r="LN361" s="23"/>
      <c r="LO361" s="23"/>
      <c r="LP361" s="23"/>
      <c r="LQ361" s="23"/>
      <c r="LR361" s="23"/>
      <c r="LS361" s="23"/>
      <c r="LT361" s="23"/>
      <c r="LU361" s="23"/>
      <c r="LV361" s="23"/>
      <c r="LW361" s="23"/>
      <c r="LX361" s="23"/>
      <c r="LY361" s="23"/>
      <c r="LZ361" s="23"/>
      <c r="MA361" s="23"/>
      <c r="MB361" s="23"/>
      <c r="MC361" s="23"/>
      <c r="MD361" s="23"/>
      <c r="ME361" s="23"/>
      <c r="MF361" s="23"/>
      <c r="MG361" s="23"/>
      <c r="MH361" s="23"/>
      <c r="MI361" s="23"/>
      <c r="MJ361" s="23"/>
      <c r="MK361" s="23"/>
      <c r="ML361" s="23"/>
      <c r="MM361" s="23"/>
      <c r="MN361" s="23"/>
      <c r="MO361" s="23"/>
      <c r="MP361" s="23"/>
      <c r="MQ361" s="23"/>
      <c r="MR361" s="23"/>
      <c r="MS361" s="23"/>
      <c r="MT361" s="23"/>
      <c r="MU361" s="23"/>
      <c r="MV361" s="23"/>
      <c r="MW361" s="23"/>
      <c r="MX361" s="23"/>
      <c r="MY361" s="23"/>
      <c r="MZ361" s="23"/>
      <c r="NA361" s="23"/>
      <c r="NB361" s="23"/>
      <c r="NC361" s="23"/>
      <c r="ND361" s="23"/>
      <c r="NE361" s="23"/>
      <c r="NF361" s="23"/>
      <c r="NG361" s="23"/>
      <c r="NH361" s="23"/>
      <c r="NI361" s="23"/>
      <c r="NJ361" s="23"/>
      <c r="NK361" s="23"/>
      <c r="NL361" s="23"/>
      <c r="NM361" s="23"/>
      <c r="NN361" s="23"/>
    </row>
    <row r="362" spans="5:378" ht="15" customHeight="1"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  <c r="IL362" s="23"/>
      <c r="IM362" s="23"/>
      <c r="IN362" s="23"/>
      <c r="IO362" s="23"/>
      <c r="IP362" s="23"/>
      <c r="IQ362" s="23"/>
      <c r="IR362" s="23"/>
      <c r="IS362" s="23"/>
      <c r="IT362" s="23"/>
      <c r="IU362" s="23"/>
      <c r="IV362" s="23"/>
      <c r="IW362" s="23"/>
      <c r="IX362" s="23"/>
      <c r="IY362" s="23"/>
      <c r="IZ362" s="23"/>
      <c r="JA362" s="23"/>
      <c r="JB362" s="23"/>
      <c r="JC362" s="23"/>
      <c r="JD362" s="23"/>
      <c r="JE362" s="23"/>
      <c r="JF362" s="23"/>
      <c r="JG362" s="23"/>
      <c r="JH362" s="23"/>
      <c r="JI362" s="23"/>
      <c r="JJ362" s="23"/>
      <c r="JK362" s="23"/>
      <c r="JL362" s="23"/>
      <c r="JM362" s="23"/>
      <c r="JN362" s="23"/>
      <c r="JO362" s="23"/>
      <c r="JP362" s="23"/>
      <c r="JQ362" s="23"/>
      <c r="JR362" s="23"/>
      <c r="JS362" s="23"/>
      <c r="JT362" s="23"/>
      <c r="JU362" s="23"/>
      <c r="JV362" s="23"/>
      <c r="JW362" s="23"/>
      <c r="JX362" s="23"/>
      <c r="JY362" s="23"/>
      <c r="JZ362" s="23"/>
      <c r="KA362" s="23"/>
      <c r="KB362" s="23"/>
      <c r="KC362" s="23"/>
      <c r="KD362" s="23"/>
      <c r="KE362" s="23"/>
      <c r="KF362" s="23"/>
      <c r="KG362" s="23"/>
      <c r="KH362" s="23"/>
      <c r="KI362" s="23"/>
      <c r="KJ362" s="23"/>
      <c r="KK362" s="23"/>
      <c r="KL362" s="23"/>
      <c r="KM362" s="23"/>
      <c r="KN362" s="23"/>
      <c r="KO362" s="23"/>
      <c r="KP362" s="23"/>
      <c r="KQ362" s="23"/>
      <c r="KR362" s="23"/>
      <c r="KS362" s="23"/>
      <c r="KT362" s="23"/>
      <c r="KU362" s="23"/>
      <c r="KV362" s="23"/>
      <c r="KW362" s="23"/>
      <c r="KX362" s="23"/>
      <c r="KY362" s="23"/>
      <c r="KZ362" s="23"/>
      <c r="LA362" s="23"/>
      <c r="LB362" s="23"/>
      <c r="LC362" s="23"/>
      <c r="LD362" s="23"/>
      <c r="LE362" s="23"/>
      <c r="LF362" s="23"/>
      <c r="LG362" s="23"/>
      <c r="LH362" s="23"/>
      <c r="LI362" s="23"/>
      <c r="LJ362" s="23"/>
      <c r="LK362" s="23"/>
      <c r="LL362" s="23"/>
      <c r="LM362" s="23"/>
      <c r="LN362" s="23"/>
      <c r="LO362" s="23"/>
      <c r="LP362" s="23"/>
      <c r="LQ362" s="23"/>
      <c r="LR362" s="23"/>
      <c r="LS362" s="23"/>
      <c r="LT362" s="23"/>
      <c r="LU362" s="23"/>
      <c r="LV362" s="23"/>
      <c r="LW362" s="23"/>
      <c r="LX362" s="23"/>
      <c r="LY362" s="23"/>
      <c r="LZ362" s="23"/>
      <c r="MA362" s="23"/>
      <c r="MB362" s="23"/>
      <c r="MC362" s="23"/>
      <c r="MD362" s="23"/>
      <c r="ME362" s="23"/>
      <c r="MF362" s="23"/>
      <c r="MG362" s="23"/>
      <c r="MH362" s="23"/>
      <c r="MI362" s="23"/>
      <c r="MJ362" s="23"/>
      <c r="MK362" s="23"/>
      <c r="ML362" s="23"/>
      <c r="MM362" s="23"/>
      <c r="MN362" s="23"/>
      <c r="MO362" s="23"/>
      <c r="MP362" s="23"/>
      <c r="MQ362" s="23"/>
      <c r="MR362" s="23"/>
      <c r="MS362" s="23"/>
      <c r="MT362" s="23"/>
      <c r="MU362" s="23"/>
      <c r="MV362" s="23"/>
      <c r="MW362" s="23"/>
      <c r="MX362" s="23"/>
      <c r="MY362" s="23"/>
      <c r="MZ362" s="23"/>
      <c r="NA362" s="23"/>
      <c r="NB362" s="23"/>
      <c r="NC362" s="23"/>
      <c r="ND362" s="23"/>
      <c r="NE362" s="23"/>
      <c r="NF362" s="23"/>
      <c r="NG362" s="23"/>
      <c r="NH362" s="23"/>
      <c r="NI362" s="23"/>
      <c r="NJ362" s="23"/>
      <c r="NK362" s="23"/>
      <c r="NL362" s="23"/>
      <c r="NM362" s="23"/>
      <c r="NN362" s="23"/>
    </row>
    <row r="363" spans="5:378" ht="15" customHeight="1"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  <c r="IL363" s="23"/>
      <c r="IM363" s="23"/>
      <c r="IN363" s="23"/>
      <c r="IO363" s="23"/>
      <c r="IP363" s="23"/>
      <c r="IQ363" s="23"/>
      <c r="IR363" s="23"/>
      <c r="IS363" s="23"/>
      <c r="IT363" s="23"/>
      <c r="IU363" s="23"/>
      <c r="IV363" s="23"/>
      <c r="IW363" s="23"/>
      <c r="IX363" s="23"/>
      <c r="IY363" s="23"/>
      <c r="IZ363" s="23"/>
      <c r="JA363" s="23"/>
      <c r="JB363" s="23"/>
      <c r="JC363" s="23"/>
      <c r="JD363" s="23"/>
      <c r="JE363" s="23"/>
      <c r="JF363" s="23"/>
      <c r="JG363" s="23"/>
      <c r="JH363" s="23"/>
      <c r="JI363" s="23"/>
      <c r="JJ363" s="23"/>
      <c r="JK363" s="23"/>
      <c r="JL363" s="23"/>
      <c r="JM363" s="23"/>
      <c r="JN363" s="23"/>
      <c r="JO363" s="23"/>
      <c r="JP363" s="23"/>
      <c r="JQ363" s="23"/>
      <c r="JR363" s="23"/>
      <c r="JS363" s="23"/>
      <c r="JT363" s="23"/>
      <c r="JU363" s="23"/>
      <c r="JV363" s="23"/>
      <c r="JW363" s="23"/>
      <c r="JX363" s="23"/>
      <c r="JY363" s="23"/>
      <c r="JZ363" s="23"/>
      <c r="KA363" s="23"/>
      <c r="KB363" s="23"/>
      <c r="KC363" s="23"/>
      <c r="KD363" s="23"/>
      <c r="KE363" s="23"/>
      <c r="KF363" s="23"/>
      <c r="KG363" s="23"/>
      <c r="KH363" s="23"/>
      <c r="KI363" s="23"/>
      <c r="KJ363" s="23"/>
      <c r="KK363" s="23"/>
      <c r="KL363" s="23"/>
      <c r="KM363" s="23"/>
      <c r="KN363" s="23"/>
      <c r="KO363" s="23"/>
      <c r="KP363" s="23"/>
      <c r="KQ363" s="23"/>
      <c r="KR363" s="23"/>
      <c r="KS363" s="23"/>
      <c r="KT363" s="23"/>
      <c r="KU363" s="23"/>
      <c r="KV363" s="23"/>
      <c r="KW363" s="23"/>
      <c r="KX363" s="23"/>
      <c r="KY363" s="23"/>
      <c r="KZ363" s="23"/>
      <c r="LA363" s="23"/>
      <c r="LB363" s="23"/>
      <c r="LC363" s="23"/>
      <c r="LD363" s="23"/>
      <c r="LE363" s="23"/>
      <c r="LF363" s="23"/>
      <c r="LG363" s="23"/>
      <c r="LH363" s="23"/>
      <c r="LI363" s="23"/>
      <c r="LJ363" s="23"/>
      <c r="LK363" s="23"/>
      <c r="LL363" s="23"/>
      <c r="LM363" s="23"/>
      <c r="LN363" s="23"/>
      <c r="LO363" s="23"/>
      <c r="LP363" s="23"/>
      <c r="LQ363" s="23"/>
      <c r="LR363" s="23"/>
      <c r="LS363" s="23"/>
      <c r="LT363" s="23"/>
      <c r="LU363" s="23"/>
      <c r="LV363" s="23"/>
      <c r="LW363" s="23"/>
      <c r="LX363" s="23"/>
      <c r="LY363" s="23"/>
      <c r="LZ363" s="23"/>
      <c r="MA363" s="23"/>
      <c r="MB363" s="23"/>
      <c r="MC363" s="23"/>
      <c r="MD363" s="23"/>
      <c r="ME363" s="23"/>
      <c r="MF363" s="23"/>
      <c r="MG363" s="23"/>
      <c r="MH363" s="23"/>
      <c r="MI363" s="23"/>
      <c r="MJ363" s="23"/>
      <c r="MK363" s="23"/>
      <c r="ML363" s="23"/>
      <c r="MM363" s="23"/>
      <c r="MN363" s="23"/>
      <c r="MO363" s="23"/>
      <c r="MP363" s="23"/>
      <c r="MQ363" s="23"/>
      <c r="MR363" s="23"/>
      <c r="MS363" s="23"/>
      <c r="MT363" s="23"/>
      <c r="MU363" s="23"/>
      <c r="MV363" s="23"/>
      <c r="MW363" s="23"/>
      <c r="MX363" s="23"/>
      <c r="MY363" s="23"/>
      <c r="MZ363" s="23"/>
      <c r="NA363" s="23"/>
      <c r="NB363" s="23"/>
      <c r="NC363" s="23"/>
      <c r="ND363" s="23"/>
      <c r="NE363" s="23"/>
      <c r="NF363" s="23"/>
      <c r="NG363" s="23"/>
      <c r="NH363" s="23"/>
      <c r="NI363" s="23"/>
      <c r="NJ363" s="23"/>
      <c r="NK363" s="23"/>
      <c r="NL363" s="23"/>
      <c r="NM363" s="23"/>
      <c r="NN363" s="23"/>
    </row>
    <row r="364" spans="5:378" ht="15" customHeight="1"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  <c r="IL364" s="23"/>
      <c r="IM364" s="23"/>
      <c r="IN364" s="23"/>
      <c r="IO364" s="23"/>
      <c r="IP364" s="23"/>
      <c r="IQ364" s="23"/>
      <c r="IR364" s="23"/>
      <c r="IS364" s="23"/>
      <c r="IT364" s="23"/>
      <c r="IU364" s="23"/>
      <c r="IV364" s="23"/>
      <c r="IW364" s="23"/>
      <c r="IX364" s="23"/>
      <c r="IY364" s="23"/>
      <c r="IZ364" s="23"/>
      <c r="JA364" s="23"/>
      <c r="JB364" s="23"/>
      <c r="JC364" s="23"/>
      <c r="JD364" s="23"/>
      <c r="JE364" s="23"/>
      <c r="JF364" s="23"/>
      <c r="JG364" s="23"/>
      <c r="JH364" s="23"/>
      <c r="JI364" s="23"/>
      <c r="JJ364" s="23"/>
      <c r="JK364" s="23"/>
      <c r="JL364" s="23"/>
      <c r="JM364" s="23"/>
      <c r="JN364" s="23"/>
      <c r="JO364" s="23"/>
      <c r="JP364" s="23"/>
      <c r="JQ364" s="23"/>
      <c r="JR364" s="23"/>
      <c r="JS364" s="23"/>
      <c r="JT364" s="23"/>
      <c r="JU364" s="23"/>
      <c r="JV364" s="23"/>
      <c r="JW364" s="23"/>
      <c r="JX364" s="23"/>
      <c r="JY364" s="23"/>
      <c r="JZ364" s="23"/>
      <c r="KA364" s="23"/>
      <c r="KB364" s="23"/>
      <c r="KC364" s="23"/>
      <c r="KD364" s="23"/>
      <c r="KE364" s="23"/>
      <c r="KF364" s="23"/>
      <c r="KG364" s="23"/>
      <c r="KH364" s="23"/>
      <c r="KI364" s="23"/>
      <c r="KJ364" s="23"/>
      <c r="KK364" s="23"/>
      <c r="KL364" s="23"/>
      <c r="KM364" s="23"/>
      <c r="KN364" s="23"/>
      <c r="KO364" s="23"/>
      <c r="KP364" s="23"/>
      <c r="KQ364" s="23"/>
      <c r="KR364" s="23"/>
      <c r="KS364" s="23"/>
      <c r="KT364" s="23"/>
      <c r="KU364" s="23"/>
      <c r="KV364" s="23"/>
      <c r="KW364" s="23"/>
      <c r="KX364" s="23"/>
      <c r="KY364" s="23"/>
      <c r="KZ364" s="23"/>
      <c r="LA364" s="23"/>
      <c r="LB364" s="23"/>
      <c r="LC364" s="23"/>
      <c r="LD364" s="23"/>
      <c r="LE364" s="23"/>
      <c r="LF364" s="23"/>
      <c r="LG364" s="23"/>
      <c r="LH364" s="23"/>
      <c r="LI364" s="23"/>
      <c r="LJ364" s="23"/>
      <c r="LK364" s="23"/>
      <c r="LL364" s="23"/>
      <c r="LM364" s="23"/>
      <c r="LN364" s="23"/>
      <c r="LO364" s="23"/>
      <c r="LP364" s="23"/>
      <c r="LQ364" s="23"/>
      <c r="LR364" s="23"/>
      <c r="LS364" s="23"/>
      <c r="LT364" s="23"/>
      <c r="LU364" s="23"/>
      <c r="LV364" s="23"/>
      <c r="LW364" s="23"/>
      <c r="LX364" s="23"/>
      <c r="LY364" s="23"/>
      <c r="LZ364" s="23"/>
      <c r="MA364" s="23"/>
      <c r="MB364" s="23"/>
      <c r="MC364" s="23"/>
      <c r="MD364" s="23"/>
      <c r="ME364" s="23"/>
      <c r="MF364" s="23"/>
      <c r="MG364" s="23"/>
      <c r="MH364" s="23"/>
      <c r="MI364" s="23"/>
      <c r="MJ364" s="23"/>
      <c r="MK364" s="23"/>
      <c r="ML364" s="23"/>
      <c r="MM364" s="23"/>
      <c r="MN364" s="23"/>
      <c r="MO364" s="23"/>
      <c r="MP364" s="23"/>
      <c r="MQ364" s="23"/>
      <c r="MR364" s="23"/>
      <c r="MS364" s="23"/>
      <c r="MT364" s="23"/>
      <c r="MU364" s="23"/>
      <c r="MV364" s="23"/>
      <c r="MW364" s="23"/>
      <c r="MX364" s="23"/>
      <c r="MY364" s="23"/>
      <c r="MZ364" s="23"/>
      <c r="NA364" s="23"/>
      <c r="NB364" s="23"/>
      <c r="NC364" s="23"/>
      <c r="ND364" s="23"/>
      <c r="NE364" s="23"/>
      <c r="NF364" s="23"/>
      <c r="NG364" s="23"/>
      <c r="NH364" s="23"/>
      <c r="NI364" s="23"/>
      <c r="NJ364" s="23"/>
      <c r="NK364" s="23"/>
      <c r="NL364" s="23"/>
      <c r="NM364" s="23"/>
      <c r="NN364" s="23"/>
    </row>
    <row r="365" spans="5:378" ht="15" customHeight="1"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  <c r="IL365" s="23"/>
      <c r="IM365" s="23"/>
      <c r="IN365" s="23"/>
      <c r="IO365" s="23"/>
      <c r="IP365" s="23"/>
      <c r="IQ365" s="23"/>
      <c r="IR365" s="23"/>
      <c r="IS365" s="23"/>
      <c r="IT365" s="23"/>
      <c r="IU365" s="23"/>
      <c r="IV365" s="23"/>
      <c r="IW365" s="23"/>
      <c r="IX365" s="23"/>
      <c r="IY365" s="23"/>
      <c r="IZ365" s="23"/>
      <c r="JA365" s="23"/>
      <c r="JB365" s="23"/>
      <c r="JC365" s="23"/>
      <c r="JD365" s="23"/>
      <c r="JE365" s="23"/>
      <c r="JF365" s="23"/>
      <c r="JG365" s="23"/>
      <c r="JH365" s="23"/>
      <c r="JI365" s="23"/>
      <c r="JJ365" s="23"/>
      <c r="JK365" s="23"/>
      <c r="JL365" s="23"/>
      <c r="JM365" s="23"/>
      <c r="JN365" s="23"/>
      <c r="JO365" s="23"/>
      <c r="JP365" s="23"/>
      <c r="JQ365" s="23"/>
      <c r="JR365" s="23"/>
      <c r="JS365" s="23"/>
      <c r="JT365" s="23"/>
      <c r="JU365" s="23"/>
      <c r="JV365" s="23"/>
      <c r="JW365" s="23"/>
      <c r="JX365" s="23"/>
      <c r="JY365" s="23"/>
      <c r="JZ365" s="23"/>
      <c r="KA365" s="23"/>
      <c r="KB365" s="23"/>
      <c r="KC365" s="23"/>
      <c r="KD365" s="23"/>
      <c r="KE365" s="23"/>
      <c r="KF365" s="23"/>
      <c r="KG365" s="23"/>
      <c r="KH365" s="23"/>
      <c r="KI365" s="23"/>
      <c r="KJ365" s="23"/>
      <c r="KK365" s="23"/>
      <c r="KL365" s="23"/>
      <c r="KM365" s="23"/>
      <c r="KN365" s="23"/>
      <c r="KO365" s="23"/>
      <c r="KP365" s="23"/>
      <c r="KQ365" s="23"/>
      <c r="KR365" s="23"/>
      <c r="KS365" s="23"/>
      <c r="KT365" s="23"/>
      <c r="KU365" s="23"/>
      <c r="KV365" s="23"/>
      <c r="KW365" s="23"/>
      <c r="KX365" s="23"/>
      <c r="KY365" s="23"/>
      <c r="KZ365" s="23"/>
      <c r="LA365" s="23"/>
      <c r="LB365" s="23"/>
      <c r="LC365" s="23"/>
      <c r="LD365" s="23"/>
      <c r="LE365" s="23"/>
      <c r="LF365" s="23"/>
      <c r="LG365" s="23"/>
      <c r="LH365" s="23"/>
      <c r="LI365" s="23"/>
      <c r="LJ365" s="23"/>
      <c r="LK365" s="23"/>
      <c r="LL365" s="23"/>
      <c r="LM365" s="23"/>
      <c r="LN365" s="23"/>
      <c r="LO365" s="23"/>
      <c r="LP365" s="23"/>
      <c r="LQ365" s="23"/>
      <c r="LR365" s="23"/>
      <c r="LS365" s="23"/>
      <c r="LT365" s="23"/>
      <c r="LU365" s="23"/>
      <c r="LV365" s="23"/>
      <c r="LW365" s="23"/>
      <c r="LX365" s="23"/>
      <c r="LY365" s="23"/>
      <c r="LZ365" s="23"/>
      <c r="MA365" s="23"/>
      <c r="MB365" s="23"/>
      <c r="MC365" s="23"/>
      <c r="MD365" s="23"/>
      <c r="ME365" s="23"/>
      <c r="MF365" s="23"/>
      <c r="MG365" s="23"/>
      <c r="MH365" s="23"/>
      <c r="MI365" s="23"/>
      <c r="MJ365" s="23"/>
      <c r="MK365" s="23"/>
      <c r="ML365" s="23"/>
      <c r="MM365" s="23"/>
      <c r="MN365" s="23"/>
      <c r="MO365" s="23"/>
      <c r="MP365" s="23"/>
      <c r="MQ365" s="23"/>
      <c r="MR365" s="23"/>
      <c r="MS365" s="23"/>
      <c r="MT365" s="23"/>
      <c r="MU365" s="23"/>
      <c r="MV365" s="23"/>
      <c r="MW365" s="23"/>
      <c r="MX365" s="23"/>
      <c r="MY365" s="23"/>
      <c r="MZ365" s="23"/>
      <c r="NA365" s="23"/>
      <c r="NB365" s="23"/>
      <c r="NC365" s="23"/>
      <c r="ND365" s="23"/>
      <c r="NE365" s="23"/>
      <c r="NF365" s="23"/>
      <c r="NG365" s="23"/>
      <c r="NH365" s="23"/>
      <c r="NI365" s="23"/>
      <c r="NJ365" s="23"/>
      <c r="NK365" s="23"/>
      <c r="NL365" s="23"/>
      <c r="NM365" s="23"/>
      <c r="NN365" s="23"/>
    </row>
    <row r="366" spans="5:378" ht="15" customHeight="1"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  <c r="IL366" s="23"/>
      <c r="IM366" s="23"/>
      <c r="IN366" s="23"/>
      <c r="IO366" s="23"/>
      <c r="IP366" s="23"/>
      <c r="IQ366" s="23"/>
      <c r="IR366" s="23"/>
      <c r="IS366" s="23"/>
      <c r="IT366" s="23"/>
      <c r="IU366" s="23"/>
      <c r="IV366" s="23"/>
      <c r="IW366" s="23"/>
      <c r="IX366" s="23"/>
      <c r="IY366" s="23"/>
      <c r="IZ366" s="23"/>
      <c r="JA366" s="23"/>
      <c r="JB366" s="23"/>
      <c r="JC366" s="23"/>
      <c r="JD366" s="23"/>
      <c r="JE366" s="23"/>
      <c r="JF366" s="23"/>
      <c r="JG366" s="23"/>
      <c r="JH366" s="23"/>
      <c r="JI366" s="23"/>
      <c r="JJ366" s="23"/>
      <c r="JK366" s="23"/>
      <c r="JL366" s="23"/>
      <c r="JM366" s="23"/>
      <c r="JN366" s="23"/>
      <c r="JO366" s="23"/>
      <c r="JP366" s="23"/>
      <c r="JQ366" s="23"/>
      <c r="JR366" s="23"/>
      <c r="JS366" s="23"/>
      <c r="JT366" s="23"/>
      <c r="JU366" s="23"/>
      <c r="JV366" s="23"/>
      <c r="JW366" s="23"/>
      <c r="JX366" s="23"/>
      <c r="JY366" s="23"/>
      <c r="JZ366" s="23"/>
      <c r="KA366" s="23"/>
      <c r="KB366" s="23"/>
      <c r="KC366" s="23"/>
      <c r="KD366" s="23"/>
      <c r="KE366" s="23"/>
      <c r="KF366" s="23"/>
      <c r="KG366" s="23"/>
      <c r="KH366" s="23"/>
      <c r="KI366" s="23"/>
      <c r="KJ366" s="23"/>
      <c r="KK366" s="23"/>
      <c r="KL366" s="23"/>
      <c r="KM366" s="23"/>
      <c r="KN366" s="23"/>
      <c r="KO366" s="23"/>
      <c r="KP366" s="23"/>
      <c r="KQ366" s="23"/>
      <c r="KR366" s="23"/>
      <c r="KS366" s="23"/>
      <c r="KT366" s="23"/>
      <c r="KU366" s="23"/>
      <c r="KV366" s="23"/>
      <c r="KW366" s="23"/>
      <c r="KX366" s="23"/>
      <c r="KY366" s="23"/>
      <c r="KZ366" s="23"/>
      <c r="LA366" s="23"/>
      <c r="LB366" s="23"/>
      <c r="LC366" s="23"/>
      <c r="LD366" s="23"/>
      <c r="LE366" s="23"/>
      <c r="LF366" s="23"/>
      <c r="LG366" s="23"/>
      <c r="LH366" s="23"/>
      <c r="LI366" s="23"/>
      <c r="LJ366" s="23"/>
      <c r="LK366" s="23"/>
      <c r="LL366" s="23"/>
      <c r="LM366" s="23"/>
      <c r="LN366" s="23"/>
      <c r="LO366" s="23"/>
      <c r="LP366" s="23"/>
      <c r="LQ366" s="23"/>
      <c r="LR366" s="23"/>
      <c r="LS366" s="23"/>
      <c r="LT366" s="23"/>
      <c r="LU366" s="23"/>
      <c r="LV366" s="23"/>
      <c r="LW366" s="23"/>
      <c r="LX366" s="23"/>
      <c r="LY366" s="23"/>
      <c r="LZ366" s="23"/>
      <c r="MA366" s="23"/>
      <c r="MB366" s="23"/>
      <c r="MC366" s="23"/>
      <c r="MD366" s="23"/>
      <c r="ME366" s="23"/>
      <c r="MF366" s="23"/>
      <c r="MG366" s="23"/>
      <c r="MH366" s="23"/>
      <c r="MI366" s="23"/>
      <c r="MJ366" s="23"/>
      <c r="MK366" s="23"/>
      <c r="ML366" s="23"/>
      <c r="MM366" s="23"/>
      <c r="MN366" s="23"/>
      <c r="MO366" s="23"/>
      <c r="MP366" s="23"/>
      <c r="MQ366" s="23"/>
      <c r="MR366" s="23"/>
      <c r="MS366" s="23"/>
      <c r="MT366" s="23"/>
      <c r="MU366" s="23"/>
      <c r="MV366" s="23"/>
      <c r="MW366" s="23"/>
      <c r="MX366" s="23"/>
      <c r="MY366" s="23"/>
      <c r="MZ366" s="23"/>
      <c r="NA366" s="23"/>
      <c r="NB366" s="23"/>
      <c r="NC366" s="23"/>
      <c r="ND366" s="23"/>
      <c r="NE366" s="23"/>
      <c r="NF366" s="23"/>
      <c r="NG366" s="23"/>
      <c r="NH366" s="23"/>
      <c r="NI366" s="23"/>
      <c r="NJ366" s="23"/>
      <c r="NK366" s="23"/>
      <c r="NL366" s="23"/>
      <c r="NM366" s="23"/>
      <c r="NN366" s="23"/>
    </row>
    <row r="367" spans="5:378" ht="15" customHeight="1"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  <c r="IL367" s="23"/>
      <c r="IM367" s="23"/>
      <c r="IN367" s="23"/>
      <c r="IO367" s="23"/>
      <c r="IP367" s="23"/>
      <c r="IQ367" s="23"/>
      <c r="IR367" s="23"/>
      <c r="IS367" s="23"/>
      <c r="IT367" s="23"/>
      <c r="IU367" s="23"/>
      <c r="IV367" s="23"/>
      <c r="IW367" s="23"/>
      <c r="IX367" s="23"/>
      <c r="IY367" s="23"/>
      <c r="IZ367" s="23"/>
      <c r="JA367" s="23"/>
      <c r="JB367" s="23"/>
      <c r="JC367" s="23"/>
      <c r="JD367" s="23"/>
      <c r="JE367" s="23"/>
      <c r="JF367" s="23"/>
      <c r="JG367" s="23"/>
      <c r="JH367" s="23"/>
      <c r="JI367" s="23"/>
      <c r="JJ367" s="23"/>
      <c r="JK367" s="23"/>
      <c r="JL367" s="23"/>
      <c r="JM367" s="23"/>
      <c r="JN367" s="23"/>
      <c r="JO367" s="23"/>
      <c r="JP367" s="23"/>
      <c r="JQ367" s="23"/>
      <c r="JR367" s="23"/>
      <c r="JS367" s="23"/>
      <c r="JT367" s="23"/>
      <c r="JU367" s="23"/>
      <c r="JV367" s="23"/>
      <c r="JW367" s="23"/>
      <c r="JX367" s="23"/>
      <c r="JY367" s="23"/>
      <c r="JZ367" s="23"/>
      <c r="KA367" s="23"/>
      <c r="KB367" s="23"/>
      <c r="KC367" s="23"/>
      <c r="KD367" s="23"/>
      <c r="KE367" s="23"/>
      <c r="KF367" s="23"/>
      <c r="KG367" s="23"/>
      <c r="KH367" s="23"/>
      <c r="KI367" s="23"/>
      <c r="KJ367" s="23"/>
      <c r="KK367" s="23"/>
      <c r="KL367" s="23"/>
      <c r="KM367" s="23"/>
      <c r="KN367" s="23"/>
      <c r="KO367" s="23"/>
      <c r="KP367" s="23"/>
      <c r="KQ367" s="23"/>
      <c r="KR367" s="23"/>
      <c r="KS367" s="23"/>
      <c r="KT367" s="23"/>
      <c r="KU367" s="23"/>
      <c r="KV367" s="23"/>
      <c r="KW367" s="23"/>
      <c r="KX367" s="23"/>
      <c r="KY367" s="23"/>
      <c r="KZ367" s="23"/>
      <c r="LA367" s="23"/>
      <c r="LB367" s="23"/>
      <c r="LC367" s="23"/>
      <c r="LD367" s="23"/>
      <c r="LE367" s="23"/>
      <c r="LF367" s="23"/>
      <c r="LG367" s="23"/>
      <c r="LH367" s="23"/>
      <c r="LI367" s="23"/>
      <c r="LJ367" s="23"/>
      <c r="LK367" s="23"/>
      <c r="LL367" s="23"/>
      <c r="LM367" s="23"/>
      <c r="LN367" s="23"/>
      <c r="LO367" s="23"/>
      <c r="LP367" s="23"/>
      <c r="LQ367" s="23"/>
      <c r="LR367" s="23"/>
      <c r="LS367" s="23"/>
      <c r="LT367" s="23"/>
      <c r="LU367" s="23"/>
      <c r="LV367" s="23"/>
      <c r="LW367" s="23"/>
      <c r="LX367" s="23"/>
      <c r="LY367" s="23"/>
      <c r="LZ367" s="23"/>
      <c r="MA367" s="23"/>
      <c r="MB367" s="23"/>
      <c r="MC367" s="23"/>
      <c r="MD367" s="23"/>
      <c r="ME367" s="23"/>
      <c r="MF367" s="23"/>
      <c r="MG367" s="23"/>
      <c r="MH367" s="23"/>
      <c r="MI367" s="23"/>
      <c r="MJ367" s="23"/>
      <c r="MK367" s="23"/>
      <c r="ML367" s="23"/>
      <c r="MM367" s="23"/>
      <c r="MN367" s="23"/>
      <c r="MO367" s="23"/>
      <c r="MP367" s="23"/>
      <c r="MQ367" s="23"/>
      <c r="MR367" s="23"/>
      <c r="MS367" s="23"/>
      <c r="MT367" s="23"/>
      <c r="MU367" s="23"/>
      <c r="MV367" s="23"/>
      <c r="MW367" s="23"/>
      <c r="MX367" s="23"/>
      <c r="MY367" s="23"/>
      <c r="MZ367" s="23"/>
      <c r="NA367" s="23"/>
      <c r="NB367" s="23"/>
      <c r="NC367" s="23"/>
      <c r="ND367" s="23"/>
      <c r="NE367" s="23"/>
      <c r="NF367" s="23"/>
      <c r="NG367" s="23"/>
      <c r="NH367" s="23"/>
      <c r="NI367" s="23"/>
      <c r="NJ367" s="23"/>
      <c r="NK367" s="23"/>
      <c r="NL367" s="23"/>
      <c r="NM367" s="23"/>
      <c r="NN367" s="23"/>
    </row>
    <row r="368" spans="5:378" ht="15" customHeight="1"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  <c r="IL368" s="23"/>
      <c r="IM368" s="23"/>
      <c r="IN368" s="23"/>
      <c r="IO368" s="23"/>
      <c r="IP368" s="23"/>
      <c r="IQ368" s="23"/>
      <c r="IR368" s="23"/>
      <c r="IS368" s="23"/>
      <c r="IT368" s="23"/>
      <c r="IU368" s="23"/>
      <c r="IV368" s="23"/>
      <c r="IW368" s="23"/>
      <c r="IX368" s="23"/>
      <c r="IY368" s="23"/>
      <c r="IZ368" s="23"/>
      <c r="JA368" s="23"/>
      <c r="JB368" s="23"/>
      <c r="JC368" s="23"/>
      <c r="JD368" s="23"/>
      <c r="JE368" s="23"/>
      <c r="JF368" s="23"/>
      <c r="JG368" s="23"/>
      <c r="JH368" s="23"/>
      <c r="JI368" s="23"/>
      <c r="JJ368" s="23"/>
      <c r="JK368" s="23"/>
      <c r="JL368" s="23"/>
      <c r="JM368" s="23"/>
      <c r="JN368" s="23"/>
      <c r="JO368" s="23"/>
      <c r="JP368" s="23"/>
      <c r="JQ368" s="23"/>
      <c r="JR368" s="23"/>
      <c r="JS368" s="23"/>
      <c r="JT368" s="23"/>
      <c r="JU368" s="23"/>
      <c r="JV368" s="23"/>
      <c r="JW368" s="23"/>
      <c r="JX368" s="23"/>
      <c r="JY368" s="23"/>
      <c r="JZ368" s="23"/>
      <c r="KA368" s="23"/>
      <c r="KB368" s="23"/>
      <c r="KC368" s="23"/>
      <c r="KD368" s="23"/>
      <c r="KE368" s="23"/>
      <c r="KF368" s="23"/>
      <c r="KG368" s="23"/>
      <c r="KH368" s="23"/>
      <c r="KI368" s="23"/>
      <c r="KJ368" s="23"/>
      <c r="KK368" s="23"/>
      <c r="KL368" s="23"/>
      <c r="KM368" s="23"/>
      <c r="KN368" s="23"/>
      <c r="KO368" s="23"/>
      <c r="KP368" s="23"/>
      <c r="KQ368" s="23"/>
      <c r="KR368" s="23"/>
      <c r="KS368" s="23"/>
      <c r="KT368" s="23"/>
      <c r="KU368" s="23"/>
      <c r="KV368" s="23"/>
      <c r="KW368" s="23"/>
      <c r="KX368" s="23"/>
      <c r="KY368" s="23"/>
      <c r="KZ368" s="23"/>
      <c r="LA368" s="23"/>
      <c r="LB368" s="23"/>
      <c r="LC368" s="23"/>
      <c r="LD368" s="23"/>
      <c r="LE368" s="23"/>
      <c r="LF368" s="23"/>
      <c r="LG368" s="23"/>
      <c r="LH368" s="23"/>
      <c r="LI368" s="23"/>
      <c r="LJ368" s="23"/>
      <c r="LK368" s="23"/>
      <c r="LL368" s="23"/>
      <c r="LM368" s="23"/>
      <c r="LN368" s="23"/>
      <c r="LO368" s="23"/>
      <c r="LP368" s="23"/>
      <c r="LQ368" s="23"/>
      <c r="LR368" s="23"/>
      <c r="LS368" s="23"/>
      <c r="LT368" s="23"/>
      <c r="LU368" s="23"/>
      <c r="LV368" s="23"/>
      <c r="LW368" s="23"/>
      <c r="LX368" s="23"/>
      <c r="LY368" s="23"/>
      <c r="LZ368" s="23"/>
      <c r="MA368" s="23"/>
      <c r="MB368" s="23"/>
      <c r="MC368" s="23"/>
      <c r="MD368" s="23"/>
      <c r="ME368" s="23"/>
      <c r="MF368" s="23"/>
      <c r="MG368" s="23"/>
      <c r="MH368" s="23"/>
      <c r="MI368" s="23"/>
      <c r="MJ368" s="23"/>
      <c r="MK368" s="23"/>
      <c r="ML368" s="23"/>
      <c r="MM368" s="23"/>
      <c r="MN368" s="23"/>
      <c r="MO368" s="23"/>
      <c r="MP368" s="23"/>
      <c r="MQ368" s="23"/>
      <c r="MR368" s="23"/>
      <c r="MS368" s="23"/>
      <c r="MT368" s="23"/>
      <c r="MU368" s="23"/>
      <c r="MV368" s="23"/>
      <c r="MW368" s="23"/>
      <c r="MX368" s="23"/>
      <c r="MY368" s="23"/>
      <c r="MZ368" s="23"/>
      <c r="NA368" s="23"/>
      <c r="NB368" s="23"/>
      <c r="NC368" s="23"/>
      <c r="ND368" s="23"/>
      <c r="NE368" s="23"/>
      <c r="NF368" s="23"/>
      <c r="NG368" s="23"/>
      <c r="NH368" s="23"/>
      <c r="NI368" s="23"/>
      <c r="NJ368" s="23"/>
      <c r="NK368" s="23"/>
      <c r="NL368" s="23"/>
      <c r="NM368" s="23"/>
      <c r="NN368" s="23"/>
    </row>
    <row r="369" spans="5:378" ht="15" customHeight="1"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  <c r="IL369" s="23"/>
      <c r="IM369" s="23"/>
      <c r="IN369" s="23"/>
      <c r="IO369" s="23"/>
      <c r="IP369" s="23"/>
      <c r="IQ369" s="23"/>
      <c r="IR369" s="23"/>
      <c r="IS369" s="23"/>
      <c r="IT369" s="23"/>
      <c r="IU369" s="23"/>
      <c r="IV369" s="23"/>
      <c r="IW369" s="23"/>
      <c r="IX369" s="23"/>
      <c r="IY369" s="23"/>
      <c r="IZ369" s="23"/>
      <c r="JA369" s="23"/>
      <c r="JB369" s="23"/>
      <c r="JC369" s="23"/>
      <c r="JD369" s="23"/>
      <c r="JE369" s="23"/>
      <c r="JF369" s="23"/>
      <c r="JG369" s="23"/>
      <c r="JH369" s="23"/>
      <c r="JI369" s="23"/>
      <c r="JJ369" s="23"/>
      <c r="JK369" s="23"/>
      <c r="JL369" s="23"/>
      <c r="JM369" s="23"/>
      <c r="JN369" s="23"/>
      <c r="JO369" s="23"/>
      <c r="JP369" s="23"/>
      <c r="JQ369" s="23"/>
      <c r="JR369" s="23"/>
      <c r="JS369" s="23"/>
      <c r="JT369" s="23"/>
      <c r="JU369" s="23"/>
      <c r="JV369" s="23"/>
      <c r="JW369" s="23"/>
      <c r="JX369" s="23"/>
      <c r="JY369" s="23"/>
      <c r="JZ369" s="23"/>
      <c r="KA369" s="23"/>
      <c r="KB369" s="23"/>
      <c r="KC369" s="23"/>
      <c r="KD369" s="23"/>
      <c r="KE369" s="23"/>
      <c r="KF369" s="23"/>
      <c r="KG369" s="23"/>
      <c r="KH369" s="23"/>
      <c r="KI369" s="23"/>
      <c r="KJ369" s="23"/>
      <c r="KK369" s="23"/>
      <c r="KL369" s="23"/>
      <c r="KM369" s="23"/>
      <c r="KN369" s="23"/>
      <c r="KO369" s="23"/>
      <c r="KP369" s="23"/>
      <c r="KQ369" s="23"/>
      <c r="KR369" s="23"/>
      <c r="KS369" s="23"/>
      <c r="KT369" s="23"/>
      <c r="KU369" s="23"/>
      <c r="KV369" s="23"/>
      <c r="KW369" s="23"/>
      <c r="KX369" s="23"/>
      <c r="KY369" s="23"/>
      <c r="KZ369" s="23"/>
      <c r="LA369" s="23"/>
      <c r="LB369" s="23"/>
      <c r="LC369" s="23"/>
      <c r="LD369" s="23"/>
      <c r="LE369" s="23"/>
      <c r="LF369" s="23"/>
      <c r="LG369" s="23"/>
      <c r="LH369" s="23"/>
      <c r="LI369" s="23"/>
      <c r="LJ369" s="23"/>
      <c r="LK369" s="23"/>
      <c r="LL369" s="23"/>
      <c r="LM369" s="23"/>
      <c r="LN369" s="23"/>
      <c r="LO369" s="23"/>
      <c r="LP369" s="23"/>
      <c r="LQ369" s="23"/>
      <c r="LR369" s="23"/>
      <c r="LS369" s="23"/>
      <c r="LT369" s="23"/>
      <c r="LU369" s="23"/>
      <c r="LV369" s="23"/>
      <c r="LW369" s="23"/>
      <c r="LX369" s="23"/>
      <c r="LY369" s="23"/>
      <c r="LZ369" s="23"/>
      <c r="MA369" s="23"/>
      <c r="MB369" s="23"/>
      <c r="MC369" s="23"/>
      <c r="MD369" s="23"/>
      <c r="ME369" s="23"/>
      <c r="MF369" s="23"/>
      <c r="MG369" s="23"/>
      <c r="MH369" s="23"/>
      <c r="MI369" s="23"/>
      <c r="MJ369" s="23"/>
      <c r="MK369" s="23"/>
      <c r="ML369" s="23"/>
      <c r="MM369" s="23"/>
      <c r="MN369" s="23"/>
      <c r="MO369" s="23"/>
      <c r="MP369" s="23"/>
      <c r="MQ369" s="23"/>
      <c r="MR369" s="23"/>
      <c r="MS369" s="23"/>
      <c r="MT369" s="23"/>
      <c r="MU369" s="23"/>
      <c r="MV369" s="23"/>
      <c r="MW369" s="23"/>
      <c r="MX369" s="23"/>
      <c r="MY369" s="23"/>
      <c r="MZ369" s="23"/>
      <c r="NA369" s="23"/>
      <c r="NB369" s="23"/>
      <c r="NC369" s="23"/>
      <c r="ND369" s="23"/>
      <c r="NE369" s="23"/>
      <c r="NF369" s="23"/>
      <c r="NG369" s="23"/>
      <c r="NH369" s="23"/>
      <c r="NI369" s="23"/>
      <c r="NJ369" s="23"/>
      <c r="NK369" s="23"/>
      <c r="NL369" s="23"/>
      <c r="NM369" s="23"/>
      <c r="NN369" s="23"/>
    </row>
    <row r="370" spans="5:378" ht="15" customHeight="1"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  <c r="IL370" s="23"/>
      <c r="IM370" s="23"/>
      <c r="IN370" s="23"/>
      <c r="IO370" s="23"/>
      <c r="IP370" s="23"/>
      <c r="IQ370" s="23"/>
      <c r="IR370" s="23"/>
      <c r="IS370" s="23"/>
      <c r="IT370" s="23"/>
      <c r="IU370" s="23"/>
      <c r="IV370" s="23"/>
      <c r="IW370" s="23"/>
      <c r="IX370" s="23"/>
      <c r="IY370" s="23"/>
      <c r="IZ370" s="23"/>
      <c r="JA370" s="23"/>
      <c r="JB370" s="23"/>
      <c r="JC370" s="23"/>
      <c r="JD370" s="23"/>
      <c r="JE370" s="23"/>
      <c r="JF370" s="23"/>
      <c r="JG370" s="23"/>
      <c r="JH370" s="23"/>
      <c r="JI370" s="23"/>
      <c r="JJ370" s="23"/>
      <c r="JK370" s="23"/>
      <c r="JL370" s="23"/>
      <c r="JM370" s="23"/>
      <c r="JN370" s="23"/>
      <c r="JO370" s="23"/>
      <c r="JP370" s="23"/>
      <c r="JQ370" s="23"/>
      <c r="JR370" s="23"/>
      <c r="JS370" s="23"/>
      <c r="JT370" s="23"/>
      <c r="JU370" s="23"/>
      <c r="JV370" s="23"/>
      <c r="JW370" s="23"/>
      <c r="JX370" s="23"/>
      <c r="JY370" s="23"/>
      <c r="JZ370" s="23"/>
      <c r="KA370" s="23"/>
      <c r="KB370" s="23"/>
      <c r="KC370" s="23"/>
      <c r="KD370" s="23"/>
      <c r="KE370" s="23"/>
      <c r="KF370" s="23"/>
      <c r="KG370" s="23"/>
      <c r="KH370" s="23"/>
      <c r="KI370" s="23"/>
      <c r="KJ370" s="23"/>
      <c r="KK370" s="23"/>
      <c r="KL370" s="23"/>
      <c r="KM370" s="23"/>
      <c r="KN370" s="23"/>
      <c r="KO370" s="23"/>
      <c r="KP370" s="23"/>
      <c r="KQ370" s="23"/>
      <c r="KR370" s="23"/>
      <c r="KS370" s="23"/>
      <c r="KT370" s="23"/>
      <c r="KU370" s="23"/>
      <c r="KV370" s="23"/>
      <c r="KW370" s="23"/>
      <c r="KX370" s="23"/>
      <c r="KY370" s="23"/>
      <c r="KZ370" s="23"/>
      <c r="LA370" s="23"/>
      <c r="LB370" s="23"/>
      <c r="LC370" s="23"/>
      <c r="LD370" s="23"/>
      <c r="LE370" s="23"/>
      <c r="LF370" s="23"/>
      <c r="LG370" s="23"/>
      <c r="LH370" s="23"/>
      <c r="LI370" s="23"/>
      <c r="LJ370" s="23"/>
      <c r="LK370" s="23"/>
      <c r="LL370" s="23"/>
      <c r="LM370" s="23"/>
      <c r="LN370" s="23"/>
      <c r="LO370" s="23"/>
      <c r="LP370" s="23"/>
      <c r="LQ370" s="23"/>
      <c r="LR370" s="23"/>
      <c r="LS370" s="23"/>
      <c r="LT370" s="23"/>
      <c r="LU370" s="23"/>
      <c r="LV370" s="23"/>
      <c r="LW370" s="23"/>
      <c r="LX370" s="23"/>
      <c r="LY370" s="23"/>
      <c r="LZ370" s="23"/>
      <c r="MA370" s="23"/>
      <c r="MB370" s="23"/>
      <c r="MC370" s="23"/>
      <c r="MD370" s="23"/>
      <c r="ME370" s="23"/>
      <c r="MF370" s="23"/>
      <c r="MG370" s="23"/>
      <c r="MH370" s="23"/>
      <c r="MI370" s="23"/>
      <c r="MJ370" s="23"/>
      <c r="MK370" s="23"/>
      <c r="ML370" s="23"/>
      <c r="MM370" s="23"/>
      <c r="MN370" s="23"/>
      <c r="MO370" s="23"/>
      <c r="MP370" s="23"/>
      <c r="MQ370" s="23"/>
      <c r="MR370" s="23"/>
      <c r="MS370" s="23"/>
      <c r="MT370" s="23"/>
      <c r="MU370" s="23"/>
      <c r="MV370" s="23"/>
      <c r="MW370" s="23"/>
      <c r="MX370" s="23"/>
      <c r="MY370" s="23"/>
      <c r="MZ370" s="23"/>
      <c r="NA370" s="23"/>
      <c r="NB370" s="23"/>
      <c r="NC370" s="23"/>
      <c r="ND370" s="23"/>
      <c r="NE370" s="23"/>
      <c r="NF370" s="23"/>
      <c r="NG370" s="23"/>
      <c r="NH370" s="23"/>
      <c r="NI370" s="23"/>
      <c r="NJ370" s="23"/>
      <c r="NK370" s="23"/>
      <c r="NL370" s="23"/>
      <c r="NM370" s="23"/>
      <c r="NN370" s="23"/>
    </row>
    <row r="371" spans="5:378" ht="15" customHeight="1"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  <c r="IL371" s="23"/>
      <c r="IM371" s="23"/>
      <c r="IN371" s="23"/>
      <c r="IO371" s="23"/>
      <c r="IP371" s="23"/>
      <c r="IQ371" s="23"/>
      <c r="IR371" s="23"/>
      <c r="IS371" s="23"/>
      <c r="IT371" s="23"/>
      <c r="IU371" s="23"/>
      <c r="IV371" s="23"/>
      <c r="IW371" s="23"/>
      <c r="IX371" s="23"/>
      <c r="IY371" s="23"/>
      <c r="IZ371" s="23"/>
      <c r="JA371" s="23"/>
      <c r="JB371" s="23"/>
      <c r="JC371" s="23"/>
      <c r="JD371" s="23"/>
      <c r="JE371" s="23"/>
      <c r="JF371" s="23"/>
      <c r="JG371" s="23"/>
      <c r="JH371" s="23"/>
      <c r="JI371" s="23"/>
      <c r="JJ371" s="23"/>
      <c r="JK371" s="23"/>
      <c r="JL371" s="23"/>
      <c r="JM371" s="23"/>
      <c r="JN371" s="23"/>
      <c r="JO371" s="23"/>
      <c r="JP371" s="23"/>
      <c r="JQ371" s="23"/>
      <c r="JR371" s="23"/>
      <c r="JS371" s="23"/>
      <c r="JT371" s="23"/>
      <c r="JU371" s="23"/>
      <c r="JV371" s="23"/>
      <c r="JW371" s="23"/>
      <c r="JX371" s="23"/>
      <c r="JY371" s="23"/>
      <c r="JZ371" s="23"/>
      <c r="KA371" s="23"/>
      <c r="KB371" s="23"/>
      <c r="KC371" s="23"/>
      <c r="KD371" s="23"/>
      <c r="KE371" s="23"/>
      <c r="KF371" s="23"/>
      <c r="KG371" s="23"/>
      <c r="KH371" s="23"/>
      <c r="KI371" s="23"/>
      <c r="KJ371" s="23"/>
      <c r="KK371" s="23"/>
      <c r="KL371" s="23"/>
      <c r="KM371" s="23"/>
      <c r="KN371" s="23"/>
      <c r="KO371" s="23"/>
      <c r="KP371" s="23"/>
      <c r="KQ371" s="23"/>
      <c r="KR371" s="23"/>
      <c r="KS371" s="23"/>
      <c r="KT371" s="23"/>
      <c r="KU371" s="23"/>
      <c r="KV371" s="23"/>
      <c r="KW371" s="23"/>
      <c r="KX371" s="23"/>
      <c r="KY371" s="23"/>
      <c r="KZ371" s="23"/>
      <c r="LA371" s="23"/>
      <c r="LB371" s="23"/>
      <c r="LC371" s="23"/>
      <c r="LD371" s="23"/>
      <c r="LE371" s="23"/>
      <c r="LF371" s="23"/>
      <c r="LG371" s="23"/>
      <c r="LH371" s="23"/>
      <c r="LI371" s="23"/>
      <c r="LJ371" s="23"/>
      <c r="LK371" s="23"/>
      <c r="LL371" s="23"/>
      <c r="LM371" s="23"/>
      <c r="LN371" s="23"/>
      <c r="LO371" s="23"/>
      <c r="LP371" s="23"/>
      <c r="LQ371" s="23"/>
      <c r="LR371" s="23"/>
      <c r="LS371" s="23"/>
      <c r="LT371" s="23"/>
      <c r="LU371" s="23"/>
      <c r="LV371" s="23"/>
      <c r="LW371" s="23"/>
      <c r="LX371" s="23"/>
      <c r="LY371" s="23"/>
      <c r="LZ371" s="23"/>
      <c r="MA371" s="23"/>
      <c r="MB371" s="23"/>
      <c r="MC371" s="23"/>
      <c r="MD371" s="23"/>
      <c r="ME371" s="23"/>
      <c r="MF371" s="23"/>
      <c r="MG371" s="23"/>
      <c r="MH371" s="23"/>
      <c r="MI371" s="23"/>
      <c r="MJ371" s="23"/>
      <c r="MK371" s="23"/>
      <c r="ML371" s="23"/>
      <c r="MM371" s="23"/>
      <c r="MN371" s="23"/>
      <c r="MO371" s="23"/>
      <c r="MP371" s="23"/>
      <c r="MQ371" s="23"/>
      <c r="MR371" s="23"/>
      <c r="MS371" s="23"/>
      <c r="MT371" s="23"/>
      <c r="MU371" s="23"/>
      <c r="MV371" s="23"/>
      <c r="MW371" s="23"/>
      <c r="MX371" s="23"/>
      <c r="MY371" s="23"/>
      <c r="MZ371" s="23"/>
      <c r="NA371" s="23"/>
      <c r="NB371" s="23"/>
      <c r="NC371" s="23"/>
      <c r="ND371" s="23"/>
      <c r="NE371" s="23"/>
      <c r="NF371" s="23"/>
      <c r="NG371" s="23"/>
      <c r="NH371" s="23"/>
      <c r="NI371" s="23"/>
      <c r="NJ371" s="23"/>
      <c r="NK371" s="23"/>
      <c r="NL371" s="23"/>
      <c r="NM371" s="23"/>
      <c r="NN371" s="23"/>
    </row>
    <row r="372" spans="5:378" ht="15" customHeight="1"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  <c r="IL372" s="23"/>
      <c r="IM372" s="23"/>
      <c r="IN372" s="23"/>
      <c r="IO372" s="23"/>
      <c r="IP372" s="23"/>
      <c r="IQ372" s="23"/>
      <c r="IR372" s="23"/>
      <c r="IS372" s="23"/>
      <c r="IT372" s="23"/>
      <c r="IU372" s="23"/>
      <c r="IV372" s="23"/>
      <c r="IW372" s="23"/>
      <c r="IX372" s="23"/>
      <c r="IY372" s="23"/>
      <c r="IZ372" s="23"/>
      <c r="JA372" s="23"/>
      <c r="JB372" s="23"/>
      <c r="JC372" s="23"/>
      <c r="JD372" s="23"/>
      <c r="JE372" s="23"/>
      <c r="JF372" s="23"/>
      <c r="JG372" s="23"/>
      <c r="JH372" s="23"/>
      <c r="JI372" s="23"/>
      <c r="JJ372" s="23"/>
      <c r="JK372" s="23"/>
      <c r="JL372" s="23"/>
      <c r="JM372" s="23"/>
      <c r="JN372" s="23"/>
      <c r="JO372" s="23"/>
      <c r="JP372" s="23"/>
      <c r="JQ372" s="23"/>
      <c r="JR372" s="23"/>
      <c r="JS372" s="23"/>
      <c r="JT372" s="23"/>
      <c r="JU372" s="23"/>
      <c r="JV372" s="23"/>
      <c r="JW372" s="23"/>
      <c r="JX372" s="23"/>
      <c r="JY372" s="23"/>
      <c r="JZ372" s="23"/>
      <c r="KA372" s="23"/>
      <c r="KB372" s="23"/>
      <c r="KC372" s="23"/>
      <c r="KD372" s="23"/>
      <c r="KE372" s="23"/>
      <c r="KF372" s="23"/>
      <c r="KG372" s="23"/>
      <c r="KH372" s="23"/>
      <c r="KI372" s="23"/>
      <c r="KJ372" s="23"/>
      <c r="KK372" s="23"/>
      <c r="KL372" s="23"/>
      <c r="KM372" s="23"/>
      <c r="KN372" s="23"/>
      <c r="KO372" s="23"/>
      <c r="KP372" s="23"/>
      <c r="KQ372" s="23"/>
      <c r="KR372" s="23"/>
      <c r="KS372" s="23"/>
      <c r="KT372" s="23"/>
      <c r="KU372" s="23"/>
      <c r="KV372" s="23"/>
      <c r="KW372" s="23"/>
      <c r="KX372" s="23"/>
      <c r="KY372" s="23"/>
      <c r="KZ372" s="23"/>
      <c r="LA372" s="23"/>
      <c r="LB372" s="23"/>
      <c r="LC372" s="23"/>
      <c r="LD372" s="23"/>
      <c r="LE372" s="23"/>
      <c r="LF372" s="23"/>
      <c r="LG372" s="23"/>
      <c r="LH372" s="23"/>
      <c r="LI372" s="23"/>
      <c r="LJ372" s="23"/>
      <c r="LK372" s="23"/>
      <c r="LL372" s="23"/>
      <c r="LM372" s="23"/>
      <c r="LN372" s="23"/>
      <c r="LO372" s="23"/>
      <c r="LP372" s="23"/>
      <c r="LQ372" s="23"/>
      <c r="LR372" s="23"/>
      <c r="LS372" s="23"/>
      <c r="LT372" s="23"/>
      <c r="LU372" s="23"/>
      <c r="LV372" s="23"/>
      <c r="LW372" s="23"/>
      <c r="LX372" s="23"/>
      <c r="LY372" s="23"/>
      <c r="LZ372" s="23"/>
      <c r="MA372" s="23"/>
      <c r="MB372" s="23"/>
      <c r="MC372" s="23"/>
      <c r="MD372" s="23"/>
      <c r="ME372" s="23"/>
      <c r="MF372" s="23"/>
      <c r="MG372" s="23"/>
      <c r="MH372" s="23"/>
      <c r="MI372" s="23"/>
      <c r="MJ372" s="23"/>
      <c r="MK372" s="23"/>
      <c r="ML372" s="23"/>
      <c r="MM372" s="23"/>
      <c r="MN372" s="23"/>
      <c r="MO372" s="23"/>
      <c r="MP372" s="23"/>
      <c r="MQ372" s="23"/>
      <c r="MR372" s="23"/>
      <c r="MS372" s="23"/>
      <c r="MT372" s="23"/>
      <c r="MU372" s="23"/>
      <c r="MV372" s="23"/>
      <c r="MW372" s="23"/>
      <c r="MX372" s="23"/>
      <c r="MY372" s="23"/>
      <c r="MZ372" s="23"/>
      <c r="NA372" s="23"/>
      <c r="NB372" s="23"/>
      <c r="NC372" s="23"/>
      <c r="ND372" s="23"/>
      <c r="NE372" s="23"/>
      <c r="NF372" s="23"/>
      <c r="NG372" s="23"/>
      <c r="NH372" s="23"/>
      <c r="NI372" s="23"/>
      <c r="NJ372" s="23"/>
      <c r="NK372" s="23"/>
      <c r="NL372" s="23"/>
      <c r="NM372" s="23"/>
      <c r="NN372" s="23"/>
    </row>
    <row r="373" spans="5:378" ht="15" customHeight="1"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  <c r="IL373" s="23"/>
      <c r="IM373" s="23"/>
      <c r="IN373" s="23"/>
      <c r="IO373" s="23"/>
      <c r="IP373" s="23"/>
      <c r="IQ373" s="23"/>
      <c r="IR373" s="23"/>
      <c r="IS373" s="23"/>
      <c r="IT373" s="23"/>
      <c r="IU373" s="23"/>
      <c r="IV373" s="23"/>
      <c r="IW373" s="23"/>
      <c r="IX373" s="23"/>
      <c r="IY373" s="23"/>
      <c r="IZ373" s="23"/>
      <c r="JA373" s="23"/>
      <c r="JB373" s="23"/>
      <c r="JC373" s="23"/>
      <c r="JD373" s="23"/>
      <c r="JE373" s="23"/>
      <c r="JF373" s="23"/>
      <c r="JG373" s="23"/>
      <c r="JH373" s="23"/>
      <c r="JI373" s="23"/>
      <c r="JJ373" s="23"/>
      <c r="JK373" s="23"/>
      <c r="JL373" s="23"/>
      <c r="JM373" s="23"/>
      <c r="JN373" s="23"/>
      <c r="JO373" s="23"/>
      <c r="JP373" s="23"/>
      <c r="JQ373" s="23"/>
      <c r="JR373" s="23"/>
      <c r="JS373" s="23"/>
      <c r="JT373" s="23"/>
      <c r="JU373" s="23"/>
      <c r="JV373" s="23"/>
      <c r="JW373" s="23"/>
      <c r="JX373" s="23"/>
      <c r="JY373" s="23"/>
      <c r="JZ373" s="23"/>
      <c r="KA373" s="23"/>
      <c r="KB373" s="23"/>
      <c r="KC373" s="23"/>
      <c r="KD373" s="23"/>
      <c r="KE373" s="23"/>
      <c r="KF373" s="23"/>
      <c r="KG373" s="23"/>
      <c r="KH373" s="23"/>
      <c r="KI373" s="23"/>
      <c r="KJ373" s="23"/>
      <c r="KK373" s="23"/>
      <c r="KL373" s="23"/>
      <c r="KM373" s="23"/>
      <c r="KN373" s="23"/>
      <c r="KO373" s="23"/>
      <c r="KP373" s="23"/>
      <c r="KQ373" s="23"/>
      <c r="KR373" s="23"/>
      <c r="KS373" s="23"/>
      <c r="KT373" s="23"/>
      <c r="KU373" s="23"/>
      <c r="KV373" s="23"/>
      <c r="KW373" s="23"/>
      <c r="KX373" s="23"/>
      <c r="KY373" s="23"/>
      <c r="KZ373" s="23"/>
      <c r="LA373" s="23"/>
      <c r="LB373" s="23"/>
      <c r="LC373" s="23"/>
      <c r="LD373" s="23"/>
      <c r="LE373" s="23"/>
      <c r="LF373" s="23"/>
      <c r="LG373" s="23"/>
      <c r="LH373" s="23"/>
      <c r="LI373" s="23"/>
      <c r="LJ373" s="23"/>
      <c r="LK373" s="23"/>
      <c r="LL373" s="23"/>
      <c r="LM373" s="23"/>
      <c r="LN373" s="23"/>
      <c r="LO373" s="23"/>
      <c r="LP373" s="23"/>
      <c r="LQ373" s="23"/>
      <c r="LR373" s="23"/>
      <c r="LS373" s="23"/>
      <c r="LT373" s="23"/>
      <c r="LU373" s="23"/>
      <c r="LV373" s="23"/>
      <c r="LW373" s="23"/>
      <c r="LX373" s="23"/>
      <c r="LY373" s="23"/>
      <c r="LZ373" s="23"/>
      <c r="MA373" s="23"/>
      <c r="MB373" s="23"/>
      <c r="MC373" s="23"/>
      <c r="MD373" s="23"/>
      <c r="ME373" s="23"/>
      <c r="MF373" s="23"/>
      <c r="MG373" s="23"/>
      <c r="MH373" s="23"/>
      <c r="MI373" s="23"/>
      <c r="MJ373" s="23"/>
      <c r="MK373" s="23"/>
      <c r="ML373" s="23"/>
      <c r="MM373" s="23"/>
      <c r="MN373" s="23"/>
      <c r="MO373" s="23"/>
      <c r="MP373" s="23"/>
      <c r="MQ373" s="23"/>
      <c r="MR373" s="23"/>
      <c r="MS373" s="23"/>
      <c r="MT373" s="23"/>
      <c r="MU373" s="23"/>
      <c r="MV373" s="23"/>
      <c r="MW373" s="23"/>
      <c r="MX373" s="23"/>
      <c r="MY373" s="23"/>
      <c r="MZ373" s="23"/>
      <c r="NA373" s="23"/>
      <c r="NB373" s="23"/>
      <c r="NC373" s="23"/>
      <c r="ND373" s="23"/>
      <c r="NE373" s="23"/>
      <c r="NF373" s="23"/>
      <c r="NG373" s="23"/>
      <c r="NH373" s="23"/>
      <c r="NI373" s="23"/>
      <c r="NJ373" s="23"/>
      <c r="NK373" s="23"/>
      <c r="NL373" s="23"/>
      <c r="NM373" s="23"/>
      <c r="NN373" s="23"/>
    </row>
    <row r="374" spans="5:378" ht="15" customHeight="1"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  <c r="IL374" s="23"/>
      <c r="IM374" s="23"/>
      <c r="IN374" s="23"/>
      <c r="IO374" s="23"/>
      <c r="IP374" s="23"/>
      <c r="IQ374" s="23"/>
      <c r="IR374" s="23"/>
      <c r="IS374" s="23"/>
      <c r="IT374" s="23"/>
      <c r="IU374" s="23"/>
      <c r="IV374" s="23"/>
      <c r="IW374" s="23"/>
      <c r="IX374" s="23"/>
      <c r="IY374" s="23"/>
      <c r="IZ374" s="23"/>
      <c r="JA374" s="23"/>
      <c r="JB374" s="23"/>
      <c r="JC374" s="23"/>
      <c r="JD374" s="23"/>
      <c r="JE374" s="23"/>
      <c r="JF374" s="23"/>
      <c r="JG374" s="23"/>
      <c r="JH374" s="23"/>
      <c r="JI374" s="23"/>
      <c r="JJ374" s="23"/>
      <c r="JK374" s="23"/>
      <c r="JL374" s="23"/>
      <c r="JM374" s="23"/>
      <c r="JN374" s="23"/>
      <c r="JO374" s="23"/>
      <c r="JP374" s="23"/>
      <c r="JQ374" s="23"/>
      <c r="JR374" s="23"/>
      <c r="JS374" s="23"/>
      <c r="JT374" s="23"/>
      <c r="JU374" s="23"/>
      <c r="JV374" s="23"/>
      <c r="JW374" s="23"/>
      <c r="JX374" s="23"/>
      <c r="JY374" s="23"/>
      <c r="JZ374" s="23"/>
      <c r="KA374" s="23"/>
      <c r="KB374" s="23"/>
      <c r="KC374" s="23"/>
      <c r="KD374" s="23"/>
      <c r="KE374" s="23"/>
      <c r="KF374" s="23"/>
      <c r="KG374" s="23"/>
      <c r="KH374" s="23"/>
      <c r="KI374" s="23"/>
      <c r="KJ374" s="23"/>
      <c r="KK374" s="23"/>
      <c r="KL374" s="23"/>
      <c r="KM374" s="23"/>
      <c r="KN374" s="23"/>
      <c r="KO374" s="23"/>
      <c r="KP374" s="23"/>
      <c r="KQ374" s="23"/>
      <c r="KR374" s="23"/>
      <c r="KS374" s="23"/>
      <c r="KT374" s="23"/>
      <c r="KU374" s="23"/>
      <c r="KV374" s="23"/>
      <c r="KW374" s="23"/>
      <c r="KX374" s="23"/>
      <c r="KY374" s="23"/>
      <c r="KZ374" s="23"/>
      <c r="LA374" s="23"/>
      <c r="LB374" s="23"/>
      <c r="LC374" s="23"/>
      <c r="LD374" s="23"/>
      <c r="LE374" s="23"/>
      <c r="LF374" s="23"/>
      <c r="LG374" s="23"/>
      <c r="LH374" s="23"/>
      <c r="LI374" s="23"/>
      <c r="LJ374" s="23"/>
      <c r="LK374" s="23"/>
      <c r="LL374" s="23"/>
      <c r="LM374" s="23"/>
      <c r="LN374" s="23"/>
      <c r="LO374" s="23"/>
      <c r="LP374" s="23"/>
      <c r="LQ374" s="23"/>
      <c r="LR374" s="23"/>
      <c r="LS374" s="23"/>
      <c r="LT374" s="23"/>
      <c r="LU374" s="23"/>
      <c r="LV374" s="23"/>
      <c r="LW374" s="23"/>
      <c r="LX374" s="23"/>
      <c r="LY374" s="23"/>
      <c r="LZ374" s="23"/>
      <c r="MA374" s="23"/>
      <c r="MB374" s="23"/>
      <c r="MC374" s="23"/>
      <c r="MD374" s="23"/>
      <c r="ME374" s="23"/>
      <c r="MF374" s="23"/>
      <c r="MG374" s="23"/>
      <c r="MH374" s="23"/>
      <c r="MI374" s="23"/>
      <c r="MJ374" s="23"/>
      <c r="MK374" s="23"/>
      <c r="ML374" s="23"/>
      <c r="MM374" s="23"/>
      <c r="MN374" s="23"/>
      <c r="MO374" s="23"/>
      <c r="MP374" s="23"/>
      <c r="MQ374" s="23"/>
      <c r="MR374" s="23"/>
      <c r="MS374" s="23"/>
      <c r="MT374" s="23"/>
      <c r="MU374" s="23"/>
      <c r="MV374" s="23"/>
      <c r="MW374" s="23"/>
      <c r="MX374" s="23"/>
      <c r="MY374" s="23"/>
      <c r="MZ374" s="23"/>
      <c r="NA374" s="23"/>
      <c r="NB374" s="23"/>
      <c r="NC374" s="23"/>
      <c r="ND374" s="23"/>
      <c r="NE374" s="23"/>
      <c r="NF374" s="23"/>
      <c r="NG374" s="23"/>
      <c r="NH374" s="23"/>
      <c r="NI374" s="23"/>
      <c r="NJ374" s="23"/>
      <c r="NK374" s="23"/>
      <c r="NL374" s="23"/>
      <c r="NM374" s="23"/>
      <c r="NN374" s="23"/>
    </row>
    <row r="375" spans="5:378" ht="15" customHeight="1"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  <c r="IL375" s="23"/>
      <c r="IM375" s="23"/>
      <c r="IN375" s="23"/>
      <c r="IO375" s="23"/>
      <c r="IP375" s="23"/>
      <c r="IQ375" s="23"/>
      <c r="IR375" s="23"/>
      <c r="IS375" s="23"/>
      <c r="IT375" s="23"/>
      <c r="IU375" s="23"/>
      <c r="IV375" s="23"/>
      <c r="IW375" s="23"/>
      <c r="IX375" s="23"/>
      <c r="IY375" s="23"/>
      <c r="IZ375" s="23"/>
      <c r="JA375" s="23"/>
      <c r="JB375" s="23"/>
      <c r="JC375" s="23"/>
      <c r="JD375" s="23"/>
      <c r="JE375" s="23"/>
      <c r="JF375" s="23"/>
      <c r="JG375" s="23"/>
      <c r="JH375" s="23"/>
      <c r="JI375" s="23"/>
      <c r="JJ375" s="23"/>
      <c r="JK375" s="23"/>
      <c r="JL375" s="23"/>
      <c r="JM375" s="23"/>
      <c r="JN375" s="23"/>
      <c r="JO375" s="23"/>
      <c r="JP375" s="23"/>
      <c r="JQ375" s="23"/>
      <c r="JR375" s="23"/>
      <c r="JS375" s="23"/>
      <c r="JT375" s="23"/>
      <c r="JU375" s="23"/>
      <c r="JV375" s="23"/>
      <c r="JW375" s="23"/>
      <c r="JX375" s="23"/>
      <c r="JY375" s="23"/>
      <c r="JZ375" s="23"/>
      <c r="KA375" s="23"/>
      <c r="KB375" s="23"/>
      <c r="KC375" s="23"/>
      <c r="KD375" s="23"/>
      <c r="KE375" s="23"/>
      <c r="KF375" s="23"/>
      <c r="KG375" s="23"/>
      <c r="KH375" s="23"/>
      <c r="KI375" s="23"/>
      <c r="KJ375" s="23"/>
      <c r="KK375" s="23"/>
      <c r="KL375" s="23"/>
      <c r="KM375" s="23"/>
      <c r="KN375" s="23"/>
      <c r="KO375" s="23"/>
      <c r="KP375" s="23"/>
      <c r="KQ375" s="23"/>
      <c r="KR375" s="23"/>
      <c r="KS375" s="23"/>
      <c r="KT375" s="23"/>
      <c r="KU375" s="23"/>
      <c r="KV375" s="23"/>
      <c r="KW375" s="23"/>
      <c r="KX375" s="23"/>
      <c r="KY375" s="23"/>
      <c r="KZ375" s="23"/>
      <c r="LA375" s="23"/>
      <c r="LB375" s="23"/>
      <c r="LC375" s="23"/>
      <c r="LD375" s="23"/>
      <c r="LE375" s="23"/>
      <c r="LF375" s="23"/>
      <c r="LG375" s="23"/>
      <c r="LH375" s="23"/>
      <c r="LI375" s="23"/>
      <c r="LJ375" s="23"/>
      <c r="LK375" s="23"/>
      <c r="LL375" s="23"/>
      <c r="LM375" s="23"/>
      <c r="LN375" s="23"/>
      <c r="LO375" s="23"/>
      <c r="LP375" s="23"/>
      <c r="LQ375" s="23"/>
      <c r="LR375" s="23"/>
      <c r="LS375" s="23"/>
      <c r="LT375" s="23"/>
      <c r="LU375" s="23"/>
      <c r="LV375" s="23"/>
      <c r="LW375" s="23"/>
      <c r="LX375" s="23"/>
      <c r="LY375" s="23"/>
      <c r="LZ375" s="23"/>
      <c r="MA375" s="23"/>
      <c r="MB375" s="23"/>
      <c r="MC375" s="23"/>
      <c r="MD375" s="23"/>
      <c r="ME375" s="23"/>
      <c r="MF375" s="23"/>
      <c r="MG375" s="23"/>
      <c r="MH375" s="23"/>
      <c r="MI375" s="23"/>
      <c r="MJ375" s="23"/>
      <c r="MK375" s="23"/>
      <c r="ML375" s="23"/>
      <c r="MM375" s="23"/>
      <c r="MN375" s="23"/>
      <c r="MO375" s="23"/>
      <c r="MP375" s="23"/>
      <c r="MQ375" s="23"/>
      <c r="MR375" s="23"/>
      <c r="MS375" s="23"/>
      <c r="MT375" s="23"/>
      <c r="MU375" s="23"/>
      <c r="MV375" s="23"/>
      <c r="MW375" s="23"/>
      <c r="MX375" s="23"/>
      <c r="MY375" s="23"/>
      <c r="MZ375" s="23"/>
      <c r="NA375" s="23"/>
      <c r="NB375" s="23"/>
      <c r="NC375" s="23"/>
      <c r="ND375" s="23"/>
      <c r="NE375" s="23"/>
      <c r="NF375" s="23"/>
      <c r="NG375" s="23"/>
      <c r="NH375" s="23"/>
      <c r="NI375" s="23"/>
      <c r="NJ375" s="23"/>
      <c r="NK375" s="23"/>
      <c r="NL375" s="23"/>
      <c r="NM375" s="23"/>
      <c r="NN375" s="23"/>
    </row>
    <row r="376" spans="5:378" ht="15" customHeight="1"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  <c r="IL376" s="23"/>
      <c r="IM376" s="23"/>
      <c r="IN376" s="23"/>
      <c r="IO376" s="23"/>
      <c r="IP376" s="23"/>
      <c r="IQ376" s="23"/>
      <c r="IR376" s="23"/>
      <c r="IS376" s="23"/>
      <c r="IT376" s="23"/>
      <c r="IU376" s="23"/>
      <c r="IV376" s="23"/>
      <c r="IW376" s="23"/>
      <c r="IX376" s="23"/>
      <c r="IY376" s="23"/>
      <c r="IZ376" s="23"/>
      <c r="JA376" s="23"/>
      <c r="JB376" s="23"/>
      <c r="JC376" s="23"/>
      <c r="JD376" s="23"/>
      <c r="JE376" s="23"/>
      <c r="JF376" s="23"/>
      <c r="JG376" s="23"/>
      <c r="JH376" s="23"/>
      <c r="JI376" s="23"/>
      <c r="JJ376" s="23"/>
      <c r="JK376" s="23"/>
      <c r="JL376" s="23"/>
      <c r="JM376" s="23"/>
      <c r="JN376" s="23"/>
      <c r="JO376" s="23"/>
      <c r="JP376" s="23"/>
      <c r="JQ376" s="23"/>
      <c r="JR376" s="23"/>
      <c r="JS376" s="23"/>
      <c r="JT376" s="23"/>
      <c r="JU376" s="23"/>
      <c r="JV376" s="23"/>
      <c r="JW376" s="23"/>
      <c r="JX376" s="23"/>
      <c r="JY376" s="23"/>
      <c r="JZ376" s="23"/>
      <c r="KA376" s="23"/>
      <c r="KB376" s="23"/>
      <c r="KC376" s="23"/>
      <c r="KD376" s="23"/>
      <c r="KE376" s="23"/>
      <c r="KF376" s="23"/>
      <c r="KG376" s="23"/>
      <c r="KH376" s="23"/>
      <c r="KI376" s="23"/>
      <c r="KJ376" s="23"/>
      <c r="KK376" s="23"/>
      <c r="KL376" s="23"/>
      <c r="KM376" s="23"/>
      <c r="KN376" s="23"/>
      <c r="KO376" s="23"/>
      <c r="KP376" s="23"/>
      <c r="KQ376" s="23"/>
      <c r="KR376" s="23"/>
      <c r="KS376" s="23"/>
      <c r="KT376" s="23"/>
      <c r="KU376" s="23"/>
      <c r="KV376" s="23"/>
      <c r="KW376" s="23"/>
      <c r="KX376" s="23"/>
      <c r="KY376" s="23"/>
      <c r="KZ376" s="23"/>
      <c r="LA376" s="23"/>
      <c r="LB376" s="23"/>
      <c r="LC376" s="23"/>
      <c r="LD376" s="23"/>
      <c r="LE376" s="23"/>
      <c r="LF376" s="23"/>
      <c r="LG376" s="23"/>
      <c r="LH376" s="23"/>
      <c r="LI376" s="23"/>
      <c r="LJ376" s="23"/>
      <c r="LK376" s="23"/>
      <c r="LL376" s="23"/>
      <c r="LM376" s="23"/>
      <c r="LN376" s="23"/>
      <c r="LO376" s="23"/>
      <c r="LP376" s="23"/>
      <c r="LQ376" s="23"/>
      <c r="LR376" s="23"/>
      <c r="LS376" s="23"/>
      <c r="LT376" s="23"/>
      <c r="LU376" s="23"/>
      <c r="LV376" s="23"/>
      <c r="LW376" s="23"/>
      <c r="LX376" s="23"/>
      <c r="LY376" s="23"/>
      <c r="LZ376" s="23"/>
      <c r="MA376" s="23"/>
      <c r="MB376" s="23"/>
      <c r="MC376" s="23"/>
      <c r="MD376" s="23"/>
      <c r="ME376" s="23"/>
      <c r="MF376" s="23"/>
      <c r="MG376" s="23"/>
      <c r="MH376" s="23"/>
      <c r="MI376" s="23"/>
      <c r="MJ376" s="23"/>
      <c r="MK376" s="23"/>
      <c r="ML376" s="23"/>
      <c r="MM376" s="23"/>
      <c r="MN376" s="23"/>
      <c r="MO376" s="23"/>
      <c r="MP376" s="23"/>
      <c r="MQ376" s="23"/>
      <c r="MR376" s="23"/>
      <c r="MS376" s="23"/>
      <c r="MT376" s="23"/>
      <c r="MU376" s="23"/>
      <c r="MV376" s="23"/>
      <c r="MW376" s="23"/>
      <c r="MX376" s="23"/>
      <c r="MY376" s="23"/>
      <c r="MZ376" s="23"/>
      <c r="NA376" s="23"/>
      <c r="NB376" s="23"/>
      <c r="NC376" s="23"/>
      <c r="ND376" s="23"/>
      <c r="NE376" s="23"/>
      <c r="NF376" s="23"/>
      <c r="NG376" s="23"/>
      <c r="NH376" s="23"/>
      <c r="NI376" s="23"/>
      <c r="NJ376" s="23"/>
      <c r="NK376" s="23"/>
      <c r="NL376" s="23"/>
      <c r="NM376" s="23"/>
      <c r="NN376" s="23"/>
    </row>
    <row r="377" spans="5:378" ht="15" customHeight="1"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  <c r="IL377" s="23"/>
      <c r="IM377" s="23"/>
      <c r="IN377" s="23"/>
      <c r="IO377" s="23"/>
      <c r="IP377" s="23"/>
      <c r="IQ377" s="23"/>
      <c r="IR377" s="23"/>
      <c r="IS377" s="23"/>
      <c r="IT377" s="23"/>
      <c r="IU377" s="23"/>
      <c r="IV377" s="23"/>
      <c r="IW377" s="23"/>
      <c r="IX377" s="23"/>
      <c r="IY377" s="23"/>
      <c r="IZ377" s="23"/>
      <c r="JA377" s="23"/>
      <c r="JB377" s="23"/>
      <c r="JC377" s="23"/>
      <c r="JD377" s="23"/>
      <c r="JE377" s="23"/>
      <c r="JF377" s="23"/>
      <c r="JG377" s="23"/>
      <c r="JH377" s="23"/>
      <c r="JI377" s="23"/>
      <c r="JJ377" s="23"/>
      <c r="JK377" s="23"/>
      <c r="JL377" s="23"/>
      <c r="JM377" s="23"/>
      <c r="JN377" s="23"/>
      <c r="JO377" s="23"/>
      <c r="JP377" s="23"/>
      <c r="JQ377" s="23"/>
      <c r="JR377" s="23"/>
      <c r="JS377" s="23"/>
      <c r="JT377" s="23"/>
      <c r="JU377" s="23"/>
      <c r="JV377" s="23"/>
      <c r="JW377" s="23"/>
      <c r="JX377" s="23"/>
      <c r="JY377" s="23"/>
      <c r="JZ377" s="23"/>
      <c r="KA377" s="23"/>
      <c r="KB377" s="23"/>
      <c r="KC377" s="23"/>
      <c r="KD377" s="23"/>
      <c r="KE377" s="23"/>
      <c r="KF377" s="23"/>
      <c r="KG377" s="23"/>
      <c r="KH377" s="23"/>
      <c r="KI377" s="23"/>
      <c r="KJ377" s="23"/>
      <c r="KK377" s="23"/>
      <c r="KL377" s="23"/>
      <c r="KM377" s="23"/>
      <c r="KN377" s="23"/>
      <c r="KO377" s="23"/>
      <c r="KP377" s="23"/>
      <c r="KQ377" s="23"/>
      <c r="KR377" s="23"/>
      <c r="KS377" s="23"/>
      <c r="KT377" s="23"/>
      <c r="KU377" s="23"/>
      <c r="KV377" s="23"/>
      <c r="KW377" s="23"/>
      <c r="KX377" s="23"/>
      <c r="KY377" s="23"/>
      <c r="KZ377" s="23"/>
      <c r="LA377" s="23"/>
      <c r="LB377" s="23"/>
      <c r="LC377" s="23"/>
      <c r="LD377" s="23"/>
      <c r="LE377" s="23"/>
      <c r="LF377" s="23"/>
      <c r="LG377" s="23"/>
      <c r="LH377" s="23"/>
      <c r="LI377" s="23"/>
      <c r="LJ377" s="23"/>
      <c r="LK377" s="23"/>
      <c r="LL377" s="23"/>
      <c r="LM377" s="23"/>
      <c r="LN377" s="23"/>
      <c r="LO377" s="23"/>
      <c r="LP377" s="23"/>
      <c r="LQ377" s="23"/>
      <c r="LR377" s="23"/>
      <c r="LS377" s="23"/>
      <c r="LT377" s="23"/>
      <c r="LU377" s="23"/>
      <c r="LV377" s="23"/>
      <c r="LW377" s="23"/>
      <c r="LX377" s="23"/>
      <c r="LY377" s="23"/>
      <c r="LZ377" s="23"/>
      <c r="MA377" s="23"/>
      <c r="MB377" s="23"/>
      <c r="MC377" s="23"/>
      <c r="MD377" s="23"/>
      <c r="ME377" s="23"/>
      <c r="MF377" s="23"/>
      <c r="MG377" s="23"/>
      <c r="MH377" s="23"/>
      <c r="MI377" s="23"/>
      <c r="MJ377" s="23"/>
      <c r="MK377" s="23"/>
      <c r="ML377" s="23"/>
      <c r="MM377" s="23"/>
      <c r="MN377" s="23"/>
      <c r="MO377" s="23"/>
      <c r="MP377" s="23"/>
      <c r="MQ377" s="23"/>
      <c r="MR377" s="23"/>
      <c r="MS377" s="23"/>
      <c r="MT377" s="23"/>
      <c r="MU377" s="23"/>
      <c r="MV377" s="23"/>
      <c r="MW377" s="23"/>
      <c r="MX377" s="23"/>
      <c r="MY377" s="23"/>
      <c r="MZ377" s="23"/>
      <c r="NA377" s="23"/>
      <c r="NB377" s="23"/>
      <c r="NC377" s="23"/>
      <c r="ND377" s="23"/>
      <c r="NE377" s="23"/>
      <c r="NF377" s="23"/>
      <c r="NG377" s="23"/>
      <c r="NH377" s="23"/>
      <c r="NI377" s="23"/>
      <c r="NJ377" s="23"/>
      <c r="NK377" s="23"/>
      <c r="NL377" s="23"/>
      <c r="NM377" s="23"/>
      <c r="NN377" s="23"/>
    </row>
    <row r="378" spans="5:378" ht="15" customHeight="1"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  <c r="IL378" s="23"/>
      <c r="IM378" s="23"/>
      <c r="IN378" s="23"/>
      <c r="IO378" s="23"/>
      <c r="IP378" s="23"/>
      <c r="IQ378" s="23"/>
      <c r="IR378" s="23"/>
      <c r="IS378" s="23"/>
      <c r="IT378" s="23"/>
      <c r="IU378" s="23"/>
      <c r="IV378" s="23"/>
      <c r="IW378" s="23"/>
      <c r="IX378" s="23"/>
      <c r="IY378" s="23"/>
      <c r="IZ378" s="23"/>
      <c r="JA378" s="23"/>
      <c r="JB378" s="23"/>
      <c r="JC378" s="23"/>
      <c r="JD378" s="23"/>
      <c r="JE378" s="23"/>
      <c r="JF378" s="23"/>
      <c r="JG378" s="23"/>
      <c r="JH378" s="23"/>
      <c r="JI378" s="23"/>
      <c r="JJ378" s="23"/>
      <c r="JK378" s="23"/>
      <c r="JL378" s="23"/>
      <c r="JM378" s="23"/>
      <c r="JN378" s="23"/>
      <c r="JO378" s="23"/>
      <c r="JP378" s="23"/>
      <c r="JQ378" s="23"/>
      <c r="JR378" s="23"/>
      <c r="JS378" s="23"/>
      <c r="JT378" s="23"/>
      <c r="JU378" s="23"/>
      <c r="JV378" s="23"/>
      <c r="JW378" s="23"/>
      <c r="JX378" s="23"/>
      <c r="JY378" s="23"/>
      <c r="JZ378" s="23"/>
      <c r="KA378" s="23"/>
      <c r="KB378" s="23"/>
      <c r="KC378" s="23"/>
      <c r="KD378" s="23"/>
      <c r="KE378" s="23"/>
      <c r="KF378" s="23"/>
      <c r="KG378" s="23"/>
      <c r="KH378" s="23"/>
      <c r="KI378" s="23"/>
      <c r="KJ378" s="23"/>
      <c r="KK378" s="23"/>
      <c r="KL378" s="23"/>
      <c r="KM378" s="23"/>
      <c r="KN378" s="23"/>
      <c r="KO378" s="23"/>
      <c r="KP378" s="23"/>
      <c r="KQ378" s="23"/>
      <c r="KR378" s="23"/>
      <c r="KS378" s="23"/>
      <c r="KT378" s="23"/>
      <c r="KU378" s="23"/>
      <c r="KV378" s="23"/>
      <c r="KW378" s="23"/>
      <c r="KX378" s="23"/>
      <c r="KY378" s="23"/>
      <c r="KZ378" s="23"/>
      <c r="LA378" s="23"/>
      <c r="LB378" s="23"/>
      <c r="LC378" s="23"/>
      <c r="LD378" s="23"/>
      <c r="LE378" s="23"/>
      <c r="LF378" s="23"/>
      <c r="LG378" s="23"/>
      <c r="LH378" s="23"/>
      <c r="LI378" s="23"/>
      <c r="LJ378" s="23"/>
      <c r="LK378" s="23"/>
      <c r="LL378" s="23"/>
      <c r="LM378" s="23"/>
      <c r="LN378" s="23"/>
      <c r="LO378" s="23"/>
      <c r="LP378" s="23"/>
      <c r="LQ378" s="23"/>
      <c r="LR378" s="23"/>
      <c r="LS378" s="23"/>
      <c r="LT378" s="23"/>
      <c r="LU378" s="23"/>
      <c r="LV378" s="23"/>
      <c r="LW378" s="23"/>
      <c r="LX378" s="23"/>
      <c r="LY378" s="23"/>
      <c r="LZ378" s="23"/>
      <c r="MA378" s="23"/>
      <c r="MB378" s="23"/>
      <c r="MC378" s="23"/>
      <c r="MD378" s="23"/>
      <c r="ME378" s="23"/>
      <c r="MF378" s="23"/>
      <c r="MG378" s="23"/>
      <c r="MH378" s="23"/>
      <c r="MI378" s="23"/>
      <c r="MJ378" s="23"/>
      <c r="MK378" s="23"/>
      <c r="ML378" s="23"/>
      <c r="MM378" s="23"/>
      <c r="MN378" s="23"/>
      <c r="MO378" s="23"/>
      <c r="MP378" s="23"/>
      <c r="MQ378" s="23"/>
      <c r="MR378" s="23"/>
      <c r="MS378" s="23"/>
      <c r="MT378" s="23"/>
      <c r="MU378" s="23"/>
      <c r="MV378" s="23"/>
      <c r="MW378" s="23"/>
      <c r="MX378" s="23"/>
      <c r="MY378" s="23"/>
      <c r="MZ378" s="23"/>
      <c r="NA378" s="23"/>
      <c r="NB378" s="23"/>
      <c r="NC378" s="23"/>
      <c r="ND378" s="23"/>
      <c r="NE378" s="23"/>
      <c r="NF378" s="23"/>
      <c r="NG378" s="23"/>
      <c r="NH378" s="23"/>
      <c r="NI378" s="23"/>
      <c r="NJ378" s="23"/>
      <c r="NK378" s="23"/>
      <c r="NL378" s="23"/>
      <c r="NM378" s="23"/>
      <c r="NN378" s="23"/>
    </row>
    <row r="379" spans="5:378" ht="15" customHeight="1"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  <c r="IL379" s="23"/>
      <c r="IM379" s="23"/>
      <c r="IN379" s="23"/>
      <c r="IO379" s="23"/>
      <c r="IP379" s="23"/>
      <c r="IQ379" s="23"/>
      <c r="IR379" s="23"/>
      <c r="IS379" s="23"/>
      <c r="IT379" s="23"/>
      <c r="IU379" s="23"/>
      <c r="IV379" s="23"/>
      <c r="IW379" s="23"/>
      <c r="IX379" s="23"/>
      <c r="IY379" s="23"/>
      <c r="IZ379" s="23"/>
      <c r="JA379" s="23"/>
      <c r="JB379" s="23"/>
      <c r="JC379" s="23"/>
      <c r="JD379" s="23"/>
      <c r="JE379" s="23"/>
      <c r="JF379" s="23"/>
      <c r="JG379" s="23"/>
      <c r="JH379" s="23"/>
      <c r="JI379" s="23"/>
      <c r="JJ379" s="23"/>
      <c r="JK379" s="23"/>
      <c r="JL379" s="23"/>
      <c r="JM379" s="23"/>
      <c r="JN379" s="23"/>
      <c r="JO379" s="23"/>
      <c r="JP379" s="23"/>
      <c r="JQ379" s="23"/>
      <c r="JR379" s="23"/>
      <c r="JS379" s="23"/>
      <c r="JT379" s="23"/>
      <c r="JU379" s="23"/>
      <c r="JV379" s="23"/>
      <c r="JW379" s="23"/>
      <c r="JX379" s="23"/>
      <c r="JY379" s="23"/>
      <c r="JZ379" s="23"/>
      <c r="KA379" s="23"/>
      <c r="KB379" s="23"/>
      <c r="KC379" s="23"/>
      <c r="KD379" s="23"/>
      <c r="KE379" s="23"/>
      <c r="KF379" s="23"/>
      <c r="KG379" s="23"/>
      <c r="KH379" s="23"/>
      <c r="KI379" s="23"/>
      <c r="KJ379" s="23"/>
      <c r="KK379" s="23"/>
      <c r="KL379" s="23"/>
      <c r="KM379" s="23"/>
      <c r="KN379" s="23"/>
      <c r="KO379" s="23"/>
      <c r="KP379" s="23"/>
      <c r="KQ379" s="23"/>
      <c r="KR379" s="23"/>
      <c r="KS379" s="23"/>
      <c r="KT379" s="23"/>
      <c r="KU379" s="23"/>
      <c r="KV379" s="23"/>
      <c r="KW379" s="23"/>
      <c r="KX379" s="23"/>
      <c r="KY379" s="23"/>
      <c r="KZ379" s="23"/>
      <c r="LA379" s="23"/>
      <c r="LB379" s="23"/>
      <c r="LC379" s="23"/>
      <c r="LD379" s="23"/>
      <c r="LE379" s="23"/>
      <c r="LF379" s="23"/>
      <c r="LG379" s="23"/>
      <c r="LH379" s="23"/>
      <c r="LI379" s="23"/>
      <c r="LJ379" s="23"/>
      <c r="LK379" s="23"/>
      <c r="LL379" s="23"/>
      <c r="LM379" s="23"/>
      <c r="LN379" s="23"/>
      <c r="LO379" s="23"/>
      <c r="LP379" s="23"/>
      <c r="LQ379" s="23"/>
      <c r="LR379" s="23"/>
      <c r="LS379" s="23"/>
      <c r="LT379" s="23"/>
      <c r="LU379" s="23"/>
      <c r="LV379" s="23"/>
      <c r="LW379" s="23"/>
      <c r="LX379" s="23"/>
      <c r="LY379" s="23"/>
      <c r="LZ379" s="23"/>
      <c r="MA379" s="23"/>
      <c r="MB379" s="23"/>
      <c r="MC379" s="23"/>
      <c r="MD379" s="23"/>
      <c r="ME379" s="23"/>
      <c r="MF379" s="23"/>
      <c r="MG379" s="23"/>
      <c r="MH379" s="23"/>
      <c r="MI379" s="23"/>
      <c r="MJ379" s="23"/>
      <c r="MK379" s="23"/>
      <c r="ML379" s="23"/>
      <c r="MM379" s="23"/>
      <c r="MN379" s="23"/>
      <c r="MO379" s="23"/>
      <c r="MP379" s="23"/>
      <c r="MQ379" s="23"/>
      <c r="MR379" s="23"/>
      <c r="MS379" s="23"/>
      <c r="MT379" s="23"/>
      <c r="MU379" s="23"/>
      <c r="MV379" s="23"/>
      <c r="MW379" s="23"/>
      <c r="MX379" s="23"/>
      <c r="MY379" s="23"/>
      <c r="MZ379" s="23"/>
      <c r="NA379" s="23"/>
      <c r="NB379" s="23"/>
      <c r="NC379" s="23"/>
      <c r="ND379" s="23"/>
      <c r="NE379" s="23"/>
      <c r="NF379" s="23"/>
      <c r="NG379" s="23"/>
      <c r="NH379" s="23"/>
      <c r="NI379" s="23"/>
      <c r="NJ379" s="23"/>
      <c r="NK379" s="23"/>
      <c r="NL379" s="23"/>
      <c r="NM379" s="23"/>
      <c r="NN379" s="23"/>
    </row>
    <row r="380" spans="5:378" ht="15" customHeight="1"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  <c r="IL380" s="23"/>
      <c r="IM380" s="23"/>
      <c r="IN380" s="23"/>
      <c r="IO380" s="23"/>
      <c r="IP380" s="23"/>
      <c r="IQ380" s="23"/>
      <c r="IR380" s="23"/>
      <c r="IS380" s="23"/>
      <c r="IT380" s="23"/>
      <c r="IU380" s="23"/>
      <c r="IV380" s="23"/>
      <c r="IW380" s="23"/>
      <c r="IX380" s="23"/>
      <c r="IY380" s="23"/>
      <c r="IZ380" s="23"/>
      <c r="JA380" s="23"/>
      <c r="JB380" s="23"/>
      <c r="JC380" s="23"/>
      <c r="JD380" s="23"/>
      <c r="JE380" s="23"/>
      <c r="JF380" s="23"/>
      <c r="JG380" s="23"/>
      <c r="JH380" s="23"/>
      <c r="JI380" s="23"/>
      <c r="JJ380" s="23"/>
      <c r="JK380" s="23"/>
      <c r="JL380" s="23"/>
      <c r="JM380" s="23"/>
      <c r="JN380" s="23"/>
      <c r="JO380" s="23"/>
      <c r="JP380" s="23"/>
      <c r="JQ380" s="23"/>
      <c r="JR380" s="23"/>
      <c r="JS380" s="23"/>
      <c r="JT380" s="23"/>
      <c r="JU380" s="23"/>
      <c r="JV380" s="23"/>
      <c r="JW380" s="23"/>
      <c r="JX380" s="23"/>
      <c r="JY380" s="23"/>
      <c r="JZ380" s="23"/>
      <c r="KA380" s="23"/>
      <c r="KB380" s="23"/>
      <c r="KC380" s="23"/>
      <c r="KD380" s="23"/>
      <c r="KE380" s="23"/>
      <c r="KF380" s="23"/>
      <c r="KG380" s="23"/>
      <c r="KH380" s="23"/>
      <c r="KI380" s="23"/>
      <c r="KJ380" s="23"/>
      <c r="KK380" s="23"/>
      <c r="KL380" s="23"/>
      <c r="KM380" s="23"/>
      <c r="KN380" s="23"/>
      <c r="KO380" s="23"/>
      <c r="KP380" s="23"/>
      <c r="KQ380" s="23"/>
      <c r="KR380" s="23"/>
      <c r="KS380" s="23"/>
      <c r="KT380" s="23"/>
      <c r="KU380" s="23"/>
      <c r="KV380" s="23"/>
      <c r="KW380" s="23"/>
      <c r="KX380" s="23"/>
      <c r="KY380" s="23"/>
      <c r="KZ380" s="23"/>
      <c r="LA380" s="23"/>
      <c r="LB380" s="23"/>
      <c r="LC380" s="23"/>
      <c r="LD380" s="23"/>
      <c r="LE380" s="23"/>
      <c r="LF380" s="23"/>
      <c r="LG380" s="23"/>
      <c r="LH380" s="23"/>
      <c r="LI380" s="23"/>
      <c r="LJ380" s="23"/>
      <c r="LK380" s="23"/>
      <c r="LL380" s="23"/>
      <c r="LM380" s="23"/>
      <c r="LN380" s="23"/>
      <c r="LO380" s="23"/>
      <c r="LP380" s="23"/>
      <c r="LQ380" s="23"/>
      <c r="LR380" s="23"/>
      <c r="LS380" s="23"/>
      <c r="LT380" s="23"/>
      <c r="LU380" s="23"/>
      <c r="LV380" s="23"/>
      <c r="LW380" s="23"/>
      <c r="LX380" s="23"/>
      <c r="LY380" s="23"/>
      <c r="LZ380" s="23"/>
      <c r="MA380" s="23"/>
      <c r="MB380" s="23"/>
      <c r="MC380" s="23"/>
      <c r="MD380" s="23"/>
      <c r="ME380" s="23"/>
      <c r="MF380" s="23"/>
      <c r="MG380" s="23"/>
      <c r="MH380" s="23"/>
      <c r="MI380" s="23"/>
      <c r="MJ380" s="23"/>
      <c r="MK380" s="23"/>
      <c r="ML380" s="23"/>
      <c r="MM380" s="23"/>
      <c r="MN380" s="23"/>
      <c r="MO380" s="23"/>
      <c r="MP380" s="23"/>
      <c r="MQ380" s="23"/>
      <c r="MR380" s="23"/>
      <c r="MS380" s="23"/>
      <c r="MT380" s="23"/>
      <c r="MU380" s="23"/>
      <c r="MV380" s="23"/>
      <c r="MW380" s="23"/>
      <c r="MX380" s="23"/>
      <c r="MY380" s="23"/>
      <c r="MZ380" s="23"/>
      <c r="NA380" s="23"/>
      <c r="NB380" s="23"/>
      <c r="NC380" s="23"/>
      <c r="ND380" s="23"/>
      <c r="NE380" s="23"/>
      <c r="NF380" s="23"/>
      <c r="NG380" s="23"/>
      <c r="NH380" s="23"/>
      <c r="NI380" s="23"/>
      <c r="NJ380" s="23"/>
      <c r="NK380" s="23"/>
      <c r="NL380" s="23"/>
      <c r="NM380" s="23"/>
      <c r="NN380" s="23"/>
    </row>
    <row r="381" spans="5:378" ht="15" customHeight="1"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  <c r="IL381" s="23"/>
      <c r="IM381" s="23"/>
      <c r="IN381" s="23"/>
      <c r="IO381" s="23"/>
      <c r="IP381" s="23"/>
      <c r="IQ381" s="23"/>
      <c r="IR381" s="23"/>
      <c r="IS381" s="23"/>
      <c r="IT381" s="23"/>
      <c r="IU381" s="23"/>
      <c r="IV381" s="23"/>
      <c r="IW381" s="23"/>
      <c r="IX381" s="23"/>
      <c r="IY381" s="23"/>
      <c r="IZ381" s="23"/>
      <c r="JA381" s="23"/>
      <c r="JB381" s="23"/>
      <c r="JC381" s="23"/>
      <c r="JD381" s="23"/>
      <c r="JE381" s="23"/>
      <c r="JF381" s="23"/>
      <c r="JG381" s="23"/>
      <c r="JH381" s="23"/>
      <c r="JI381" s="23"/>
      <c r="JJ381" s="23"/>
      <c r="JK381" s="23"/>
      <c r="JL381" s="23"/>
      <c r="JM381" s="23"/>
      <c r="JN381" s="23"/>
      <c r="JO381" s="23"/>
      <c r="JP381" s="23"/>
      <c r="JQ381" s="23"/>
      <c r="JR381" s="23"/>
      <c r="JS381" s="23"/>
      <c r="JT381" s="23"/>
      <c r="JU381" s="23"/>
      <c r="JV381" s="23"/>
      <c r="JW381" s="23"/>
      <c r="JX381" s="23"/>
      <c r="JY381" s="23"/>
      <c r="JZ381" s="23"/>
      <c r="KA381" s="23"/>
      <c r="KB381" s="23"/>
      <c r="KC381" s="23"/>
      <c r="KD381" s="23"/>
      <c r="KE381" s="23"/>
      <c r="KF381" s="23"/>
      <c r="KG381" s="23"/>
      <c r="KH381" s="23"/>
      <c r="KI381" s="23"/>
      <c r="KJ381" s="23"/>
      <c r="KK381" s="23"/>
      <c r="KL381" s="23"/>
      <c r="KM381" s="23"/>
      <c r="KN381" s="23"/>
      <c r="KO381" s="23"/>
      <c r="KP381" s="23"/>
      <c r="KQ381" s="23"/>
      <c r="KR381" s="23"/>
      <c r="KS381" s="23"/>
      <c r="KT381" s="23"/>
      <c r="KU381" s="23"/>
      <c r="KV381" s="23"/>
      <c r="KW381" s="23"/>
      <c r="KX381" s="23"/>
      <c r="KY381" s="23"/>
      <c r="KZ381" s="23"/>
      <c r="LA381" s="23"/>
      <c r="LB381" s="23"/>
      <c r="LC381" s="23"/>
      <c r="LD381" s="23"/>
      <c r="LE381" s="23"/>
      <c r="LF381" s="23"/>
      <c r="LG381" s="23"/>
      <c r="LH381" s="23"/>
      <c r="LI381" s="23"/>
      <c r="LJ381" s="23"/>
      <c r="LK381" s="23"/>
      <c r="LL381" s="23"/>
      <c r="LM381" s="23"/>
      <c r="LN381" s="23"/>
      <c r="LO381" s="23"/>
      <c r="LP381" s="23"/>
      <c r="LQ381" s="23"/>
      <c r="LR381" s="23"/>
      <c r="LS381" s="23"/>
      <c r="LT381" s="23"/>
      <c r="LU381" s="23"/>
      <c r="LV381" s="23"/>
      <c r="LW381" s="23"/>
      <c r="LX381" s="23"/>
      <c r="LY381" s="23"/>
      <c r="LZ381" s="23"/>
      <c r="MA381" s="23"/>
      <c r="MB381" s="23"/>
      <c r="MC381" s="23"/>
      <c r="MD381" s="23"/>
      <c r="ME381" s="23"/>
      <c r="MF381" s="23"/>
      <c r="MG381" s="23"/>
      <c r="MH381" s="23"/>
      <c r="MI381" s="23"/>
      <c r="MJ381" s="23"/>
      <c r="MK381" s="23"/>
      <c r="ML381" s="23"/>
      <c r="MM381" s="23"/>
      <c r="MN381" s="23"/>
      <c r="MO381" s="23"/>
      <c r="MP381" s="23"/>
      <c r="MQ381" s="23"/>
      <c r="MR381" s="23"/>
      <c r="MS381" s="23"/>
      <c r="MT381" s="23"/>
      <c r="MU381" s="23"/>
      <c r="MV381" s="23"/>
      <c r="MW381" s="23"/>
      <c r="MX381" s="23"/>
      <c r="MY381" s="23"/>
      <c r="MZ381" s="23"/>
      <c r="NA381" s="23"/>
      <c r="NB381" s="23"/>
      <c r="NC381" s="23"/>
      <c r="ND381" s="23"/>
      <c r="NE381" s="23"/>
      <c r="NF381" s="23"/>
      <c r="NG381" s="23"/>
      <c r="NH381" s="23"/>
      <c r="NI381" s="23"/>
      <c r="NJ381" s="23"/>
      <c r="NK381" s="23"/>
      <c r="NL381" s="23"/>
      <c r="NM381" s="23"/>
      <c r="NN381" s="23"/>
    </row>
    <row r="382" spans="5:378" ht="15" customHeight="1"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  <c r="IL382" s="23"/>
      <c r="IM382" s="23"/>
      <c r="IN382" s="23"/>
      <c r="IO382" s="23"/>
      <c r="IP382" s="23"/>
      <c r="IQ382" s="23"/>
      <c r="IR382" s="23"/>
      <c r="IS382" s="23"/>
      <c r="IT382" s="23"/>
      <c r="IU382" s="23"/>
      <c r="IV382" s="23"/>
      <c r="IW382" s="23"/>
      <c r="IX382" s="23"/>
      <c r="IY382" s="23"/>
      <c r="IZ382" s="23"/>
      <c r="JA382" s="23"/>
      <c r="JB382" s="23"/>
      <c r="JC382" s="23"/>
      <c r="JD382" s="23"/>
      <c r="JE382" s="23"/>
      <c r="JF382" s="23"/>
      <c r="JG382" s="23"/>
      <c r="JH382" s="23"/>
      <c r="JI382" s="23"/>
      <c r="JJ382" s="23"/>
      <c r="JK382" s="23"/>
      <c r="JL382" s="23"/>
      <c r="JM382" s="23"/>
      <c r="JN382" s="23"/>
      <c r="JO382" s="23"/>
      <c r="JP382" s="23"/>
      <c r="JQ382" s="23"/>
      <c r="JR382" s="23"/>
      <c r="JS382" s="23"/>
      <c r="JT382" s="23"/>
      <c r="JU382" s="23"/>
      <c r="JV382" s="23"/>
      <c r="JW382" s="23"/>
      <c r="JX382" s="23"/>
      <c r="JY382" s="23"/>
      <c r="JZ382" s="23"/>
      <c r="KA382" s="23"/>
      <c r="KB382" s="23"/>
      <c r="KC382" s="23"/>
      <c r="KD382" s="23"/>
      <c r="KE382" s="23"/>
      <c r="KF382" s="23"/>
      <c r="KG382" s="23"/>
      <c r="KH382" s="23"/>
      <c r="KI382" s="23"/>
      <c r="KJ382" s="23"/>
      <c r="KK382" s="23"/>
      <c r="KL382" s="23"/>
      <c r="KM382" s="23"/>
      <c r="KN382" s="23"/>
      <c r="KO382" s="23"/>
      <c r="KP382" s="23"/>
      <c r="KQ382" s="23"/>
      <c r="KR382" s="23"/>
      <c r="KS382" s="23"/>
      <c r="KT382" s="23"/>
      <c r="KU382" s="23"/>
      <c r="KV382" s="23"/>
      <c r="KW382" s="23"/>
      <c r="KX382" s="23"/>
      <c r="KY382" s="23"/>
      <c r="KZ382" s="23"/>
      <c r="LA382" s="23"/>
      <c r="LB382" s="23"/>
      <c r="LC382" s="23"/>
      <c r="LD382" s="23"/>
      <c r="LE382" s="23"/>
      <c r="LF382" s="23"/>
      <c r="LG382" s="23"/>
      <c r="LH382" s="23"/>
      <c r="LI382" s="23"/>
      <c r="LJ382" s="23"/>
      <c r="LK382" s="23"/>
      <c r="LL382" s="23"/>
      <c r="LM382" s="23"/>
      <c r="LN382" s="23"/>
      <c r="LO382" s="23"/>
      <c r="LP382" s="23"/>
      <c r="LQ382" s="23"/>
      <c r="LR382" s="23"/>
      <c r="LS382" s="23"/>
      <c r="LT382" s="23"/>
      <c r="LU382" s="23"/>
      <c r="LV382" s="23"/>
      <c r="LW382" s="23"/>
      <c r="LX382" s="23"/>
      <c r="LY382" s="23"/>
      <c r="LZ382" s="23"/>
      <c r="MA382" s="23"/>
      <c r="MB382" s="23"/>
      <c r="MC382" s="23"/>
      <c r="MD382" s="23"/>
      <c r="ME382" s="23"/>
      <c r="MF382" s="23"/>
      <c r="MG382" s="23"/>
      <c r="MH382" s="23"/>
      <c r="MI382" s="23"/>
      <c r="MJ382" s="23"/>
      <c r="MK382" s="23"/>
      <c r="ML382" s="23"/>
      <c r="MM382" s="23"/>
      <c r="MN382" s="23"/>
      <c r="MO382" s="23"/>
      <c r="MP382" s="23"/>
      <c r="MQ382" s="23"/>
      <c r="MR382" s="23"/>
      <c r="MS382" s="23"/>
      <c r="MT382" s="23"/>
      <c r="MU382" s="23"/>
      <c r="MV382" s="23"/>
      <c r="MW382" s="23"/>
      <c r="MX382" s="23"/>
      <c r="MY382" s="23"/>
      <c r="MZ382" s="23"/>
      <c r="NA382" s="23"/>
      <c r="NB382" s="23"/>
      <c r="NC382" s="23"/>
      <c r="ND382" s="23"/>
      <c r="NE382" s="23"/>
      <c r="NF382" s="23"/>
      <c r="NG382" s="23"/>
      <c r="NH382" s="23"/>
      <c r="NI382" s="23"/>
      <c r="NJ382" s="23"/>
      <c r="NK382" s="23"/>
      <c r="NL382" s="23"/>
      <c r="NM382" s="23"/>
      <c r="NN382" s="23"/>
    </row>
    <row r="383" spans="5:378" ht="15" customHeight="1"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  <c r="IL383" s="23"/>
      <c r="IM383" s="23"/>
      <c r="IN383" s="23"/>
      <c r="IO383" s="23"/>
      <c r="IP383" s="23"/>
      <c r="IQ383" s="23"/>
      <c r="IR383" s="23"/>
      <c r="IS383" s="23"/>
      <c r="IT383" s="23"/>
      <c r="IU383" s="23"/>
      <c r="IV383" s="23"/>
      <c r="IW383" s="23"/>
      <c r="IX383" s="23"/>
      <c r="IY383" s="23"/>
      <c r="IZ383" s="23"/>
      <c r="JA383" s="23"/>
      <c r="JB383" s="23"/>
      <c r="JC383" s="23"/>
      <c r="JD383" s="23"/>
      <c r="JE383" s="23"/>
      <c r="JF383" s="23"/>
      <c r="JG383" s="23"/>
      <c r="JH383" s="23"/>
      <c r="JI383" s="23"/>
      <c r="JJ383" s="23"/>
      <c r="JK383" s="23"/>
      <c r="JL383" s="23"/>
      <c r="JM383" s="23"/>
      <c r="JN383" s="23"/>
      <c r="JO383" s="23"/>
      <c r="JP383" s="23"/>
      <c r="JQ383" s="23"/>
      <c r="JR383" s="23"/>
      <c r="JS383" s="23"/>
      <c r="JT383" s="23"/>
      <c r="JU383" s="23"/>
      <c r="JV383" s="23"/>
      <c r="JW383" s="23"/>
      <c r="JX383" s="23"/>
      <c r="JY383" s="23"/>
      <c r="JZ383" s="23"/>
      <c r="KA383" s="23"/>
      <c r="KB383" s="23"/>
      <c r="KC383" s="23"/>
      <c r="KD383" s="23"/>
      <c r="KE383" s="23"/>
      <c r="KF383" s="23"/>
      <c r="KG383" s="23"/>
      <c r="KH383" s="23"/>
      <c r="KI383" s="23"/>
      <c r="KJ383" s="23"/>
      <c r="KK383" s="23"/>
      <c r="KL383" s="23"/>
      <c r="KM383" s="23"/>
      <c r="KN383" s="23"/>
      <c r="KO383" s="23"/>
      <c r="KP383" s="23"/>
      <c r="KQ383" s="23"/>
      <c r="KR383" s="23"/>
      <c r="KS383" s="23"/>
      <c r="KT383" s="23"/>
      <c r="KU383" s="23"/>
      <c r="KV383" s="23"/>
      <c r="KW383" s="23"/>
      <c r="KX383" s="23"/>
      <c r="KY383" s="23"/>
      <c r="KZ383" s="23"/>
      <c r="LA383" s="23"/>
      <c r="LB383" s="23"/>
      <c r="LC383" s="23"/>
      <c r="LD383" s="23"/>
      <c r="LE383" s="23"/>
      <c r="LF383" s="23"/>
      <c r="LG383" s="23"/>
      <c r="LH383" s="23"/>
      <c r="LI383" s="23"/>
      <c r="LJ383" s="23"/>
      <c r="LK383" s="23"/>
      <c r="LL383" s="23"/>
      <c r="LM383" s="23"/>
      <c r="LN383" s="23"/>
      <c r="LO383" s="23"/>
      <c r="LP383" s="23"/>
      <c r="LQ383" s="23"/>
      <c r="LR383" s="23"/>
      <c r="LS383" s="23"/>
      <c r="LT383" s="23"/>
      <c r="LU383" s="23"/>
      <c r="LV383" s="23"/>
      <c r="LW383" s="23"/>
      <c r="LX383" s="23"/>
      <c r="LY383" s="23"/>
      <c r="LZ383" s="23"/>
      <c r="MA383" s="23"/>
      <c r="MB383" s="23"/>
      <c r="MC383" s="23"/>
      <c r="MD383" s="23"/>
      <c r="ME383" s="23"/>
      <c r="MF383" s="23"/>
      <c r="MG383" s="23"/>
      <c r="MH383" s="23"/>
      <c r="MI383" s="23"/>
      <c r="MJ383" s="23"/>
      <c r="MK383" s="23"/>
      <c r="ML383" s="23"/>
      <c r="MM383" s="23"/>
      <c r="MN383" s="23"/>
      <c r="MO383" s="23"/>
      <c r="MP383" s="23"/>
      <c r="MQ383" s="23"/>
      <c r="MR383" s="23"/>
      <c r="MS383" s="23"/>
      <c r="MT383" s="23"/>
      <c r="MU383" s="23"/>
      <c r="MV383" s="23"/>
      <c r="MW383" s="23"/>
      <c r="MX383" s="23"/>
      <c r="MY383" s="23"/>
      <c r="MZ383" s="23"/>
      <c r="NA383" s="23"/>
      <c r="NB383" s="23"/>
      <c r="NC383" s="23"/>
      <c r="ND383" s="23"/>
      <c r="NE383" s="23"/>
      <c r="NF383" s="23"/>
      <c r="NG383" s="23"/>
      <c r="NH383" s="23"/>
      <c r="NI383" s="23"/>
      <c r="NJ383" s="23"/>
      <c r="NK383" s="23"/>
      <c r="NL383" s="23"/>
      <c r="NM383" s="23"/>
      <c r="NN383" s="23"/>
    </row>
    <row r="384" spans="5:378" ht="15" customHeight="1"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  <c r="IL384" s="23"/>
      <c r="IM384" s="23"/>
      <c r="IN384" s="23"/>
      <c r="IO384" s="23"/>
      <c r="IP384" s="23"/>
      <c r="IQ384" s="23"/>
      <c r="IR384" s="23"/>
      <c r="IS384" s="23"/>
      <c r="IT384" s="23"/>
      <c r="IU384" s="23"/>
      <c r="IV384" s="23"/>
      <c r="IW384" s="23"/>
      <c r="IX384" s="23"/>
      <c r="IY384" s="23"/>
      <c r="IZ384" s="23"/>
      <c r="JA384" s="23"/>
      <c r="JB384" s="23"/>
      <c r="JC384" s="23"/>
      <c r="JD384" s="23"/>
      <c r="JE384" s="23"/>
      <c r="JF384" s="23"/>
      <c r="JG384" s="23"/>
      <c r="JH384" s="23"/>
      <c r="JI384" s="23"/>
      <c r="JJ384" s="23"/>
      <c r="JK384" s="23"/>
      <c r="JL384" s="23"/>
      <c r="JM384" s="23"/>
      <c r="JN384" s="23"/>
      <c r="JO384" s="23"/>
      <c r="JP384" s="23"/>
      <c r="JQ384" s="23"/>
      <c r="JR384" s="23"/>
      <c r="JS384" s="23"/>
      <c r="JT384" s="23"/>
      <c r="JU384" s="23"/>
      <c r="JV384" s="23"/>
      <c r="JW384" s="23"/>
      <c r="JX384" s="23"/>
      <c r="JY384" s="23"/>
      <c r="JZ384" s="23"/>
      <c r="KA384" s="23"/>
      <c r="KB384" s="23"/>
      <c r="KC384" s="23"/>
      <c r="KD384" s="23"/>
      <c r="KE384" s="23"/>
      <c r="KF384" s="23"/>
      <c r="KG384" s="23"/>
      <c r="KH384" s="23"/>
      <c r="KI384" s="23"/>
      <c r="KJ384" s="23"/>
      <c r="KK384" s="23"/>
      <c r="KL384" s="23"/>
      <c r="KM384" s="23"/>
      <c r="KN384" s="23"/>
      <c r="KO384" s="23"/>
      <c r="KP384" s="23"/>
      <c r="KQ384" s="23"/>
      <c r="KR384" s="23"/>
      <c r="KS384" s="23"/>
      <c r="KT384" s="23"/>
      <c r="KU384" s="23"/>
      <c r="KV384" s="23"/>
      <c r="KW384" s="23"/>
      <c r="KX384" s="23"/>
      <c r="KY384" s="23"/>
      <c r="KZ384" s="23"/>
      <c r="LA384" s="23"/>
      <c r="LB384" s="23"/>
      <c r="LC384" s="23"/>
      <c r="LD384" s="23"/>
      <c r="LE384" s="23"/>
      <c r="LF384" s="23"/>
      <c r="LG384" s="23"/>
      <c r="LH384" s="23"/>
      <c r="LI384" s="23"/>
      <c r="LJ384" s="23"/>
      <c r="LK384" s="23"/>
      <c r="LL384" s="23"/>
      <c r="LM384" s="23"/>
      <c r="LN384" s="23"/>
      <c r="LO384" s="23"/>
      <c r="LP384" s="23"/>
      <c r="LQ384" s="23"/>
      <c r="LR384" s="23"/>
      <c r="LS384" s="23"/>
      <c r="LT384" s="23"/>
      <c r="LU384" s="23"/>
      <c r="LV384" s="23"/>
      <c r="LW384" s="23"/>
      <c r="LX384" s="23"/>
      <c r="LY384" s="23"/>
      <c r="LZ384" s="23"/>
      <c r="MA384" s="23"/>
      <c r="MB384" s="23"/>
      <c r="MC384" s="23"/>
      <c r="MD384" s="23"/>
      <c r="ME384" s="23"/>
      <c r="MF384" s="23"/>
      <c r="MG384" s="23"/>
      <c r="MH384" s="23"/>
      <c r="MI384" s="23"/>
      <c r="MJ384" s="23"/>
      <c r="MK384" s="23"/>
      <c r="ML384" s="23"/>
      <c r="MM384" s="23"/>
      <c r="MN384" s="23"/>
      <c r="MO384" s="23"/>
      <c r="MP384" s="23"/>
      <c r="MQ384" s="23"/>
      <c r="MR384" s="23"/>
      <c r="MS384" s="23"/>
      <c r="MT384" s="23"/>
      <c r="MU384" s="23"/>
      <c r="MV384" s="23"/>
      <c r="MW384" s="23"/>
      <c r="MX384" s="23"/>
      <c r="MY384" s="23"/>
      <c r="MZ384" s="23"/>
      <c r="NA384" s="23"/>
      <c r="NB384" s="23"/>
      <c r="NC384" s="23"/>
      <c r="ND384" s="23"/>
      <c r="NE384" s="23"/>
      <c r="NF384" s="23"/>
      <c r="NG384" s="23"/>
      <c r="NH384" s="23"/>
      <c r="NI384" s="23"/>
      <c r="NJ384" s="23"/>
      <c r="NK384" s="23"/>
      <c r="NL384" s="23"/>
      <c r="NM384" s="23"/>
      <c r="NN384" s="23"/>
    </row>
    <row r="385" spans="5:378" ht="15" customHeight="1"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  <c r="IL385" s="23"/>
      <c r="IM385" s="23"/>
      <c r="IN385" s="23"/>
      <c r="IO385" s="23"/>
      <c r="IP385" s="23"/>
      <c r="IQ385" s="23"/>
      <c r="IR385" s="23"/>
      <c r="IS385" s="23"/>
      <c r="IT385" s="23"/>
      <c r="IU385" s="23"/>
      <c r="IV385" s="23"/>
      <c r="IW385" s="23"/>
      <c r="IX385" s="23"/>
      <c r="IY385" s="23"/>
      <c r="IZ385" s="23"/>
      <c r="JA385" s="23"/>
      <c r="JB385" s="23"/>
      <c r="JC385" s="23"/>
      <c r="JD385" s="23"/>
      <c r="JE385" s="23"/>
      <c r="JF385" s="23"/>
      <c r="JG385" s="23"/>
      <c r="JH385" s="23"/>
      <c r="JI385" s="23"/>
      <c r="JJ385" s="23"/>
      <c r="JK385" s="23"/>
      <c r="JL385" s="23"/>
      <c r="JM385" s="23"/>
      <c r="JN385" s="23"/>
      <c r="JO385" s="23"/>
      <c r="JP385" s="23"/>
      <c r="JQ385" s="23"/>
      <c r="JR385" s="23"/>
      <c r="JS385" s="23"/>
      <c r="JT385" s="23"/>
      <c r="JU385" s="23"/>
      <c r="JV385" s="23"/>
      <c r="JW385" s="23"/>
      <c r="JX385" s="23"/>
      <c r="JY385" s="23"/>
      <c r="JZ385" s="23"/>
      <c r="KA385" s="23"/>
      <c r="KB385" s="23"/>
      <c r="KC385" s="23"/>
      <c r="KD385" s="23"/>
      <c r="KE385" s="23"/>
      <c r="KF385" s="23"/>
      <c r="KG385" s="23"/>
      <c r="KH385" s="23"/>
      <c r="KI385" s="23"/>
      <c r="KJ385" s="23"/>
      <c r="KK385" s="23"/>
      <c r="KL385" s="23"/>
      <c r="KM385" s="23"/>
      <c r="KN385" s="23"/>
      <c r="KO385" s="23"/>
      <c r="KP385" s="23"/>
      <c r="KQ385" s="23"/>
      <c r="KR385" s="23"/>
      <c r="KS385" s="23"/>
      <c r="KT385" s="23"/>
      <c r="KU385" s="23"/>
      <c r="KV385" s="23"/>
      <c r="KW385" s="23"/>
      <c r="KX385" s="23"/>
      <c r="KY385" s="23"/>
      <c r="KZ385" s="23"/>
      <c r="LA385" s="23"/>
      <c r="LB385" s="23"/>
      <c r="LC385" s="23"/>
      <c r="LD385" s="23"/>
      <c r="LE385" s="23"/>
      <c r="LF385" s="23"/>
      <c r="LG385" s="23"/>
      <c r="LH385" s="23"/>
      <c r="LI385" s="23"/>
      <c r="LJ385" s="23"/>
      <c r="LK385" s="23"/>
      <c r="LL385" s="23"/>
      <c r="LM385" s="23"/>
      <c r="LN385" s="23"/>
      <c r="LO385" s="23"/>
      <c r="LP385" s="23"/>
      <c r="LQ385" s="23"/>
      <c r="LR385" s="23"/>
      <c r="LS385" s="23"/>
      <c r="LT385" s="23"/>
      <c r="LU385" s="23"/>
      <c r="LV385" s="23"/>
      <c r="LW385" s="23"/>
      <c r="LX385" s="23"/>
      <c r="LY385" s="23"/>
      <c r="LZ385" s="23"/>
      <c r="MA385" s="23"/>
      <c r="MB385" s="23"/>
      <c r="MC385" s="23"/>
      <c r="MD385" s="23"/>
      <c r="ME385" s="23"/>
      <c r="MF385" s="23"/>
      <c r="MG385" s="23"/>
      <c r="MH385" s="23"/>
      <c r="MI385" s="23"/>
      <c r="MJ385" s="23"/>
      <c r="MK385" s="23"/>
      <c r="ML385" s="23"/>
      <c r="MM385" s="23"/>
      <c r="MN385" s="23"/>
      <c r="MO385" s="23"/>
      <c r="MP385" s="23"/>
      <c r="MQ385" s="23"/>
      <c r="MR385" s="23"/>
      <c r="MS385" s="23"/>
      <c r="MT385" s="23"/>
      <c r="MU385" s="23"/>
      <c r="MV385" s="23"/>
      <c r="MW385" s="23"/>
      <c r="MX385" s="23"/>
      <c r="MY385" s="23"/>
      <c r="MZ385" s="23"/>
      <c r="NA385" s="23"/>
      <c r="NB385" s="23"/>
      <c r="NC385" s="23"/>
      <c r="ND385" s="23"/>
      <c r="NE385" s="23"/>
      <c r="NF385" s="23"/>
      <c r="NG385" s="23"/>
      <c r="NH385" s="23"/>
      <c r="NI385" s="23"/>
      <c r="NJ385" s="23"/>
      <c r="NK385" s="23"/>
      <c r="NL385" s="23"/>
      <c r="NM385" s="23"/>
      <c r="NN385" s="23"/>
    </row>
    <row r="386" spans="5:378" ht="15" customHeight="1"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  <c r="IL386" s="23"/>
      <c r="IM386" s="23"/>
      <c r="IN386" s="23"/>
      <c r="IO386" s="23"/>
      <c r="IP386" s="23"/>
      <c r="IQ386" s="23"/>
      <c r="IR386" s="23"/>
      <c r="IS386" s="23"/>
      <c r="IT386" s="23"/>
      <c r="IU386" s="23"/>
      <c r="IV386" s="23"/>
      <c r="IW386" s="23"/>
      <c r="IX386" s="23"/>
      <c r="IY386" s="23"/>
      <c r="IZ386" s="23"/>
      <c r="JA386" s="23"/>
      <c r="JB386" s="23"/>
      <c r="JC386" s="23"/>
      <c r="JD386" s="23"/>
      <c r="JE386" s="23"/>
      <c r="JF386" s="23"/>
      <c r="JG386" s="23"/>
      <c r="JH386" s="23"/>
      <c r="JI386" s="23"/>
      <c r="JJ386" s="23"/>
      <c r="JK386" s="23"/>
      <c r="JL386" s="23"/>
      <c r="JM386" s="23"/>
      <c r="JN386" s="23"/>
      <c r="JO386" s="23"/>
      <c r="JP386" s="23"/>
      <c r="JQ386" s="23"/>
      <c r="JR386" s="23"/>
      <c r="JS386" s="23"/>
      <c r="JT386" s="23"/>
      <c r="JU386" s="23"/>
      <c r="JV386" s="23"/>
      <c r="JW386" s="23"/>
      <c r="JX386" s="23"/>
      <c r="JY386" s="23"/>
      <c r="JZ386" s="23"/>
      <c r="KA386" s="23"/>
      <c r="KB386" s="23"/>
      <c r="KC386" s="23"/>
      <c r="KD386" s="23"/>
      <c r="KE386" s="23"/>
      <c r="KF386" s="23"/>
      <c r="KG386" s="23"/>
      <c r="KH386" s="23"/>
      <c r="KI386" s="23"/>
      <c r="KJ386" s="23"/>
      <c r="KK386" s="23"/>
      <c r="KL386" s="23"/>
      <c r="KM386" s="23"/>
      <c r="KN386" s="23"/>
      <c r="KO386" s="23"/>
      <c r="KP386" s="23"/>
      <c r="KQ386" s="23"/>
      <c r="KR386" s="23"/>
      <c r="KS386" s="23"/>
      <c r="KT386" s="23"/>
      <c r="KU386" s="23"/>
      <c r="KV386" s="23"/>
      <c r="KW386" s="23"/>
      <c r="KX386" s="23"/>
      <c r="KY386" s="23"/>
      <c r="KZ386" s="23"/>
      <c r="LA386" s="23"/>
      <c r="LB386" s="23"/>
      <c r="LC386" s="23"/>
      <c r="LD386" s="23"/>
      <c r="LE386" s="23"/>
      <c r="LF386" s="23"/>
      <c r="LG386" s="23"/>
      <c r="LH386" s="23"/>
      <c r="LI386" s="23"/>
      <c r="LJ386" s="23"/>
      <c r="LK386" s="23"/>
      <c r="LL386" s="23"/>
      <c r="LM386" s="23"/>
      <c r="LN386" s="23"/>
      <c r="LO386" s="23"/>
      <c r="LP386" s="23"/>
      <c r="LQ386" s="23"/>
      <c r="LR386" s="23"/>
      <c r="LS386" s="23"/>
      <c r="LT386" s="23"/>
      <c r="LU386" s="23"/>
      <c r="LV386" s="23"/>
      <c r="LW386" s="23"/>
      <c r="LX386" s="23"/>
      <c r="LY386" s="23"/>
      <c r="LZ386" s="23"/>
      <c r="MA386" s="23"/>
      <c r="MB386" s="23"/>
      <c r="MC386" s="23"/>
      <c r="MD386" s="23"/>
      <c r="ME386" s="23"/>
      <c r="MF386" s="23"/>
      <c r="MG386" s="23"/>
      <c r="MH386" s="23"/>
      <c r="MI386" s="23"/>
      <c r="MJ386" s="23"/>
      <c r="MK386" s="23"/>
      <c r="ML386" s="23"/>
      <c r="MM386" s="23"/>
      <c r="MN386" s="23"/>
      <c r="MO386" s="23"/>
      <c r="MP386" s="23"/>
      <c r="MQ386" s="23"/>
      <c r="MR386" s="23"/>
      <c r="MS386" s="23"/>
      <c r="MT386" s="23"/>
      <c r="MU386" s="23"/>
      <c r="MV386" s="23"/>
      <c r="MW386" s="23"/>
      <c r="MX386" s="23"/>
      <c r="MY386" s="23"/>
      <c r="MZ386" s="23"/>
      <c r="NA386" s="23"/>
      <c r="NB386" s="23"/>
      <c r="NC386" s="23"/>
      <c r="ND386" s="23"/>
      <c r="NE386" s="23"/>
      <c r="NF386" s="23"/>
      <c r="NG386" s="23"/>
      <c r="NH386" s="23"/>
      <c r="NI386" s="23"/>
      <c r="NJ386" s="23"/>
      <c r="NK386" s="23"/>
      <c r="NL386" s="23"/>
      <c r="NM386" s="23"/>
      <c r="NN386" s="23"/>
    </row>
    <row r="387" spans="5:378" ht="15" customHeight="1"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  <c r="IL387" s="23"/>
      <c r="IM387" s="23"/>
      <c r="IN387" s="23"/>
      <c r="IO387" s="23"/>
      <c r="IP387" s="23"/>
      <c r="IQ387" s="23"/>
      <c r="IR387" s="23"/>
      <c r="IS387" s="23"/>
      <c r="IT387" s="23"/>
      <c r="IU387" s="23"/>
      <c r="IV387" s="23"/>
      <c r="IW387" s="23"/>
      <c r="IX387" s="23"/>
      <c r="IY387" s="23"/>
      <c r="IZ387" s="23"/>
      <c r="JA387" s="23"/>
      <c r="JB387" s="23"/>
      <c r="JC387" s="23"/>
      <c r="JD387" s="23"/>
      <c r="JE387" s="23"/>
      <c r="JF387" s="23"/>
      <c r="JG387" s="23"/>
      <c r="JH387" s="23"/>
      <c r="JI387" s="23"/>
      <c r="JJ387" s="23"/>
      <c r="JK387" s="23"/>
      <c r="JL387" s="23"/>
      <c r="JM387" s="23"/>
      <c r="JN387" s="23"/>
      <c r="JO387" s="23"/>
      <c r="JP387" s="23"/>
      <c r="JQ387" s="23"/>
      <c r="JR387" s="23"/>
      <c r="JS387" s="23"/>
      <c r="JT387" s="23"/>
      <c r="JU387" s="23"/>
      <c r="JV387" s="23"/>
      <c r="JW387" s="23"/>
      <c r="JX387" s="23"/>
      <c r="JY387" s="23"/>
      <c r="JZ387" s="23"/>
      <c r="KA387" s="23"/>
      <c r="KB387" s="23"/>
      <c r="KC387" s="23"/>
      <c r="KD387" s="23"/>
      <c r="KE387" s="23"/>
      <c r="KF387" s="23"/>
      <c r="KG387" s="23"/>
      <c r="KH387" s="23"/>
      <c r="KI387" s="23"/>
      <c r="KJ387" s="23"/>
      <c r="KK387" s="23"/>
      <c r="KL387" s="23"/>
      <c r="KM387" s="23"/>
      <c r="KN387" s="23"/>
      <c r="KO387" s="23"/>
      <c r="KP387" s="23"/>
      <c r="KQ387" s="23"/>
      <c r="KR387" s="23"/>
      <c r="KS387" s="23"/>
      <c r="KT387" s="23"/>
      <c r="KU387" s="23"/>
      <c r="KV387" s="23"/>
      <c r="KW387" s="23"/>
      <c r="KX387" s="23"/>
      <c r="KY387" s="23"/>
      <c r="KZ387" s="23"/>
      <c r="LA387" s="23"/>
      <c r="LB387" s="23"/>
      <c r="LC387" s="23"/>
      <c r="LD387" s="23"/>
      <c r="LE387" s="23"/>
      <c r="LF387" s="23"/>
      <c r="LG387" s="23"/>
      <c r="LH387" s="23"/>
      <c r="LI387" s="23"/>
      <c r="LJ387" s="23"/>
      <c r="LK387" s="23"/>
      <c r="LL387" s="23"/>
      <c r="LM387" s="23"/>
      <c r="LN387" s="23"/>
      <c r="LO387" s="23"/>
      <c r="LP387" s="23"/>
      <c r="LQ387" s="23"/>
      <c r="LR387" s="23"/>
      <c r="LS387" s="23"/>
      <c r="LT387" s="23"/>
      <c r="LU387" s="23"/>
      <c r="LV387" s="23"/>
      <c r="LW387" s="23"/>
      <c r="LX387" s="23"/>
      <c r="LY387" s="23"/>
      <c r="LZ387" s="23"/>
      <c r="MA387" s="23"/>
      <c r="MB387" s="23"/>
      <c r="MC387" s="23"/>
      <c r="MD387" s="23"/>
      <c r="ME387" s="23"/>
      <c r="MF387" s="23"/>
      <c r="MG387" s="23"/>
      <c r="MH387" s="23"/>
      <c r="MI387" s="23"/>
      <c r="MJ387" s="23"/>
      <c r="MK387" s="23"/>
      <c r="ML387" s="23"/>
      <c r="MM387" s="23"/>
      <c r="MN387" s="23"/>
      <c r="MO387" s="23"/>
      <c r="MP387" s="23"/>
      <c r="MQ387" s="23"/>
      <c r="MR387" s="23"/>
      <c r="MS387" s="23"/>
      <c r="MT387" s="23"/>
      <c r="MU387" s="23"/>
      <c r="MV387" s="23"/>
      <c r="MW387" s="23"/>
      <c r="MX387" s="23"/>
      <c r="MY387" s="23"/>
      <c r="MZ387" s="23"/>
      <c r="NA387" s="23"/>
      <c r="NB387" s="23"/>
      <c r="NC387" s="23"/>
      <c r="ND387" s="23"/>
      <c r="NE387" s="23"/>
      <c r="NF387" s="23"/>
      <c r="NG387" s="23"/>
      <c r="NH387" s="23"/>
      <c r="NI387" s="23"/>
      <c r="NJ387" s="23"/>
      <c r="NK387" s="23"/>
      <c r="NL387" s="23"/>
      <c r="NM387" s="23"/>
      <c r="NN387" s="23"/>
    </row>
    <row r="388" spans="5:378" ht="15" customHeight="1"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  <c r="IL388" s="23"/>
      <c r="IM388" s="23"/>
      <c r="IN388" s="23"/>
      <c r="IO388" s="23"/>
      <c r="IP388" s="23"/>
      <c r="IQ388" s="23"/>
      <c r="IR388" s="23"/>
      <c r="IS388" s="23"/>
      <c r="IT388" s="23"/>
      <c r="IU388" s="23"/>
      <c r="IV388" s="23"/>
      <c r="IW388" s="23"/>
      <c r="IX388" s="23"/>
      <c r="IY388" s="23"/>
      <c r="IZ388" s="23"/>
      <c r="JA388" s="23"/>
      <c r="JB388" s="23"/>
      <c r="JC388" s="23"/>
      <c r="JD388" s="23"/>
      <c r="JE388" s="23"/>
      <c r="JF388" s="23"/>
      <c r="JG388" s="23"/>
      <c r="JH388" s="23"/>
      <c r="JI388" s="23"/>
      <c r="JJ388" s="23"/>
      <c r="JK388" s="23"/>
      <c r="JL388" s="23"/>
      <c r="JM388" s="23"/>
      <c r="JN388" s="23"/>
      <c r="JO388" s="23"/>
      <c r="JP388" s="23"/>
      <c r="JQ388" s="23"/>
      <c r="JR388" s="23"/>
      <c r="JS388" s="23"/>
      <c r="JT388" s="23"/>
      <c r="JU388" s="23"/>
      <c r="JV388" s="23"/>
      <c r="JW388" s="23"/>
      <c r="JX388" s="23"/>
      <c r="JY388" s="23"/>
      <c r="JZ388" s="23"/>
      <c r="KA388" s="23"/>
      <c r="KB388" s="23"/>
      <c r="KC388" s="23"/>
      <c r="KD388" s="23"/>
      <c r="KE388" s="23"/>
      <c r="KF388" s="23"/>
      <c r="KG388" s="23"/>
      <c r="KH388" s="23"/>
      <c r="KI388" s="23"/>
      <c r="KJ388" s="23"/>
      <c r="KK388" s="23"/>
      <c r="KL388" s="23"/>
      <c r="KM388" s="23"/>
      <c r="KN388" s="23"/>
      <c r="KO388" s="23"/>
      <c r="KP388" s="23"/>
      <c r="KQ388" s="23"/>
      <c r="KR388" s="23"/>
      <c r="KS388" s="23"/>
      <c r="KT388" s="23"/>
      <c r="KU388" s="23"/>
      <c r="KV388" s="23"/>
      <c r="KW388" s="23"/>
      <c r="KX388" s="23"/>
      <c r="KY388" s="23"/>
      <c r="KZ388" s="23"/>
      <c r="LA388" s="23"/>
      <c r="LB388" s="23"/>
      <c r="LC388" s="23"/>
      <c r="LD388" s="23"/>
      <c r="LE388" s="23"/>
      <c r="LF388" s="23"/>
      <c r="LG388" s="23"/>
      <c r="LH388" s="23"/>
      <c r="LI388" s="23"/>
      <c r="LJ388" s="23"/>
      <c r="LK388" s="23"/>
      <c r="LL388" s="23"/>
      <c r="LM388" s="23"/>
      <c r="LN388" s="23"/>
      <c r="LO388" s="23"/>
      <c r="LP388" s="23"/>
      <c r="LQ388" s="23"/>
      <c r="LR388" s="23"/>
      <c r="LS388" s="23"/>
      <c r="LT388" s="23"/>
      <c r="LU388" s="23"/>
      <c r="LV388" s="23"/>
      <c r="LW388" s="23"/>
      <c r="LX388" s="23"/>
      <c r="LY388" s="23"/>
      <c r="LZ388" s="23"/>
      <c r="MA388" s="23"/>
      <c r="MB388" s="23"/>
      <c r="MC388" s="23"/>
      <c r="MD388" s="23"/>
      <c r="ME388" s="23"/>
      <c r="MF388" s="23"/>
      <c r="MG388" s="23"/>
      <c r="MH388" s="23"/>
      <c r="MI388" s="23"/>
      <c r="MJ388" s="23"/>
      <c r="MK388" s="23"/>
      <c r="ML388" s="23"/>
      <c r="MM388" s="23"/>
      <c r="MN388" s="23"/>
      <c r="MO388" s="23"/>
      <c r="MP388" s="23"/>
      <c r="MQ388" s="23"/>
      <c r="MR388" s="23"/>
      <c r="MS388" s="23"/>
      <c r="MT388" s="23"/>
      <c r="MU388" s="23"/>
      <c r="MV388" s="23"/>
      <c r="MW388" s="23"/>
      <c r="MX388" s="23"/>
      <c r="MY388" s="23"/>
      <c r="MZ388" s="23"/>
      <c r="NA388" s="23"/>
      <c r="NB388" s="23"/>
      <c r="NC388" s="23"/>
      <c r="ND388" s="23"/>
      <c r="NE388" s="23"/>
      <c r="NF388" s="23"/>
      <c r="NG388" s="23"/>
      <c r="NH388" s="23"/>
      <c r="NI388" s="23"/>
      <c r="NJ388" s="23"/>
      <c r="NK388" s="23"/>
      <c r="NL388" s="23"/>
      <c r="NM388" s="23"/>
      <c r="NN388" s="23"/>
    </row>
    <row r="389" spans="5:378" ht="15" customHeight="1"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  <c r="IL389" s="23"/>
      <c r="IM389" s="23"/>
      <c r="IN389" s="23"/>
      <c r="IO389" s="23"/>
      <c r="IP389" s="23"/>
      <c r="IQ389" s="23"/>
      <c r="IR389" s="23"/>
      <c r="IS389" s="23"/>
      <c r="IT389" s="23"/>
      <c r="IU389" s="23"/>
      <c r="IV389" s="23"/>
      <c r="IW389" s="23"/>
      <c r="IX389" s="23"/>
      <c r="IY389" s="23"/>
      <c r="IZ389" s="23"/>
      <c r="JA389" s="23"/>
      <c r="JB389" s="23"/>
      <c r="JC389" s="23"/>
      <c r="JD389" s="23"/>
      <c r="JE389" s="23"/>
      <c r="JF389" s="23"/>
      <c r="JG389" s="23"/>
      <c r="JH389" s="23"/>
      <c r="JI389" s="23"/>
      <c r="JJ389" s="23"/>
      <c r="JK389" s="23"/>
      <c r="JL389" s="23"/>
      <c r="JM389" s="23"/>
      <c r="JN389" s="23"/>
      <c r="JO389" s="23"/>
      <c r="JP389" s="23"/>
      <c r="JQ389" s="23"/>
      <c r="JR389" s="23"/>
      <c r="JS389" s="23"/>
      <c r="JT389" s="23"/>
      <c r="JU389" s="23"/>
      <c r="JV389" s="23"/>
      <c r="JW389" s="23"/>
      <c r="JX389" s="23"/>
      <c r="JY389" s="23"/>
      <c r="JZ389" s="23"/>
      <c r="KA389" s="23"/>
      <c r="KB389" s="23"/>
      <c r="KC389" s="23"/>
      <c r="KD389" s="23"/>
      <c r="KE389" s="23"/>
      <c r="KF389" s="23"/>
      <c r="KG389" s="23"/>
      <c r="KH389" s="23"/>
      <c r="KI389" s="23"/>
      <c r="KJ389" s="23"/>
      <c r="KK389" s="23"/>
      <c r="KL389" s="23"/>
      <c r="KM389" s="23"/>
      <c r="KN389" s="23"/>
      <c r="KO389" s="23"/>
      <c r="KP389" s="23"/>
      <c r="KQ389" s="23"/>
      <c r="KR389" s="23"/>
      <c r="KS389" s="23"/>
      <c r="KT389" s="23"/>
      <c r="KU389" s="23"/>
      <c r="KV389" s="23"/>
      <c r="KW389" s="23"/>
      <c r="KX389" s="23"/>
      <c r="KY389" s="23"/>
      <c r="KZ389" s="23"/>
      <c r="LA389" s="23"/>
      <c r="LB389" s="23"/>
      <c r="LC389" s="23"/>
      <c r="LD389" s="23"/>
      <c r="LE389" s="23"/>
      <c r="LF389" s="23"/>
      <c r="LG389" s="23"/>
      <c r="LH389" s="23"/>
      <c r="LI389" s="23"/>
      <c r="LJ389" s="23"/>
      <c r="LK389" s="23"/>
      <c r="LL389" s="23"/>
      <c r="LM389" s="23"/>
      <c r="LN389" s="23"/>
      <c r="LO389" s="23"/>
      <c r="LP389" s="23"/>
      <c r="LQ389" s="23"/>
      <c r="LR389" s="23"/>
      <c r="LS389" s="23"/>
      <c r="LT389" s="23"/>
      <c r="LU389" s="23"/>
      <c r="LV389" s="23"/>
      <c r="LW389" s="23"/>
      <c r="LX389" s="23"/>
      <c r="LY389" s="23"/>
      <c r="LZ389" s="23"/>
      <c r="MA389" s="23"/>
      <c r="MB389" s="23"/>
      <c r="MC389" s="23"/>
      <c r="MD389" s="23"/>
      <c r="ME389" s="23"/>
      <c r="MF389" s="23"/>
      <c r="MG389" s="23"/>
      <c r="MH389" s="23"/>
      <c r="MI389" s="23"/>
      <c r="MJ389" s="23"/>
      <c r="MK389" s="23"/>
      <c r="ML389" s="23"/>
      <c r="MM389" s="23"/>
      <c r="MN389" s="23"/>
      <c r="MO389" s="23"/>
      <c r="MP389" s="23"/>
      <c r="MQ389" s="23"/>
      <c r="MR389" s="23"/>
      <c r="MS389" s="23"/>
      <c r="MT389" s="23"/>
      <c r="MU389" s="23"/>
      <c r="MV389" s="23"/>
      <c r="MW389" s="23"/>
      <c r="MX389" s="23"/>
      <c r="MY389" s="23"/>
      <c r="MZ389" s="23"/>
      <c r="NA389" s="23"/>
      <c r="NB389" s="23"/>
      <c r="NC389" s="23"/>
      <c r="ND389" s="23"/>
      <c r="NE389" s="23"/>
      <c r="NF389" s="23"/>
      <c r="NG389" s="23"/>
      <c r="NH389" s="23"/>
      <c r="NI389" s="23"/>
      <c r="NJ389" s="23"/>
      <c r="NK389" s="23"/>
      <c r="NL389" s="23"/>
      <c r="NM389" s="23"/>
      <c r="NN389" s="23"/>
    </row>
    <row r="390" spans="5:378" ht="15" customHeight="1"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  <c r="IL390" s="23"/>
      <c r="IM390" s="23"/>
      <c r="IN390" s="23"/>
      <c r="IO390" s="23"/>
      <c r="IP390" s="23"/>
      <c r="IQ390" s="23"/>
      <c r="IR390" s="23"/>
      <c r="IS390" s="23"/>
      <c r="IT390" s="23"/>
      <c r="IU390" s="23"/>
      <c r="IV390" s="23"/>
      <c r="IW390" s="23"/>
      <c r="IX390" s="23"/>
      <c r="IY390" s="23"/>
      <c r="IZ390" s="23"/>
      <c r="JA390" s="23"/>
      <c r="JB390" s="23"/>
      <c r="JC390" s="23"/>
      <c r="JD390" s="23"/>
      <c r="JE390" s="23"/>
      <c r="JF390" s="23"/>
      <c r="JG390" s="23"/>
      <c r="JH390" s="23"/>
      <c r="JI390" s="23"/>
      <c r="JJ390" s="23"/>
      <c r="JK390" s="23"/>
      <c r="JL390" s="23"/>
      <c r="JM390" s="23"/>
      <c r="JN390" s="23"/>
      <c r="JO390" s="23"/>
      <c r="JP390" s="23"/>
      <c r="JQ390" s="23"/>
      <c r="JR390" s="23"/>
      <c r="JS390" s="23"/>
      <c r="JT390" s="23"/>
      <c r="JU390" s="23"/>
      <c r="JV390" s="23"/>
      <c r="JW390" s="23"/>
      <c r="JX390" s="23"/>
      <c r="JY390" s="23"/>
      <c r="JZ390" s="23"/>
      <c r="KA390" s="23"/>
      <c r="KB390" s="23"/>
      <c r="KC390" s="23"/>
      <c r="KD390" s="23"/>
      <c r="KE390" s="23"/>
      <c r="KF390" s="23"/>
      <c r="KG390" s="23"/>
      <c r="KH390" s="23"/>
      <c r="KI390" s="23"/>
      <c r="KJ390" s="23"/>
      <c r="KK390" s="23"/>
      <c r="KL390" s="23"/>
      <c r="KM390" s="23"/>
      <c r="KN390" s="23"/>
      <c r="KO390" s="23"/>
      <c r="KP390" s="23"/>
      <c r="KQ390" s="23"/>
      <c r="KR390" s="23"/>
      <c r="KS390" s="23"/>
      <c r="KT390" s="23"/>
      <c r="KU390" s="23"/>
      <c r="KV390" s="23"/>
      <c r="KW390" s="23"/>
      <c r="KX390" s="23"/>
      <c r="KY390" s="23"/>
      <c r="KZ390" s="23"/>
      <c r="LA390" s="23"/>
      <c r="LB390" s="23"/>
      <c r="LC390" s="23"/>
      <c r="LD390" s="23"/>
      <c r="LE390" s="23"/>
      <c r="LF390" s="23"/>
      <c r="LG390" s="23"/>
      <c r="LH390" s="23"/>
      <c r="LI390" s="23"/>
      <c r="LJ390" s="23"/>
      <c r="LK390" s="23"/>
      <c r="LL390" s="23"/>
      <c r="LM390" s="23"/>
      <c r="LN390" s="23"/>
      <c r="LO390" s="23"/>
      <c r="LP390" s="23"/>
      <c r="LQ390" s="23"/>
      <c r="LR390" s="23"/>
      <c r="LS390" s="23"/>
      <c r="LT390" s="23"/>
      <c r="LU390" s="23"/>
      <c r="LV390" s="23"/>
      <c r="LW390" s="23"/>
      <c r="LX390" s="23"/>
      <c r="LY390" s="23"/>
      <c r="LZ390" s="23"/>
      <c r="MA390" s="23"/>
      <c r="MB390" s="23"/>
      <c r="MC390" s="23"/>
      <c r="MD390" s="23"/>
      <c r="ME390" s="23"/>
      <c r="MF390" s="23"/>
      <c r="MG390" s="23"/>
      <c r="MH390" s="23"/>
      <c r="MI390" s="23"/>
      <c r="MJ390" s="23"/>
      <c r="MK390" s="23"/>
      <c r="ML390" s="23"/>
      <c r="MM390" s="23"/>
      <c r="MN390" s="23"/>
      <c r="MO390" s="23"/>
      <c r="MP390" s="23"/>
      <c r="MQ390" s="23"/>
      <c r="MR390" s="23"/>
      <c r="MS390" s="23"/>
      <c r="MT390" s="23"/>
      <c r="MU390" s="23"/>
      <c r="MV390" s="23"/>
      <c r="MW390" s="23"/>
      <c r="MX390" s="23"/>
      <c r="MY390" s="23"/>
      <c r="MZ390" s="23"/>
      <c r="NA390" s="23"/>
      <c r="NB390" s="23"/>
      <c r="NC390" s="23"/>
      <c r="ND390" s="23"/>
      <c r="NE390" s="23"/>
      <c r="NF390" s="23"/>
      <c r="NG390" s="23"/>
      <c r="NH390" s="23"/>
      <c r="NI390" s="23"/>
      <c r="NJ390" s="23"/>
      <c r="NK390" s="23"/>
      <c r="NL390" s="23"/>
      <c r="NM390" s="23"/>
      <c r="NN390" s="23"/>
    </row>
    <row r="391" spans="5:378" ht="15" customHeight="1"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  <c r="IL391" s="23"/>
      <c r="IM391" s="23"/>
      <c r="IN391" s="23"/>
      <c r="IO391" s="23"/>
      <c r="IP391" s="23"/>
      <c r="IQ391" s="23"/>
      <c r="IR391" s="23"/>
      <c r="IS391" s="23"/>
      <c r="IT391" s="23"/>
      <c r="IU391" s="23"/>
      <c r="IV391" s="23"/>
      <c r="IW391" s="23"/>
      <c r="IX391" s="23"/>
      <c r="IY391" s="23"/>
      <c r="IZ391" s="23"/>
      <c r="JA391" s="23"/>
      <c r="JB391" s="23"/>
      <c r="JC391" s="23"/>
      <c r="JD391" s="23"/>
      <c r="JE391" s="23"/>
      <c r="JF391" s="23"/>
      <c r="JG391" s="23"/>
      <c r="JH391" s="23"/>
      <c r="JI391" s="23"/>
      <c r="JJ391" s="23"/>
      <c r="JK391" s="23"/>
      <c r="JL391" s="23"/>
      <c r="JM391" s="23"/>
      <c r="JN391" s="23"/>
      <c r="JO391" s="23"/>
      <c r="JP391" s="23"/>
      <c r="JQ391" s="23"/>
      <c r="JR391" s="23"/>
      <c r="JS391" s="23"/>
      <c r="JT391" s="23"/>
      <c r="JU391" s="23"/>
      <c r="JV391" s="23"/>
      <c r="JW391" s="23"/>
      <c r="JX391" s="23"/>
      <c r="JY391" s="23"/>
      <c r="JZ391" s="23"/>
      <c r="KA391" s="23"/>
      <c r="KB391" s="23"/>
      <c r="KC391" s="23"/>
      <c r="KD391" s="23"/>
      <c r="KE391" s="23"/>
      <c r="KF391" s="23"/>
      <c r="KG391" s="23"/>
      <c r="KH391" s="23"/>
      <c r="KI391" s="23"/>
      <c r="KJ391" s="23"/>
      <c r="KK391" s="23"/>
      <c r="KL391" s="23"/>
      <c r="KM391" s="23"/>
      <c r="KN391" s="23"/>
      <c r="KO391" s="23"/>
      <c r="KP391" s="23"/>
      <c r="KQ391" s="23"/>
      <c r="KR391" s="23"/>
      <c r="KS391" s="23"/>
      <c r="KT391" s="23"/>
      <c r="KU391" s="23"/>
      <c r="KV391" s="23"/>
      <c r="KW391" s="23"/>
      <c r="KX391" s="23"/>
      <c r="KY391" s="23"/>
      <c r="KZ391" s="23"/>
      <c r="LA391" s="23"/>
      <c r="LB391" s="23"/>
      <c r="LC391" s="23"/>
      <c r="LD391" s="23"/>
      <c r="LE391" s="23"/>
      <c r="LF391" s="23"/>
      <c r="LG391" s="23"/>
      <c r="LH391" s="23"/>
      <c r="LI391" s="23"/>
      <c r="LJ391" s="23"/>
      <c r="LK391" s="23"/>
      <c r="LL391" s="23"/>
      <c r="LM391" s="23"/>
      <c r="LN391" s="23"/>
      <c r="LO391" s="23"/>
      <c r="LP391" s="23"/>
      <c r="LQ391" s="23"/>
      <c r="LR391" s="23"/>
      <c r="LS391" s="23"/>
      <c r="LT391" s="23"/>
      <c r="LU391" s="23"/>
      <c r="LV391" s="23"/>
      <c r="LW391" s="23"/>
      <c r="LX391" s="23"/>
      <c r="LY391" s="23"/>
      <c r="LZ391" s="23"/>
      <c r="MA391" s="23"/>
      <c r="MB391" s="23"/>
      <c r="MC391" s="23"/>
      <c r="MD391" s="23"/>
      <c r="ME391" s="23"/>
      <c r="MF391" s="23"/>
      <c r="MG391" s="23"/>
      <c r="MH391" s="23"/>
      <c r="MI391" s="23"/>
      <c r="MJ391" s="23"/>
      <c r="MK391" s="23"/>
      <c r="ML391" s="23"/>
      <c r="MM391" s="23"/>
      <c r="MN391" s="23"/>
      <c r="MO391" s="23"/>
      <c r="MP391" s="23"/>
      <c r="MQ391" s="23"/>
      <c r="MR391" s="23"/>
      <c r="MS391" s="23"/>
      <c r="MT391" s="23"/>
      <c r="MU391" s="23"/>
      <c r="MV391" s="23"/>
      <c r="MW391" s="23"/>
      <c r="MX391" s="23"/>
      <c r="MY391" s="23"/>
      <c r="MZ391" s="23"/>
      <c r="NA391" s="23"/>
      <c r="NB391" s="23"/>
      <c r="NC391" s="23"/>
      <c r="ND391" s="23"/>
      <c r="NE391" s="23"/>
      <c r="NF391" s="23"/>
      <c r="NG391" s="23"/>
      <c r="NH391" s="23"/>
      <c r="NI391" s="23"/>
      <c r="NJ391" s="23"/>
      <c r="NK391" s="23"/>
      <c r="NL391" s="23"/>
      <c r="NM391" s="23"/>
      <c r="NN391" s="23"/>
    </row>
    <row r="392" spans="5:378" ht="15" customHeight="1"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  <c r="IL392" s="23"/>
      <c r="IM392" s="23"/>
      <c r="IN392" s="23"/>
      <c r="IO392" s="23"/>
      <c r="IP392" s="23"/>
      <c r="IQ392" s="23"/>
      <c r="IR392" s="23"/>
      <c r="IS392" s="23"/>
      <c r="IT392" s="23"/>
      <c r="IU392" s="23"/>
      <c r="IV392" s="23"/>
      <c r="IW392" s="23"/>
      <c r="IX392" s="23"/>
      <c r="IY392" s="23"/>
      <c r="IZ392" s="23"/>
      <c r="JA392" s="23"/>
      <c r="JB392" s="23"/>
      <c r="JC392" s="23"/>
      <c r="JD392" s="23"/>
      <c r="JE392" s="23"/>
      <c r="JF392" s="23"/>
      <c r="JG392" s="23"/>
      <c r="JH392" s="23"/>
      <c r="JI392" s="23"/>
      <c r="JJ392" s="23"/>
      <c r="JK392" s="23"/>
      <c r="JL392" s="23"/>
      <c r="JM392" s="23"/>
      <c r="JN392" s="23"/>
      <c r="JO392" s="23"/>
      <c r="JP392" s="23"/>
      <c r="JQ392" s="23"/>
      <c r="JR392" s="23"/>
      <c r="JS392" s="23"/>
      <c r="JT392" s="23"/>
      <c r="JU392" s="23"/>
      <c r="JV392" s="23"/>
      <c r="JW392" s="23"/>
      <c r="JX392" s="23"/>
      <c r="JY392" s="23"/>
      <c r="JZ392" s="23"/>
      <c r="KA392" s="23"/>
      <c r="KB392" s="23"/>
      <c r="KC392" s="23"/>
      <c r="KD392" s="23"/>
      <c r="KE392" s="23"/>
      <c r="KF392" s="23"/>
      <c r="KG392" s="23"/>
      <c r="KH392" s="23"/>
      <c r="KI392" s="23"/>
      <c r="KJ392" s="23"/>
      <c r="KK392" s="23"/>
      <c r="KL392" s="23"/>
      <c r="KM392" s="23"/>
      <c r="KN392" s="23"/>
      <c r="KO392" s="23"/>
      <c r="KP392" s="23"/>
      <c r="KQ392" s="23"/>
      <c r="KR392" s="23"/>
      <c r="KS392" s="23"/>
      <c r="KT392" s="23"/>
      <c r="KU392" s="23"/>
      <c r="KV392" s="23"/>
      <c r="KW392" s="23"/>
      <c r="KX392" s="23"/>
      <c r="KY392" s="23"/>
      <c r="KZ392" s="23"/>
      <c r="LA392" s="23"/>
      <c r="LB392" s="23"/>
      <c r="LC392" s="23"/>
      <c r="LD392" s="23"/>
      <c r="LE392" s="23"/>
      <c r="LF392" s="23"/>
      <c r="LG392" s="23"/>
      <c r="LH392" s="23"/>
      <c r="LI392" s="23"/>
      <c r="LJ392" s="23"/>
      <c r="LK392" s="23"/>
      <c r="LL392" s="23"/>
      <c r="LM392" s="23"/>
      <c r="LN392" s="23"/>
      <c r="LO392" s="23"/>
      <c r="LP392" s="23"/>
      <c r="LQ392" s="23"/>
      <c r="LR392" s="23"/>
      <c r="LS392" s="23"/>
      <c r="LT392" s="23"/>
      <c r="LU392" s="23"/>
      <c r="LV392" s="23"/>
      <c r="LW392" s="23"/>
      <c r="LX392" s="23"/>
      <c r="LY392" s="23"/>
      <c r="LZ392" s="23"/>
      <c r="MA392" s="23"/>
      <c r="MB392" s="23"/>
      <c r="MC392" s="23"/>
      <c r="MD392" s="23"/>
      <c r="ME392" s="23"/>
      <c r="MF392" s="23"/>
      <c r="MG392" s="23"/>
      <c r="MH392" s="23"/>
      <c r="MI392" s="23"/>
      <c r="MJ392" s="23"/>
      <c r="MK392" s="23"/>
      <c r="ML392" s="23"/>
      <c r="MM392" s="23"/>
      <c r="MN392" s="23"/>
      <c r="MO392" s="23"/>
      <c r="MP392" s="23"/>
      <c r="MQ392" s="23"/>
      <c r="MR392" s="23"/>
      <c r="MS392" s="23"/>
      <c r="MT392" s="23"/>
      <c r="MU392" s="23"/>
      <c r="MV392" s="23"/>
      <c r="MW392" s="23"/>
      <c r="MX392" s="23"/>
      <c r="MY392" s="23"/>
      <c r="MZ392" s="23"/>
      <c r="NA392" s="23"/>
      <c r="NB392" s="23"/>
      <c r="NC392" s="23"/>
      <c r="ND392" s="23"/>
      <c r="NE392" s="23"/>
      <c r="NF392" s="23"/>
      <c r="NG392" s="23"/>
      <c r="NH392" s="23"/>
      <c r="NI392" s="23"/>
      <c r="NJ392" s="23"/>
      <c r="NK392" s="23"/>
      <c r="NL392" s="23"/>
      <c r="NM392" s="23"/>
      <c r="NN392" s="23"/>
    </row>
    <row r="393" spans="5:378" ht="15" customHeight="1"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  <c r="IL393" s="23"/>
      <c r="IM393" s="23"/>
      <c r="IN393" s="23"/>
      <c r="IO393" s="23"/>
      <c r="IP393" s="23"/>
      <c r="IQ393" s="23"/>
      <c r="IR393" s="23"/>
      <c r="IS393" s="23"/>
      <c r="IT393" s="23"/>
      <c r="IU393" s="23"/>
      <c r="IV393" s="23"/>
      <c r="IW393" s="23"/>
      <c r="IX393" s="23"/>
      <c r="IY393" s="23"/>
      <c r="IZ393" s="23"/>
      <c r="JA393" s="23"/>
      <c r="JB393" s="23"/>
      <c r="JC393" s="23"/>
      <c r="JD393" s="23"/>
      <c r="JE393" s="23"/>
      <c r="JF393" s="23"/>
      <c r="JG393" s="23"/>
      <c r="JH393" s="23"/>
      <c r="JI393" s="23"/>
      <c r="JJ393" s="23"/>
      <c r="JK393" s="23"/>
      <c r="JL393" s="23"/>
      <c r="JM393" s="23"/>
      <c r="JN393" s="23"/>
      <c r="JO393" s="23"/>
      <c r="JP393" s="23"/>
      <c r="JQ393" s="23"/>
      <c r="JR393" s="23"/>
      <c r="JS393" s="23"/>
      <c r="JT393" s="23"/>
      <c r="JU393" s="23"/>
      <c r="JV393" s="23"/>
      <c r="JW393" s="23"/>
      <c r="JX393" s="23"/>
      <c r="JY393" s="23"/>
      <c r="JZ393" s="23"/>
      <c r="KA393" s="23"/>
      <c r="KB393" s="23"/>
      <c r="KC393" s="23"/>
      <c r="KD393" s="23"/>
      <c r="KE393" s="23"/>
      <c r="KF393" s="23"/>
      <c r="KG393" s="23"/>
      <c r="KH393" s="23"/>
      <c r="KI393" s="23"/>
      <c r="KJ393" s="23"/>
      <c r="KK393" s="23"/>
      <c r="KL393" s="23"/>
      <c r="KM393" s="23"/>
      <c r="KN393" s="23"/>
      <c r="KO393" s="23"/>
      <c r="KP393" s="23"/>
      <c r="KQ393" s="23"/>
      <c r="KR393" s="23"/>
      <c r="KS393" s="23"/>
      <c r="KT393" s="23"/>
      <c r="KU393" s="23"/>
      <c r="KV393" s="23"/>
      <c r="KW393" s="23"/>
      <c r="KX393" s="23"/>
      <c r="KY393" s="23"/>
      <c r="KZ393" s="23"/>
      <c r="LA393" s="23"/>
      <c r="LB393" s="23"/>
      <c r="LC393" s="23"/>
      <c r="LD393" s="23"/>
      <c r="LE393" s="23"/>
      <c r="LF393" s="23"/>
      <c r="LG393" s="23"/>
      <c r="LH393" s="23"/>
      <c r="LI393" s="23"/>
      <c r="LJ393" s="23"/>
      <c r="LK393" s="23"/>
      <c r="LL393" s="23"/>
      <c r="LM393" s="23"/>
      <c r="LN393" s="23"/>
      <c r="LO393" s="23"/>
      <c r="LP393" s="23"/>
      <c r="LQ393" s="23"/>
      <c r="LR393" s="23"/>
      <c r="LS393" s="23"/>
      <c r="LT393" s="23"/>
      <c r="LU393" s="23"/>
      <c r="LV393" s="23"/>
      <c r="LW393" s="23"/>
      <c r="LX393" s="23"/>
      <c r="LY393" s="23"/>
      <c r="LZ393" s="23"/>
      <c r="MA393" s="23"/>
      <c r="MB393" s="23"/>
      <c r="MC393" s="23"/>
      <c r="MD393" s="23"/>
      <c r="ME393" s="23"/>
      <c r="MF393" s="23"/>
      <c r="MG393" s="23"/>
      <c r="MH393" s="23"/>
      <c r="MI393" s="23"/>
      <c r="MJ393" s="23"/>
      <c r="MK393" s="23"/>
      <c r="ML393" s="23"/>
      <c r="MM393" s="23"/>
      <c r="MN393" s="23"/>
      <c r="MO393" s="23"/>
      <c r="MP393" s="23"/>
      <c r="MQ393" s="23"/>
      <c r="MR393" s="23"/>
      <c r="MS393" s="23"/>
      <c r="MT393" s="23"/>
      <c r="MU393" s="23"/>
      <c r="MV393" s="23"/>
      <c r="MW393" s="23"/>
      <c r="MX393" s="23"/>
      <c r="MY393" s="23"/>
      <c r="MZ393" s="23"/>
      <c r="NA393" s="23"/>
      <c r="NB393" s="23"/>
      <c r="NC393" s="23"/>
      <c r="ND393" s="23"/>
      <c r="NE393" s="23"/>
      <c r="NF393" s="23"/>
      <c r="NG393" s="23"/>
      <c r="NH393" s="23"/>
      <c r="NI393" s="23"/>
      <c r="NJ393" s="23"/>
      <c r="NK393" s="23"/>
      <c r="NL393" s="23"/>
      <c r="NM393" s="23"/>
      <c r="NN393" s="23"/>
    </row>
    <row r="394" spans="5:378" ht="15" customHeight="1"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  <c r="IL394" s="23"/>
      <c r="IM394" s="23"/>
      <c r="IN394" s="23"/>
      <c r="IO394" s="23"/>
      <c r="IP394" s="23"/>
      <c r="IQ394" s="23"/>
      <c r="IR394" s="23"/>
      <c r="IS394" s="23"/>
      <c r="IT394" s="23"/>
      <c r="IU394" s="23"/>
      <c r="IV394" s="23"/>
      <c r="IW394" s="23"/>
      <c r="IX394" s="23"/>
      <c r="IY394" s="23"/>
      <c r="IZ394" s="23"/>
      <c r="JA394" s="23"/>
      <c r="JB394" s="23"/>
      <c r="JC394" s="23"/>
      <c r="JD394" s="23"/>
      <c r="JE394" s="23"/>
      <c r="JF394" s="23"/>
      <c r="JG394" s="23"/>
      <c r="JH394" s="23"/>
      <c r="JI394" s="23"/>
      <c r="JJ394" s="23"/>
      <c r="JK394" s="23"/>
      <c r="JL394" s="23"/>
      <c r="JM394" s="23"/>
      <c r="JN394" s="23"/>
      <c r="JO394" s="23"/>
      <c r="JP394" s="23"/>
      <c r="JQ394" s="23"/>
      <c r="JR394" s="23"/>
      <c r="JS394" s="23"/>
      <c r="JT394" s="23"/>
      <c r="JU394" s="23"/>
      <c r="JV394" s="23"/>
      <c r="JW394" s="23"/>
      <c r="JX394" s="23"/>
      <c r="JY394" s="23"/>
      <c r="JZ394" s="23"/>
      <c r="KA394" s="23"/>
      <c r="KB394" s="23"/>
      <c r="KC394" s="23"/>
      <c r="KD394" s="23"/>
      <c r="KE394" s="23"/>
      <c r="KF394" s="23"/>
      <c r="KG394" s="23"/>
      <c r="KH394" s="23"/>
      <c r="KI394" s="23"/>
      <c r="KJ394" s="23"/>
      <c r="KK394" s="23"/>
      <c r="KL394" s="23"/>
      <c r="KM394" s="23"/>
      <c r="KN394" s="23"/>
      <c r="KO394" s="23"/>
      <c r="KP394" s="23"/>
      <c r="KQ394" s="23"/>
      <c r="KR394" s="23"/>
      <c r="KS394" s="23"/>
      <c r="KT394" s="23"/>
      <c r="KU394" s="23"/>
      <c r="KV394" s="23"/>
      <c r="KW394" s="23"/>
      <c r="KX394" s="23"/>
      <c r="KY394" s="23"/>
      <c r="KZ394" s="23"/>
      <c r="LA394" s="23"/>
      <c r="LB394" s="23"/>
      <c r="LC394" s="23"/>
      <c r="LD394" s="23"/>
      <c r="LE394" s="23"/>
      <c r="LF394" s="23"/>
      <c r="LG394" s="23"/>
      <c r="LH394" s="23"/>
      <c r="LI394" s="23"/>
      <c r="LJ394" s="23"/>
      <c r="LK394" s="23"/>
      <c r="LL394" s="23"/>
      <c r="LM394" s="23"/>
      <c r="LN394" s="23"/>
      <c r="LO394" s="23"/>
      <c r="LP394" s="23"/>
      <c r="LQ394" s="23"/>
      <c r="LR394" s="23"/>
      <c r="LS394" s="23"/>
      <c r="LT394" s="23"/>
      <c r="LU394" s="23"/>
      <c r="LV394" s="23"/>
      <c r="LW394" s="23"/>
      <c r="LX394" s="23"/>
      <c r="LY394" s="23"/>
      <c r="LZ394" s="23"/>
      <c r="MA394" s="23"/>
      <c r="MB394" s="23"/>
      <c r="MC394" s="23"/>
      <c r="MD394" s="23"/>
      <c r="ME394" s="23"/>
      <c r="MF394" s="23"/>
      <c r="MG394" s="23"/>
      <c r="MH394" s="23"/>
      <c r="MI394" s="23"/>
      <c r="MJ394" s="23"/>
      <c r="MK394" s="23"/>
      <c r="ML394" s="23"/>
      <c r="MM394" s="23"/>
      <c r="MN394" s="23"/>
      <c r="MO394" s="23"/>
      <c r="MP394" s="23"/>
      <c r="MQ394" s="23"/>
      <c r="MR394" s="23"/>
      <c r="MS394" s="23"/>
      <c r="MT394" s="23"/>
      <c r="MU394" s="23"/>
      <c r="MV394" s="23"/>
      <c r="MW394" s="23"/>
      <c r="MX394" s="23"/>
      <c r="MY394" s="23"/>
      <c r="MZ394" s="23"/>
      <c r="NA394" s="23"/>
      <c r="NB394" s="23"/>
      <c r="NC394" s="23"/>
      <c r="ND394" s="23"/>
      <c r="NE394" s="23"/>
      <c r="NF394" s="23"/>
      <c r="NG394" s="23"/>
      <c r="NH394" s="23"/>
      <c r="NI394" s="23"/>
      <c r="NJ394" s="23"/>
      <c r="NK394" s="23"/>
      <c r="NL394" s="23"/>
      <c r="NM394" s="23"/>
      <c r="NN394" s="23"/>
    </row>
    <row r="395" spans="5:378" ht="15" customHeight="1"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  <c r="IL395" s="23"/>
      <c r="IM395" s="23"/>
      <c r="IN395" s="23"/>
      <c r="IO395" s="23"/>
      <c r="IP395" s="23"/>
      <c r="IQ395" s="23"/>
      <c r="IR395" s="23"/>
      <c r="IS395" s="23"/>
      <c r="IT395" s="23"/>
      <c r="IU395" s="23"/>
      <c r="IV395" s="23"/>
      <c r="IW395" s="23"/>
      <c r="IX395" s="23"/>
      <c r="IY395" s="23"/>
      <c r="IZ395" s="23"/>
      <c r="JA395" s="23"/>
      <c r="JB395" s="23"/>
      <c r="JC395" s="23"/>
      <c r="JD395" s="23"/>
      <c r="JE395" s="23"/>
      <c r="JF395" s="23"/>
      <c r="JG395" s="23"/>
      <c r="JH395" s="23"/>
      <c r="JI395" s="23"/>
      <c r="JJ395" s="23"/>
      <c r="JK395" s="23"/>
      <c r="JL395" s="23"/>
      <c r="JM395" s="23"/>
      <c r="JN395" s="23"/>
      <c r="JO395" s="23"/>
      <c r="JP395" s="23"/>
      <c r="JQ395" s="23"/>
      <c r="JR395" s="23"/>
      <c r="JS395" s="23"/>
      <c r="JT395" s="23"/>
      <c r="JU395" s="23"/>
      <c r="JV395" s="23"/>
      <c r="JW395" s="23"/>
      <c r="JX395" s="23"/>
      <c r="JY395" s="23"/>
      <c r="JZ395" s="23"/>
      <c r="KA395" s="23"/>
      <c r="KB395" s="23"/>
      <c r="KC395" s="23"/>
      <c r="KD395" s="23"/>
      <c r="KE395" s="23"/>
      <c r="KF395" s="23"/>
      <c r="KG395" s="23"/>
      <c r="KH395" s="23"/>
      <c r="KI395" s="23"/>
      <c r="KJ395" s="23"/>
      <c r="KK395" s="23"/>
      <c r="KL395" s="23"/>
      <c r="KM395" s="23"/>
      <c r="KN395" s="23"/>
      <c r="KO395" s="23"/>
      <c r="KP395" s="23"/>
      <c r="KQ395" s="23"/>
      <c r="KR395" s="23"/>
      <c r="KS395" s="23"/>
      <c r="KT395" s="23"/>
      <c r="KU395" s="23"/>
      <c r="KV395" s="23"/>
      <c r="KW395" s="23"/>
      <c r="KX395" s="23"/>
      <c r="KY395" s="23"/>
      <c r="KZ395" s="23"/>
      <c r="LA395" s="23"/>
      <c r="LB395" s="23"/>
      <c r="LC395" s="23"/>
      <c r="LD395" s="23"/>
      <c r="LE395" s="23"/>
      <c r="LF395" s="23"/>
      <c r="LG395" s="23"/>
      <c r="LH395" s="23"/>
      <c r="LI395" s="23"/>
      <c r="LJ395" s="23"/>
      <c r="LK395" s="23"/>
      <c r="LL395" s="23"/>
      <c r="LM395" s="23"/>
      <c r="LN395" s="23"/>
      <c r="LO395" s="23"/>
      <c r="LP395" s="23"/>
      <c r="LQ395" s="23"/>
      <c r="LR395" s="23"/>
      <c r="LS395" s="23"/>
      <c r="LT395" s="23"/>
      <c r="LU395" s="23"/>
      <c r="LV395" s="23"/>
      <c r="LW395" s="23"/>
      <c r="LX395" s="23"/>
      <c r="LY395" s="23"/>
      <c r="LZ395" s="23"/>
      <c r="MA395" s="23"/>
      <c r="MB395" s="23"/>
      <c r="MC395" s="23"/>
      <c r="MD395" s="23"/>
      <c r="ME395" s="23"/>
      <c r="MF395" s="23"/>
      <c r="MG395" s="23"/>
      <c r="MH395" s="23"/>
      <c r="MI395" s="23"/>
      <c r="MJ395" s="23"/>
      <c r="MK395" s="23"/>
      <c r="ML395" s="23"/>
      <c r="MM395" s="23"/>
      <c r="MN395" s="23"/>
      <c r="MO395" s="23"/>
      <c r="MP395" s="23"/>
      <c r="MQ395" s="23"/>
      <c r="MR395" s="23"/>
      <c r="MS395" s="23"/>
      <c r="MT395" s="23"/>
      <c r="MU395" s="23"/>
      <c r="MV395" s="23"/>
      <c r="MW395" s="23"/>
      <c r="MX395" s="23"/>
      <c r="MY395" s="23"/>
      <c r="MZ395" s="23"/>
      <c r="NA395" s="23"/>
      <c r="NB395" s="23"/>
      <c r="NC395" s="23"/>
      <c r="ND395" s="23"/>
      <c r="NE395" s="23"/>
      <c r="NF395" s="23"/>
      <c r="NG395" s="23"/>
      <c r="NH395" s="23"/>
      <c r="NI395" s="23"/>
      <c r="NJ395" s="23"/>
      <c r="NK395" s="23"/>
      <c r="NL395" s="23"/>
      <c r="NM395" s="23"/>
      <c r="NN395" s="23"/>
    </row>
    <row r="396" spans="5:378" ht="15" customHeight="1"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  <c r="IL396" s="23"/>
      <c r="IM396" s="23"/>
      <c r="IN396" s="23"/>
      <c r="IO396" s="23"/>
      <c r="IP396" s="23"/>
      <c r="IQ396" s="23"/>
      <c r="IR396" s="23"/>
      <c r="IS396" s="23"/>
      <c r="IT396" s="23"/>
      <c r="IU396" s="23"/>
      <c r="IV396" s="23"/>
      <c r="IW396" s="23"/>
      <c r="IX396" s="23"/>
      <c r="IY396" s="23"/>
      <c r="IZ396" s="23"/>
      <c r="JA396" s="23"/>
      <c r="JB396" s="23"/>
      <c r="JC396" s="23"/>
      <c r="JD396" s="23"/>
      <c r="JE396" s="23"/>
      <c r="JF396" s="23"/>
      <c r="JG396" s="23"/>
      <c r="JH396" s="23"/>
      <c r="JI396" s="23"/>
      <c r="JJ396" s="23"/>
      <c r="JK396" s="23"/>
      <c r="JL396" s="23"/>
      <c r="JM396" s="23"/>
      <c r="JN396" s="23"/>
      <c r="JO396" s="23"/>
      <c r="JP396" s="23"/>
      <c r="JQ396" s="23"/>
      <c r="JR396" s="23"/>
      <c r="JS396" s="23"/>
      <c r="JT396" s="23"/>
      <c r="JU396" s="23"/>
      <c r="JV396" s="23"/>
      <c r="JW396" s="23"/>
      <c r="JX396" s="23"/>
      <c r="JY396" s="23"/>
      <c r="JZ396" s="23"/>
      <c r="KA396" s="23"/>
      <c r="KB396" s="23"/>
      <c r="KC396" s="23"/>
      <c r="KD396" s="23"/>
      <c r="KE396" s="23"/>
      <c r="KF396" s="23"/>
      <c r="KG396" s="23"/>
      <c r="KH396" s="23"/>
      <c r="KI396" s="23"/>
      <c r="KJ396" s="23"/>
      <c r="KK396" s="23"/>
      <c r="KL396" s="23"/>
      <c r="KM396" s="23"/>
      <c r="KN396" s="23"/>
      <c r="KO396" s="23"/>
      <c r="KP396" s="23"/>
      <c r="KQ396" s="23"/>
      <c r="KR396" s="23"/>
      <c r="KS396" s="23"/>
      <c r="KT396" s="23"/>
      <c r="KU396" s="23"/>
      <c r="KV396" s="23"/>
      <c r="KW396" s="23"/>
      <c r="KX396" s="23"/>
      <c r="KY396" s="23"/>
      <c r="KZ396" s="23"/>
      <c r="LA396" s="23"/>
      <c r="LB396" s="23"/>
      <c r="LC396" s="23"/>
      <c r="LD396" s="23"/>
      <c r="LE396" s="23"/>
      <c r="LF396" s="23"/>
      <c r="LG396" s="23"/>
      <c r="LH396" s="23"/>
      <c r="LI396" s="23"/>
      <c r="LJ396" s="23"/>
      <c r="LK396" s="23"/>
      <c r="LL396" s="23"/>
      <c r="LM396" s="23"/>
      <c r="LN396" s="23"/>
      <c r="LO396" s="23"/>
      <c r="LP396" s="23"/>
      <c r="LQ396" s="23"/>
      <c r="LR396" s="23"/>
      <c r="LS396" s="23"/>
      <c r="LT396" s="23"/>
      <c r="LU396" s="23"/>
      <c r="LV396" s="23"/>
      <c r="LW396" s="23"/>
      <c r="LX396" s="23"/>
      <c r="LY396" s="23"/>
      <c r="LZ396" s="23"/>
      <c r="MA396" s="23"/>
      <c r="MB396" s="23"/>
      <c r="MC396" s="23"/>
      <c r="MD396" s="23"/>
      <c r="ME396" s="23"/>
      <c r="MF396" s="23"/>
      <c r="MG396" s="23"/>
      <c r="MH396" s="23"/>
      <c r="MI396" s="23"/>
      <c r="MJ396" s="23"/>
      <c r="MK396" s="23"/>
      <c r="ML396" s="23"/>
      <c r="MM396" s="23"/>
      <c r="MN396" s="23"/>
      <c r="MO396" s="23"/>
      <c r="MP396" s="23"/>
      <c r="MQ396" s="23"/>
      <c r="MR396" s="23"/>
      <c r="MS396" s="23"/>
      <c r="MT396" s="23"/>
      <c r="MU396" s="23"/>
      <c r="MV396" s="23"/>
      <c r="MW396" s="23"/>
      <c r="MX396" s="23"/>
      <c r="MY396" s="23"/>
      <c r="MZ396" s="23"/>
      <c r="NA396" s="23"/>
      <c r="NB396" s="23"/>
      <c r="NC396" s="23"/>
      <c r="ND396" s="23"/>
      <c r="NE396" s="23"/>
      <c r="NF396" s="23"/>
      <c r="NG396" s="23"/>
      <c r="NH396" s="23"/>
      <c r="NI396" s="23"/>
      <c r="NJ396" s="23"/>
      <c r="NK396" s="23"/>
      <c r="NL396" s="23"/>
      <c r="NM396" s="23"/>
      <c r="NN396" s="23"/>
    </row>
    <row r="397" spans="5:378" ht="15" customHeight="1"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  <c r="IL397" s="23"/>
      <c r="IM397" s="23"/>
      <c r="IN397" s="23"/>
      <c r="IO397" s="23"/>
      <c r="IP397" s="23"/>
      <c r="IQ397" s="23"/>
      <c r="IR397" s="23"/>
      <c r="IS397" s="23"/>
      <c r="IT397" s="23"/>
      <c r="IU397" s="23"/>
      <c r="IV397" s="23"/>
      <c r="IW397" s="23"/>
      <c r="IX397" s="23"/>
      <c r="IY397" s="23"/>
      <c r="IZ397" s="23"/>
      <c r="JA397" s="23"/>
      <c r="JB397" s="23"/>
      <c r="JC397" s="23"/>
      <c r="JD397" s="23"/>
      <c r="JE397" s="23"/>
      <c r="JF397" s="23"/>
      <c r="JG397" s="23"/>
      <c r="JH397" s="23"/>
      <c r="JI397" s="23"/>
      <c r="JJ397" s="23"/>
      <c r="JK397" s="23"/>
      <c r="JL397" s="23"/>
      <c r="JM397" s="23"/>
      <c r="JN397" s="23"/>
      <c r="JO397" s="23"/>
      <c r="JP397" s="23"/>
      <c r="JQ397" s="23"/>
      <c r="JR397" s="23"/>
      <c r="JS397" s="23"/>
      <c r="JT397" s="23"/>
      <c r="JU397" s="23"/>
      <c r="JV397" s="23"/>
      <c r="JW397" s="23"/>
      <c r="JX397" s="23"/>
      <c r="JY397" s="23"/>
      <c r="JZ397" s="23"/>
      <c r="KA397" s="23"/>
      <c r="KB397" s="23"/>
      <c r="KC397" s="23"/>
      <c r="KD397" s="23"/>
      <c r="KE397" s="23"/>
      <c r="KF397" s="23"/>
      <c r="KG397" s="23"/>
      <c r="KH397" s="23"/>
      <c r="KI397" s="23"/>
      <c r="KJ397" s="23"/>
      <c r="KK397" s="23"/>
      <c r="KL397" s="23"/>
      <c r="KM397" s="23"/>
      <c r="KN397" s="23"/>
      <c r="KO397" s="23"/>
      <c r="KP397" s="23"/>
      <c r="KQ397" s="23"/>
      <c r="KR397" s="23"/>
      <c r="KS397" s="23"/>
      <c r="KT397" s="23"/>
      <c r="KU397" s="23"/>
      <c r="KV397" s="23"/>
      <c r="KW397" s="23"/>
      <c r="KX397" s="23"/>
      <c r="KY397" s="23"/>
      <c r="KZ397" s="23"/>
      <c r="LA397" s="23"/>
      <c r="LB397" s="23"/>
      <c r="LC397" s="23"/>
      <c r="LD397" s="23"/>
      <c r="LE397" s="23"/>
      <c r="LF397" s="23"/>
      <c r="LG397" s="23"/>
      <c r="LH397" s="23"/>
      <c r="LI397" s="23"/>
      <c r="LJ397" s="23"/>
      <c r="LK397" s="23"/>
      <c r="LL397" s="23"/>
      <c r="LM397" s="23"/>
      <c r="LN397" s="23"/>
      <c r="LO397" s="23"/>
      <c r="LP397" s="23"/>
      <c r="LQ397" s="23"/>
      <c r="LR397" s="23"/>
      <c r="LS397" s="23"/>
      <c r="LT397" s="23"/>
      <c r="LU397" s="23"/>
      <c r="LV397" s="23"/>
      <c r="LW397" s="23"/>
      <c r="LX397" s="23"/>
      <c r="LY397" s="23"/>
      <c r="LZ397" s="23"/>
      <c r="MA397" s="23"/>
      <c r="MB397" s="23"/>
      <c r="MC397" s="23"/>
      <c r="MD397" s="23"/>
      <c r="ME397" s="23"/>
      <c r="MF397" s="23"/>
      <c r="MG397" s="23"/>
      <c r="MH397" s="23"/>
      <c r="MI397" s="23"/>
      <c r="MJ397" s="23"/>
      <c r="MK397" s="23"/>
      <c r="ML397" s="23"/>
      <c r="MM397" s="23"/>
      <c r="MN397" s="23"/>
      <c r="MO397" s="23"/>
      <c r="MP397" s="23"/>
      <c r="MQ397" s="23"/>
      <c r="MR397" s="23"/>
      <c r="MS397" s="23"/>
      <c r="MT397" s="23"/>
      <c r="MU397" s="23"/>
      <c r="MV397" s="23"/>
      <c r="MW397" s="23"/>
      <c r="MX397" s="23"/>
      <c r="MY397" s="23"/>
      <c r="MZ397" s="23"/>
      <c r="NA397" s="23"/>
      <c r="NB397" s="23"/>
      <c r="NC397" s="23"/>
      <c r="ND397" s="23"/>
      <c r="NE397" s="23"/>
      <c r="NF397" s="23"/>
      <c r="NG397" s="23"/>
      <c r="NH397" s="23"/>
      <c r="NI397" s="23"/>
      <c r="NJ397" s="23"/>
      <c r="NK397" s="23"/>
      <c r="NL397" s="23"/>
      <c r="NM397" s="23"/>
      <c r="NN397" s="23"/>
    </row>
    <row r="398" spans="5:378" ht="15" customHeight="1"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  <c r="IL398" s="23"/>
      <c r="IM398" s="23"/>
      <c r="IN398" s="23"/>
      <c r="IO398" s="23"/>
      <c r="IP398" s="23"/>
      <c r="IQ398" s="23"/>
      <c r="IR398" s="23"/>
      <c r="IS398" s="23"/>
      <c r="IT398" s="23"/>
      <c r="IU398" s="23"/>
      <c r="IV398" s="23"/>
      <c r="IW398" s="23"/>
      <c r="IX398" s="23"/>
      <c r="IY398" s="23"/>
      <c r="IZ398" s="23"/>
      <c r="JA398" s="23"/>
      <c r="JB398" s="23"/>
      <c r="JC398" s="23"/>
      <c r="JD398" s="23"/>
      <c r="JE398" s="23"/>
      <c r="JF398" s="23"/>
      <c r="JG398" s="23"/>
      <c r="JH398" s="23"/>
      <c r="JI398" s="23"/>
      <c r="JJ398" s="23"/>
      <c r="JK398" s="23"/>
      <c r="JL398" s="23"/>
      <c r="JM398" s="23"/>
      <c r="JN398" s="23"/>
      <c r="JO398" s="23"/>
      <c r="JP398" s="23"/>
      <c r="JQ398" s="23"/>
      <c r="JR398" s="23"/>
      <c r="JS398" s="23"/>
      <c r="JT398" s="23"/>
      <c r="JU398" s="23"/>
      <c r="JV398" s="23"/>
      <c r="JW398" s="23"/>
      <c r="JX398" s="23"/>
      <c r="JY398" s="23"/>
      <c r="JZ398" s="23"/>
      <c r="KA398" s="23"/>
      <c r="KB398" s="23"/>
      <c r="KC398" s="23"/>
      <c r="KD398" s="23"/>
      <c r="KE398" s="23"/>
      <c r="KF398" s="23"/>
      <c r="KG398" s="23"/>
      <c r="KH398" s="23"/>
      <c r="KI398" s="23"/>
      <c r="KJ398" s="23"/>
      <c r="KK398" s="23"/>
      <c r="KL398" s="23"/>
      <c r="KM398" s="23"/>
      <c r="KN398" s="23"/>
      <c r="KO398" s="23"/>
      <c r="KP398" s="23"/>
      <c r="KQ398" s="23"/>
      <c r="KR398" s="23"/>
      <c r="KS398" s="23"/>
      <c r="KT398" s="23"/>
      <c r="KU398" s="23"/>
      <c r="KV398" s="23"/>
      <c r="KW398" s="23"/>
      <c r="KX398" s="23"/>
      <c r="KY398" s="23"/>
      <c r="KZ398" s="23"/>
      <c r="LA398" s="23"/>
      <c r="LB398" s="23"/>
      <c r="LC398" s="23"/>
      <c r="LD398" s="23"/>
      <c r="LE398" s="23"/>
      <c r="LF398" s="23"/>
      <c r="LG398" s="23"/>
      <c r="LH398" s="23"/>
      <c r="LI398" s="23"/>
      <c r="LJ398" s="23"/>
      <c r="LK398" s="23"/>
      <c r="LL398" s="23"/>
      <c r="LM398" s="23"/>
      <c r="LN398" s="23"/>
      <c r="LO398" s="23"/>
      <c r="LP398" s="23"/>
      <c r="LQ398" s="23"/>
      <c r="LR398" s="23"/>
      <c r="LS398" s="23"/>
      <c r="LT398" s="23"/>
      <c r="LU398" s="23"/>
      <c r="LV398" s="23"/>
      <c r="LW398" s="23"/>
      <c r="LX398" s="23"/>
      <c r="LY398" s="23"/>
      <c r="LZ398" s="23"/>
      <c r="MA398" s="23"/>
      <c r="MB398" s="23"/>
      <c r="MC398" s="23"/>
      <c r="MD398" s="23"/>
      <c r="ME398" s="23"/>
      <c r="MF398" s="23"/>
      <c r="MG398" s="23"/>
      <c r="MH398" s="23"/>
      <c r="MI398" s="23"/>
      <c r="MJ398" s="23"/>
      <c r="MK398" s="23"/>
      <c r="ML398" s="23"/>
      <c r="MM398" s="23"/>
      <c r="MN398" s="23"/>
      <c r="MO398" s="23"/>
      <c r="MP398" s="23"/>
      <c r="MQ398" s="23"/>
      <c r="MR398" s="23"/>
      <c r="MS398" s="23"/>
      <c r="MT398" s="23"/>
      <c r="MU398" s="23"/>
      <c r="MV398" s="23"/>
      <c r="MW398" s="23"/>
      <c r="MX398" s="23"/>
      <c r="MY398" s="23"/>
      <c r="MZ398" s="23"/>
      <c r="NA398" s="23"/>
      <c r="NB398" s="23"/>
      <c r="NC398" s="23"/>
      <c r="ND398" s="23"/>
      <c r="NE398" s="23"/>
      <c r="NF398" s="23"/>
      <c r="NG398" s="23"/>
      <c r="NH398" s="23"/>
      <c r="NI398" s="23"/>
      <c r="NJ398" s="23"/>
      <c r="NK398" s="23"/>
      <c r="NL398" s="23"/>
      <c r="NM398" s="23"/>
      <c r="NN398" s="23"/>
    </row>
    <row r="399" spans="5:378" ht="15" customHeight="1"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  <c r="IL399" s="23"/>
      <c r="IM399" s="23"/>
      <c r="IN399" s="23"/>
      <c r="IO399" s="23"/>
      <c r="IP399" s="23"/>
      <c r="IQ399" s="23"/>
      <c r="IR399" s="23"/>
      <c r="IS399" s="23"/>
      <c r="IT399" s="23"/>
      <c r="IU399" s="23"/>
      <c r="IV399" s="23"/>
      <c r="IW399" s="23"/>
      <c r="IX399" s="23"/>
      <c r="IY399" s="23"/>
      <c r="IZ399" s="23"/>
      <c r="JA399" s="23"/>
      <c r="JB399" s="23"/>
      <c r="JC399" s="23"/>
      <c r="JD399" s="23"/>
      <c r="JE399" s="23"/>
      <c r="JF399" s="23"/>
      <c r="JG399" s="23"/>
      <c r="JH399" s="23"/>
      <c r="JI399" s="23"/>
      <c r="JJ399" s="23"/>
      <c r="JK399" s="23"/>
      <c r="JL399" s="23"/>
      <c r="JM399" s="23"/>
      <c r="JN399" s="23"/>
      <c r="JO399" s="23"/>
      <c r="JP399" s="23"/>
      <c r="JQ399" s="23"/>
      <c r="JR399" s="23"/>
      <c r="JS399" s="23"/>
      <c r="JT399" s="23"/>
      <c r="JU399" s="23"/>
      <c r="JV399" s="23"/>
      <c r="JW399" s="23"/>
      <c r="JX399" s="23"/>
      <c r="JY399" s="23"/>
      <c r="JZ399" s="23"/>
      <c r="KA399" s="23"/>
      <c r="KB399" s="23"/>
      <c r="KC399" s="23"/>
      <c r="KD399" s="23"/>
      <c r="KE399" s="23"/>
      <c r="KF399" s="23"/>
      <c r="KG399" s="23"/>
      <c r="KH399" s="23"/>
      <c r="KI399" s="23"/>
      <c r="KJ399" s="23"/>
      <c r="KK399" s="23"/>
      <c r="KL399" s="23"/>
      <c r="KM399" s="23"/>
      <c r="KN399" s="23"/>
      <c r="KO399" s="23"/>
      <c r="KP399" s="23"/>
      <c r="KQ399" s="23"/>
      <c r="KR399" s="23"/>
      <c r="KS399" s="23"/>
      <c r="KT399" s="23"/>
      <c r="KU399" s="23"/>
      <c r="KV399" s="23"/>
      <c r="KW399" s="23"/>
      <c r="KX399" s="23"/>
      <c r="KY399" s="23"/>
      <c r="KZ399" s="23"/>
      <c r="LA399" s="23"/>
      <c r="LB399" s="23"/>
      <c r="LC399" s="23"/>
      <c r="LD399" s="23"/>
      <c r="LE399" s="23"/>
      <c r="LF399" s="23"/>
      <c r="LG399" s="23"/>
      <c r="LH399" s="23"/>
      <c r="LI399" s="23"/>
      <c r="LJ399" s="23"/>
      <c r="LK399" s="23"/>
      <c r="LL399" s="23"/>
      <c r="LM399" s="23"/>
      <c r="LN399" s="23"/>
      <c r="LO399" s="23"/>
      <c r="LP399" s="23"/>
      <c r="LQ399" s="23"/>
      <c r="LR399" s="23"/>
      <c r="LS399" s="23"/>
      <c r="LT399" s="23"/>
      <c r="LU399" s="23"/>
      <c r="LV399" s="23"/>
      <c r="LW399" s="23"/>
      <c r="LX399" s="23"/>
      <c r="LY399" s="23"/>
      <c r="LZ399" s="23"/>
      <c r="MA399" s="23"/>
      <c r="MB399" s="23"/>
      <c r="MC399" s="23"/>
      <c r="MD399" s="23"/>
      <c r="ME399" s="23"/>
      <c r="MF399" s="23"/>
      <c r="MG399" s="23"/>
      <c r="MH399" s="23"/>
      <c r="MI399" s="23"/>
      <c r="MJ399" s="23"/>
      <c r="MK399" s="23"/>
      <c r="ML399" s="23"/>
      <c r="MM399" s="23"/>
      <c r="MN399" s="23"/>
      <c r="MO399" s="23"/>
      <c r="MP399" s="23"/>
      <c r="MQ399" s="23"/>
      <c r="MR399" s="23"/>
      <c r="MS399" s="23"/>
      <c r="MT399" s="23"/>
      <c r="MU399" s="23"/>
      <c r="MV399" s="23"/>
      <c r="MW399" s="23"/>
      <c r="MX399" s="23"/>
      <c r="MY399" s="23"/>
      <c r="MZ399" s="23"/>
      <c r="NA399" s="23"/>
      <c r="NB399" s="23"/>
      <c r="NC399" s="23"/>
      <c r="ND399" s="23"/>
      <c r="NE399" s="23"/>
      <c r="NF399" s="23"/>
      <c r="NG399" s="23"/>
      <c r="NH399" s="23"/>
      <c r="NI399" s="23"/>
      <c r="NJ399" s="23"/>
      <c r="NK399" s="23"/>
      <c r="NL399" s="23"/>
      <c r="NM399" s="23"/>
      <c r="NN399" s="23"/>
    </row>
    <row r="400" spans="5:378" ht="15" customHeight="1"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  <c r="IL400" s="23"/>
      <c r="IM400" s="23"/>
      <c r="IN400" s="23"/>
      <c r="IO400" s="23"/>
      <c r="IP400" s="23"/>
      <c r="IQ400" s="23"/>
      <c r="IR400" s="23"/>
      <c r="IS400" s="23"/>
      <c r="IT400" s="23"/>
      <c r="IU400" s="23"/>
      <c r="IV400" s="23"/>
      <c r="IW400" s="23"/>
      <c r="IX400" s="23"/>
      <c r="IY400" s="23"/>
      <c r="IZ400" s="23"/>
      <c r="JA400" s="23"/>
      <c r="JB400" s="23"/>
      <c r="JC400" s="23"/>
      <c r="JD400" s="23"/>
      <c r="JE400" s="23"/>
      <c r="JF400" s="23"/>
      <c r="JG400" s="23"/>
      <c r="JH400" s="23"/>
      <c r="JI400" s="23"/>
      <c r="JJ400" s="23"/>
      <c r="JK400" s="23"/>
      <c r="JL400" s="23"/>
      <c r="JM400" s="23"/>
      <c r="JN400" s="23"/>
      <c r="JO400" s="23"/>
      <c r="JP400" s="23"/>
      <c r="JQ400" s="23"/>
      <c r="JR400" s="23"/>
      <c r="JS400" s="23"/>
      <c r="JT400" s="23"/>
      <c r="JU400" s="23"/>
      <c r="JV400" s="23"/>
      <c r="JW400" s="23"/>
      <c r="JX400" s="23"/>
      <c r="JY400" s="23"/>
      <c r="JZ400" s="23"/>
      <c r="KA400" s="23"/>
      <c r="KB400" s="23"/>
      <c r="KC400" s="23"/>
      <c r="KD400" s="23"/>
      <c r="KE400" s="23"/>
      <c r="KF400" s="23"/>
      <c r="KG400" s="23"/>
      <c r="KH400" s="23"/>
      <c r="KI400" s="23"/>
      <c r="KJ400" s="23"/>
      <c r="KK400" s="23"/>
      <c r="KL400" s="23"/>
      <c r="KM400" s="23"/>
      <c r="KN400" s="23"/>
      <c r="KO400" s="23"/>
      <c r="KP400" s="23"/>
      <c r="KQ400" s="23"/>
      <c r="KR400" s="23"/>
      <c r="KS400" s="23"/>
      <c r="KT400" s="23"/>
      <c r="KU400" s="23"/>
      <c r="KV400" s="23"/>
      <c r="KW400" s="23"/>
      <c r="KX400" s="23"/>
      <c r="KY400" s="23"/>
      <c r="KZ400" s="23"/>
      <c r="LA400" s="23"/>
      <c r="LB400" s="23"/>
      <c r="LC400" s="23"/>
      <c r="LD400" s="23"/>
      <c r="LE400" s="23"/>
      <c r="LF400" s="23"/>
      <c r="LG400" s="23"/>
      <c r="LH400" s="23"/>
      <c r="LI400" s="23"/>
      <c r="LJ400" s="23"/>
      <c r="LK400" s="23"/>
      <c r="LL400" s="23"/>
      <c r="LM400" s="23"/>
      <c r="LN400" s="23"/>
      <c r="LO400" s="23"/>
      <c r="LP400" s="23"/>
      <c r="LQ400" s="23"/>
      <c r="LR400" s="23"/>
      <c r="LS400" s="23"/>
      <c r="LT400" s="23"/>
      <c r="LU400" s="23"/>
      <c r="LV400" s="23"/>
      <c r="LW400" s="23"/>
      <c r="LX400" s="23"/>
      <c r="LY400" s="23"/>
      <c r="LZ400" s="23"/>
      <c r="MA400" s="23"/>
      <c r="MB400" s="23"/>
      <c r="MC400" s="23"/>
      <c r="MD400" s="23"/>
      <c r="ME400" s="23"/>
      <c r="MF400" s="23"/>
      <c r="MG400" s="23"/>
      <c r="MH400" s="23"/>
      <c r="MI400" s="23"/>
      <c r="MJ400" s="23"/>
      <c r="MK400" s="23"/>
      <c r="ML400" s="23"/>
      <c r="MM400" s="23"/>
      <c r="MN400" s="23"/>
      <c r="MO400" s="23"/>
      <c r="MP400" s="23"/>
      <c r="MQ400" s="23"/>
      <c r="MR400" s="23"/>
      <c r="MS400" s="23"/>
      <c r="MT400" s="23"/>
      <c r="MU400" s="23"/>
      <c r="MV400" s="23"/>
      <c r="MW400" s="23"/>
      <c r="MX400" s="23"/>
      <c r="MY400" s="23"/>
      <c r="MZ400" s="23"/>
      <c r="NA400" s="23"/>
      <c r="NB400" s="23"/>
      <c r="NC400" s="23"/>
      <c r="ND400" s="23"/>
      <c r="NE400" s="23"/>
      <c r="NF400" s="23"/>
      <c r="NG400" s="23"/>
      <c r="NH400" s="23"/>
      <c r="NI400" s="23"/>
      <c r="NJ400" s="23"/>
      <c r="NK400" s="23"/>
      <c r="NL400" s="23"/>
      <c r="NM400" s="23"/>
      <c r="NN400" s="23"/>
    </row>
    <row r="401" spans="5:6" ht="15" customHeight="1">
      <c r="E401" s="23"/>
      <c r="F401" s="23"/>
    </row>
    <row r="402" spans="5:6" ht="15" customHeight="1">
      <c r="E402" s="23"/>
      <c r="F402" s="23"/>
    </row>
    <row r="403" spans="5:6" ht="15" customHeight="1">
      <c r="E403" s="23"/>
      <c r="F403" s="23"/>
    </row>
    <row r="404" spans="5:6" ht="15" customHeight="1">
      <c r="E404" s="23"/>
      <c r="F404" s="23"/>
    </row>
    <row r="405" spans="5:6" ht="15" customHeight="1">
      <c r="E405" s="23"/>
      <c r="F405" s="23"/>
    </row>
    <row r="406" spans="5:6" ht="15" customHeight="1">
      <c r="E406" s="23"/>
      <c r="F406" s="23"/>
    </row>
    <row r="407" spans="5:6" ht="15" customHeight="1">
      <c r="E407" s="23"/>
      <c r="F407" s="23"/>
    </row>
    <row r="408" spans="5:6" ht="15" customHeight="1">
      <c r="E408" s="23"/>
      <c r="F408" s="23"/>
    </row>
    <row r="409" spans="5:6" ht="15" customHeight="1">
      <c r="E409" s="23"/>
      <c r="F409" s="23"/>
    </row>
    <row r="410" spans="5:6" ht="15" customHeight="1">
      <c r="E410" s="23"/>
      <c r="F410" s="23"/>
    </row>
    <row r="411" spans="5:6" ht="15" customHeight="1">
      <c r="E411" s="23"/>
      <c r="F411" s="23"/>
    </row>
    <row r="412" spans="5:6" ht="15" customHeight="1">
      <c r="E412" s="23"/>
      <c r="F412" s="23"/>
    </row>
    <row r="413" spans="5:6" ht="15" customHeight="1">
      <c r="E413" s="23"/>
      <c r="F413" s="23"/>
    </row>
    <row r="414" spans="5:6" ht="15" customHeight="1">
      <c r="E414" s="23"/>
      <c r="F414" s="23"/>
    </row>
    <row r="415" spans="5:6" ht="15" customHeight="1">
      <c r="E415" s="23"/>
      <c r="F415" s="23"/>
    </row>
    <row r="416" spans="5:6" ht="15" customHeight="1">
      <c r="E416" s="23"/>
      <c r="F416" s="23"/>
    </row>
    <row r="417" spans="5:6" ht="15" customHeight="1">
      <c r="E417" s="23"/>
      <c r="F417" s="23"/>
    </row>
    <row r="418" spans="5:6" ht="15" customHeight="1">
      <c r="E418" s="23"/>
      <c r="F418" s="23"/>
    </row>
    <row r="419" spans="5:6" ht="15" customHeight="1">
      <c r="E419" s="23"/>
      <c r="F419" s="23"/>
    </row>
    <row r="420" spans="5:6" ht="15" customHeight="1">
      <c r="E420" s="23"/>
      <c r="F420" s="23"/>
    </row>
    <row r="421" spans="5:6" ht="15" customHeight="1">
      <c r="E421" s="23"/>
      <c r="F421" s="23"/>
    </row>
  </sheetData>
  <mergeCells count="2">
    <mergeCell ref="A2:E2"/>
    <mergeCell ref="A1:E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J10"/>
  <sheetViews>
    <sheetView tabSelected="1" workbookViewId="0">
      <pane ySplit="3" topLeftCell="A4" activePane="bottomLeft" state="frozen"/>
      <selection pane="bottomLeft" activeCell="D8" sqref="D8"/>
    </sheetView>
  </sheetViews>
  <sheetFormatPr defaultRowHeight="15" customHeight="1"/>
  <cols>
    <col min="1" max="1" width="6" customWidth="1"/>
    <col min="2" max="2" width="60" customWidth="1"/>
    <col min="3" max="3" width="8" customWidth="1"/>
    <col min="4" max="4" width="59.85546875" customWidth="1"/>
    <col min="5" max="5" width="15" customWidth="1"/>
    <col min="9" max="9" width="16.28515625" customWidth="1"/>
    <col min="10" max="10" width="13.7109375" customWidth="1"/>
  </cols>
  <sheetData>
    <row r="1" spans="1:10" ht="30" customHeight="1">
      <c r="A1" s="44" t="s">
        <v>2995</v>
      </c>
      <c r="B1" s="42"/>
      <c r="C1" s="42"/>
      <c r="D1" s="42"/>
      <c r="E1" s="42"/>
      <c r="F1" s="23"/>
      <c r="G1" s="23"/>
      <c r="H1" s="23"/>
      <c r="I1" s="23"/>
      <c r="J1" s="23"/>
    </row>
    <row r="2" spans="1:10">
      <c r="A2" s="46" t="s">
        <v>2996</v>
      </c>
      <c r="B2" s="46"/>
      <c r="C2" s="46"/>
      <c r="D2" s="46"/>
      <c r="E2" s="46"/>
      <c r="F2" s="23"/>
      <c r="G2" s="23"/>
      <c r="H2" s="23"/>
      <c r="I2" s="23"/>
      <c r="J2" s="23"/>
    </row>
    <row r="3" spans="1:10" ht="24" customHeight="1">
      <c r="A3" s="4" t="s">
        <v>2915</v>
      </c>
      <c r="B3" s="4" t="s">
        <v>2916</v>
      </c>
      <c r="C3" s="4" t="s">
        <v>21</v>
      </c>
      <c r="D3" s="4" t="s">
        <v>2917</v>
      </c>
      <c r="E3" s="4" t="s">
        <v>2918</v>
      </c>
      <c r="F3" s="23"/>
      <c r="G3" s="23"/>
      <c r="H3" s="23"/>
      <c r="I3" s="23"/>
      <c r="J3" s="23"/>
    </row>
    <row r="4" spans="1:10" ht="42" customHeight="1">
      <c r="A4" s="15" t="s">
        <v>2997</v>
      </c>
      <c r="B4" s="16" t="s">
        <v>2998</v>
      </c>
      <c r="C4" s="17">
        <v>2</v>
      </c>
      <c r="D4" s="18" t="str" cm="1">
        <f t="array" ref="D4">_xlfn.LET(_xlpm.ids,Sales_Reps!$A$2:$A$31,_xlpm.names,Sales_Reps!$B$2:$B$31,_xlpm.rev,SUMIF(Orders!$E$2:$E$2001,_xlpm.ids,Orders!$I$2:$I$2001),INDEX(_xlpm.names,MATCH(LARGE(_xlpm.rev,7),_xlpm.rev,0)))</f>
        <v>Amit Singh</v>
      </c>
      <c r="E4" s="19" t="s">
        <v>2924</v>
      </c>
      <c r="F4" s="23"/>
      <c r="G4" s="23"/>
      <c r="H4" s="23"/>
      <c r="I4" s="23"/>
      <c r="J4" s="23"/>
    </row>
    <row r="5" spans="1:10" ht="42" customHeight="1">
      <c r="A5" s="15" t="s">
        <v>2999</v>
      </c>
      <c r="B5" s="16" t="s">
        <v>3000</v>
      </c>
      <c r="C5" s="17">
        <v>2</v>
      </c>
      <c r="D5" s="18">
        <f>SUMIFS(Orders!$I$2:$I$2001,Orders!$B$2:$B$2001,"&lt;="&amp;DATE(2024,8,31))</f>
        <v>18050689.600000005</v>
      </c>
      <c r="E5" s="19" t="s">
        <v>2963</v>
      </c>
      <c r="F5" s="23"/>
      <c r="G5" s="23"/>
      <c r="H5" s="23"/>
      <c r="I5" s="23"/>
      <c r="J5" s="23"/>
    </row>
    <row r="6" spans="1:10" ht="42" customHeight="1">
      <c r="A6" s="15" t="s">
        <v>3001</v>
      </c>
      <c r="B6" s="16" t="s">
        <v>3002</v>
      </c>
      <c r="C6" s="17">
        <v>3</v>
      </c>
      <c r="D6" s="18" t="str" cm="1">
        <f t="array" ref="D6">_xlfn.LET(_xlpm.products,Products!$A$2:$A$61,_xlpm.names,Products!$B$2:$B$61,_xlpm.westreps,_xlfn._xlws.FILTER(Sales_Reps!$A$2:$A$31,Sales_Reps!$C$2:$C$31="West"),_xlpm.revenue,_xlfn.MAP(_xlpm.products,_xlfn.LAMBDA(_xlpm.p,SUM(SUMIFS(Orders!$I$2:$I$2001,Orders!$D$2:$D$2001,_xlpm.p,Orders!$E$2:$E$2001,_xlpm.westreps)))),INDEX(_xlpm.names,MATCH(LARGE(_xlpm.revenue,2),_xlpm.revenue,0)))</f>
        <v>Smart Watch</v>
      </c>
      <c r="E6" s="19" t="s">
        <v>2924</v>
      </c>
      <c r="F6" s="23"/>
      <c r="G6" s="23"/>
      <c r="H6" s="23"/>
      <c r="I6" s="23"/>
      <c r="J6" s="23"/>
    </row>
    <row r="7" spans="1:10" ht="42" customHeight="1">
      <c r="A7" s="15" t="s">
        <v>3003</v>
      </c>
      <c r="B7" s="16" t="s">
        <v>3004</v>
      </c>
      <c r="C7" s="17">
        <v>2</v>
      </c>
      <c r="D7" s="18" t="str" cm="1">
        <f t="array" ref="D7">_xlfn.LET(_xlpm.ids,Sales_Reps!$A$2:$A$31,_xlpm.names,Sales_Reps!$B$2:$B$31,_xlpm.rev,SUMIF(Orders!$E$2:$E$2001,_xlpm.ids,Orders!$I$2:$I$2001),_xlfn.TEXTJOIN(" | ",TRUE,INDEX(_xlfn.SORTBY(_xlpm.names,_xlpm.rev,-1),_xlfn.SEQUENCE(5))))</f>
        <v>Neha Desai | Shalini Patel | Deepak Shah | Nisha Menon | Arun Iyer</v>
      </c>
      <c r="E7" s="19" t="s">
        <v>2924</v>
      </c>
      <c r="F7" s="23"/>
      <c r="G7" s="23"/>
      <c r="H7" s="23"/>
      <c r="I7" s="23"/>
      <c r="J7" s="23"/>
    </row>
    <row r="8" spans="1:10" ht="42" customHeight="1">
      <c r="A8" s="15" t="s">
        <v>3005</v>
      </c>
      <c r="B8" s="16" t="s">
        <v>3006</v>
      </c>
      <c r="C8" s="17">
        <v>1</v>
      </c>
      <c r="D8" s="18" cm="1">
        <f t="array" ref="D8">_xlfn.LET(_xlpm.grocery,_xlfn._xlws.FILTER(Products!$A$2:$A$61,Products!$C$2:$C$61="Grocery"),MAX(_xlfn._xlws.FILTER(Orders!$I$2:$I$2001,(Orders!$K$2:$K$2001="Bengaluru")*ISNUMBER(_xlfn.XMATCH(Orders!$D$2:$D$2001,_xlpm.grocery)))))</f>
        <v>22134</v>
      </c>
      <c r="E8" s="19" t="s">
        <v>2963</v>
      </c>
      <c r="F8" s="23"/>
      <c r="G8" s="23"/>
      <c r="H8" s="23"/>
      <c r="I8" s="23"/>
      <c r="J8" s="23"/>
    </row>
    <row r="9" spans="1:10" ht="15" customHeight="1">
      <c r="A9" s="23"/>
      <c r="B9" s="23"/>
      <c r="C9" s="23"/>
      <c r="D9" s="23"/>
      <c r="E9" s="23"/>
      <c r="F9" s="23"/>
      <c r="G9" s="23"/>
      <c r="H9" s="23"/>
      <c r="I9" s="23"/>
      <c r="J9" s="23"/>
    </row>
    <row r="10" spans="1:10" ht="1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</row>
  </sheetData>
  <mergeCells count="2">
    <mergeCell ref="A2:E2"/>
    <mergeCell ref="A1:E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2026-08-08T11:39:42Z</dcterms:created>
  <dcterms:modified xsi:type="dcterms:W3CDTF">2026-08-17T16:40:32Z</dcterms:modified>
  <cp:category/>
  <cp:contentStatus/>
</cp:coreProperties>
</file>